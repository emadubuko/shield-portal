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Emeka C. Madubuko\Documents\"/>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20490" windowHeight="7455" tabRatio="591" firstSheet="1" activeTab="3"/>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0">#REF!</definedName>
    <definedName name="_xlnm._FilterDatabase" localSheetId="2" hidden="1">'All Questions'!$A$1:$G$139</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'Data_donotedit'!$A$1:$N$21</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<sst xmlns="http://schemas.openxmlformats.org/spreadsheetml/2006/main" count="3571" uniqueCount="3571">
  <si>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</si>
  <si>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</si>
  <si>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</si>
  <si>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</si>
  <si>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</si>
  <si>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</si>
  <si>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</si>
  <si>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</si>
  <si>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</si>
  <si>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</si>
  <si>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</si>
  <si>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</si>
  <si>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</si>
  <si>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</si>
  <si>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</si>
  <si>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</si>
  <si>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</si>
  <si>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</si>
  <si>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</si>
  <si>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</si>
  <si>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</si>
  <si>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</si>
  <si>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</si>
  <si>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</si>
  <si>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</si>
  <si>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</si>
  <si>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</si>
  <si>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</si>
  <si>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</si>
  <si>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</si>
  <si>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</si>
  <si>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</si>
  <si>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</si>
  <si>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</si>
  <si>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</si>
  <si>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</si>
  <si>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</si>
  <si>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</si>
  <si>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Benue</t>
  </si>
  <si>
    <t>LGA:</t>
  </si>
  <si>
    <t>Vandeikya</t>
  </si>
  <si>
    <t>Facility Name:</t>
  </si>
  <si>
    <t>Vandeikya KP One Stop Shop -Virtual</t>
  </si>
  <si>
    <t>Reporting Period:</t>
  </si>
  <si>
    <t>Q1 FY18</t>
  </si>
  <si>
    <t>Facility Code:</t>
  </si>
  <si>
    <t>uYCM5I1Rh34</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</si>
  <si>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</si>
  <si>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</si>
  <si>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</si>
  <si>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</si>
  <si>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</si>
  <si>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</si>
  <si>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</si>
  <si>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</si>
  <si>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</si>
  <si>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</si>
  <si>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</si>
  <si>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</si>
  <si>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</si>
  <si>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</si>
  <si>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</si>
  <si>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</si>
  <si>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</si>
  <si>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</si>
  <si>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 xml:space="preserve">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</si>
  <si>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</si>
  <si>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</si>
  <si>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</si>
  <si>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</si>
  <si>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</si>
  <si>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</si>
  <si>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</si>
  <si>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</si>
  <si>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</si>
  <si>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</si>
  <si>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</si>
  <si>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</si>
  <si>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</si>
  <si>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</si>
  <si>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 xml:space="preserve">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</si>
  <si>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</si>
  <si>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</si>
  <si>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</si>
  <si>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</si>
  <si>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</si>
  <si>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</si>
  <si>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</si>
  <si>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</si>
  <si>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</si>
  <si>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</si>
  <si>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</si>
  <si>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</si>
  <si>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</si>
  <si>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</si>
  <si>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</si>
  <si>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</si>
  <si>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</si>
  <si>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</si>
  <si>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</si>
  <si>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</si>
  <si>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</si>
  <si>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</si>
  <si>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</si>
  <si>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</si>
  <si>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</si>
  <si>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</si>
  <si>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</si>
  <si>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 xml:space="preserve">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</si>
  <si>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</si>
  <si>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</si>
  <si>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</si>
  <si>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 xml:space="preserve">How many  infants 0 - 12 months have  Positive HIV PCR  results received as documented in the Child Follow up register?</t>
  </si>
  <si>
    <t xml:space="preserve">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</si>
  <si>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</si>
  <si>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</si>
  <si>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</si>
  <si>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</si>
  <si>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</si>
  <si>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</si>
  <si>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</si>
  <si>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</si>
  <si>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</si>
  <si>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</si>
  <si>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</si>
  <si>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</si>
  <si>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</si>
  <si>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</si>
  <si>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</si>
  <si>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</si>
  <si>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</si>
  <si>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</si>
  <si>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</si>
  <si>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</si>
  <si>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</si>
  <si>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</si>
  <si>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</si>
  <si>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</si>
  <si>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</si>
  <si>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</si>
  <si>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</si>
  <si>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</si>
  <si>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</si>
  <si>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</si>
  <si>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</si>
  <si>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</si>
  <si>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</si>
  <si>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</si>
  <si>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</si>
  <si>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</si>
  <si>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</si>
  <si>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</si>
  <si>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</si>
  <si>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</si>
  <si>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</si>
  <si>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</si>
  <si>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</si>
  <si>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</si>
  <si>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</si>
  <si>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 xml:space="preserve">Number of patient number randomly selected  (Based on Number of patients reported on RADET</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</si>
  <si>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</si>
  <si>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</si>
  <si>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</si>
  <si>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</si>
  <si>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</si>
  <si>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 xml:space="preserve">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</si>
  <si>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</si>
  <si>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</si>
  <si>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</si>
  <si>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</si>
  <si>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</si>
  <si>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</si>
  <si>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</si>
  <si>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</si>
  <si>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</si>
  <si>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</si>
  <si>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</si>
  <si>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</si>
  <si>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</si>
  <si>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</si>
  <si>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</si>
  <si>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</si>
  <si>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</si>
  <si>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</si>
  <si>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</si>
  <si>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</si>
  <si>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</si>
  <si>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</si>
  <si>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</si>
  <si>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</si>
  <si>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</si>
  <si>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</si>
  <si>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</si>
  <si>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</si>
  <si>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</si>
  <si>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</si>
  <si>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</si>
  <si>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</si>
  <si>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</si>
  <si>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</si>
  <si>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</si>
  <si>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</si>
  <si>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</si>
  <si>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</si>
  <si>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</si>
  <si>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</si>
  <si>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</si>
  <si>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</si>
  <si>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</si>
  <si>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</si>
  <si>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</si>
  <si>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</si>
  <si>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</si>
  <si>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</si>
  <si>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</si>
  <si>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</si>
  <si>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</si>
  <si>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</si>
  <si>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</si>
  <si>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</si>
  <si>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</si>
  <si>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</si>
  <si>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</si>
  <si>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</si>
  <si>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</si>
  <si>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</si>
  <si>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</si>
  <si>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</si>
  <si>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</si>
  <si>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</si>
  <si>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</si>
  <si>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</si>
  <si>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</si>
  <si>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</si>
  <si>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</si>
  <si>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</si>
  <si>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</si>
  <si>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</si>
  <si>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</si>
  <si>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</si>
  <si>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</si>
  <si>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</si>
  <si>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</si>
  <si>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</si>
  <si>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</si>
  <si>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</si>
  <si>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</si>
  <si>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</si>
  <si>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</si>
  <si>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</si>
  <si>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</si>
  <si>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</si>
  <si>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</si>
  <si>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</si>
  <si>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</si>
  <si>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</si>
  <si>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</si>
  <si>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</si>
  <si>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</si>
  <si>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</si>
  <si>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</si>
  <si>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</si>
  <si>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</si>
  <si>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</si>
  <si>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</si>
  <si>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</si>
  <si>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</si>
  <si>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</si>
  <si>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</si>
  <si>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</si>
  <si>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</si>
  <si>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</si>
  <si>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</si>
  <si>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</si>
  <si>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</si>
  <si>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</si>
  <si>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</si>
  <si>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</si>
  <si>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</si>
  <si>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</si>
  <si>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</si>
  <si>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</si>
  <si>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</si>
  <si>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</si>
  <si>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</si>
  <si>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</si>
  <si>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</si>
  <si>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</si>
  <si>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</si>
  <si>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</si>
  <si>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</si>
  <si>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</si>
  <si>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</si>
  <si>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</si>
  <si>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</si>
  <si>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</si>
  <si>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</si>
  <si>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</si>
  <si>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</si>
  <si>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</si>
  <si>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</si>
  <si>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Osun</t>
  </si>
  <si>
    <t>na Toto</t>
  </si>
  <si>
    <t xml:space="preserve">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</si>
  <si>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</si>
  <si>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</si>
  <si>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</si>
  <si>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</si>
  <si>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</si>
  <si>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</si>
  <si>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</si>
  <si>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</si>
  <si>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</si>
  <si>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</si>
  <si>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</si>
  <si>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</si>
  <si>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</si>
  <si>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</si>
  <si>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</si>
  <si>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</si>
  <si>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</si>
  <si>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</si>
  <si>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</si>
  <si>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</si>
  <si>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</si>
  <si>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</si>
  <si>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</si>
  <si>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</si>
  <si>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</si>
  <si>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</si>
  <si>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</si>
  <si>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</si>
  <si>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</si>
  <si>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</si>
  <si>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</si>
  <si>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</si>
  <si>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</si>
  <si>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</si>
  <si>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</si>
  <si>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</si>
  <si>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</si>
  <si>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</si>
  <si>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</si>
  <si>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</si>
  <si>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</si>
  <si>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</si>
  <si>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</si>
  <si>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</si>
  <si>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</si>
  <si>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</si>
  <si>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</si>
  <si>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</si>
  <si>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</si>
  <si>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</si>
  <si>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</si>
  <si>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</si>
  <si>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</si>
  <si>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</si>
  <si>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</si>
  <si>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</si>
  <si>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</si>
  <si>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</si>
  <si>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</si>
  <si>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</si>
  <si>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</si>
  <si>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</si>
  <si>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</si>
  <si>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</si>
  <si>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</si>
  <si>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</si>
  <si>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</si>
  <si>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</si>
  <si>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</si>
  <si>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</si>
  <si>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</si>
  <si>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</si>
  <si>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</si>
  <si>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</si>
  <si>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</si>
  <si>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</si>
  <si>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</si>
  <si>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</si>
  <si>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</si>
  <si>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</si>
  <si>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</si>
  <si>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</si>
  <si>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</si>
  <si>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</si>
  <si>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</si>
  <si>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</si>
  <si>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</si>
  <si>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</si>
  <si>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</si>
  <si>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</si>
  <si>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</si>
  <si>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</si>
  <si>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</si>
  <si>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</si>
  <si>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</si>
  <si>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</si>
  <si>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</si>
  <si>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</si>
  <si>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</si>
  <si>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</si>
  <si>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</si>
  <si>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</si>
  <si>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</si>
  <si>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</si>
  <si>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</si>
  <si>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</si>
  <si>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</si>
  <si>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</si>
  <si>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</si>
  <si>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</si>
  <si>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</si>
  <si>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</si>
  <si>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</si>
  <si>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</si>
  <si>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</si>
  <si>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</si>
  <si>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</si>
  <si>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</si>
  <si>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</si>
  <si>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</si>
  <si>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</si>
  <si>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</si>
  <si>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</si>
  <si>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</si>
  <si>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</si>
  <si>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</si>
  <si>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</si>
  <si>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</si>
  <si>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</si>
  <si>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</si>
  <si>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</si>
  <si>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</si>
  <si>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</si>
  <si>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</si>
  <si>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</si>
  <si>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</si>
  <si>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</si>
  <si>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</si>
  <si>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</si>
  <si>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</si>
  <si>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</si>
  <si>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 xml:space="preserve">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</si>
  <si>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</si>
  <si>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</si>
  <si>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</si>
  <si>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</si>
  <si>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</si>
  <si>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</si>
  <si>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</si>
  <si>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</si>
  <si>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</si>
  <si>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</si>
  <si>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</si>
  <si>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</si>
  <si>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</si>
  <si>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</si>
  <si>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</si>
  <si>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</si>
  <si>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</si>
  <si>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</si>
  <si>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</si>
  <si>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</si>
  <si>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</si>
  <si>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</si>
  <si>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</si>
  <si>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</si>
  <si>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</si>
  <si>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</si>
  <si>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</si>
  <si>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</si>
  <si>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</si>
  <si>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</si>
  <si>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</si>
  <si>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</si>
  <si>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</si>
  <si>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</si>
  <si>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</si>
  <si>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</si>
  <si>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</si>
  <si>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</si>
  <si>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</si>
  <si>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</si>
  <si>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</si>
  <si>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</si>
  <si>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</si>
  <si>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</si>
  <si>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</si>
  <si>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</si>
  <si>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</si>
  <si>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</si>
  <si>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</si>
  <si>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</si>
  <si>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</si>
  <si>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</si>
  <si>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</si>
  <si>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</si>
  <si>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</si>
  <si>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</si>
  <si>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</si>
  <si>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</si>
  <si>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</si>
  <si>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</si>
  <si>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</si>
  <si>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</si>
  <si>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</si>
  <si>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</si>
  <si>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</si>
  <si>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</si>
  <si>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</si>
  <si>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</si>
  <si>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</si>
  <si>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</si>
  <si>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</si>
  <si>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</si>
  <si>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</si>
  <si>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</si>
  <si>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</si>
  <si>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</si>
  <si>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</si>
  <si>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</si>
  <si>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</si>
  <si>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</si>
  <si>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</si>
  <si>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</si>
  <si>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</si>
  <si>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</si>
  <si>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</si>
  <si>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</si>
  <si>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</si>
  <si>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</si>
  <si>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</si>
  <si>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</si>
  <si>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</si>
  <si>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</si>
  <si>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</si>
  <si>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</si>
  <si>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</si>
  <si>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</si>
  <si>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</si>
  <si>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</si>
  <si>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</si>
  <si>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</si>
  <si>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</si>
  <si>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</si>
  <si>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</si>
  <si>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</si>
  <si>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</si>
  <si>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</si>
  <si>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</si>
  <si>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</si>
  <si>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</si>
  <si>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</si>
  <si>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</si>
  <si>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</si>
  <si>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</si>
  <si>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</si>
  <si>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</si>
  <si>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</si>
  <si>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</si>
  <si>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</si>
  <si>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</si>
  <si>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</si>
  <si>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</si>
  <si>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</si>
  <si>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</si>
  <si>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</si>
  <si>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</si>
  <si>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</si>
  <si>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</si>
  <si>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</si>
  <si>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</si>
  <si>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</si>
  <si>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</si>
  <si>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</si>
  <si>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</si>
  <si>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</si>
  <si>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</si>
  <si>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</si>
  <si>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</si>
  <si>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</si>
  <si>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</si>
  <si>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</si>
  <si>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</si>
  <si>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</si>
  <si>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</si>
  <si>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</si>
  <si>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</si>
  <si>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</si>
  <si>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</si>
  <si>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</si>
  <si>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</si>
  <si>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</si>
  <si>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</si>
  <si>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</si>
  <si>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</si>
  <si>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</si>
  <si>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</si>
  <si>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</si>
  <si>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</si>
  <si>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</si>
  <si>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</si>
  <si>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</si>
  <si>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</si>
  <si>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</si>
  <si>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</si>
  <si>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</si>
  <si>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</si>
  <si>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</si>
  <si>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</si>
  <si>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</si>
  <si>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</si>
  <si>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</si>
  <si>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</si>
  <si>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</si>
  <si>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</si>
  <si>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</si>
  <si>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</si>
  <si>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</si>
  <si>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</si>
  <si>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</si>
  <si>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</si>
  <si>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</si>
  <si>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</si>
  <si>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</si>
  <si>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</si>
  <si>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</si>
  <si>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</si>
  <si>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</si>
  <si>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</si>
  <si>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</si>
  <si>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</si>
  <si>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</si>
  <si>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</si>
  <si>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</si>
  <si>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</si>
  <si>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</si>
  <si>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</si>
  <si>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</si>
  <si>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</si>
  <si>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</si>
  <si>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</si>
  <si>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</si>
  <si>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</si>
  <si>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</si>
  <si>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</si>
  <si>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</si>
  <si>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</si>
  <si>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</si>
  <si>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</si>
  <si>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</si>
  <si>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 xml:space="preserve">Agudu  Comprehensive Health Center</t>
  </si>
  <si>
    <t>izJLP4ub40D</t>
  </si>
  <si>
    <t>ko Ofu</t>
  </si>
  <si>
    <t>Akase Buruku Medical Centre Gungul</t>
  </si>
  <si>
    <t>S0KHKAONgri</t>
  </si>
  <si>
    <t>ko Okehi</t>
  </si>
  <si>
    <t xml:space="preserve">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</si>
  <si>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</si>
  <si>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</si>
  <si>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</si>
  <si>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</si>
  <si>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</si>
  <si>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</si>
  <si>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</si>
  <si>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</si>
  <si>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</si>
  <si>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</si>
  <si>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</si>
  <si>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</si>
  <si>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</si>
  <si>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</si>
  <si>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</si>
  <si>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</si>
  <si>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</si>
  <si>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</si>
  <si>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</si>
  <si>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</si>
  <si>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</si>
  <si>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</si>
  <si>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</si>
  <si>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</si>
  <si>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</si>
  <si>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</si>
  <si>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</si>
  <si>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</si>
  <si>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</si>
  <si>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</si>
  <si>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</si>
  <si>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</si>
  <si>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</si>
  <si>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</si>
  <si>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</si>
  <si>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</si>
  <si>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</si>
  <si>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</si>
  <si>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</si>
  <si>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</si>
  <si>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</si>
  <si>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</si>
  <si>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</si>
  <si>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</si>
  <si>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</si>
  <si>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</si>
  <si>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</si>
  <si>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</si>
  <si>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</si>
  <si>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</si>
  <si>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</si>
  <si>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</si>
  <si>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</si>
  <si>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</si>
  <si>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</si>
  <si>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</si>
  <si>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</si>
  <si>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</si>
  <si>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</si>
  <si>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</si>
  <si>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</si>
  <si>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</si>
  <si>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</si>
  <si>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</si>
  <si>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</si>
  <si>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</si>
  <si>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</si>
  <si>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</si>
  <si>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</si>
  <si>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</si>
  <si>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</si>
  <si>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</si>
  <si>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</si>
  <si>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</si>
  <si>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</si>
  <si>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</si>
  <si>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</si>
  <si>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</si>
  <si>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</si>
  <si>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</si>
  <si>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</si>
  <si>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</si>
  <si>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</si>
  <si>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</si>
  <si>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</si>
  <si>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</si>
  <si>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</si>
  <si>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</si>
  <si>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 xml:space="preserve">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</si>
  <si>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</si>
  <si>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</si>
  <si>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</si>
  <si>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</si>
  <si>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</si>
  <si>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</si>
  <si>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</si>
  <si>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</si>
  <si>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</si>
  <si>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</si>
  <si>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</si>
  <si>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</si>
  <si>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</si>
  <si>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</si>
  <si>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</si>
  <si>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</si>
  <si>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</si>
  <si>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</si>
  <si>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</si>
  <si>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</si>
  <si>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</si>
  <si>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</si>
  <si>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</si>
  <si>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</si>
  <si>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</si>
  <si>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</si>
  <si>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</si>
  <si>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</si>
  <si>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</si>
  <si>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</si>
  <si>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</si>
  <si>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</si>
  <si>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</si>
  <si>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</si>
  <si>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</si>
  <si>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</si>
  <si>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</si>
  <si>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</si>
  <si>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</si>
  <si>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</si>
  <si>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</si>
  <si>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</si>
  <si>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</si>
  <si>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</si>
  <si>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</si>
  <si>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</si>
  <si>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</si>
  <si>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</si>
  <si>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</si>
  <si>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</si>
  <si>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</si>
  <si>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</si>
  <si>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</si>
  <si>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</si>
  <si>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</si>
  <si>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</si>
  <si>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</si>
  <si>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</si>
  <si>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</si>
  <si>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</si>
  <si>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</si>
  <si>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</si>
  <si>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</si>
  <si>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</si>
  <si>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</si>
  <si>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</si>
  <si>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</si>
  <si>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</si>
  <si>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</si>
  <si>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</si>
  <si>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</si>
  <si>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</si>
  <si>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</si>
  <si>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</si>
  <si>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</si>
  <si>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</si>
  <si>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</si>
  <si>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</si>
  <si>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</si>
  <si>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</si>
  <si>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</si>
  <si>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</si>
  <si>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</si>
  <si>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</si>
  <si>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</si>
  <si>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</si>
  <si>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</si>
  <si>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</si>
  <si>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</si>
  <si>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</si>
  <si>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</si>
  <si>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</si>
  <si>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</si>
  <si>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</si>
  <si>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</si>
  <si>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</si>
  <si>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</si>
  <si>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</si>
  <si>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</si>
  <si>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</si>
  <si>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</si>
  <si>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</si>
  <si>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</si>
  <si>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</si>
  <si>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</si>
  <si>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</si>
  <si>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</si>
  <si>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</si>
  <si>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</si>
  <si>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</si>
  <si>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</si>
  <si>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</si>
  <si>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</si>
  <si>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</si>
  <si>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</si>
  <si>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</si>
  <si>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</si>
  <si>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</si>
  <si>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</si>
  <si>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</si>
  <si>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</si>
  <si>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</si>
  <si>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</si>
  <si>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</si>
  <si>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</si>
  <si>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</si>
  <si>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</si>
  <si>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</si>
  <si>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</si>
  <si>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</si>
  <si>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</si>
  <si>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</si>
  <si>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</si>
  <si>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</si>
  <si>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</si>
  <si>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</si>
  <si>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</si>
  <si>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</si>
  <si>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</si>
  <si>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</si>
  <si>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</si>
  <si>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</si>
  <si>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</si>
  <si>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</si>
  <si>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</si>
  <si>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</si>
  <si>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</si>
  <si>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</si>
  <si>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</si>
  <si>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</si>
  <si>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</si>
  <si>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</si>
  <si>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</si>
  <si>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</si>
  <si>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</si>
  <si>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</si>
  <si>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</si>
  <si>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</si>
  <si>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</si>
  <si>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</si>
  <si>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</si>
  <si>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</si>
  <si>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</si>
  <si>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</si>
  <si>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</si>
  <si>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</si>
  <si>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</si>
  <si>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</si>
  <si>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</si>
  <si>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</si>
  <si>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</si>
  <si>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</si>
  <si>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</si>
  <si>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</si>
  <si>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</si>
  <si>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</si>
  <si>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</si>
  <si>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</si>
  <si>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</si>
  <si>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</si>
  <si>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</si>
  <si>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</si>
  <si>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</si>
  <si>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</si>
  <si>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</si>
  <si>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</si>
  <si>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</si>
  <si>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</si>
  <si>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</si>
  <si>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</si>
  <si>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</si>
  <si>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</si>
  <si>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</si>
  <si>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</si>
  <si>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</si>
  <si>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</si>
  <si>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</si>
  <si>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</si>
  <si>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</si>
  <si>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</si>
  <si>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</si>
  <si>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</si>
  <si>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</si>
  <si>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</si>
  <si>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</si>
  <si>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</si>
  <si>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</si>
  <si>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</si>
  <si>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</si>
  <si>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</si>
  <si>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</si>
  <si>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</si>
  <si>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</si>
  <si>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</si>
  <si>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</si>
  <si>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</si>
  <si>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</si>
  <si>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</si>
  <si>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</si>
  <si>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</si>
  <si>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</si>
  <si>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</si>
  <si>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</si>
  <si>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</si>
  <si>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</si>
  <si>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</si>
  <si>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</si>
  <si>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</si>
  <si>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</si>
  <si>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</si>
  <si>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</si>
  <si>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</si>
  <si>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</si>
  <si>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</si>
  <si>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</si>
  <si>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</si>
  <si>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</si>
  <si>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</si>
  <si>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</si>
  <si>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</si>
  <si>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</si>
  <si>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</si>
  <si>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</si>
  <si>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</si>
  <si>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</si>
  <si>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</si>
  <si>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</si>
  <si>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</si>
  <si>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</si>
  <si>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</si>
  <si>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</si>
  <si>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</si>
  <si>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</si>
  <si>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</si>
  <si>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</si>
  <si>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</si>
  <si>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</si>
  <si>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</si>
  <si>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</si>
  <si>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</si>
  <si>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</si>
  <si>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</si>
  <si>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</si>
  <si>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</si>
  <si>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</si>
  <si>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</si>
  <si>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</si>
  <si>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</si>
  <si>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</si>
  <si>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</si>
  <si>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</si>
  <si>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</si>
  <si>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</si>
  <si>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</si>
  <si>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</si>
  <si>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</si>
  <si>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</si>
  <si>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</si>
  <si>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</si>
  <si>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</si>
  <si>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</si>
  <si>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</si>
  <si>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</si>
  <si>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</si>
  <si>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</si>
  <si>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</si>
  <si>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</si>
  <si>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</si>
  <si>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</si>
  <si>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</si>
  <si>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</si>
  <si>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</si>
  <si>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</si>
  <si>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</si>
  <si>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</si>
  <si>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</si>
  <si>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</si>
  <si>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</si>
  <si>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</si>
  <si>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</si>
  <si>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</si>
  <si>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</si>
  <si>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</si>
  <si>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</si>
  <si>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</si>
  <si>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</si>
  <si>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</si>
  <si>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</si>
  <si>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</si>
  <si>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</si>
  <si>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</si>
  <si>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</si>
  <si>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</si>
  <si>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</si>
  <si>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</si>
  <si>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</si>
  <si>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</si>
  <si>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</si>
  <si>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</si>
  <si>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</si>
  <si>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</si>
  <si>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</si>
  <si>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</si>
  <si>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</si>
  <si>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</si>
  <si>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</si>
  <si>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</si>
  <si>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</si>
  <si>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</si>
  <si>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</si>
  <si>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</si>
  <si>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</si>
  <si>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</si>
  <si>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</si>
  <si>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</si>
  <si>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</si>
  <si>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</si>
  <si>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</si>
  <si>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</si>
  <si>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</si>
  <si>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</si>
  <si>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</si>
  <si>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</si>
  <si>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</si>
  <si>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</si>
  <si>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</si>
  <si>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</si>
  <si>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</si>
  <si>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</si>
  <si>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</si>
  <si>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</si>
  <si>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</si>
  <si>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</si>
  <si>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</si>
  <si>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</si>
  <si>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</si>
  <si>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</si>
  <si>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</si>
  <si>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</si>
  <si>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</si>
  <si>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</si>
  <si>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</si>
  <si>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</si>
  <si>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</si>
  <si>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</si>
  <si>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</si>
  <si>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</si>
  <si>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</si>
  <si>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</si>
  <si>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</si>
  <si>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</si>
  <si>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</si>
  <si>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</si>
  <si>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</si>
  <si>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</si>
  <si>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</si>
  <si>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</si>
  <si>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</si>
  <si>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</si>
  <si>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</si>
  <si>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</si>
  <si>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</si>
  <si>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</si>
  <si>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</si>
  <si>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</si>
  <si>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</si>
  <si>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</si>
  <si>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</si>
  <si>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</si>
  <si>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</si>
  <si>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</si>
  <si>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</si>
  <si>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</si>
  <si>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</si>
  <si>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</si>
  <si>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</si>
  <si>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</si>
  <si>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</si>
  <si>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</si>
  <si>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</si>
  <si>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</si>
  <si>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</si>
  <si>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</si>
  <si>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</si>
  <si>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</si>
  <si>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</si>
  <si>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</si>
  <si>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</si>
  <si>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</si>
  <si>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</si>
  <si>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</si>
  <si>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</si>
  <si>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</si>
  <si>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</si>
  <si>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</si>
  <si>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</si>
  <si>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</si>
  <si>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</si>
  <si>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</si>
  <si>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</si>
  <si>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</si>
  <si>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</si>
  <si>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</si>
  <si>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</si>
  <si>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</si>
  <si>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</si>
  <si>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</si>
  <si>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</si>
  <si>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</si>
  <si>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</si>
  <si>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</si>
  <si>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</si>
  <si>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</si>
  <si>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</si>
  <si>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</si>
  <si>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</si>
  <si>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</si>
  <si>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</si>
  <si>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</si>
  <si>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</si>
  <si>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</si>
  <si>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</si>
  <si>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</si>
  <si>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</si>
  <si>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</si>
  <si>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</si>
  <si>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</si>
  <si>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</si>
  <si>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</si>
  <si>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</si>
  <si>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</si>
  <si>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</si>
  <si>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</si>
  <si>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</si>
  <si>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</si>
  <si>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</si>
  <si>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</si>
  <si>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</si>
  <si>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</si>
  <si>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</si>
  <si>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</si>
  <si>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</si>
  <si>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</si>
  <si>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</si>
  <si>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</si>
  <si>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</si>
  <si>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</si>
  <si>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</si>
  <si>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</si>
  <si>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</si>
  <si>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</si>
  <si>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</si>
  <si>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</si>
  <si>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</si>
  <si>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</si>
  <si>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</si>
  <si>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</si>
  <si>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</si>
  <si>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</si>
  <si>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</si>
  <si>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</si>
  <si>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</si>
  <si>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</si>
  <si>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</si>
  <si>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</si>
  <si>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</si>
  <si>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</si>
  <si>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</si>
  <si>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</si>
  <si>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</si>
  <si>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</si>
  <si>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</si>
  <si>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</si>
  <si>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</si>
  <si>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</si>
  <si>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</si>
  <si>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</si>
  <si>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</si>
  <si>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</si>
  <si>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</si>
  <si>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</si>
  <si>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</si>
  <si>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</si>
  <si>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</si>
  <si>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</si>
  <si>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</si>
  <si>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</si>
  <si>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</si>
  <si>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</si>
  <si>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</si>
  <si>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</si>
  <si>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</si>
  <si>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</si>
  <si>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</si>
  <si>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</si>
  <si>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</si>
  <si>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</si>
  <si>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</si>
  <si>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</si>
  <si>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</si>
  <si>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</si>
  <si>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</si>
  <si>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</si>
  <si>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</si>
  <si>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</si>
  <si>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</si>
  <si>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</si>
  <si>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</si>
  <si>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</si>
  <si>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</si>
  <si>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</si>
  <si>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</si>
  <si>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</si>
  <si>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</si>
  <si>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</si>
  <si>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</si>
  <si>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</si>
  <si>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</si>
  <si>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</si>
  <si>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</si>
  <si>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</si>
  <si>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</si>
  <si>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</si>
  <si>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</si>
  <si>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</si>
  <si>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</si>
  <si>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</si>
  <si>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</si>
  <si>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</si>
  <si>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</si>
  <si>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</si>
  <si>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</si>
  <si>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</si>
  <si>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</si>
  <si>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</si>
  <si>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</si>
  <si>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</si>
  <si>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</si>
  <si>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</si>
  <si>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</si>
  <si>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</si>
  <si>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</si>
  <si>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</si>
  <si>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</si>
  <si>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</si>
  <si>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</si>
  <si>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</si>
  <si>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</si>
  <si>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</si>
  <si>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</si>
  <si>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</si>
  <si>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</si>
  <si>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</si>
  <si>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</si>
  <si>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</si>
  <si>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</si>
  <si>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</si>
  <si>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</si>
  <si>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</si>
  <si>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</si>
  <si>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</si>
  <si>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</si>
  <si>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</si>
  <si>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</si>
  <si>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</si>
  <si>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</si>
  <si>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</si>
  <si>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</si>
  <si>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</si>
  <si>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</si>
  <si>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</si>
  <si>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</si>
  <si>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</si>
  <si>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</si>
  <si>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</si>
  <si>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</si>
  <si>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</si>
  <si>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</si>
  <si>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</si>
  <si>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</si>
  <si>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</si>
  <si>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</si>
  <si>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</si>
  <si>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</si>
  <si>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</si>
  <si>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</si>
  <si>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</si>
  <si>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</si>
  <si>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</si>
  <si>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</si>
  <si>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</si>
  <si>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</si>
  <si>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</si>
  <si>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</si>
  <si>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</si>
  <si>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</si>
  <si>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</si>
  <si>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</si>
  <si>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</si>
  <si>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</si>
  <si>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</si>
  <si>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</si>
  <si>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</si>
  <si>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</si>
  <si>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</si>
  <si>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</si>
  <si>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</si>
  <si>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</si>
  <si>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</si>
  <si>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</si>
  <si>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</si>
  <si>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</si>
  <si>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</si>
  <si>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</si>
  <si>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</si>
  <si>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</si>
  <si>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</si>
  <si>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</si>
  <si>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</si>
  <si>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</si>
  <si>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</si>
  <si>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</si>
  <si>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</si>
  <si>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</si>
  <si>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</si>
  <si>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</si>
  <si>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</si>
  <si>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</si>
  <si>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</si>
  <si>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</si>
  <si>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</si>
  <si>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</si>
  <si>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</si>
  <si>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</si>
  <si>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</si>
  <si>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</si>
  <si>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</si>
  <si>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</si>
  <si>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</si>
  <si>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</si>
  <si>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</si>
  <si>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</si>
  <si>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</si>
  <si>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</si>
  <si>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</si>
  <si>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</si>
  <si>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</si>
  <si>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</si>
  <si>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</si>
  <si>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</si>
  <si>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</si>
  <si>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</si>
  <si>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</si>
  <si>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</si>
  <si>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</si>
  <si>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</si>
  <si>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</si>
  <si>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</si>
  <si>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</si>
  <si>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</si>
  <si>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</si>
  <si>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</si>
  <si>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</si>
  <si>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</si>
  <si>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</si>
  <si>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</si>
  <si>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</si>
  <si>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</si>
  <si>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</si>
  <si>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</si>
  <si>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</si>
  <si>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</si>
  <si>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</si>
  <si>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</si>
  <si>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</si>
  <si>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</si>
  <si>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</si>
  <si>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</si>
  <si>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</si>
  <si>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</si>
  <si>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</si>
  <si>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</si>
  <si>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</si>
  <si>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</si>
  <si>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</si>
  <si>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</si>
  <si>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</si>
  <si>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</si>
  <si>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</si>
  <si>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</si>
  <si>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</si>
  <si>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</si>
  <si>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</si>
  <si>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</si>
  <si>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</si>
  <si>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</si>
  <si>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</si>
  <si>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</si>
  <si>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</si>
  <si>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</si>
  <si>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</si>
  <si>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</si>
  <si>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</si>
  <si>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</si>
  <si>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</si>
  <si>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</si>
  <si>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</si>
  <si>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</si>
  <si>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</si>
  <si>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</si>
  <si>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</si>
  <si>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</si>
  <si>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</si>
  <si>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</si>
  <si>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</si>
  <si>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</si>
  <si>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</si>
  <si>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</si>
  <si>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</si>
  <si>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</si>
  <si>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</si>
  <si>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</si>
  <si>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</si>
  <si>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</si>
  <si>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</si>
  <si>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</si>
  <si>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</si>
  <si>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</si>
  <si>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</si>
  <si>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</si>
  <si>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</si>
  <si>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</si>
  <si>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</si>
  <si>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</si>
  <si>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</si>
  <si>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</si>
  <si>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</si>
  <si>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</si>
  <si>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</si>
  <si>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</si>
  <si>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</si>
  <si>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</si>
  <si>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</si>
  <si>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</si>
  <si>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</si>
  <si>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</si>
  <si>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</si>
  <si>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</si>
  <si>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</si>
  <si>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</si>
  <si>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</si>
  <si>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</si>
  <si>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</si>
  <si>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</si>
  <si>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</si>
  <si>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</si>
  <si>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</si>
  <si>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</si>
  <si>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</si>
  <si>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</si>
  <si>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</si>
  <si>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</si>
  <si>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</si>
  <si>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</si>
  <si>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</si>
  <si>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</si>
  <si>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</si>
  <si>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</si>
  <si>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</si>
  <si>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</si>
  <si>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</si>
  <si>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</si>
  <si>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</si>
  <si>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</si>
  <si>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</si>
  <si>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</si>
  <si>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</si>
  <si>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</si>
  <si>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</si>
  <si>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</si>
  <si>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</si>
  <si>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</si>
  <si>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</si>
  <si>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</si>
  <si>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</si>
  <si>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</si>
  <si>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</si>
  <si>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</si>
  <si>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</si>
  <si>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</si>
  <si>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</si>
  <si>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</si>
  <si>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</si>
  <si>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</si>
  <si>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</si>
  <si>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</si>
  <si>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</si>
  <si>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</si>
  <si>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</si>
  <si>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</si>
  <si>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</si>
  <si>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</si>
  <si>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</si>
  <si>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</si>
  <si>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</si>
  <si>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</si>
  <si>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</si>
  <si>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</si>
  <si>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</si>
  <si>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</si>
  <si>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</si>
  <si>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</si>
  <si>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</si>
  <si>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</si>
  <si>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</si>
  <si>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</si>
  <si>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</si>
  <si>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</si>
  <si>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</si>
  <si>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</si>
  <si>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</si>
  <si>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</si>
  <si>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</si>
  <si>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</si>
  <si>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</si>
  <si>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</si>
  <si>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</si>
  <si>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</si>
  <si>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</si>
  <si>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</si>
  <si>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</si>
  <si>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</si>
  <si>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</si>
  <si>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</si>
  <si>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</si>
  <si>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</si>
  <si>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</si>
  <si>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</si>
  <si>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</si>
  <si>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</si>
  <si>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</si>
  <si>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</si>
  <si>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</si>
  <si>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</si>
  <si>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</si>
  <si>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</si>
  <si>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</si>
  <si>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</si>
  <si>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</si>
  <si>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</si>
  <si>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</si>
  <si>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</si>
  <si>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</si>
  <si>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</si>
  <si>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</si>
  <si>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</si>
  <si>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</si>
  <si>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</si>
  <si>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</si>
  <si>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</si>
  <si>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</si>
  <si>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</si>
  <si>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</si>
  <si>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</si>
  <si>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</si>
  <si>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</si>
  <si>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</si>
  <si>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</si>
  <si>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</si>
  <si>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</si>
  <si>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</si>
  <si>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</si>
  <si>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</si>
  <si>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</si>
  <si>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</si>
  <si>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</si>
  <si>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</si>
  <si>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</si>
  <si>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</si>
  <si>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</si>
  <si>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</si>
  <si>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</si>
  <si>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</si>
  <si>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</si>
  <si>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</si>
  <si>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</si>
  <si>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</si>
  <si>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</si>
  <si>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</si>
  <si>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</si>
  <si>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</si>
  <si>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</si>
  <si>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</si>
  <si>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</si>
  <si>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</si>
  <si>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</si>
  <si>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</si>
  <si>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</si>
  <si>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</si>
  <si>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</si>
  <si>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</si>
  <si>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</si>
  <si>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</si>
  <si>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</si>
  <si>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</si>
  <si>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</si>
  <si>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</si>
  <si>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</si>
  <si>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</si>
  <si>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</si>
  <si>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</si>
  <si>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</si>
  <si>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</si>
  <si>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</si>
  <si>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</si>
  <si>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</si>
  <si>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</si>
  <si>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</si>
  <si>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</si>
  <si>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</si>
  <si>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</si>
  <si>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</si>
  <si>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</si>
  <si>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</si>
  <si>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</si>
  <si>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</si>
  <si>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</si>
  <si>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</si>
  <si>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</si>
  <si>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</si>
  <si>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</si>
  <si>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</si>
  <si>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</si>
  <si>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</si>
  <si>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</si>
  <si>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</si>
  <si>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</si>
  <si>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</si>
  <si>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</si>
  <si>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</si>
  <si>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</si>
  <si>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</si>
  <si>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</si>
  <si>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</si>
  <si>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</si>
  <si>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</si>
  <si>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</si>
  <si>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</si>
  <si>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</si>
  <si>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</si>
  <si>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</si>
  <si>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</si>
  <si>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</si>
  <si>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</si>
  <si>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</si>
  <si>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</si>
  <si>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</si>
  <si>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</si>
  <si>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</si>
  <si>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</si>
  <si>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</si>
  <si>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</si>
  <si>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</si>
  <si>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</si>
  <si>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</si>
  <si>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</si>
  <si>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</si>
  <si>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</si>
  <si>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</si>
  <si>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</si>
  <si>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</si>
  <si>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</si>
  <si>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</si>
  <si>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</si>
  <si>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</si>
  <si>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</si>
  <si>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</si>
  <si>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</si>
  <si>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</si>
  <si>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</si>
  <si>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</si>
  <si>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</si>
  <si>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</si>
  <si>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</si>
  <si>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</si>
  <si>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</si>
  <si>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</si>
  <si>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</si>
  <si>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</si>
  <si>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</si>
  <si>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</si>
  <si>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</si>
  <si>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</si>
  <si>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</si>
  <si>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</si>
  <si>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</si>
  <si>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</si>
  <si>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</si>
  <si>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</si>
  <si>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</si>
  <si>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</si>
  <si>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</si>
  <si>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</si>
  <si>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</si>
  <si>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</si>
  <si>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</si>
  <si>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</si>
  <si>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</si>
  <si>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</si>
  <si>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</si>
  <si>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</si>
  <si>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</si>
  <si>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</si>
  <si>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</si>
  <si>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</si>
  <si>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</si>
  <si>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</si>
  <si>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</si>
  <si>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</si>
  <si>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</si>
  <si>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</si>
  <si>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</si>
  <si>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</si>
  <si>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</si>
  <si>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</si>
  <si>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</si>
  <si>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</si>
  <si>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</si>
  <si>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</si>
  <si>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</si>
  <si>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</si>
  <si>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</si>
  <si>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</si>
  <si>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</si>
  <si>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</si>
  <si>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</si>
  <si>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</si>
  <si>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</si>
  <si>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</si>
  <si>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</si>
  <si>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</si>
  <si>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</si>
  <si>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</si>
  <si>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</si>
  <si>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</si>
  <si>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</si>
  <si>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</si>
  <si>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</si>
  <si>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</si>
  <si>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</si>
  <si>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</si>
  <si>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</si>
  <si>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</si>
  <si>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</si>
  <si>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</si>
  <si>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</si>
  <si>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</si>
  <si>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</si>
  <si>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</si>
  <si>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</si>
  <si>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</si>
  <si>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</si>
  <si>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</si>
  <si>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</si>
  <si>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</si>
  <si>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</si>
  <si>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</si>
  <si>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</si>
  <si>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</si>
  <si>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</si>
  <si>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</si>
  <si>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</si>
  <si>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</si>
  <si>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</si>
  <si>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</si>
  <si>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</si>
  <si>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</si>
  <si>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</si>
  <si>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</si>
  <si>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</si>
  <si>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</si>
  <si>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</si>
  <si>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</si>
  <si>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</si>
  <si>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</si>
  <si>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</si>
  <si>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</si>
  <si>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</si>
  <si>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</si>
  <si>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</si>
  <si>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</si>
  <si>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</si>
  <si>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</si>
  <si>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</si>
  <si>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</si>
  <si>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</si>
  <si>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</si>
  <si>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</si>
  <si>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</si>
  <si>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</si>
  <si>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</si>
  <si>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</si>
  <si>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</si>
  <si>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</si>
  <si>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</si>
  <si>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</si>
  <si>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</si>
  <si>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</si>
  <si>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</si>
  <si>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</si>
  <si>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</si>
  <si>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</si>
  <si>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</si>
  <si>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</si>
  <si>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</si>
  <si>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</si>
  <si>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</si>
  <si>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</si>
  <si>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</si>
  <si>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</si>
  <si>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</si>
  <si>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</si>
  <si>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</si>
  <si>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</si>
  <si>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</si>
  <si>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</si>
  <si>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</si>
  <si>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</si>
  <si>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</si>
  <si>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</si>
  <si>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</si>
  <si>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</si>
  <si>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</si>
  <si>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</si>
  <si>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</si>
  <si>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</si>
  <si>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</si>
  <si>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</si>
  <si>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</si>
  <si>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</si>
  <si>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</si>
  <si>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</si>
  <si>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</si>
  <si>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</si>
  <si>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</si>
  <si>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</si>
  <si>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</si>
  <si>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</si>
  <si>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</si>
  <si>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</si>
  <si>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</si>
  <si>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</si>
  <si>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</si>
  <si>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</si>
  <si>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</si>
  <si>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</si>
  <si>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</si>
  <si>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</si>
  <si>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</si>
  <si>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</si>
  <si>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</si>
  <si>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</si>
  <si>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</si>
  <si>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</si>
  <si>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</si>
  <si>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</si>
  <si>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</si>
  <si>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</si>
  <si>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</si>
  <si>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</si>
  <si>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</si>
  <si>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</si>
  <si>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</si>
  <si>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</si>
  <si>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</si>
  <si>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</si>
  <si>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</si>
  <si>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</si>
  <si>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</si>
  <si>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</si>
  <si>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</si>
  <si>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</si>
  <si>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</si>
  <si>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</si>
  <si>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</si>
  <si>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</si>
  <si>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</si>
  <si>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</si>
  <si>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</si>
  <si>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</si>
  <si>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</si>
  <si>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</si>
  <si>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</si>
  <si>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</si>
  <si>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</si>
  <si>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</si>
  <si>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</si>
  <si>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</si>
  <si>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</si>
  <si>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</si>
  <si>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</si>
  <si>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</si>
  <si>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</si>
  <si>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</si>
  <si>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</si>
  <si>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</si>
  <si>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</si>
  <si>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</si>
  <si>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</si>
  <si>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</si>
  <si>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</si>
  <si>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</si>
  <si>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</si>
  <si>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</si>
  <si>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</si>
  <si>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</si>
  <si>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</si>
  <si>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</si>
  <si>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</si>
  <si>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</si>
  <si>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</si>
  <si>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</si>
  <si>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</si>
  <si>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</si>
  <si>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</si>
  <si>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</si>
  <si>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</si>
  <si>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</si>
  <si>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</si>
  <si>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</si>
  <si>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</si>
  <si>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</si>
  <si>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</si>
  <si>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</si>
  <si>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</si>
  <si>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</si>
  <si>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</si>
  <si>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</si>
  <si>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</si>
  <si>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</si>
  <si>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</si>
  <si>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</si>
  <si>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</si>
  <si>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</si>
  <si>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</si>
  <si>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</si>
  <si>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</si>
  <si>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</si>
  <si>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</si>
  <si>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</si>
  <si>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</si>
  <si>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</si>
  <si>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</si>
  <si>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</si>
  <si>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</si>
  <si>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</si>
  <si>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</si>
  <si>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</si>
  <si>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</si>
  <si>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</si>
  <si>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</si>
  <si>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</si>
  <si>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</si>
  <si>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</si>
  <si>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</si>
  <si>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</si>
  <si>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</si>
  <si>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</si>
  <si>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</si>
  <si>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</si>
  <si>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</si>
  <si>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</si>
  <si>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</si>
  <si>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</si>
  <si>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</si>
  <si>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</si>
  <si>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</si>
  <si>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</si>
  <si>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</si>
  <si>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</si>
  <si>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</si>
  <si>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</si>
  <si>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</si>
  <si>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</si>
  <si>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</si>
  <si>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</si>
  <si>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</si>
  <si>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</si>
  <si>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</si>
  <si>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</si>
  <si>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</si>
  <si>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</si>
  <si>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</si>
  <si>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</si>
  <si>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</si>
  <si>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</si>
  <si>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</si>
  <si>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</si>
  <si>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</si>
  <si>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</si>
  <si>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</si>
  <si>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</si>
  <si>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</si>
  <si>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</si>
  <si>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</si>
  <si>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</si>
  <si>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</si>
  <si>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</si>
  <si>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</si>
  <si>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</si>
  <si>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</si>
  <si>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</si>
  <si>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</si>
  <si>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</si>
  <si>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</si>
  <si>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</si>
  <si>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</si>
  <si>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</si>
  <si>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</si>
  <si>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</si>
  <si>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</si>
  <si>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</si>
  <si>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</si>
  <si>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</si>
  <si>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</si>
  <si>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</si>
  <si>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</si>
  <si>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</si>
  <si>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</si>
  <si>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</si>
  <si>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</si>
  <si>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</si>
  <si>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</si>
  <si>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</si>
  <si>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</si>
  <si>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</si>
  <si>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</si>
  <si>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</si>
  <si>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</si>
  <si>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</si>
  <si>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</si>
  <si>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</si>
  <si>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</si>
  <si>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</si>
  <si>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</si>
  <si>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</si>
  <si>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</si>
  <si>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</si>
  <si>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</si>
  <si>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</si>
  <si>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</si>
  <si>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</si>
  <si>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</si>
  <si>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</si>
  <si>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</si>
  <si>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</si>
  <si>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</si>
  <si>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</si>
  <si>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</si>
  <si>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</si>
  <si>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</si>
  <si>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</si>
  <si>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</si>
  <si>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</si>
  <si>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</si>
  <si>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</si>
  <si>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</si>
  <si>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</si>
  <si>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</si>
  <si>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</si>
  <si>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</si>
  <si>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</si>
  <si>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</si>
  <si>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</si>
  <si>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</si>
  <si>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</si>
  <si>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</si>
  <si>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</si>
  <si>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</si>
  <si>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</si>
  <si>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</si>
  <si>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</si>
  <si>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</si>
  <si>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</si>
  <si>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</si>
  <si>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</si>
  <si>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</si>
  <si>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</si>
  <si>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</si>
  <si>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</si>
  <si>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</si>
  <si>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</si>
  <si>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</si>
  <si>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</si>
  <si>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</si>
  <si>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</si>
  <si>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</si>
  <si>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</si>
  <si>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</si>
  <si>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</si>
  <si>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</si>
  <si>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</si>
  <si>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</si>
  <si>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</si>
  <si>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</si>
  <si>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</si>
  <si>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</si>
  <si>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</si>
  <si>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</si>
  <si>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</si>
  <si>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</si>
  <si>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</si>
  <si>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</si>
  <si>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</si>
  <si>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</si>
  <si>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</si>
  <si>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</si>
  <si>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</si>
  <si>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</si>
  <si>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</si>
  <si>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</si>
  <si>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</si>
  <si>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</si>
  <si>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</si>
  <si>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</si>
  <si>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</si>
  <si>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</si>
  <si>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</si>
  <si>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</si>
  <si>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</si>
  <si>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</si>
  <si>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</si>
  <si>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</si>
  <si>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</si>
  <si>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</si>
  <si>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</si>
  <si>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</si>
  <si>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</si>
  <si>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</si>
  <si>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</si>
  <si>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</si>
  <si>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</si>
  <si>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</si>
  <si>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</si>
  <si>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</si>
  <si>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</si>
  <si>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</si>
  <si>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</si>
  <si>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</si>
  <si>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</si>
  <si>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</si>
  <si>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</si>
  <si>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</si>
  <si>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</si>
  <si>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</si>
  <si>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</si>
  <si>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</si>
  <si>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</si>
  <si>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</si>
  <si>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</si>
  <si>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</si>
  <si>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</si>
  <si>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</si>
  <si>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</si>
  <si>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</si>
  <si>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</si>
  <si>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</si>
  <si>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</si>
  <si>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</si>
  <si>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</si>
  <si>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</si>
  <si>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</si>
  <si>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</si>
  <si>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</si>
  <si>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</si>
  <si>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</si>
  <si>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</si>
  <si>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</si>
  <si>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</si>
  <si>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</si>
  <si>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</si>
  <si>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</si>
  <si>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</si>
  <si>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</si>
  <si>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</si>
  <si>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</si>
  <si>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</si>
  <si>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</si>
  <si>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</si>
  <si>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</si>
  <si>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</si>
  <si>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</si>
  <si>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</si>
  <si>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</si>
  <si>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</si>
  <si>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</si>
  <si>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</si>
  <si>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</si>
  <si>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</si>
  <si>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</si>
  <si>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</si>
  <si>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</si>
  <si>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</si>
  <si>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</si>
  <si>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</si>
  <si>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</si>
  <si>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</si>
  <si>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</si>
  <si>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</si>
  <si>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</si>
  <si>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</si>
  <si>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</si>
  <si>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</si>
  <si>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</si>
  <si>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</si>
  <si>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</si>
  <si>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</si>
  <si>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</si>
  <si>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</si>
  <si>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</si>
  <si>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</si>
  <si>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</si>
  <si>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</si>
  <si>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</si>
  <si>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</si>
  <si>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</si>
  <si>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</si>
  <si>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</si>
  <si>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</si>
  <si>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</si>
  <si>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</si>
  <si>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</si>
  <si>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</si>
  <si>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</si>
  <si>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</si>
  <si>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</si>
  <si>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</si>
  <si>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</si>
  <si>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</si>
  <si>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</si>
  <si>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</si>
  <si>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</si>
  <si>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</si>
  <si>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</si>
  <si>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</si>
  <si>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</si>
  <si>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</si>
  <si>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</si>
  <si>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</si>
  <si>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</si>
  <si>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</si>
  <si>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</si>
  <si>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</si>
  <si>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</si>
  <si>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</si>
  <si>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</si>
  <si>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</si>
  <si>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</si>
  <si>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</si>
  <si>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</si>
  <si>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</si>
  <si>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</si>
  <si>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</si>
  <si>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</si>
  <si>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</si>
  <si>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</si>
  <si>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</si>
  <si>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</si>
  <si>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</si>
  <si>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</si>
  <si>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</si>
  <si>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</si>
  <si>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</si>
  <si>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</si>
  <si>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</si>
  <si>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</si>
  <si>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</si>
  <si>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</si>
  <si>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</si>
  <si>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</si>
  <si>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</si>
  <si>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</si>
  <si>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</si>
  <si>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</si>
  <si>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</si>
  <si>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</si>
  <si>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</si>
  <si>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</si>
  <si>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</si>
  <si>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</si>
  <si>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</si>
  <si>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</si>
  <si>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</si>
  <si>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</si>
  <si>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</si>
  <si>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</si>
  <si>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</si>
  <si>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</si>
  <si>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</si>
  <si>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</si>
  <si>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</si>
  <si>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</si>
  <si>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</si>
  <si>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</si>
  <si>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</si>
  <si>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</si>
  <si>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</si>
  <si>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</si>
  <si>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</si>
  <si>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</si>
  <si>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</si>
  <si>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</si>
  <si>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</si>
  <si>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</si>
  <si>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</si>
  <si>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</si>
  <si>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</si>
  <si>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</si>
  <si>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</si>
  <si>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</si>
  <si>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</si>
  <si>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</si>
  <si>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</si>
  <si>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</si>
  <si>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</si>
  <si>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</si>
  <si>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</si>
  <si>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</si>
  <si>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</si>
  <si>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</si>
  <si>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</si>
  <si>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</si>
  <si>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</si>
  <si>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</si>
  <si>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</si>
  <si>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</si>
  <si>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</si>
  <si>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</si>
  <si>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</si>
  <si>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</si>
  <si>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</si>
  <si>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</si>
  <si>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</si>
  <si>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</si>
  <si>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</si>
  <si>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</si>
  <si>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</si>
  <si>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</si>
  <si>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</si>
  <si>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</si>
  <si>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</si>
  <si>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</si>
  <si>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</si>
  <si>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</si>
  <si>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</si>
  <si>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</si>
  <si>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</si>
  <si>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</si>
  <si>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</si>
  <si>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</si>
  <si>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</si>
  <si>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</si>
  <si>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</si>
  <si>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</si>
  <si>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</si>
  <si>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</si>
  <si>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</si>
  <si>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</si>
  <si>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</si>
  <si>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</si>
  <si>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</si>
  <si>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</si>
  <si>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</si>
  <si>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</si>
  <si>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</si>
  <si>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</si>
  <si>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</si>
  <si>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</si>
  <si>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</si>
  <si>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</si>
  <si>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</si>
  <si>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</si>
  <si>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</si>
  <si>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</si>
  <si>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</si>
  <si>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</si>
  <si>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</si>
  <si>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</si>
  <si>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</si>
  <si>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</si>
  <si>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</si>
  <si>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</si>
  <si>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</si>
  <si>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</si>
  <si>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</si>
  <si>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</si>
  <si>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</si>
  <si>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</si>
  <si>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</si>
  <si>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</si>
  <si>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</si>
  <si>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</si>
  <si>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</si>
  <si>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</si>
  <si>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</si>
  <si>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</si>
  <si>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</si>
  <si>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</si>
  <si>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</si>
  <si>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</si>
  <si>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</si>
  <si>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</si>
  <si>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</si>
  <si>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</si>
  <si>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</si>
  <si>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</si>
  <si>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</si>
  <si>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</si>
  <si>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</si>
  <si>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</si>
  <si>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</si>
  <si>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</si>
  <si>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</si>
  <si>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</si>
  <si>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</si>
  <si>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</si>
  <si>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</si>
  <si>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</si>
  <si>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</si>
  <si>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</si>
  <si>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</si>
  <si>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</si>
  <si>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</si>
  <si>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</si>
  <si>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</si>
  <si>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</si>
  <si>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</si>
  <si>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</si>
  <si>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</si>
  <si>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</si>
  <si>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</si>
  <si>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</si>
  <si>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</si>
  <si>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</si>
  <si>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</si>
  <si>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</si>
  <si>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</si>
  <si>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</si>
  <si>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</si>
  <si>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</si>
  <si>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</si>
  <si>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</si>
  <si>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</si>
  <si>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</si>
  <si>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</si>
  <si>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</si>
  <si>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</si>
  <si>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</si>
  <si>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</si>
  <si>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</si>
  <si>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</si>
  <si>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</si>
  <si>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</si>
  <si>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</si>
  <si>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</si>
  <si>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</si>
  <si>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</si>
  <si>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</si>
  <si>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</si>
  <si>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</si>
  <si>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</si>
  <si>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</si>
  <si>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</si>
  <si>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</si>
  <si>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</si>
  <si>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</si>
  <si>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</si>
  <si>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</si>
  <si>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</si>
  <si>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</si>
  <si>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</si>
  <si>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</si>
  <si>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</si>
  <si>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</si>
  <si>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</si>
  <si>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</si>
  <si>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</si>
  <si>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</si>
  <si>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</si>
  <si>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</si>
  <si>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</si>
  <si>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</si>
  <si>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</si>
  <si>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</si>
  <si>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</si>
  <si>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</si>
  <si>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</si>
  <si>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</si>
  <si>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</si>
  <si>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</si>
  <si>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</si>
  <si>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</si>
  <si>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</si>
  <si>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</si>
  <si>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</si>
  <si>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</si>
  <si>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</si>
  <si>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</si>
  <si>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</si>
  <si>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</si>
  <si>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</si>
  <si>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</si>
  <si>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</si>
  <si>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</si>
  <si>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</si>
  <si>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</si>
  <si>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</si>
  <si>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</si>
  <si>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</si>
  <si>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</si>
  <si>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</si>
  <si>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</si>
  <si>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</si>
  <si>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</si>
  <si>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</si>
  <si>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</si>
  <si>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</si>
  <si>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</si>
  <si>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</si>
  <si>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</si>
  <si>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</si>
  <si>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</si>
  <si>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</si>
  <si>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</si>
  <si>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</si>
  <si>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</si>
  <si>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</si>
  <si>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</si>
  <si>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</si>
  <si>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</si>
  <si>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</si>
  <si>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</si>
  <si>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</si>
  <si>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</si>
  <si>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</si>
  <si>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</si>
  <si>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</si>
  <si>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</si>
  <si>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</si>
  <si>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</si>
  <si>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</si>
  <si>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</si>
  <si>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</si>
  <si>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</si>
  <si>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</si>
  <si>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</si>
  <si>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</si>
  <si>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</si>
  <si>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</si>
  <si>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</si>
  <si>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</si>
  <si>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</si>
  <si>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</si>
  <si>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</si>
  <si>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</si>
  <si>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</si>
  <si>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</si>
  <si>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</si>
  <si>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</si>
  <si>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</si>
  <si>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</si>
  <si>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</si>
  <si>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</si>
  <si>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</si>
  <si>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</si>
  <si>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</si>
  <si>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</si>
  <si>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</si>
  <si>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</si>
  <si>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</si>
  <si>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</si>
  <si>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</si>
  <si>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</si>
  <si>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</si>
  <si>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</si>
  <si>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</si>
  <si>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</si>
  <si>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</si>
  <si>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</si>
  <si>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</si>
  <si>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</si>
  <si>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</si>
  <si>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</si>
  <si>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</si>
  <si>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</si>
  <si>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</si>
  <si>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</si>
  <si>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</si>
  <si>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</si>
  <si>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</si>
  <si>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</si>
  <si>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</si>
  <si>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</si>
  <si>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</si>
  <si>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</si>
  <si>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</si>
  <si>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</si>
  <si>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</si>
  <si>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</si>
  <si>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</si>
  <si>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</si>
  <si>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</si>
  <si>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</si>
  <si>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</si>
  <si>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</si>
  <si>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</si>
  <si>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</si>
  <si>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</si>
  <si>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</si>
  <si>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</si>
  <si>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</si>
  <si>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</si>
  <si>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</si>
  <si>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</si>
  <si>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</si>
  <si>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</si>
  <si>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</si>
  <si>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</si>
  <si>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</si>
  <si>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</si>
  <si>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</si>
  <si>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</si>
  <si>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</si>
  <si>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</si>
  <si>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</si>
  <si>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</si>
  <si>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</si>
  <si>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</si>
  <si>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</si>
  <si>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</si>
  <si>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</si>
  <si>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</si>
  <si>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</si>
  <si>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</si>
  <si>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</si>
  <si>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</si>
  <si>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</si>
  <si>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</si>
  <si>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</si>
  <si>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</si>
  <si>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</si>
  <si>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</si>
  <si>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</si>
  <si>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</si>
  <si>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</si>
  <si>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</si>
  <si>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</si>
  <si>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</si>
  <si>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</si>
  <si>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</si>
  <si>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</si>
  <si>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</si>
  <si>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</si>
  <si>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</si>
  <si>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</si>
  <si>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</si>
  <si>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</si>
  <si>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</si>
  <si>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</si>
  <si>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</si>
  <si>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</si>
  <si>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</si>
  <si>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</si>
  <si>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</si>
  <si>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</si>
  <si>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</si>
  <si>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</si>
  <si>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</si>
  <si>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</si>
  <si>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</si>
  <si>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</si>
  <si>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</si>
  <si>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</si>
  <si>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</si>
  <si>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</si>
  <si>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</si>
  <si>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</si>
  <si>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</si>
  <si>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</si>
  <si>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</si>
  <si>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</si>
  <si>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</si>
  <si>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</si>
  <si>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</si>
  <si>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</si>
  <si>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</si>
  <si>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</si>
  <si>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</si>
  <si>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</si>
  <si>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</si>
  <si>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</si>
  <si>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</si>
  <si>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</si>
  <si>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</si>
  <si>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</si>
  <si>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</si>
  <si>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</si>
  <si>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</si>
  <si>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</si>
  <si>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</si>
  <si>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</si>
  <si>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</si>
  <si>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</si>
  <si>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</si>
  <si>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</si>
  <si>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</si>
  <si>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</si>
  <si>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</si>
  <si>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</si>
  <si>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</si>
  <si>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</si>
  <si>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</si>
  <si>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</si>
  <si>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</si>
  <si>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</si>
  <si>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</si>
  <si>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</si>
  <si>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</si>
  <si>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</si>
  <si>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</si>
  <si>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</si>
  <si>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</si>
  <si>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</si>
  <si>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</si>
  <si>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</si>
  <si>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</si>
  <si>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</si>
  <si>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</si>
  <si>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</si>
  <si>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</si>
  <si>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</si>
  <si>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</si>
  <si>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</si>
  <si>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</si>
  <si>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</si>
  <si>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</si>
  <si>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</si>
  <si>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</si>
  <si>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</si>
  <si>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</si>
  <si>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</si>
  <si>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</si>
  <si>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</si>
  <si>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</si>
  <si>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</si>
  <si>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</si>
  <si>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</si>
  <si>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</si>
  <si>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</si>
  <si>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</si>
  <si>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</si>
  <si>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</si>
  <si>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</si>
  <si>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</si>
  <si>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</si>
  <si>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</si>
  <si>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</si>
  <si>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</si>
  <si>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</si>
  <si>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</si>
  <si>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</si>
  <si>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</si>
  <si>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</si>
  <si>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</si>
  <si>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</si>
  <si>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</si>
  <si>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</si>
  <si>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</si>
  <si>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</si>
  <si>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</si>
  <si>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</si>
  <si>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</si>
  <si>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</si>
  <si>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</si>
  <si>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</si>
  <si>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</si>
  <si>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</si>
  <si>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</si>
  <si>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</si>
  <si>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</si>
  <si>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</si>
  <si>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</si>
  <si>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</si>
  <si>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</si>
  <si>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</si>
  <si>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</si>
  <si>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</si>
  <si>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</si>
  <si>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</si>
  <si>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</si>
  <si>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</si>
  <si>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</si>
  <si>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</si>
  <si>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</si>
  <si>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</si>
  <si>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</si>
  <si>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</si>
  <si>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</si>
  <si>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</si>
  <si>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</si>
  <si>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</si>
  <si>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</si>
  <si>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</si>
  <si>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</si>
  <si>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</si>
  <si>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</si>
  <si>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</si>
  <si>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</si>
  <si>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</si>
  <si>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</si>
  <si>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</si>
  <si>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</si>
  <si>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</si>
  <si>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</si>
  <si>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</si>
  <si>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</si>
  <si>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</si>
  <si>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</si>
  <si>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</si>
  <si>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</si>
  <si>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</si>
  <si>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</si>
  <si>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</si>
  <si>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</si>
  <si>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</si>
  <si>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</si>
  <si>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</si>
  <si>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</si>
  <si>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</si>
  <si>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</si>
  <si>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</si>
  <si>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</si>
  <si>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</si>
  <si>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</si>
  <si>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</si>
  <si>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</si>
  <si>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</si>
  <si>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</si>
  <si>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</si>
  <si>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</si>
  <si>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</si>
  <si>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</si>
  <si>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</si>
  <si>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</si>
  <si>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</si>
  <si>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</si>
  <si>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</si>
  <si>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</si>
  <si>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</si>
  <si>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</si>
  <si>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</si>
  <si>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</si>
  <si>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</si>
  <si>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</si>
  <si>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</si>
  <si>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</si>
  <si>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</si>
  <si>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</si>
  <si>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</si>
  <si>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</si>
  <si>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</si>
  <si>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</si>
  <si>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</si>
  <si>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</si>
  <si>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</si>
  <si>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</si>
  <si>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</si>
  <si>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</si>
  <si>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</si>
  <si>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</si>
  <si>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</si>
  <si>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</si>
  <si>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</si>
  <si>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</si>
  <si>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</si>
  <si>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</si>
  <si>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</si>
  <si>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</si>
  <si>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</si>
  <si>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</si>
  <si>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</si>
  <si>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</si>
  <si>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</si>
  <si>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</si>
  <si>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</si>
  <si>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</si>
  <si>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</si>
  <si>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</si>
  <si>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</si>
  <si>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</si>
  <si>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</si>
  <si>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</si>
  <si>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</si>
  <si>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</si>
  <si>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</si>
  <si>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</si>
  <si>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</si>
  <si>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</si>
  <si>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</si>
  <si>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</si>
  <si>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</si>
  <si>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</si>
  <si>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</si>
  <si>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</si>
  <si>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</si>
  <si>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</si>
  <si>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</si>
  <si>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</si>
  <si>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</si>
  <si>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</si>
  <si>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</si>
  <si>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</si>
  <si>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</si>
  <si>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</si>
  <si>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</si>
  <si>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</si>
  <si>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</si>
  <si>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</si>
  <si>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</si>
  <si>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</si>
  <si>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</si>
  <si>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</si>
  <si>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</si>
  <si>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</si>
  <si>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</si>
  <si>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</si>
  <si>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</si>
  <si>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</si>
  <si>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</si>
  <si>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</si>
  <si>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</si>
  <si>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</si>
  <si>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</si>
  <si>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</si>
  <si>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</si>
  <si>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</si>
  <si>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</si>
  <si>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</si>
  <si>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</si>
  <si>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</si>
  <si>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</si>
  <si>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</si>
  <si>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</si>
  <si>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</si>
  <si>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</si>
  <si>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</si>
  <si>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</si>
  <si>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</si>
  <si>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</si>
  <si>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</si>
  <si>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</si>
  <si>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</si>
  <si>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</si>
  <si>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</si>
  <si>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</si>
  <si>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</si>
  <si>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</si>
  <si>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</si>
  <si>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</si>
  <si>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</si>
  <si>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</si>
  <si>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</si>
  <si>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</si>
  <si>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</si>
  <si>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</si>
  <si>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</si>
  <si>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</si>
  <si>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</si>
  <si>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</si>
  <si>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</si>
  <si>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</si>
  <si>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</si>
  <si>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</si>
  <si>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</si>
  <si>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</si>
  <si>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</si>
  <si>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</si>
  <si>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</si>
  <si>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</si>
  <si>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</si>
  <si>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</si>
  <si>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</si>
  <si>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</si>
  <si>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</si>
  <si>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</si>
  <si>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</si>
  <si>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</si>
  <si>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</si>
  <si>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</si>
  <si>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</si>
  <si>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</si>
  <si>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</si>
  <si>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</si>
  <si>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</si>
  <si>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</si>
  <si>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</si>
  <si>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</si>
  <si>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</si>
  <si>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</si>
  <si>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</si>
  <si>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</si>
  <si>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</si>
  <si>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</si>
  <si>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</si>
  <si>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</si>
  <si>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</si>
  <si>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</si>
  <si>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</si>
  <si>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</si>
  <si>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</si>
  <si>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</si>
  <si>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</si>
  <si>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</si>
  <si>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</si>
  <si>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</si>
  <si>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</si>
  <si>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</si>
  <si>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</si>
  <si>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</si>
  <si>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</si>
  <si>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</si>
  <si>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</si>
  <si>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</si>
  <si>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</si>
  <si>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</si>
  <si>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</si>
  <si>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</si>
  <si>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</si>
  <si>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</si>
  <si>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</si>
  <si>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</si>
  <si>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</si>
  <si>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</si>
  <si>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</si>
  <si>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</si>
  <si>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</si>
  <si>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</si>
  <si>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</si>
  <si>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</si>
  <si>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</si>
  <si>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</si>
  <si>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</si>
  <si>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</si>
  <si>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</si>
  <si>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</si>
  <si>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</si>
  <si>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</si>
  <si>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</si>
  <si>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</si>
  <si>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</si>
  <si>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</si>
  <si>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</si>
  <si>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</si>
  <si>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</si>
  <si>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</si>
  <si>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</si>
  <si>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</si>
  <si>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</si>
  <si>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</si>
  <si>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</si>
  <si>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</si>
  <si>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</si>
  <si>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</si>
  <si>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</si>
  <si>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</si>
  <si>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</si>
  <si>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</si>
  <si>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</si>
  <si>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</si>
  <si>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</si>
  <si>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</si>
  <si>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</si>
  <si>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</si>
  <si>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</si>
  <si>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</si>
  <si>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</si>
  <si>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</si>
  <si>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</si>
  <si>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</si>
  <si>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</si>
  <si>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</si>
  <si>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</si>
  <si>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</si>
  <si>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</si>
  <si>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</si>
  <si>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</si>
  <si>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</si>
  <si>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</si>
  <si>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</si>
  <si>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</si>
  <si>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</si>
  <si>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</si>
  <si>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</si>
  <si>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</si>
  <si>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</si>
  <si>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</si>
  <si>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</si>
  <si>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</si>
  <si>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</si>
  <si>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</si>
  <si>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</si>
  <si>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</si>
  <si>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</si>
  <si>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</si>
  <si>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</si>
  <si>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</si>
  <si>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</si>
  <si>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</si>
  <si>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</si>
  <si>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</si>
  <si>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</si>
  <si>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</si>
  <si>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</si>
  <si>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</si>
  <si>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</si>
  <si>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</si>
  <si>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</si>
  <si>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</si>
  <si>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</si>
  <si>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</si>
  <si>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</si>
  <si>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</si>
  <si>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</si>
  <si>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</si>
  <si>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</si>
  <si>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</si>
  <si>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</si>
  <si>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</si>
  <si>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</si>
  <si>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</si>
  <si>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</si>
  <si>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</si>
  <si>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</si>
  <si>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</si>
  <si>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</si>
  <si>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</si>
  <si>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</si>
  <si>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</si>
  <si>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</si>
  <si>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</si>
  <si>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</si>
  <si>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</si>
  <si>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</si>
  <si>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</si>
  <si>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</si>
  <si>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</si>
  <si>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</si>
  <si>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</si>
  <si>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</si>
  <si>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</si>
  <si>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</si>
  <si>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</si>
  <si>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</si>
  <si>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</si>
  <si>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</si>
  <si>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</si>
  <si>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</si>
  <si>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</si>
  <si>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</si>
  <si>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</si>
  <si>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</si>
  <si>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</si>
  <si>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</si>
  <si>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</si>
  <si>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</si>
  <si>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</si>
  <si>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</si>
  <si>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</si>
  <si>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</si>
  <si>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</si>
  <si>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</si>
  <si>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</si>
  <si>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</si>
  <si>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</si>
  <si>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</si>
  <si>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</si>
  <si>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</si>
  <si>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</si>
  <si>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</si>
  <si>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</si>
  <si>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</si>
  <si>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</si>
  <si>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 Zeno Catholic Hospital - Iwo</t>
  </si>
  <si>
    <t>rcGc224XPYp</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</si>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</sst>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74">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1" applyNumberFormat="1" fontId="2" applyFont="1" fillId="15" applyFill="1" borderId="61" applyBorder="1" xfId="0">
      <alignment horizontal="right"/>
      <protection hidden="1"/>
    </xf>
    <xf numFmtId="0" applyNumberFormat="1" fontId="32" applyFont="1" fillId="23" applyFill="1" borderId="24" applyBorder="1" xfId="0">
      <alignment horizontal="center" vertical="center" wrapText="1"/>
      <protection hidden="1"/>
    </xf>
    <xf numFmtId="1" applyNumberFormat="1" fontId="29" applyFont="1" fillId="23" applyFill="1" borderId="24" applyBorder="1" xfId="0">
      <alignment horizontal="center" vertical="center"/>
    </xf>
    <xf numFmtId="9" applyNumberFormat="1" fontId="29" applyFont="1" fillId="23" applyFill="1" borderId="24" applyBorder="1" xfId="2">
      <alignment horizontal="center" vertical="center"/>
    </xf>
    <xf numFmtId="0" applyNumberFormat="1" fontId="2" applyFont="1" fillId="14" applyFill="1" borderId="66" applyBorder="1" xfId="0">
      <alignment vertical="center" wrapText="1"/>
    </xf>
    <xf numFmtId="0" applyNumberFormat="1" fontId="2" applyFont="1" fillId="23" applyFill="1" borderId="64" applyBorder="1" xfId="0">
      <alignment vertical="center"/>
    </xf>
    <xf numFmtId="0" applyNumberFormat="1" fontId="2" applyFont="1" fillId="23" applyFill="1" borderId="69" applyBorder="1" xfId="0">
      <alignment vertical="center"/>
    </xf>
    <xf numFmtId="1" applyNumberFormat="1" fontId="29" applyFont="1" fillId="23" applyFill="1" borderId="20" applyBorder="1" xfId="0">
      <alignment horizontal="center" vertical="center"/>
    </xf>
    <xf numFmtId="1" applyNumberFormat="1" fontId="29" applyFont="1" fillId="23" applyFill="1" borderId="21" applyBorder="1" xfId="0">
      <alignment horizontal="center" vertical="center"/>
    </xf>
    <xf numFmtId="1" applyNumberFormat="1" fontId="29" applyFont="1" fillId="23" applyFill="1" borderId="24" applyBorder="1" xfId="0">
      <alignment horizontal="center" vertical="center"/>
    </xf>
    <xf numFmtId="1" applyNumberFormat="1" fontId="29" applyFont="1" fillId="23" applyFill="1" borderId="25" applyBorder="1" xfId="0">
      <alignment horizontal="center" vertical="center"/>
    </xf>
    <xf numFmtId="9" applyNumberFormat="1" fontId="29" applyFont="1" fillId="23" applyFill="1" borderId="40" applyBorder="1" xfId="2">
      <alignment horizontal="center" vertical="center"/>
    </xf>
    <xf numFmtId="0" applyNumberFormat="1" fontId="0" applyFont="1" fillId="0" applyFill="1" borderId="0" applyBorder="1" xfId="0">
      <alignment horizontal="left"/>
    </xf>
    <xf numFmtId="0" applyNumberFormat="1" fontId="29" applyFont="1" fillId="15" applyFill="1" borderId="0" applyBorder="1" xfId="0">
      <alignment horizontal="center" vertical="center"/>
    </xf>
    <xf numFmtId="9" applyNumberFormat="1" fontId="29" applyFont="1" fillId="15" applyFill="1" borderId="0" applyBorder="1" xfId="2">
      <alignment horizontal="center" vertical="center"/>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9" applyNumberFormat="1" fontId="30" applyFont="1" fillId="15" applyFill="1" borderId="0" applyBorder="1" xfId="2">
      <alignment horizontal="lef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5" applyFill="1" borderId="0" applyBorder="1" xfId="2">
      <alignment horizontal="center" vertical="center"/>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5" x14ac:dyDescent="0.25"/>
  <cols>
    <col min="1" max="1" bestFit="1" width="21" customWidth="1"/>
    <col min="2" max="2" bestFit="1" width="11.7109375" customWidth="1"/>
    <col min="3" max="3" bestFit="1" width="17.42578125" customWidth="1"/>
    <col min="4" max="4" bestFit="1" width="13" customWidth="1" style="64"/>
    <col min="5" max="5" bestFit="1" width="12.28515625" customWidth="1" style="64"/>
    <col min="6" max="6" bestFit="1" width="16.7109375" customWidth="1" style="64"/>
    <col min="7" max="7" bestFit="1" width="22.28515625" customWidth="1" style="65"/>
    <col min="8" max="8" width="18.5703125" customWidth="1" style="65"/>
    <col min="9" max="9" bestFit="1" width="15.140625" customWidth="1" style="65"/>
    <col min="10" max="10" bestFit="1" width="14.140625" customWidth="1" style="65"/>
    <col min="11" max="11" bestFit="1" width="10.7109375" customWidth="1" style="65"/>
    <col min="12" max="12" bestFit="1" width="11.7109375" customWidth="1" style="65"/>
    <col min="13" max="13" bestFit="1" width="10.42578125" customWidth="1" style="65"/>
    <col min="14" max="14" width="8.85546875" customWidth="1" style="65"/>
    <col min="15" max="15" bestFit="1" width="12" customWidth="1" style="65"/>
    <col min="16" max="21" width="8.85546875" customWidth="1" style="65"/>
  </cols>
  <sheetData>
    <row r="1" ht="34.5">
      <c r="A1" s="286" t="s">
        <v>146</v>
      </c>
      <c r="B1" s="287"/>
      <c r="C1" s="288"/>
      <c r="D1" s="289"/>
      <c r="E1" s="289"/>
      <c r="F1" s="289"/>
      <c r="G1" s="290"/>
      <c r="H1" s="291"/>
      <c r="I1" s="294" t="s">
        <v>147</v>
      </c>
      <c r="J1" s="295"/>
      <c r="K1" s="296"/>
      <c r="L1" s="297"/>
      <c r="M1" s="297"/>
      <c r="N1" s="297"/>
      <c r="O1" s="298"/>
    </row>
    <row r="2" ht="26.25">
      <c r="A2" s="279" t="s">
        <v>148</v>
      </c>
      <c r="B2" s="280"/>
      <c r="C2" s="281"/>
      <c r="D2" s="299"/>
      <c r="E2" s="299"/>
      <c r="F2" s="299"/>
      <c r="G2" s="300"/>
      <c r="H2" s="292"/>
      <c r="I2" s="301" t="s">
        <v>149</v>
      </c>
      <c r="J2" s="302"/>
      <c r="K2" s="303"/>
      <c r="L2" s="263"/>
      <c r="M2" s="263"/>
      <c r="N2" s="263"/>
      <c r="O2" s="264"/>
    </row>
    <row r="3" ht="26.25">
      <c r="A3" s="276" t="s">
        <v>150</v>
      </c>
      <c r="B3" s="277"/>
      <c r="C3" s="278"/>
      <c r="D3" s="265"/>
      <c r="E3" s="265"/>
      <c r="F3" s="265"/>
      <c r="G3" s="266"/>
      <c r="H3" s="292"/>
      <c r="I3" s="267" t="s">
        <v>151</v>
      </c>
      <c r="J3" s="268"/>
      <c r="K3" s="269"/>
      <c r="L3" s="263"/>
      <c r="M3" s="263"/>
      <c r="N3" s="263"/>
      <c r="O3" s="264"/>
    </row>
    <row r="4" ht="27">
      <c r="A4" s="304" t="s">
        <v>152</v>
      </c>
      <c r="B4" s="305"/>
      <c r="C4" s="306"/>
      <c r="D4" s="270"/>
      <c r="E4" s="270"/>
      <c r="F4" s="270"/>
      <c r="G4" s="271"/>
      <c r="H4" s="293"/>
      <c r="I4" s="272" t="s">
        <v>149</v>
      </c>
      <c r="J4" s="273"/>
      <c r="K4" s="273"/>
      <c r="L4" s="274"/>
      <c r="M4" s="274"/>
      <c r="N4" s="274"/>
      <c r="O4" s="275"/>
    </row>
    <row r="5" ht="30.75">
      <c r="A5" s="176"/>
      <c r="B5" s="177" t="s">
        <v>153</v>
      </c>
      <c r="C5" s="178" t="s">
        <v>50</v>
      </c>
      <c r="D5" s="179" t="s">
        <v>51</v>
      </c>
      <c r="E5" s="180" t="s">
        <v>52</v>
      </c>
      <c r="F5" s="179" t="s">
        <v>53</v>
      </c>
      <c r="G5" s="179" t="s">
        <v>54</v>
      </c>
      <c r="H5" s="181" t="s">
        <v>55</v>
      </c>
      <c r="I5" s="181" t="s">
        <v>56</v>
      </c>
      <c r="J5" s="181" t="s">
        <v>57</v>
      </c>
      <c r="K5" s="234" t="s">
        <v>58</v>
      </c>
      <c r="L5" s="181" t="s">
        <v>59</v>
      </c>
      <c r="M5" s="235" t="s">
        <v>60</v>
      </c>
      <c r="N5" s="235" t="s">
        <v>61</v>
      </c>
      <c r="O5" s="235" t="s">
        <v>62</v>
      </c>
      <c r="P5" s="236" t="s">
        <v>63</v>
      </c>
      <c r="V5" s="65"/>
    </row>
    <row r="6">
      <c r="A6" s="182" t="s">
        <v>154</v>
      </c>
      <c r="B6" s="183">
        <f>'All Questions'!F2</f>
        <v>0</v>
      </c>
      <c r="C6" s="183">
        <f>'All Questions'!F3</f>
        <v>0</v>
      </c>
      <c r="D6" s="183">
        <f>'All Questions'!F4</f>
        <v>0</v>
      </c>
      <c r="E6" s="183">
        <f>'All Questions'!F5</f>
        <v>0</v>
      </c>
      <c r="F6" s="183">
        <f>'All Questions'!F12</f>
        <v>0</v>
      </c>
      <c r="G6" s="183">
        <f>'All Questions'!F13</f>
        <v>0</v>
      </c>
      <c r="H6" s="183">
        <f>'All Questions'!F14</f>
        <v>0</v>
      </c>
      <c r="I6" s="184">
        <f>'All Questions'!F23</f>
        <v>0</v>
      </c>
      <c r="J6" s="184">
        <f>'All Questions'!F28</f>
        <v>0</v>
      </c>
      <c r="K6" s="184">
        <f>'All Questions'!F33</f>
        <v>0</v>
      </c>
      <c r="L6" s="184">
        <f>'All Questions'!F38</f>
        <v>0</v>
      </c>
      <c r="M6" s="237">
        <f>'All Questions'!F44</f>
        <v>0</v>
      </c>
      <c r="N6" s="237">
        <f>'All Questions'!F50</f>
        <v>0</v>
      </c>
      <c r="O6" s="237">
        <f>'All Questions'!F55</f>
        <v>0</v>
      </c>
      <c r="P6" s="238">
        <f>'All Questions'!F65</f>
        <v>0</v>
      </c>
      <c r="V6" s="65"/>
    </row>
    <row r="7">
      <c r="A7" s="185" t="s">
        <v>69</v>
      </c>
      <c r="B7" s="163">
        <f>D7+F7-H7</f>
        <v>0</v>
      </c>
      <c r="C7" s="163">
        <f>G7+E7</f>
        <v>0</v>
      </c>
      <c r="D7" s="163">
        <f>ROUND((SUM('All Questions'!D7:F7)+(SUM('All Questions'!D8:F8)+SUM('All Questions'!D9:F9)))/2,0)</f>
        <v>0</v>
      </c>
      <c r="E7" s="163">
        <f>ROUND((SUM('All Questions'!D9:F9)+SUM('All Questions'!D10:F10))/2,0)</f>
        <v>0</v>
      </c>
      <c r="F7" s="164">
        <f>ROUND((SUM('All Questions'!D16:F16)+((SUM('All Questions'!D17:F17)+SUM('All Questions'!D20:F20)+SUM('All Questions'!D18:F18))))/2,0)</f>
        <v>0</v>
      </c>
      <c r="G7" s="164">
        <f>ROUND(SUM('All Questions'!D17:F17),0)</f>
        <v>0</v>
      </c>
      <c r="H7" s="164">
        <f>ROUND((SUM('All Questions'!D20:F20)+SUM('All Questions'!D21:F21))/2,0)</f>
        <v>0</v>
      </c>
      <c r="I7" s="163">
        <f>ROUND((SUM('All Questions'!D25:F25)+SUM('All Questions'!D26:F26))/2,0)</f>
        <v>0</v>
      </c>
      <c r="J7" s="163">
        <f>ROUND((SUM('All Questions'!D30:F30)+SUM('All Questions'!D31:F31))/2,0)</f>
        <v>0</v>
      </c>
      <c r="K7" s="163">
        <f>ROUND((SUM('All Questions'!D35:F35)+SUM('All Questions'!D36:F36))/2,0)</f>
        <v>0</v>
      </c>
      <c r="L7" s="163">
        <f>ROUND((SUM('All Questions'!D40:F40)+SUM('All Questions'!D41:F41))/2,0)</f>
        <v>0</v>
      </c>
      <c r="M7" s="239">
        <f>ROUND(SUM('All Questions'!F45:F47)/2,0)</f>
        <v>0</v>
      </c>
      <c r="N7" s="239">
        <f>ROUND(SUM('All Questions'!F51:F52)/2,0)</f>
        <v>0</v>
      </c>
      <c r="O7" s="239">
        <f>ROUND(SUM('All Questions'!F56:F57),0)</f>
        <v>0</v>
      </c>
      <c r="P7" s="240">
        <f>ROUND(SUM('All Questions'!F61:F63),0)</f>
        <v>0</v>
      </c>
      <c r="V7" s="65"/>
    </row>
    <row r="8" ht="45.75">
      <c r="A8" s="186" t="s">
        <v>155</v>
      </c>
      <c r="B8" s="187">
        <f>IFERROR(B7/B6,0)</f>
        <v>0</v>
      </c>
      <c r="C8" s="187">
        <f>IFERROR(C7/C6,0)</f>
        <v>0</v>
      </c>
      <c r="D8" s="187">
        <f ref="D8:P8" t="shared" si="0">IFERROR(D7/D6,0)</f>
        <v>0</v>
      </c>
      <c r="E8" s="187">
        <f t="shared" si="0"/>
        <v>0</v>
      </c>
      <c r="F8" s="187">
        <f t="shared" si="0"/>
        <v>0</v>
      </c>
      <c r="G8" s="187">
        <f t="shared" si="0"/>
        <v>0</v>
      </c>
      <c r="H8" s="187">
        <f t="shared" si="0"/>
        <v>0</v>
      </c>
      <c r="I8" s="187">
        <f t="shared" si="0"/>
        <v>0</v>
      </c>
      <c r="J8" s="187">
        <f t="shared" si="0"/>
        <v>0</v>
      </c>
      <c r="K8" s="187">
        <f t="shared" si="0"/>
        <v>0</v>
      </c>
      <c r="L8" s="187">
        <f t="shared" si="0"/>
        <v>0</v>
      </c>
      <c r="M8" s="241">
        <f t="shared" si="0"/>
        <v>0</v>
      </c>
      <c r="N8" s="241">
        <f t="shared" si="0"/>
        <v>0</v>
      </c>
      <c r="O8" s="241">
        <f t="shared" si="0"/>
        <v>0</v>
      </c>
      <c r="P8" s="241">
        <f t="shared" si="0"/>
        <v>0</v>
      </c>
      <c r="V8" s="65"/>
    </row>
    <row r="9">
      <c r="A9" s="65"/>
      <c r="B9" s="65"/>
      <c r="C9" s="65"/>
      <c r="D9" s="65"/>
      <c r="E9" s="65"/>
      <c r="F9" s="65"/>
    </row>
    <row r="10" ht="15.75">
      <c r="A10" s="65"/>
      <c r="B10" s="65"/>
      <c r="C10" s="65"/>
      <c r="D10" s="65"/>
      <c r="E10" s="65"/>
      <c r="F10" s="65"/>
    </row>
    <row r="11" ht="15.75">
      <c r="A11" s="254" t="s">
        <v>156</v>
      </c>
      <c r="B11" s="255"/>
      <c r="C11" s="255"/>
      <c r="D11" s="255"/>
      <c r="E11" s="256"/>
      <c r="F11" s="65"/>
      <c r="G11" s="254" t="s">
        <v>157</v>
      </c>
      <c r="H11" s="255"/>
      <c r="I11" s="255"/>
      <c r="J11" s="282"/>
      <c r="K11" s="218"/>
      <c r="L11" s="254" t="s">
        <v>158</v>
      </c>
      <c r="M11" s="255"/>
      <c r="N11" s="255"/>
      <c r="O11" s="255"/>
      <c r="P11" s="282"/>
    </row>
    <row r="12">
      <c r="A12" s="257" t="s">
        <v>159</v>
      </c>
      <c r="B12" s="258"/>
      <c r="C12" s="258"/>
      <c r="D12" s="258"/>
      <c r="E12" s="190">
        <v>0</v>
      </c>
      <c r="F12" s="65"/>
      <c r="G12" s="283" t="s">
        <v>160</v>
      </c>
      <c r="H12" s="284"/>
      <c r="I12" s="285"/>
      <c r="J12" s="219">
        <f>TX_RET!D110</f>
        <v>0</v>
      </c>
      <c r="K12" s="220"/>
      <c r="L12" s="245" t="s">
        <v>161</v>
      </c>
      <c r="M12" s="246"/>
      <c r="N12" s="246"/>
      <c r="O12" s="247"/>
      <c r="P12" s="219">
        <v>0</v>
      </c>
    </row>
    <row r="13">
      <c r="A13" s="259" t="s">
        <v>162</v>
      </c>
      <c r="B13" s="260"/>
      <c r="C13" s="260"/>
      <c r="D13" s="260"/>
      <c r="E13" s="190">
        <f>TX_CURR!AB109</f>
        <v>0</v>
      </c>
      <c r="F13" s="65"/>
      <c r="G13" s="248" t="s">
        <v>162</v>
      </c>
      <c r="H13" s="249"/>
      <c r="I13" s="250"/>
      <c r="J13" s="221">
        <f>TX_RET!D109</f>
        <v>0</v>
      </c>
      <c r="K13" s="220"/>
      <c r="L13" s="248" t="s">
        <v>163</v>
      </c>
      <c r="M13" s="249"/>
      <c r="N13" s="249"/>
      <c r="O13" s="250"/>
      <c r="P13" s="221">
        <v>0</v>
      </c>
    </row>
    <row r="14" ht="15.75">
      <c r="A14" s="261" t="s">
        <v>83</v>
      </c>
      <c r="B14" s="262"/>
      <c r="C14" s="262"/>
      <c r="D14" s="262"/>
      <c r="E14" s="191">
        <f>IFERROR(E13/E12,0)</f>
        <v>0</v>
      </c>
      <c r="F14" s="65"/>
      <c r="G14" s="251" t="s">
        <v>164</v>
      </c>
      <c r="H14" s="252"/>
      <c r="I14" s="253"/>
      <c r="J14" s="222">
        <f>IFERROR(J13/J12,0)</f>
        <v>0</v>
      </c>
      <c r="K14" s="223"/>
      <c r="L14" s="251" t="s">
        <v>165</v>
      </c>
      <c r="M14" s="252"/>
      <c r="N14" s="252"/>
      <c r="O14" s="253"/>
      <c r="P14" s="222">
        <f>IFERROR(P13/P12,0)</f>
        <v>0</v>
      </c>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view="pageBreakPreview" zoomScale="80" zoomScaleNormal="60" zoomScaleSheetLayoutView="80" zoomScalePageLayoutView="10" workbookViewId="0">
      <pane xSplit="9" topLeftCell="J1" activePane="topRight" state="frozen"/>
      <selection pane="topRight" activeCell="G8" sqref="G8"/>
    </sheetView>
  </sheetViews>
  <sheetFormatPr defaultColWidth="8.85546875" defaultRowHeight="40.15" customHeight="1" x14ac:dyDescent="0.25"/>
  <cols>
    <col min="1" max="1" width="11.42578125" customWidth="1" style="61"/>
    <col min="2" max="2" width="0.140625" customWidth="1" style="61"/>
    <col min="3" max="3" width="14.85546875" customWidth="1" style="68"/>
    <col min="4" max="4" width="81.5703125" customWidth="1" style="69"/>
    <col min="5" max="5" width="13" customWidth="1" style="68"/>
    <col min="6" max="6" width="12.7109375" customWidth="1" style="68"/>
    <col min="7" max="7" width="11.7109375" customWidth="1" style="68"/>
    <col min="8" max="8" hidden="1" width="16.28515625" customWidth="1" style="61"/>
    <col min="9" max="9" width="11.85546875" customWidth="1" style="61"/>
    <col min="10" max="10" width="12.28515625" customWidth="1" style="61"/>
    <col min="11" max="11" width="26.28515625" customWidth="1" style="61"/>
    <col min="12" max="12" width="20.7109375" customWidth="1" style="61"/>
    <col min="13" max="13" width="20.7109375" customWidth="1" style="61"/>
    <col min="14" max="14" width="20.7109375" customWidth="1" style="61"/>
    <col min="15" max="15" width="20.7109375" customWidth="1" style="61"/>
    <col min="16" max="16" width="20.7109375" customWidth="1" style="61"/>
    <col min="17" max="17" width="20.7109375" customWidth="1" style="61"/>
    <col min="18" max="18" width="20.7109375" customWidth="1" style="61"/>
    <col min="19" max="19" width="20.7109375" customWidth="1" style="61"/>
    <col min="20" max="20" width="20.7109375" customWidth="1" style="61"/>
    <col min="21" max="21" width="20.7109375" customWidth="1" style="61"/>
    <col min="22" max="22" width="20.7109375" customWidth="1" style="61"/>
    <col min="23" max="23" width="20.7109375" customWidth="1" style="61"/>
    <col min="24" max="24" width="20.7109375" customWidth="1" style="61"/>
    <col min="25" max="25" width="20.7109375" customWidth="1" style="61"/>
    <col min="26" max="30" width="16" customWidth="1" style="61"/>
    <col min="31" max="31" width="16.42578125" customWidth="1" style="61"/>
    <col min="32" max="16384" width="8.85546875" customWidth="1" style="61"/>
  </cols>
  <sheetData>
    <row r="1" ht="40.15" customHeight="1">
      <c r="A1" s="97"/>
      <c r="B1" s="96"/>
      <c r="C1" s="103" t="s">
        <v>26</v>
      </c>
      <c r="D1" s="104"/>
      <c r="E1" s="105"/>
      <c r="F1" s="313" t="s">
        <v>27</v>
      </c>
      <c r="G1" s="314"/>
      <c r="H1" s="60"/>
      <c r="I1" s="97"/>
      <c r="J1" s="97"/>
      <c r="K1" s="316" t="s">
        <v>28</v>
      </c>
      <c r="L1" s="316"/>
      <c r="M1" s="316"/>
      <c r="N1" s="316"/>
      <c r="O1" s="316"/>
      <c r="P1" s="316"/>
      <c r="Q1" s="316"/>
      <c r="R1" s="316"/>
      <c r="S1" s="316"/>
      <c r="T1" s="316"/>
      <c r="U1" s="316"/>
      <c r="V1" s="316"/>
      <c r="W1" s="316"/>
      <c r="X1" s="316"/>
      <c r="Y1" s="316"/>
      <c r="Z1" s="316"/>
      <c r="AA1" s="316"/>
      <c r="AB1" s="316"/>
      <c r="AC1" s="316"/>
      <c r="AD1" s="316"/>
      <c r="AE1" s="97"/>
      <c r="AF1" s="97"/>
    </row>
    <row r="2" ht="40.15" customHeight="1">
      <c r="A2" s="97"/>
      <c r="B2" s="124" t="s">
        <v>29</v>
      </c>
      <c r="C2" s="84" t="s">
        <v>30</v>
      </c>
      <c r="D2" s="85" t="s">
        <v>31</v>
      </c>
      <c r="E2" s="129"/>
      <c r="F2" s="89" t="s">
        <v>32</v>
      </c>
      <c r="G2" s="91"/>
      <c r="H2" s="70"/>
      <c r="I2" s="97"/>
      <c r="J2" s="97"/>
      <c r="K2" s="315" t="s">
        <v>33</v>
      </c>
      <c r="L2" s="315"/>
      <c r="M2" s="113" t="s">
        <v>34</v>
      </c>
      <c r="N2" s="315" t="s">
        <v>35</v>
      </c>
      <c r="O2" s="315"/>
      <c r="P2" s="113" t="s">
        <v>36</v>
      </c>
      <c r="Q2" s="230" t="s">
        <v>37</v>
      </c>
      <c r="R2" s="113" t="s">
        <v>38</v>
      </c>
      <c r="S2" s="230" t="s">
        <v>39</v>
      </c>
      <c r="T2" s="113" t="s">
        <v>40</v>
      </c>
      <c r="U2" s="98" t="s">
        <v>41</v>
      </c>
      <c r="V2" s="113" t="s">
        <v>42</v>
      </c>
      <c r="W2" s="99"/>
      <c r="X2" s="98" t="s">
        <v>43</v>
      </c>
      <c r="Y2" s="113" t="s">
        <v>44</v>
      </c>
      <c r="Z2" s="100" t="s">
        <v>45</v>
      </c>
      <c r="AA2" s="101" t="s">
        <v>46</v>
      </c>
      <c r="AB2" s="101"/>
      <c r="AC2" s="101"/>
      <c r="AD2" s="101"/>
      <c r="AE2" s="97"/>
      <c r="AF2" s="97"/>
    </row>
    <row r="3" ht="40.15" customHeight="1">
      <c r="A3" s="97"/>
      <c r="B3" s="125"/>
      <c r="C3" s="95" t="s">
        <v>34</v>
      </c>
      <c r="D3" s="93" t="s">
        <v>47</v>
      </c>
      <c r="E3" s="86"/>
      <c r="F3" s="90"/>
      <c r="G3" s="135">
        <f>_xlfn.IFNA(VLOOKUP(C3,Worksheet!$C$3:$G$12,5,FALSE),G3)</f>
        <v>0</v>
      </c>
      <c r="H3" s="66" t="s">
        <v>34</v>
      </c>
      <c r="I3" s="97"/>
      <c r="J3" s="97"/>
      <c r="K3" s="97"/>
      <c r="L3" s="102"/>
      <c r="M3" s="162"/>
      <c r="N3" s="102"/>
      <c r="O3" s="102"/>
      <c r="P3" s="102"/>
      <c r="Q3" s="102"/>
      <c r="R3" s="102"/>
      <c r="S3" s="102"/>
      <c r="T3" s="102"/>
      <c r="U3" s="102"/>
      <c r="V3" s="102"/>
      <c r="W3" s="102"/>
      <c r="X3" s="97"/>
      <c r="Y3" s="97"/>
      <c r="Z3" s="102"/>
      <c r="AA3" s="102"/>
      <c r="AB3" s="102"/>
      <c r="AC3" s="102"/>
      <c r="AD3" s="102"/>
      <c r="AE3" s="97"/>
      <c r="AF3" s="97"/>
    </row>
    <row r="4" ht="40.15" customHeight="1">
      <c r="A4" s="97"/>
      <c r="B4" s="125"/>
      <c r="C4" s="126" t="s">
        <v>48</v>
      </c>
      <c r="D4" s="93" t="s">
        <v>49</v>
      </c>
      <c r="E4" s="86"/>
      <c r="F4" s="90"/>
      <c r="G4" s="135">
        <f>_xlfn.IFNA(VLOOKUP(C4,Worksheet!$C$3:$G$12,5,FALSE),G4)</f>
        <v>0</v>
      </c>
      <c r="H4" s="66" t="s">
        <v>34</v>
      </c>
      <c r="I4" s="97"/>
      <c r="J4" s="97"/>
      <c r="K4" s="84"/>
      <c r="L4" s="166" t="s">
        <v>34</v>
      </c>
      <c r="M4" s="166" t="s">
        <v>50</v>
      </c>
      <c r="N4" s="166" t="s">
        <v>51</v>
      </c>
      <c r="O4" s="166" t="s">
        <v>52</v>
      </c>
      <c r="P4" s="166" t="s">
        <v>53</v>
      </c>
      <c r="Q4" s="166" t="s">
        <v>54</v>
      </c>
      <c r="R4" s="166" t="s">
        <v>55</v>
      </c>
      <c r="S4" s="166" t="s">
        <v>56</v>
      </c>
      <c r="T4" s="166" t="s">
        <v>57</v>
      </c>
      <c r="U4" s="166" t="s">
        <v>58</v>
      </c>
      <c r="V4" s="166" t="s">
        <v>59</v>
      </c>
      <c r="W4" s="231" t="s">
        <v>60</v>
      </c>
      <c r="X4" s="231" t="s">
        <v>61</v>
      </c>
      <c r="Y4" s="231" t="s">
        <v>62</v>
      </c>
      <c r="Z4" s="231" t="s">
        <v>63</v>
      </c>
      <c r="AA4" s="111"/>
      <c r="AB4" s="111"/>
      <c r="AC4" s="111"/>
      <c r="AD4" s="111"/>
      <c r="AE4" s="111"/>
      <c r="AF4" s="97"/>
    </row>
    <row r="5" ht="40.15" customHeight="1">
      <c r="A5" s="97"/>
      <c r="B5" s="125"/>
      <c r="C5" s="126" t="s">
        <v>64</v>
      </c>
      <c r="D5" s="93" t="s">
        <v>65</v>
      </c>
      <c r="E5" s="86"/>
      <c r="F5" s="90"/>
      <c r="G5" s="135">
        <f>_xlfn.IFNA(VLOOKUP(C5,Worksheet!$C$3:$G$12,5,FALSE),G5)</f>
        <v>0</v>
      </c>
      <c r="H5" s="66" t="s">
        <v>34</v>
      </c>
      <c r="I5" s="97"/>
      <c r="J5" s="97"/>
      <c r="K5" s="84" t="s">
        <v>66</v>
      </c>
      <c r="L5" s="170">
        <v>0</v>
      </c>
      <c r="M5" s="170">
        <v>0</v>
      </c>
      <c r="N5" s="170">
        <v>0</v>
      </c>
      <c r="O5" s="170">
        <v>0</v>
      </c>
      <c r="P5" s="170">
        <v>0</v>
      </c>
      <c r="Q5" s="170">
        <v>0</v>
      </c>
      <c r="R5" s="170">
        <v>0</v>
      </c>
      <c r="S5" s="171">
        <v>0</v>
      </c>
      <c r="T5" s="171">
        <v>0</v>
      </c>
      <c r="U5" s="171">
        <v>0</v>
      </c>
      <c r="V5" s="171">
        <v>0</v>
      </c>
      <c r="W5" s="232">
        <v>0</v>
      </c>
      <c r="X5" s="232">
        <v>0</v>
      </c>
      <c r="Y5" s="232">
        <v>0</v>
      </c>
      <c r="Z5" s="232">
        <v>0</v>
      </c>
      <c r="AA5" s="111"/>
      <c r="AB5" s="111"/>
      <c r="AC5" s="111"/>
      <c r="AD5" s="111"/>
      <c r="AE5" s="111"/>
      <c r="AF5" s="97"/>
    </row>
    <row r="6" ht="40.15" customHeight="1">
      <c r="A6" s="97"/>
      <c r="B6" s="125"/>
      <c r="C6" s="126" t="s">
        <v>67</v>
      </c>
      <c r="D6" s="93" t="s">
        <v>68</v>
      </c>
      <c r="E6" s="86"/>
      <c r="F6" s="90"/>
      <c r="G6" s="135">
        <f>_xlfn.IFNA(VLOOKUP(C6,Worksheet!$C$3:$G$12,5,FALSE),G6)</f>
        <v>0</v>
      </c>
      <c r="H6" s="66" t="s">
        <v>34</v>
      </c>
      <c r="I6" s="97"/>
      <c r="J6" s="97"/>
      <c r="K6" s="84" t="s">
        <v>69</v>
      </c>
      <c r="L6" s="170">
        <v>0</v>
      </c>
      <c r="M6" s="170">
        <v>0</v>
      </c>
      <c r="N6" s="170">
        <v>0</v>
      </c>
      <c r="O6" s="170">
        <v>0</v>
      </c>
      <c r="P6" s="171">
        <v>0</v>
      </c>
      <c r="Q6" s="171">
        <v>0</v>
      </c>
      <c r="R6" s="171">
        <v>0</v>
      </c>
      <c r="S6" s="170">
        <v>0</v>
      </c>
      <c r="T6" s="170">
        <v>0</v>
      </c>
      <c r="U6" s="170">
        <v>0</v>
      </c>
      <c r="V6" s="170">
        <v>0</v>
      </c>
      <c r="W6" s="232">
        <v>0</v>
      </c>
      <c r="X6" s="232">
        <v>0</v>
      </c>
      <c r="Y6" s="232">
        <v>0</v>
      </c>
      <c r="Z6" s="232">
        <v>0</v>
      </c>
      <c r="AA6" s="111"/>
      <c r="AB6" s="111"/>
      <c r="AC6" s="111"/>
      <c r="AD6" s="111"/>
      <c r="AE6" s="111"/>
      <c r="AF6" s="97"/>
    </row>
    <row r="7" ht="40.15" customHeight="1">
      <c r="A7" s="97"/>
      <c r="B7" s="125"/>
      <c r="C7" s="87" t="s">
        <v>70</v>
      </c>
      <c r="D7" s="133" t="s">
        <v>71</v>
      </c>
      <c r="E7" s="92" t="s">
        <v>72</v>
      </c>
      <c r="F7" s="92" t="s">
        <v>73</v>
      </c>
      <c r="G7" s="92" t="s">
        <v>74</v>
      </c>
      <c r="H7" s="66" t="s">
        <v>34</v>
      </c>
      <c r="I7" s="97"/>
      <c r="J7" s="102"/>
      <c r="K7" s="168" t="s">
        <v>75</v>
      </c>
      <c r="L7" s="172">
        <v>0</v>
      </c>
      <c r="M7" s="172">
        <v>0</v>
      </c>
      <c r="N7" s="172">
        <v>0</v>
      </c>
      <c r="O7" s="172">
        <v>0</v>
      </c>
      <c r="P7" s="172">
        <v>0</v>
      </c>
      <c r="Q7" s="172">
        <v>0</v>
      </c>
      <c r="R7" s="172">
        <v>0</v>
      </c>
      <c r="S7" s="172">
        <v>0</v>
      </c>
      <c r="T7" s="172">
        <v>0</v>
      </c>
      <c r="U7" s="172">
        <v>0</v>
      </c>
      <c r="V7" s="172">
        <v>0</v>
      </c>
      <c r="W7" s="233">
        <v>0</v>
      </c>
      <c r="X7" s="233">
        <v>0</v>
      </c>
      <c r="Y7" s="233">
        <v>0</v>
      </c>
      <c r="Z7" s="233">
        <v>0</v>
      </c>
      <c r="AA7" s="111"/>
      <c r="AB7" s="111"/>
      <c r="AC7" s="111"/>
      <c r="AD7" s="111"/>
      <c r="AE7" s="111"/>
      <c r="AF7" s="97"/>
    </row>
    <row r="8" ht="40.15" customHeight="1">
      <c r="A8" s="97"/>
      <c r="B8" s="125"/>
      <c r="C8" s="87">
        <v>211</v>
      </c>
      <c r="D8" s="134" t="s">
        <v>76</v>
      </c>
      <c r="E8" s="78">
        <f>_xlfn.IFNA(VLOOKUP(C8,Worksheet!$C$3:$G$12,3,FALSE),E8)</f>
        <v>0</v>
      </c>
      <c r="F8" s="153">
        <f>_xlfn.IFNA(VLOOKUP(C8,Worksheet!$C$3:$G$12,4,FALSE),F8)</f>
        <v>0</v>
      </c>
      <c r="G8" s="153">
        <f>_xlfn.IFNA(VLOOKUP(C8,Worksheet!$C$3:$G$12,5,FALSE),G8)</f>
        <v>0</v>
      </c>
      <c r="H8" s="66" t="s">
        <v>34</v>
      </c>
      <c r="I8" s="97"/>
      <c r="J8" s="102"/>
      <c r="K8" s="102"/>
      <c r="L8" s="102"/>
      <c r="M8" s="102"/>
      <c r="N8" s="102"/>
      <c r="O8" s="169"/>
      <c r="P8" s="102"/>
      <c r="Q8" s="102"/>
      <c r="R8" s="102"/>
      <c r="S8" s="102"/>
      <c r="T8" s="102"/>
      <c r="U8" s="102"/>
      <c r="V8" s="102"/>
      <c r="W8" s="102"/>
      <c r="X8" s="102"/>
      <c r="Y8" s="102"/>
      <c r="Z8" s="111"/>
      <c r="AA8" s="111"/>
      <c r="AB8" s="111"/>
      <c r="AC8" s="111"/>
      <c r="AD8" s="111"/>
      <c r="AE8" s="161"/>
      <c r="AF8" s="97"/>
    </row>
    <row r="9" ht="40.15" customHeight="1">
      <c r="A9" s="97"/>
      <c r="B9" s="125"/>
      <c r="C9" s="87">
        <v>212</v>
      </c>
      <c r="D9" s="134" t="s">
        <v>77</v>
      </c>
      <c r="E9" s="78">
        <f>_xlfn.IFNA(VLOOKUP(C9,Worksheet!$C$3:$G$12,3,FALSE),E9)</f>
        <v>0</v>
      </c>
      <c r="F9" s="153">
        <f>_xlfn.IFNA(VLOOKUP(C9,Worksheet!$C$3:$G$12,4,FALSE),F9)</f>
        <v>0</v>
      </c>
      <c r="G9" s="153">
        <f>_xlfn.IFNA(VLOOKUP(C9,Worksheet!$C$3:$G$12,5,FALSE),G9)</f>
        <v>0</v>
      </c>
      <c r="H9" s="66" t="s">
        <v>34</v>
      </c>
      <c r="I9" s="97"/>
      <c r="J9" s="102"/>
      <c r="K9" s="318" t="s">
        <v>78</v>
      </c>
      <c r="L9" s="319"/>
      <c r="M9" s="319"/>
      <c r="N9" s="320"/>
      <c r="O9" s="169"/>
      <c r="P9" s="317"/>
      <c r="Q9" s="317"/>
      <c r="R9" s="317"/>
      <c r="S9" s="317"/>
      <c r="T9" s="169"/>
      <c r="U9" s="317"/>
      <c r="V9" s="317"/>
      <c r="W9" s="317"/>
      <c r="X9" s="317"/>
      <c r="Y9" s="169"/>
      <c r="Z9" s="111"/>
      <c r="AA9" s="111"/>
      <c r="AB9" s="111"/>
      <c r="AC9" s="111"/>
      <c r="AD9" s="111"/>
      <c r="AE9" s="161"/>
      <c r="AF9" s="97"/>
    </row>
    <row r="10" ht="40.15" customHeight="1">
      <c r="A10" s="97"/>
      <c r="B10" s="125"/>
      <c r="C10" s="87">
        <v>213</v>
      </c>
      <c r="D10" s="134" t="s">
        <v>79</v>
      </c>
      <c r="E10" s="78">
        <f>_xlfn.IFNA(VLOOKUP(C10,Worksheet!$C$3:$G$12,3,FALSE),E10)</f>
        <v>0</v>
      </c>
      <c r="F10" s="153">
        <f>_xlfn.IFNA(VLOOKUP(C10,Worksheet!$C$3:$G$12,4,FALSE),F10)</f>
        <v>0</v>
      </c>
      <c r="G10" s="153">
        <f>_xlfn.IFNA(VLOOKUP(C10,Worksheet!$C$3:$G$12,5,FALSE),G10)</f>
        <v>0</v>
      </c>
      <c r="H10" s="66" t="s">
        <v>34</v>
      </c>
      <c r="I10" s="97"/>
      <c r="J10" s="102"/>
      <c r="K10" s="309" t="s">
        <v>80</v>
      </c>
      <c r="L10" s="310"/>
      <c r="M10" s="310"/>
      <c r="N10" s="192">
        <v>0</v>
      </c>
      <c r="O10" s="169"/>
      <c r="P10" s="311"/>
      <c r="Q10" s="311"/>
      <c r="R10" s="311"/>
      <c r="S10" s="243"/>
      <c r="T10" s="169"/>
      <c r="U10" s="311"/>
      <c r="V10" s="311"/>
      <c r="W10" s="311"/>
      <c r="X10" s="243"/>
      <c r="Y10" s="169"/>
      <c r="Z10" s="111"/>
      <c r="AA10" s="111"/>
      <c r="AB10" s="111"/>
      <c r="AC10" s="111"/>
      <c r="AD10" s="111"/>
      <c r="AE10" s="161"/>
      <c r="AF10" s="97"/>
    </row>
    <row r="11" ht="50.45" customHeight="1">
      <c r="A11" s="97"/>
      <c r="B11" s="125"/>
      <c r="C11" s="87">
        <v>214</v>
      </c>
      <c r="D11" s="134" t="s">
        <v>81</v>
      </c>
      <c r="E11" s="78">
        <f>_xlfn.IFNA(VLOOKUP(C11,Worksheet!$C$3:$G$12,3,FALSE),E11)</f>
        <v>0</v>
      </c>
      <c r="F11" s="153">
        <f>_xlfn.IFNA(VLOOKUP(C11,Worksheet!$C$3:$G$12,4,FALSE),F11)</f>
        <v>0</v>
      </c>
      <c r="G11" s="153">
        <f>_xlfn.IFNA(VLOOKUP(C11,Worksheet!$C$3:$G$12,5,FALSE),G11)</f>
        <v>0</v>
      </c>
      <c r="H11" s="66" t="s">
        <v>34</v>
      </c>
      <c r="I11" s="97"/>
      <c r="J11" s="102"/>
      <c r="K11" s="309" t="s">
        <v>82</v>
      </c>
      <c r="L11" s="310"/>
      <c r="M11" s="310"/>
      <c r="N11" s="192">
        <v>0</v>
      </c>
      <c r="O11" s="111"/>
      <c r="P11" s="311"/>
      <c r="Q11" s="311"/>
      <c r="R11" s="311"/>
      <c r="S11" s="243"/>
      <c r="T11" s="169"/>
      <c r="U11" s="311"/>
      <c r="V11" s="311"/>
      <c r="W11" s="311"/>
      <c r="X11" s="243"/>
      <c r="Y11" s="169"/>
      <c r="Z11" s="111"/>
      <c r="AA11" s="111"/>
      <c r="AB11" s="111"/>
      <c r="AC11" s="111"/>
      <c r="AD11" s="111"/>
      <c r="AE11" s="161"/>
      <c r="AF11" s="97"/>
    </row>
    <row r="12" ht="48.6" customHeight="1">
      <c r="A12" s="97"/>
      <c r="B12" s="67"/>
      <c r="C12" s="173"/>
      <c r="D12" s="173"/>
      <c r="E12" s="173"/>
      <c r="F12" s="173"/>
      <c r="G12" s="173"/>
      <c r="H12" s="66" t="s">
        <v>53</v>
      </c>
      <c r="I12" s="97"/>
      <c r="J12" s="102"/>
      <c r="K12" s="309" t="s">
        <v>83</v>
      </c>
      <c r="L12" s="310"/>
      <c r="M12" s="310"/>
      <c r="N12" s="172">
        <v>0</v>
      </c>
      <c r="O12" s="111"/>
      <c r="P12" s="311"/>
      <c r="Q12" s="311"/>
      <c r="R12" s="311"/>
      <c r="S12" s="244"/>
      <c r="T12" s="111"/>
      <c r="U12" s="311"/>
      <c r="V12" s="311"/>
      <c r="W12" s="311"/>
      <c r="X12" s="244"/>
      <c r="Y12" s="111"/>
      <c r="Z12" s="111"/>
      <c r="AA12" s="111"/>
      <c r="AB12" s="111"/>
      <c r="AC12" s="111"/>
      <c r="AD12" s="111"/>
      <c r="AE12" s="161"/>
      <c r="AF12" s="97"/>
    </row>
    <row r="13" ht="48.6" customHeight="1">
      <c r="A13" s="97"/>
      <c r="B13" s="67"/>
      <c r="C13" s="173"/>
      <c r="D13" s="173"/>
      <c r="E13" s="173"/>
      <c r="F13" s="173"/>
      <c r="G13" s="173"/>
      <c r="H13" s="66" t="s">
        <v>34</v>
      </c>
      <c r="I13" s="97"/>
      <c r="J13" s="111"/>
      <c r="K13" s="111"/>
      <c r="L13" s="111"/>
      <c r="M13" s="111"/>
      <c r="N13" s="111"/>
      <c r="O13" s="169"/>
      <c r="P13" s="111"/>
      <c r="Q13" s="111"/>
      <c r="R13" s="111"/>
      <c r="S13" s="111"/>
      <c r="T13" s="111"/>
      <c r="U13" s="111"/>
      <c r="V13" s="111"/>
      <c r="W13" s="111"/>
      <c r="X13" s="111"/>
      <c r="Y13" s="111"/>
      <c r="Z13" s="111"/>
      <c r="AA13" s="111"/>
      <c r="AB13" s="111"/>
      <c r="AC13" s="111"/>
      <c r="AD13" s="111"/>
      <c r="AE13" s="161"/>
      <c r="AF13" s="97"/>
    </row>
    <row r="14" ht="40.15" customHeight="1">
      <c r="A14" s="97"/>
      <c r="B14" s="67"/>
      <c r="C14" s="173"/>
      <c r="D14" s="173"/>
      <c r="E14" s="173"/>
      <c r="F14" s="173"/>
      <c r="G14" s="173"/>
      <c r="H14" s="66" t="s">
        <v>34</v>
      </c>
      <c r="I14" s="97"/>
      <c r="J14" s="102"/>
      <c r="K14" s="312" t="s">
        <v>84</v>
      </c>
      <c r="L14" s="312"/>
      <c r="M14" s="174"/>
      <c r="N14" s="174"/>
      <c r="O14" s="174"/>
      <c r="P14" s="308" t="s">
        <v>85</v>
      </c>
      <c r="Q14" s="308"/>
      <c r="R14" s="174"/>
      <c r="S14" s="174"/>
      <c r="T14" s="111"/>
      <c r="U14" s="111"/>
      <c r="V14" s="111"/>
      <c r="W14" s="111"/>
      <c r="X14" s="111"/>
      <c r="Y14" s="111"/>
      <c r="Z14" s="111"/>
      <c r="AA14" s="111"/>
      <c r="AB14" s="111"/>
      <c r="AC14" s="111"/>
      <c r="AD14" s="111"/>
      <c r="AE14" s="111"/>
      <c r="AF14" s="97"/>
    </row>
    <row r="15" ht="47.45" customHeight="1">
      <c r="A15" s="97"/>
      <c r="B15" s="67"/>
      <c r="C15" s="173"/>
      <c r="D15" s="173"/>
      <c r="E15" s="173"/>
      <c r="F15" s="173"/>
      <c r="G15" s="173"/>
      <c r="H15" s="66" t="s">
        <v>34</v>
      </c>
      <c r="I15" s="97"/>
      <c r="J15" s="102"/>
      <c r="K15" s="307" t="s">
        <v>86</v>
      </c>
      <c r="L15" s="307"/>
      <c r="M15" s="175"/>
      <c r="N15" s="175"/>
      <c r="O15" s="175"/>
      <c r="P15" s="308" t="s">
        <v>85</v>
      </c>
      <c r="Q15" s="308"/>
      <c r="R15" s="175"/>
      <c r="S15" s="175"/>
      <c r="T15" s="111"/>
      <c r="U15" s="111"/>
      <c r="V15" s="111"/>
      <c r="W15" s="111"/>
      <c r="X15" s="111"/>
      <c r="Y15" s="111"/>
      <c r="Z15" s="111"/>
      <c r="AA15" s="111"/>
      <c r="AB15" s="111"/>
      <c r="AC15" s="111"/>
      <c r="AD15" s="111"/>
      <c r="AE15" s="111"/>
      <c r="AF15" s="97"/>
    </row>
    <row r="16" ht="40.15" customHeight="1">
      <c r="A16" s="97"/>
      <c r="B16" s="67"/>
      <c r="C16" s="173"/>
      <c r="D16" s="173"/>
      <c r="E16" s="173"/>
      <c r="F16" s="173"/>
      <c r="G16" s="173"/>
      <c r="H16" s="66" t="s">
        <v>34</v>
      </c>
      <c r="I16" s="97"/>
      <c r="J16" s="102"/>
      <c r="K16" s="111"/>
      <c r="L16" s="111"/>
      <c r="M16" s="111"/>
      <c r="N16" s="111"/>
      <c r="O16" s="111"/>
      <c r="P16" s="111"/>
      <c r="Q16" s="111"/>
      <c r="R16" s="111"/>
      <c r="S16" s="111"/>
      <c r="T16" s="111"/>
      <c r="U16" s="111"/>
      <c r="V16" s="111"/>
      <c r="W16" s="111"/>
      <c r="X16" s="111"/>
      <c r="Y16" s="111"/>
      <c r="Z16" s="111"/>
      <c r="AA16" s="111"/>
      <c r="AB16" s="111"/>
      <c r="AC16" s="111"/>
      <c r="AD16" s="111"/>
      <c r="AE16" s="111"/>
      <c r="AF16" s="97"/>
    </row>
    <row r="17" ht="40.15" customHeight="1">
      <c r="A17" s="102"/>
      <c r="B17" s="67"/>
      <c r="C17" s="173"/>
      <c r="D17" s="173"/>
      <c r="E17" s="173"/>
      <c r="F17" s="173"/>
      <c r="G17" s="173"/>
      <c r="H17" s="66" t="s">
        <v>34</v>
      </c>
      <c r="I17" s="97"/>
      <c r="J17" s="102"/>
      <c r="K17" s="111"/>
      <c r="L17" s="111"/>
      <c r="M17" s="111"/>
      <c r="N17" s="111"/>
      <c r="O17" s="111"/>
      <c r="P17" s="111"/>
      <c r="Q17" s="111"/>
      <c r="R17" s="111"/>
      <c r="S17" s="111"/>
      <c r="T17" s="111"/>
      <c r="U17" s="111"/>
      <c r="V17" s="111"/>
      <c r="W17" s="111"/>
      <c r="X17" s="111"/>
      <c r="Y17" s="111"/>
      <c r="Z17" s="111"/>
      <c r="AA17" s="111"/>
      <c r="AB17" s="111"/>
      <c r="AC17" s="111"/>
      <c r="AD17" s="111"/>
      <c r="AE17" s="111"/>
      <c r="AF17" s="97"/>
    </row>
    <row r="18" ht="40.15" customHeight="1">
      <c r="A18" s="102"/>
      <c r="B18" s="67"/>
      <c r="C18" s="111"/>
      <c r="D18" s="111"/>
      <c r="E18" s="111"/>
      <c r="F18" s="111"/>
      <c r="G18" s="111"/>
      <c r="H18" s="70"/>
      <c r="I18" s="97"/>
      <c r="J18" s="102"/>
      <c r="K18" s="111"/>
      <c r="L18" s="111"/>
      <c r="M18" s="111"/>
      <c r="N18" s="111"/>
      <c r="O18" s="111"/>
      <c r="P18" s="111"/>
      <c r="Q18" s="111"/>
      <c r="R18" s="111"/>
      <c r="S18" s="111"/>
      <c r="T18" s="111"/>
      <c r="U18" s="111"/>
      <c r="V18" s="111"/>
      <c r="W18" s="111"/>
      <c r="X18" s="111"/>
      <c r="Y18" s="111"/>
      <c r="Z18" s="111"/>
      <c r="AA18" s="111"/>
      <c r="AB18" s="111"/>
      <c r="AC18" s="111"/>
      <c r="AD18" s="111"/>
      <c r="AE18" s="111"/>
      <c r="AF18" s="97"/>
    </row>
    <row r="19" ht="40.15" customHeight="1">
      <c r="A19" s="102"/>
      <c r="B19" s="67"/>
      <c r="C19" s="111"/>
      <c r="D19" s="111"/>
      <c r="E19" s="111"/>
      <c r="F19" s="111"/>
      <c r="G19" s="111"/>
      <c r="H19" s="70"/>
      <c r="I19" s="97"/>
      <c r="J19" s="102"/>
      <c r="K19" s="111"/>
      <c r="L19" s="111"/>
      <c r="M19" s="111"/>
      <c r="N19" s="111"/>
      <c r="O19" s="111"/>
      <c r="P19" s="111"/>
      <c r="Q19" s="111"/>
      <c r="R19" s="111"/>
      <c r="S19" s="111"/>
      <c r="T19" s="111"/>
      <c r="U19" s="111"/>
      <c r="V19" s="111"/>
      <c r="W19" s="111"/>
      <c r="X19" s="111"/>
      <c r="Y19" s="111"/>
      <c r="Z19" s="111"/>
      <c r="AA19" s="111"/>
      <c r="AB19" s="111"/>
      <c r="AC19" s="111"/>
      <c r="AD19" s="111"/>
      <c r="AE19" s="161"/>
      <c r="AF19" s="97"/>
    </row>
    <row r="20" ht="40.15" customHeight="1">
      <c r="A20" s="97"/>
      <c r="B20" s="67"/>
      <c r="C20" s="111"/>
      <c r="D20" s="111"/>
      <c r="E20" s="111"/>
      <c r="F20" s="111"/>
      <c r="G20" s="111"/>
      <c r="H20" s="70"/>
      <c r="I20" s="97"/>
      <c r="J20" s="102"/>
      <c r="K20" s="111"/>
      <c r="L20" s="111"/>
      <c r="M20" s="111"/>
      <c r="N20" s="111"/>
      <c r="O20" s="111"/>
      <c r="P20" s="111"/>
      <c r="Q20" s="111"/>
      <c r="R20" s="111"/>
      <c r="S20" s="111"/>
      <c r="T20" s="111"/>
      <c r="U20" s="111"/>
      <c r="V20" s="111"/>
      <c r="W20" s="111"/>
      <c r="X20" s="111"/>
      <c r="Y20" s="111"/>
      <c r="Z20" s="111"/>
      <c r="AA20" s="111"/>
      <c r="AB20" s="111"/>
      <c r="AC20" s="111"/>
      <c r="AD20" s="111"/>
      <c r="AE20" s="161"/>
      <c r="AF20" s="97"/>
    </row>
    <row r="21" ht="40.15" customHeight="1">
      <c r="A21" s="97"/>
      <c r="B21" s="67"/>
      <c r="C21" s="111"/>
      <c r="D21" s="111"/>
      <c r="E21" s="111"/>
      <c r="F21" s="111"/>
      <c r="G21" s="111"/>
      <c r="H21" s="70"/>
      <c r="I21" s="97"/>
      <c r="J21" s="102"/>
      <c r="K21" s="111"/>
      <c r="L21" s="111"/>
      <c r="M21" s="111"/>
      <c r="N21" s="111"/>
      <c r="O21" s="111"/>
      <c r="P21" s="111"/>
      <c r="Q21" s="111"/>
      <c r="R21" s="111"/>
      <c r="S21" s="111"/>
      <c r="T21" s="111"/>
      <c r="U21" s="111"/>
      <c r="V21" s="111"/>
      <c r="W21" s="111"/>
      <c r="X21" s="111"/>
      <c r="Y21" s="111"/>
      <c r="Z21" s="111"/>
      <c r="AA21" s="111"/>
      <c r="AB21" s="111"/>
      <c r="AC21" s="111"/>
      <c r="AD21" s="111"/>
      <c r="AE21" s="114"/>
      <c r="AF21" s="97"/>
    </row>
    <row r="22" ht="40.15" customHeight="1">
      <c r="A22" s="97"/>
      <c r="B22" s="67"/>
      <c r="C22" s="111"/>
      <c r="D22" s="111"/>
      <c r="E22" s="111"/>
      <c r="F22" s="111"/>
      <c r="G22" s="111"/>
      <c r="H22" s="70"/>
      <c r="I22" s="97"/>
      <c r="J22" s="102"/>
      <c r="K22" s="111"/>
      <c r="L22" s="111"/>
      <c r="M22" s="111"/>
      <c r="N22" s="111"/>
      <c r="O22" s="111"/>
      <c r="P22" s="111"/>
      <c r="Q22" s="111"/>
      <c r="R22" s="111"/>
      <c r="S22" s="111"/>
      <c r="T22" s="111"/>
      <c r="U22" s="111"/>
      <c r="V22" s="111"/>
      <c r="W22" s="111"/>
      <c r="X22" s="111"/>
      <c r="Y22" s="111"/>
      <c r="Z22" s="111"/>
      <c r="AA22" s="111"/>
      <c r="AB22" s="111"/>
      <c r="AC22" s="111"/>
      <c r="AD22" s="111"/>
      <c r="AE22" s="114"/>
      <c r="AF22" s="97"/>
    </row>
    <row r="23" ht="40.15" customHeight="1">
      <c r="A23" s="97"/>
      <c r="B23" s="67"/>
      <c r="C23" s="111"/>
      <c r="D23" s="111"/>
      <c r="E23" s="111"/>
      <c r="F23" s="111"/>
      <c r="G23" s="111"/>
      <c r="H23" s="70"/>
      <c r="I23" s="97"/>
      <c r="J23" s="102"/>
      <c r="K23" s="111"/>
      <c r="L23" s="111"/>
      <c r="M23" s="111"/>
      <c r="N23" s="111"/>
      <c r="O23" s="111"/>
      <c r="P23" s="111"/>
      <c r="Q23" s="111"/>
      <c r="R23" s="111"/>
      <c r="S23" s="111"/>
      <c r="T23" s="111"/>
      <c r="U23" s="111"/>
      <c r="V23" s="111"/>
      <c r="W23" s="111"/>
      <c r="X23" s="111"/>
      <c r="Y23" s="111"/>
      <c r="Z23" s="111"/>
      <c r="AA23" s="111"/>
      <c r="AB23" s="111"/>
      <c r="AC23" s="111"/>
      <c r="AD23" s="111"/>
      <c r="AE23" s="114"/>
      <c r="AF23" s="97"/>
    </row>
    <row r="24" ht="40.15" customHeight="1">
      <c r="A24" s="97"/>
      <c r="B24" s="67"/>
      <c r="C24" s="111"/>
      <c r="D24" s="111"/>
      <c r="E24" s="111"/>
      <c r="F24" s="111"/>
      <c r="G24" s="111"/>
      <c r="H24" s="70"/>
      <c r="I24" s="97"/>
      <c r="J24" s="102"/>
      <c r="K24" s="111"/>
      <c r="L24" s="111"/>
      <c r="M24" s="111"/>
      <c r="N24" s="111"/>
      <c r="O24" s="111"/>
      <c r="P24" s="111"/>
      <c r="Q24" s="111"/>
      <c r="R24" s="111"/>
      <c r="S24" s="111"/>
      <c r="T24" s="111"/>
      <c r="U24" s="111"/>
      <c r="V24" s="111"/>
      <c r="W24" s="111"/>
      <c r="X24" s="111"/>
      <c r="Y24" s="111"/>
      <c r="Z24" s="111"/>
      <c r="AA24" s="111"/>
      <c r="AB24" s="111"/>
      <c r="AC24" s="111"/>
      <c r="AD24" s="111"/>
      <c r="AE24" s="114"/>
      <c r="AF24" s="97"/>
    </row>
    <row r="25" ht="40.15" customHeight="1">
      <c r="A25" s="97"/>
      <c r="B25" s="67"/>
      <c r="C25" s="111"/>
      <c r="D25" s="111"/>
      <c r="E25" s="111"/>
      <c r="F25" s="111"/>
      <c r="G25" s="111"/>
      <c r="H25" s="70"/>
      <c r="I25" s="97"/>
      <c r="J25" s="102"/>
      <c r="K25" s="111"/>
      <c r="L25" s="111"/>
      <c r="M25" s="111"/>
      <c r="N25" s="111"/>
      <c r="O25" s="111"/>
      <c r="P25" s="111"/>
      <c r="Q25" s="111"/>
      <c r="R25" s="111"/>
      <c r="S25" s="111"/>
      <c r="T25" s="111"/>
      <c r="U25" s="111"/>
      <c r="V25" s="111"/>
      <c r="W25" s="111"/>
      <c r="X25" s="111"/>
      <c r="Y25" s="111"/>
      <c r="Z25" s="111"/>
      <c r="AA25" s="111"/>
      <c r="AB25" s="111"/>
      <c r="AC25" s="111"/>
      <c r="AD25" s="111"/>
      <c r="AE25" s="97"/>
      <c r="AF25" s="97"/>
    </row>
    <row r="26" ht="40.15" customHeight="1">
      <c r="A26" s="97"/>
      <c r="B26" s="67"/>
      <c r="C26" s="111"/>
      <c r="D26" s="111"/>
      <c r="E26" s="111"/>
      <c r="F26" s="111"/>
      <c r="G26" s="111"/>
      <c r="H26" s="70"/>
      <c r="I26" s="97"/>
      <c r="J26" s="102"/>
      <c r="K26" s="111"/>
      <c r="L26" s="111"/>
      <c r="M26" s="111"/>
      <c r="N26" s="111"/>
      <c r="O26" s="111"/>
      <c r="P26" s="111"/>
      <c r="Q26" s="111"/>
      <c r="R26" s="111"/>
      <c r="S26" s="111"/>
      <c r="T26" s="111"/>
      <c r="U26" s="111"/>
      <c r="V26" s="111"/>
      <c r="W26" s="111"/>
      <c r="X26" s="111"/>
      <c r="Y26" s="111"/>
      <c r="Z26" s="111"/>
      <c r="AA26" s="111"/>
      <c r="AB26" s="111"/>
      <c r="AC26" s="111"/>
      <c r="AD26" s="111"/>
      <c r="AE26" s="97"/>
      <c r="AF26" s="97"/>
    </row>
    <row r="27" ht="40.15" customHeight="1">
      <c r="A27" s="97"/>
      <c r="B27" s="67"/>
      <c r="C27" s="111"/>
      <c r="D27" s="111"/>
      <c r="E27" s="111"/>
      <c r="F27" s="111"/>
      <c r="G27" s="111"/>
      <c r="H27" s="70"/>
      <c r="I27" s="97"/>
      <c r="J27" s="102"/>
      <c r="K27" s="97"/>
      <c r="L27" s="97"/>
      <c r="M27" s="97"/>
      <c r="N27" s="97"/>
      <c r="O27" s="97"/>
      <c r="P27" s="97"/>
      <c r="Q27" s="97"/>
      <c r="R27" s="97"/>
      <c r="S27" s="97"/>
      <c r="T27" s="97"/>
      <c r="U27" s="97"/>
      <c r="V27" s="97"/>
      <c r="W27" s="97"/>
      <c r="X27" s="97"/>
      <c r="Y27" s="97"/>
      <c r="Z27" s="97"/>
      <c r="AA27" s="97"/>
      <c r="AB27" s="97"/>
      <c r="AC27" s="97"/>
      <c r="AD27" s="97"/>
      <c r="AE27" s="97"/>
      <c r="AF27" s="97"/>
    </row>
    <row r="28" ht="40.15" customHeight="1">
      <c r="A28" s="97"/>
      <c r="B28" s="67"/>
      <c r="C28" s="111"/>
      <c r="D28" s="111"/>
      <c r="E28" s="111"/>
      <c r="F28" s="111"/>
      <c r="G28" s="111"/>
      <c r="H28" s="70"/>
      <c r="I28" s="97"/>
      <c r="J28" s="102"/>
      <c r="K28" s="97"/>
      <c r="L28" s="97"/>
      <c r="M28" s="97"/>
      <c r="N28" s="97"/>
      <c r="O28" s="97"/>
      <c r="P28" s="97"/>
      <c r="Q28" s="97"/>
      <c r="R28" s="97"/>
      <c r="S28" s="97"/>
      <c r="T28" s="97"/>
      <c r="U28" s="97"/>
      <c r="V28" s="97"/>
      <c r="W28" s="97"/>
      <c r="X28" s="97"/>
      <c r="Y28" s="97"/>
      <c r="Z28" s="97"/>
      <c r="AA28" s="97"/>
      <c r="AB28" s="97"/>
      <c r="AC28" s="97"/>
      <c r="AD28" s="97"/>
      <c r="AE28" s="97"/>
      <c r="AF28" s="97"/>
    </row>
    <row r="29" ht="40.15" customHeight="1">
      <c r="A29" s="97"/>
      <c r="B29" s="67"/>
      <c r="C29" s="111"/>
      <c r="D29" s="111"/>
      <c r="E29" s="111"/>
      <c r="F29" s="111"/>
      <c r="G29" s="111"/>
      <c r="H29" s="70"/>
      <c r="I29" s="97"/>
      <c r="J29" s="102"/>
      <c r="K29" s="97"/>
      <c r="L29" s="97"/>
      <c r="M29" s="97"/>
      <c r="N29" s="97"/>
      <c r="O29" s="119"/>
      <c r="P29" s="115"/>
      <c r="Q29" s="115"/>
      <c r="R29" s="115"/>
      <c r="S29" s="115"/>
      <c r="T29" s="116"/>
      <c r="U29" s="97"/>
      <c r="V29" s="97"/>
      <c r="W29" s="97"/>
      <c r="X29" s="97"/>
      <c r="Y29" s="97"/>
      <c r="Z29" s="97"/>
      <c r="AA29" s="97"/>
      <c r="AB29" s="97"/>
      <c r="AC29" s="97"/>
      <c r="AD29" s="97"/>
      <c r="AE29" s="97"/>
      <c r="AF29" s="97"/>
    </row>
    <row r="30" ht="40.15" customHeight="1">
      <c r="A30" s="97"/>
      <c r="B30" s="67"/>
      <c r="C30" s="111"/>
      <c r="D30" s="111"/>
      <c r="E30" s="111"/>
      <c r="F30" s="111"/>
      <c r="G30" s="111"/>
      <c r="H30" s="70"/>
      <c r="I30" s="97"/>
      <c r="J30" s="102"/>
      <c r="K30" s="97"/>
      <c r="L30" s="97"/>
      <c r="M30" s="97"/>
      <c r="N30" s="97"/>
      <c r="O30" s="117"/>
      <c r="P30" s="118"/>
      <c r="Q30" s="120"/>
      <c r="R30" s="120"/>
      <c r="S30" s="120"/>
      <c r="T30" s="120"/>
      <c r="U30" s="97"/>
      <c r="V30" s="97"/>
      <c r="W30" s="97"/>
      <c r="X30" s="97"/>
      <c r="Y30" s="97"/>
      <c r="Z30" s="97"/>
      <c r="AA30" s="97"/>
      <c r="AB30" s="97"/>
      <c r="AC30" s="97"/>
      <c r="AD30" s="97"/>
      <c r="AE30" s="97"/>
      <c r="AF30" s="97"/>
    </row>
    <row r="31" ht="40.15" customHeight="1">
      <c r="A31" s="97"/>
      <c r="B31" s="67"/>
      <c r="C31" s="111"/>
      <c r="D31" s="111"/>
      <c r="E31" s="111"/>
      <c r="F31" s="111"/>
      <c r="G31" s="111"/>
      <c r="H31" s="70"/>
      <c r="I31" s="97"/>
      <c r="J31" s="102"/>
      <c r="K31" s="97"/>
      <c r="L31" s="97"/>
      <c r="M31" s="97"/>
      <c r="N31" s="97"/>
      <c r="O31" s="117"/>
      <c r="P31" s="118"/>
      <c r="Q31" s="120"/>
      <c r="R31" s="120"/>
      <c r="S31" s="120"/>
      <c r="T31" s="120"/>
      <c r="U31" s="97"/>
      <c r="V31" s="97"/>
      <c r="W31" s="97"/>
      <c r="X31" s="97"/>
      <c r="Y31" s="97"/>
      <c r="Z31" s="97"/>
      <c r="AA31" s="97"/>
      <c r="AB31" s="97"/>
      <c r="AC31" s="97"/>
      <c r="AD31" s="97"/>
      <c r="AE31" s="97"/>
      <c r="AF31" s="97"/>
    </row>
    <row r="32" ht="40.15" customHeight="1">
      <c r="A32" s="97"/>
      <c r="B32" s="67"/>
      <c r="C32" s="111"/>
      <c r="D32" s="111"/>
      <c r="E32" s="111"/>
      <c r="F32" s="111"/>
      <c r="G32" s="111"/>
      <c r="H32" s="70"/>
      <c r="I32" s="97"/>
      <c r="J32" s="97"/>
      <c r="K32" s="97"/>
      <c r="L32" s="97"/>
      <c r="M32" s="97"/>
      <c r="N32" s="97"/>
      <c r="O32" s="117"/>
      <c r="P32" s="118"/>
      <c r="Q32" s="120"/>
      <c r="R32" s="120"/>
      <c r="S32" s="120"/>
      <c r="T32" s="120"/>
      <c r="U32" s="97"/>
      <c r="V32" s="97"/>
      <c r="W32" s="97"/>
      <c r="X32" s="97"/>
      <c r="Y32" s="97"/>
      <c r="Z32" s="97"/>
      <c r="AA32" s="97"/>
      <c r="AB32" s="97"/>
      <c r="AC32" s="97"/>
      <c r="AD32" s="97"/>
      <c r="AE32" s="97"/>
      <c r="AF32" s="97"/>
    </row>
    <row r="33" ht="40.15" customHeight="1">
      <c r="A33" s="97"/>
      <c r="B33" s="67"/>
      <c r="C33" s="111"/>
      <c r="D33" s="111"/>
      <c r="E33" s="111"/>
      <c r="F33" s="111"/>
      <c r="G33" s="111"/>
      <c r="H33" s="70"/>
      <c r="I33" s="97"/>
      <c r="J33" s="97"/>
      <c r="K33" s="97" t="s">
        <v>87</v>
      </c>
      <c r="L33" s="97"/>
      <c r="M33" s="97"/>
      <c r="N33" s="97"/>
      <c r="O33" s="108"/>
      <c r="P33" s="106"/>
      <c r="Q33" s="109"/>
      <c r="R33" s="97"/>
      <c r="S33" s="97"/>
      <c r="T33" s="97"/>
      <c r="U33" s="97"/>
      <c r="V33" s="97"/>
      <c r="W33" s="97"/>
      <c r="X33" s="97"/>
      <c r="Y33" s="97"/>
      <c r="Z33" s="97"/>
      <c r="AA33" s="97"/>
      <c r="AB33" s="97"/>
      <c r="AC33" s="97"/>
      <c r="AD33" s="97"/>
      <c r="AE33" s="97"/>
      <c r="AF33" s="97"/>
    </row>
    <row r="34" ht="40.15" customHeight="1">
      <c r="A34" s="97"/>
      <c r="B34" s="67"/>
      <c r="C34" s="111"/>
      <c r="D34" s="111"/>
      <c r="E34" s="111"/>
      <c r="F34" s="111"/>
      <c r="G34" s="111"/>
      <c r="H34" s="70"/>
      <c r="I34" s="97"/>
      <c r="J34" s="97"/>
      <c r="K34" s="97"/>
      <c r="L34" s="97"/>
      <c r="M34" s="97"/>
      <c r="N34" s="97"/>
      <c r="O34" s="108"/>
      <c r="P34" s="107"/>
      <c r="Q34" s="109"/>
      <c r="R34" s="97"/>
      <c r="S34" s="97"/>
      <c r="T34" s="97"/>
      <c r="U34" s="97"/>
      <c r="V34" s="97"/>
      <c r="W34" s="97"/>
      <c r="X34" s="97"/>
      <c r="Y34" s="97"/>
      <c r="Z34" s="97"/>
      <c r="AA34" s="97"/>
      <c r="AB34" s="97"/>
      <c r="AC34" s="97"/>
      <c r="AD34" s="97"/>
      <c r="AE34" s="97"/>
      <c r="AF34" s="97"/>
    </row>
    <row r="35" ht="40.15" customHeight="1">
      <c r="A35" s="97"/>
      <c r="B35" s="67"/>
      <c r="C35" s="111"/>
      <c r="D35" s="111"/>
      <c r="E35" s="111"/>
      <c r="F35" s="111"/>
      <c r="G35" s="111"/>
      <c r="H35" s="70"/>
      <c r="I35" s="97"/>
      <c r="J35" s="97"/>
      <c r="K35" s="97"/>
      <c r="L35" s="97"/>
      <c r="M35" s="97"/>
      <c r="N35" s="97"/>
      <c r="O35" s="97"/>
      <c r="P35" s="106"/>
      <c r="Q35" s="109"/>
      <c r="R35" s="97"/>
      <c r="S35" s="97"/>
      <c r="T35" s="97"/>
      <c r="U35" s="97"/>
      <c r="V35" s="97"/>
      <c r="W35" s="97"/>
      <c r="X35" s="97"/>
      <c r="Y35" s="97"/>
      <c r="Z35" s="97"/>
      <c r="AA35" s="97"/>
      <c r="AB35" s="97"/>
      <c r="AC35" s="97"/>
      <c r="AD35" s="97"/>
      <c r="AE35" s="97"/>
      <c r="AF35" s="97"/>
    </row>
    <row r="36" ht="40.15" customHeight="1">
      <c r="A36" s="97"/>
      <c r="B36" s="67"/>
      <c r="C36" s="111"/>
      <c r="D36" s="111"/>
      <c r="E36" s="111"/>
      <c r="F36" s="111"/>
      <c r="G36" s="111"/>
      <c r="H36" s="70"/>
      <c r="I36" s="97"/>
      <c r="J36" s="97"/>
      <c r="K36" s="97"/>
      <c r="L36" s="97"/>
      <c r="M36" s="97"/>
      <c r="N36" s="97"/>
      <c r="O36" s="108"/>
      <c r="P36" s="106"/>
      <c r="Q36" s="109"/>
      <c r="R36" s="97"/>
      <c r="S36" s="97"/>
      <c r="T36" s="97"/>
      <c r="U36" s="97"/>
      <c r="V36" s="97"/>
      <c r="W36" s="97"/>
      <c r="X36" s="97"/>
      <c r="Y36" s="97"/>
      <c r="Z36" s="97"/>
      <c r="AA36" s="97"/>
      <c r="AB36" s="97"/>
      <c r="AC36" s="97"/>
      <c r="AD36" s="97"/>
      <c r="AE36" s="97"/>
      <c r="AF36" s="97"/>
    </row>
    <row r="37" ht="40.15" customHeight="1">
      <c r="A37" s="97"/>
      <c r="B37" s="67"/>
      <c r="C37" s="111"/>
      <c r="D37" s="111"/>
      <c r="E37" s="111"/>
      <c r="F37" s="111"/>
      <c r="G37" s="111"/>
      <c r="H37" s="70"/>
      <c r="I37" s="97"/>
      <c r="J37" s="97"/>
      <c r="K37" s="97"/>
      <c r="L37" s="97"/>
      <c r="M37" s="97"/>
      <c r="N37" s="97"/>
      <c r="O37" s="108"/>
      <c r="P37" s="106"/>
      <c r="Q37" s="109"/>
      <c r="R37" s="97"/>
      <c r="S37" s="97"/>
      <c r="T37" s="97"/>
      <c r="U37" s="97"/>
      <c r="V37" s="97"/>
      <c r="W37" s="97"/>
      <c r="X37" s="97"/>
      <c r="Y37" s="97"/>
      <c r="Z37" s="97"/>
      <c r="AA37" s="97"/>
      <c r="AB37" s="97"/>
      <c r="AC37" s="97"/>
      <c r="AD37" s="97"/>
      <c r="AE37" s="97"/>
      <c r="AF37" s="97"/>
    </row>
    <row r="38" ht="40.15" customHeight="1">
      <c r="A38" s="97"/>
      <c r="B38" s="67"/>
      <c r="C38" s="111"/>
      <c r="D38" s="111"/>
      <c r="E38" s="111"/>
      <c r="F38" s="111"/>
      <c r="G38" s="111"/>
      <c r="H38" s="70"/>
      <c r="I38" s="97"/>
      <c r="J38" s="97"/>
      <c r="K38" s="97"/>
      <c r="L38" s="97"/>
      <c r="M38" s="97"/>
      <c r="N38" s="97"/>
      <c r="O38" s="108"/>
      <c r="P38" s="106"/>
      <c r="Q38" s="109"/>
      <c r="R38" s="97"/>
      <c r="S38" s="97"/>
      <c r="T38" s="97"/>
      <c r="U38" s="97"/>
      <c r="V38" s="97"/>
      <c r="W38" s="97"/>
      <c r="X38" s="97"/>
      <c r="Y38" s="97"/>
      <c r="Z38" s="97"/>
      <c r="AA38" s="97"/>
      <c r="AB38" s="97"/>
      <c r="AC38" s="97"/>
      <c r="AD38" s="97"/>
      <c r="AE38" s="97"/>
      <c r="AF38" s="97"/>
    </row>
    <row r="39" ht="40.15" customHeight="1">
      <c r="A39" s="97"/>
      <c r="B39" s="67"/>
      <c r="C39" s="111"/>
      <c r="D39" s="111"/>
      <c r="E39" s="111"/>
      <c r="F39" s="111"/>
      <c r="G39" s="111"/>
      <c r="H39" s="70"/>
      <c r="I39" s="97"/>
      <c r="J39" s="97"/>
      <c r="K39" s="97"/>
      <c r="L39" s="97"/>
      <c r="M39" s="97"/>
      <c r="N39" s="97"/>
      <c r="O39" s="108"/>
      <c r="P39" s="107"/>
      <c r="Q39" s="109"/>
      <c r="R39" s="97"/>
      <c r="S39" s="97"/>
      <c r="T39" s="97"/>
      <c r="U39" s="97"/>
      <c r="V39" s="97"/>
      <c r="W39" s="97"/>
      <c r="X39" s="97"/>
      <c r="Y39" s="97"/>
      <c r="Z39" s="97"/>
      <c r="AA39" s="97"/>
      <c r="AB39" s="97"/>
      <c r="AC39" s="97"/>
      <c r="AD39" s="97"/>
      <c r="AE39" s="97"/>
      <c r="AF39" s="97"/>
    </row>
    <row r="40" ht="40.15" customHeight="1">
      <c r="A40" s="97"/>
      <c r="B40" s="67"/>
      <c r="C40" s="111"/>
      <c r="D40" s="111"/>
      <c r="E40" s="111"/>
      <c r="F40" s="111"/>
      <c r="G40" s="111"/>
      <c r="H40" s="70"/>
      <c r="I40" s="97"/>
      <c r="J40" s="97"/>
      <c r="K40" s="97"/>
      <c r="L40" s="97"/>
      <c r="M40" s="97"/>
      <c r="N40" s="97"/>
      <c r="O40" s="97"/>
      <c r="P40" s="106"/>
      <c r="Q40" s="109"/>
      <c r="R40" s="97"/>
      <c r="S40" s="97"/>
      <c r="T40" s="97"/>
      <c r="U40" s="97"/>
      <c r="V40" s="97"/>
      <c r="W40" s="97"/>
      <c r="X40" s="97"/>
      <c r="Y40" s="97"/>
      <c r="Z40" s="97"/>
      <c r="AA40" s="97"/>
      <c r="AB40" s="97"/>
      <c r="AC40" s="97"/>
      <c r="AD40" s="97"/>
      <c r="AE40" s="97"/>
      <c r="AF40" s="97"/>
    </row>
    <row r="41" ht="40.15" customHeight="1">
      <c r="A41" s="97"/>
      <c r="B41" s="67"/>
      <c r="C41" s="111"/>
      <c r="D41" s="111"/>
      <c r="E41" s="111"/>
      <c r="F41" s="111"/>
      <c r="G41" s="111"/>
      <c r="H41" s="70"/>
      <c r="I41" s="97"/>
      <c r="J41" s="97"/>
      <c r="K41" s="97"/>
      <c r="L41" s="97"/>
      <c r="M41" s="97"/>
      <c r="N41" s="97"/>
      <c r="O41" s="108"/>
      <c r="P41" s="106"/>
      <c r="Q41" s="109"/>
      <c r="R41" s="97"/>
      <c r="S41" s="97"/>
      <c r="T41" s="97"/>
      <c r="U41" s="97"/>
      <c r="V41" s="97"/>
      <c r="W41" s="97"/>
      <c r="X41" s="97"/>
      <c r="Y41" s="97"/>
      <c r="Z41" s="97"/>
      <c r="AA41" s="97"/>
      <c r="AB41" s="97"/>
      <c r="AC41" s="97"/>
      <c r="AD41" s="97"/>
      <c r="AE41" s="97"/>
      <c r="AF41" s="97"/>
    </row>
    <row r="42" ht="40.15" customHeight="1">
      <c r="A42" s="97"/>
      <c r="B42" s="67"/>
      <c r="C42" s="111"/>
      <c r="D42" s="111"/>
      <c r="E42" s="111"/>
      <c r="F42" s="111"/>
      <c r="G42" s="111"/>
      <c r="H42" s="70"/>
      <c r="I42" s="97"/>
      <c r="J42" s="97"/>
      <c r="K42" s="97"/>
      <c r="L42" s="97"/>
      <c r="M42" s="97"/>
      <c r="N42" s="97"/>
      <c r="O42" s="108"/>
      <c r="P42" s="106"/>
      <c r="Q42" s="109"/>
      <c r="R42" s="97"/>
      <c r="S42" s="97"/>
      <c r="T42" s="97"/>
      <c r="U42" s="97"/>
      <c r="V42" s="97"/>
      <c r="W42" s="97"/>
      <c r="X42" s="97"/>
      <c r="Y42" s="97"/>
      <c r="Z42" s="97"/>
      <c r="AA42" s="97"/>
      <c r="AB42" s="97"/>
      <c r="AC42" s="97"/>
      <c r="AD42" s="97"/>
      <c r="AE42" s="97"/>
      <c r="AF42" s="97"/>
    </row>
    <row r="43" ht="40.15" customHeight="1">
      <c r="A43" s="97"/>
      <c r="B43" s="67"/>
      <c r="C43" s="111"/>
      <c r="D43" s="111"/>
      <c r="E43" s="111"/>
      <c r="F43" s="111"/>
      <c r="G43" s="111"/>
      <c r="H43" s="70"/>
      <c r="I43" s="97"/>
      <c r="J43" s="97"/>
      <c r="K43" s="97"/>
      <c r="L43" s="97"/>
      <c r="M43" s="97"/>
      <c r="N43" s="97"/>
      <c r="O43" s="108"/>
      <c r="P43" s="106"/>
      <c r="Q43" s="109"/>
      <c r="R43" s="97"/>
      <c r="S43" s="97"/>
      <c r="T43" s="97"/>
      <c r="U43" s="97"/>
      <c r="V43" s="97"/>
      <c r="W43" s="97"/>
      <c r="X43" s="97"/>
      <c r="Y43" s="97"/>
      <c r="Z43" s="97"/>
      <c r="AA43" s="97"/>
      <c r="AB43" s="97"/>
      <c r="AC43" s="97"/>
      <c r="AD43" s="97"/>
      <c r="AE43" s="97"/>
      <c r="AF43" s="97"/>
    </row>
    <row r="44" ht="40.15" customHeight="1">
      <c r="A44" s="97"/>
      <c r="H44" s="70"/>
      <c r="I44" s="97"/>
      <c r="J44" s="97"/>
      <c r="K44" s="97"/>
      <c r="L44" s="97"/>
      <c r="M44" s="97"/>
      <c r="N44" s="97"/>
      <c r="O44" s="108"/>
      <c r="P44" s="107"/>
      <c r="Q44" s="109"/>
      <c r="R44" s="97"/>
      <c r="S44" s="97"/>
      <c r="T44" s="97"/>
      <c r="U44" s="97"/>
      <c r="V44" s="97"/>
      <c r="W44" s="97"/>
      <c r="X44" s="97"/>
      <c r="Y44" s="97"/>
      <c r="Z44" s="97"/>
      <c r="AA44" s="97"/>
      <c r="AB44" s="97"/>
      <c r="AC44" s="97"/>
      <c r="AD44" s="97"/>
      <c r="AE44" s="97"/>
    </row>
    <row r="45" ht="40.15" customHeight="1">
      <c r="A45" s="97"/>
      <c r="H45" s="70"/>
      <c r="I45" s="97"/>
      <c r="J45" s="97"/>
      <c r="K45" s="97"/>
      <c r="L45" s="97"/>
      <c r="M45" s="97"/>
      <c r="N45" s="97"/>
      <c r="O45" s="97"/>
      <c r="P45" s="97"/>
      <c r="Q45" s="97"/>
      <c r="R45" s="97"/>
      <c r="S45" s="97"/>
      <c r="T45" s="97"/>
      <c r="U45" s="97"/>
      <c r="V45" s="97"/>
      <c r="W45" s="97"/>
      <c r="X45" s="97"/>
      <c r="Y45" s="97"/>
      <c r="Z45" s="97"/>
      <c r="AA45" s="97"/>
      <c r="AB45" s="97"/>
      <c r="AC45" s="97"/>
      <c r="AD45" s="97"/>
      <c r="AE45" s="97"/>
    </row>
    <row r="46" ht="40.15" customHeight="1">
      <c r="A46" s="97"/>
      <c r="H46" s="70"/>
      <c r="I46" s="97"/>
      <c r="J46" s="97"/>
      <c r="K46" s="97"/>
      <c r="L46" s="97"/>
      <c r="M46" s="97"/>
      <c r="N46" s="97"/>
      <c r="O46" s="97"/>
      <c r="P46" s="97"/>
      <c r="Q46" s="97"/>
      <c r="R46" s="97"/>
      <c r="S46" s="97"/>
      <c r="T46" s="97"/>
      <c r="U46" s="97"/>
      <c r="V46" s="97"/>
      <c r="W46" s="97"/>
      <c r="X46" s="97"/>
      <c r="Y46" s="97"/>
      <c r="Z46" s="97"/>
      <c r="AA46" s="97"/>
      <c r="AB46" s="97"/>
      <c r="AC46" s="97"/>
      <c r="AD46" s="97"/>
      <c r="AE46" s="97"/>
    </row>
    <row r="47" ht="40.15" customHeight="1">
      <c r="A47" s="97"/>
      <c r="H47" s="70"/>
      <c r="I47" s="97"/>
      <c r="J47" s="97"/>
      <c r="K47" s="97"/>
      <c r="L47" s="97"/>
      <c r="M47" s="97"/>
      <c r="N47" s="97"/>
      <c r="O47" s="97"/>
      <c r="P47" s="97"/>
      <c r="Q47" s="97"/>
      <c r="R47" s="97"/>
      <c r="S47" s="97"/>
      <c r="T47" s="97"/>
      <c r="U47" s="97"/>
      <c r="V47" s="97"/>
      <c r="W47" s="97"/>
      <c r="X47" s="97"/>
      <c r="Y47" s="97"/>
      <c r="Z47" s="97"/>
      <c r="AA47" s="97"/>
      <c r="AB47" s="97"/>
      <c r="AC47" s="97"/>
      <c r="AD47" s="97"/>
      <c r="AE47" s="97"/>
    </row>
    <row r="48" ht="40.15" customHeight="1">
      <c r="A48" s="97"/>
      <c r="H48" s="70"/>
      <c r="I48" s="97"/>
      <c r="J48" s="97"/>
      <c r="K48" s="97"/>
      <c r="L48" s="97"/>
      <c r="M48" s="97"/>
      <c r="N48" s="97"/>
      <c r="O48" s="97"/>
      <c r="P48" s="97"/>
      <c r="Q48" s="97"/>
      <c r="R48" s="97"/>
      <c r="S48" s="97"/>
      <c r="T48" s="97"/>
      <c r="U48" s="97"/>
      <c r="V48" s="97"/>
      <c r="W48" s="97"/>
      <c r="X48" s="97"/>
      <c r="Y48" s="97"/>
      <c r="Z48" s="97"/>
      <c r="AA48" s="97"/>
      <c r="AB48" s="97"/>
      <c r="AC48" s="97"/>
      <c r="AD48" s="97"/>
      <c r="AE48" s="97"/>
    </row>
    <row r="49" ht="40.15" customHeight="1">
      <c r="A49" s="97"/>
      <c r="H49" s="70"/>
      <c r="I49" s="97"/>
      <c r="J49" s="97"/>
      <c r="K49" s="97"/>
      <c r="L49" s="97"/>
      <c r="M49" s="97"/>
      <c r="N49" s="97"/>
      <c r="O49" s="97"/>
      <c r="P49" s="97"/>
      <c r="Q49" s="97"/>
      <c r="R49" s="97"/>
      <c r="S49" s="97"/>
      <c r="T49" s="97"/>
      <c r="U49" s="97"/>
      <c r="V49" s="97"/>
      <c r="W49" s="97"/>
      <c r="X49" s="97"/>
      <c r="Y49" s="97"/>
      <c r="Z49" s="97"/>
      <c r="AA49" s="97"/>
      <c r="AB49" s="97"/>
      <c r="AC49" s="97"/>
      <c r="AD49" s="97"/>
      <c r="AE49" s="97"/>
    </row>
    <row r="50" ht="40.15" customHeight="1">
      <c r="A50" s="97"/>
      <c r="H50" s="70"/>
      <c r="I50" s="97"/>
      <c r="J50" s="97"/>
      <c r="K50" s="97"/>
      <c r="L50" s="97"/>
      <c r="M50" s="97"/>
      <c r="N50" s="97"/>
      <c r="O50" s="97"/>
      <c r="P50" s="97"/>
      <c r="Q50" s="97"/>
      <c r="R50" s="97"/>
      <c r="S50" s="97"/>
      <c r="T50" s="97"/>
      <c r="U50" s="97"/>
      <c r="V50" s="97"/>
      <c r="W50" s="97"/>
      <c r="X50" s="97"/>
      <c r="Y50" s="97"/>
      <c r="Z50" s="97"/>
      <c r="AA50" s="97"/>
      <c r="AB50" s="97"/>
      <c r="AC50" s="97"/>
      <c r="AD50" s="97"/>
      <c r="AE50" s="97"/>
    </row>
    <row r="51" ht="40.15" customHeight="1">
      <c r="A51" s="97"/>
      <c r="H51" s="70"/>
      <c r="I51" s="97"/>
      <c r="J51" s="97"/>
      <c r="K51" s="97"/>
      <c r="L51" s="97"/>
      <c r="M51" s="97"/>
      <c r="N51" s="97"/>
      <c r="O51" s="97"/>
      <c r="P51" s="97"/>
      <c r="Q51" s="97"/>
      <c r="R51" s="97"/>
      <c r="S51" s="97"/>
      <c r="T51" s="97"/>
      <c r="U51" s="97"/>
      <c r="V51" s="97"/>
      <c r="W51" s="97"/>
      <c r="X51" s="97"/>
      <c r="Y51" s="97"/>
      <c r="Z51" s="97"/>
      <c r="AA51" s="97"/>
      <c r="AB51" s="97"/>
      <c r="AC51" s="97"/>
      <c r="AD51" s="97"/>
      <c r="AE51" s="97"/>
    </row>
    <row r="52" ht="40.15" customHeight="1">
      <c r="A52" s="97"/>
      <c r="H52" s="70"/>
      <c r="I52" s="97"/>
      <c r="J52" s="97"/>
      <c r="K52" s="97"/>
      <c r="L52" s="97"/>
      <c r="M52" s="97"/>
      <c r="N52" s="97"/>
      <c r="O52" s="97"/>
      <c r="P52" s="97"/>
      <c r="Q52" s="97"/>
      <c r="R52" s="97"/>
      <c r="S52" s="97"/>
      <c r="T52" s="97"/>
      <c r="U52" s="97"/>
      <c r="V52" s="97"/>
      <c r="W52" s="97"/>
      <c r="X52" s="97"/>
      <c r="Y52" s="97"/>
      <c r="Z52" s="97"/>
      <c r="AA52" s="97"/>
      <c r="AB52" s="97"/>
      <c r="AC52" s="97"/>
      <c r="AD52" s="97"/>
      <c r="AE52" s="97"/>
    </row>
    <row r="53" ht="40.15" customHeight="1">
      <c r="A53" s="97"/>
      <c r="H53" s="70"/>
      <c r="I53" s="97"/>
      <c r="J53" s="97"/>
      <c r="K53" s="97"/>
      <c r="L53" s="97"/>
      <c r="M53" s="97"/>
      <c r="N53" s="97"/>
      <c r="O53" s="97"/>
      <c r="P53" s="97"/>
      <c r="Q53" s="97"/>
      <c r="R53" s="97"/>
      <c r="S53" s="97"/>
      <c r="T53" s="97"/>
      <c r="U53" s="97"/>
      <c r="V53" s="97"/>
      <c r="W53" s="97"/>
      <c r="X53" s="97"/>
      <c r="Y53" s="97"/>
      <c r="Z53" s="97"/>
      <c r="AA53" s="97"/>
      <c r="AB53" s="97"/>
      <c r="AC53" s="97"/>
      <c r="AD53" s="97"/>
      <c r="AE53" s="97"/>
    </row>
    <row r="54" ht="40.15" customHeight="1">
      <c r="A54" s="97"/>
      <c r="H54" s="70"/>
      <c r="I54" s="97"/>
      <c r="J54" s="97"/>
      <c r="K54" s="97"/>
      <c r="L54" s="97"/>
      <c r="M54" s="97"/>
      <c r="N54" s="97"/>
      <c r="O54" s="97"/>
      <c r="P54" s="97"/>
      <c r="Q54" s="97"/>
      <c r="R54" s="97"/>
      <c r="S54" s="97"/>
      <c r="T54" s="97"/>
      <c r="U54" s="97"/>
      <c r="V54" s="97"/>
      <c r="W54" s="97"/>
      <c r="X54" s="97"/>
      <c r="Y54" s="97"/>
      <c r="Z54" s="97"/>
      <c r="AA54" s="97"/>
      <c r="AB54" s="97"/>
      <c r="AC54" s="97"/>
      <c r="AD54" s="97"/>
      <c r="AE54" s="97"/>
    </row>
    <row r="55" ht="40.15" customHeight="1">
      <c r="A55" s="60"/>
      <c r="H55" s="70"/>
      <c r="I55" s="60"/>
      <c r="J55" s="60"/>
      <c r="K55" s="60"/>
      <c r="L55" s="60"/>
      <c r="M55" s="60"/>
      <c r="N55" s="60"/>
      <c r="O55" s="60"/>
      <c r="P55" s="60"/>
      <c r="Q55" s="60"/>
      <c r="R55" s="60"/>
      <c r="S55" s="60"/>
      <c r="T55" s="60"/>
      <c r="U55" s="60"/>
      <c r="V55" s="60"/>
      <c r="W55" s="60"/>
      <c r="X55" s="60"/>
      <c r="Y55" s="60"/>
      <c r="Z55" s="60"/>
      <c r="AA55" s="60"/>
      <c r="AB55" s="60"/>
      <c r="AC55" s="60"/>
      <c r="AD55" s="60"/>
    </row>
    <row r="56" ht="40.15" customHeight="1">
      <c r="A56" s="60"/>
      <c r="H56" s="70"/>
      <c r="I56" s="60"/>
      <c r="J56" s="60"/>
      <c r="K56" s="60"/>
      <c r="L56" s="60"/>
      <c r="M56" s="60"/>
      <c r="N56" s="60"/>
      <c r="O56" s="60"/>
      <c r="P56" s="60"/>
      <c r="Q56" s="60"/>
      <c r="R56" s="60"/>
      <c r="S56" s="60"/>
      <c r="T56" s="60"/>
      <c r="U56" s="60"/>
      <c r="V56" s="60"/>
      <c r="W56" s="60"/>
      <c r="X56" s="60"/>
      <c r="Y56" s="60"/>
      <c r="Z56" s="60"/>
      <c r="AA56" s="60"/>
      <c r="AB56" s="60"/>
      <c r="AC56" s="60"/>
      <c r="AD56" s="60"/>
    </row>
    <row r="57" ht="40.15" customHeight="1">
      <c r="A57" s="60"/>
      <c r="H57" s="70"/>
      <c r="I57" s="60"/>
      <c r="J57" s="60"/>
      <c r="K57" s="60"/>
      <c r="L57" s="60"/>
      <c r="M57" s="60"/>
      <c r="N57" s="60"/>
      <c r="O57" s="60"/>
      <c r="P57" s="60"/>
      <c r="Q57" s="60"/>
      <c r="R57" s="60"/>
      <c r="S57" s="60"/>
      <c r="T57" s="60"/>
      <c r="U57" s="60"/>
      <c r="V57" s="60"/>
      <c r="W57" s="60"/>
      <c r="X57" s="60"/>
      <c r="Y57" s="60"/>
      <c r="Z57" s="60"/>
      <c r="AA57" s="60"/>
      <c r="AB57" s="60"/>
      <c r="AC57" s="60"/>
      <c r="AD57" s="60"/>
    </row>
    <row r="58" ht="40.15" customHeight="1">
      <c r="A58" s="60"/>
      <c r="H58" s="70"/>
      <c r="I58" s="60"/>
      <c r="J58" s="60"/>
      <c r="K58" s="60"/>
      <c r="L58" s="60"/>
      <c r="M58" s="60"/>
      <c r="N58" s="60"/>
      <c r="O58" s="60"/>
      <c r="P58" s="60"/>
      <c r="Q58" s="60"/>
      <c r="R58" s="60"/>
      <c r="S58" s="60"/>
      <c r="T58" s="60"/>
      <c r="U58" s="60"/>
      <c r="V58" s="60"/>
      <c r="W58" s="60"/>
      <c r="X58" s="60"/>
      <c r="Y58" s="60"/>
      <c r="Z58" s="60"/>
      <c r="AA58" s="60"/>
      <c r="AB58" s="60"/>
      <c r="AC58" s="60"/>
      <c r="AD58" s="60"/>
    </row>
    <row r="59" ht="40.15" customHeight="1">
      <c r="A59" s="60"/>
      <c r="H59" s="70"/>
      <c r="I59" s="60"/>
      <c r="J59" s="60"/>
      <c r="K59" s="60"/>
      <c r="L59" s="60"/>
      <c r="M59" s="60"/>
      <c r="N59" s="60"/>
      <c r="O59" s="60"/>
      <c r="P59" s="60"/>
      <c r="Q59" s="60"/>
      <c r="R59" s="60"/>
      <c r="S59" s="60"/>
      <c r="T59" s="60"/>
      <c r="U59" s="60"/>
      <c r="V59" s="60"/>
      <c r="W59" s="60"/>
      <c r="X59" s="60"/>
      <c r="Y59" s="60"/>
      <c r="Z59" s="60"/>
      <c r="AA59" s="60"/>
      <c r="AB59" s="60"/>
      <c r="AC59" s="60"/>
      <c r="AD59" s="60"/>
    </row>
    <row r="60" ht="40.15" customHeight="1">
      <c r="A60" s="60"/>
      <c r="H60" s="70"/>
      <c r="I60" s="60"/>
      <c r="J60" s="60"/>
      <c r="K60" s="60"/>
      <c r="L60" s="60"/>
      <c r="M60" s="60"/>
      <c r="N60" s="60"/>
      <c r="O60" s="60"/>
      <c r="P60" s="60"/>
      <c r="Q60" s="60"/>
      <c r="R60" s="60"/>
      <c r="S60" s="60"/>
      <c r="T60" s="60"/>
      <c r="U60" s="60"/>
      <c r="V60" s="60"/>
      <c r="W60" s="60"/>
      <c r="X60" s="60"/>
      <c r="Y60" s="60"/>
      <c r="Z60" s="60"/>
      <c r="AA60" s="60"/>
      <c r="AB60" s="60"/>
      <c r="AC60" s="60"/>
      <c r="AD60" s="60"/>
    </row>
    <row r="61" ht="40.15" customHeight="1">
      <c r="A61" s="60"/>
      <c r="H61" s="70"/>
      <c r="I61" s="60"/>
      <c r="J61" s="60"/>
      <c r="K61" s="60"/>
      <c r="L61" s="60"/>
      <c r="M61" s="60"/>
      <c r="N61" s="60"/>
      <c r="O61" s="60"/>
      <c r="P61" s="60"/>
      <c r="Q61" s="60"/>
      <c r="R61" s="60"/>
      <c r="S61" s="60"/>
      <c r="T61" s="60"/>
      <c r="U61" s="60"/>
      <c r="V61" s="60"/>
      <c r="W61" s="60"/>
      <c r="X61" s="60"/>
      <c r="Y61" s="60"/>
      <c r="Z61" s="60"/>
      <c r="AA61" s="60"/>
      <c r="AB61" s="60"/>
      <c r="AC61" s="60"/>
      <c r="AD61" s="60"/>
    </row>
    <row r="62" ht="40.15" customHeight="1">
      <c r="A62" s="60"/>
      <c r="H62" s="70"/>
      <c r="I62" s="60"/>
      <c r="J62" s="60"/>
      <c r="K62" s="60"/>
      <c r="L62" s="60"/>
      <c r="M62" s="60"/>
      <c r="N62" s="60"/>
      <c r="O62" s="60"/>
      <c r="P62" s="60"/>
      <c r="Q62" s="60"/>
      <c r="R62" s="60"/>
      <c r="S62" s="60"/>
      <c r="T62" s="60"/>
      <c r="U62" s="60"/>
      <c r="V62" s="60"/>
      <c r="W62" s="60"/>
      <c r="X62" s="60"/>
      <c r="Y62" s="60"/>
      <c r="Z62" s="60"/>
      <c r="AA62" s="60"/>
      <c r="AB62" s="60"/>
      <c r="AC62" s="60"/>
      <c r="AD62" s="60"/>
    </row>
    <row r="63" ht="40.15" customHeight="1">
      <c r="A63" s="60"/>
      <c r="H63" s="70"/>
      <c r="I63" s="60"/>
      <c r="J63" s="60"/>
      <c r="K63" s="60"/>
      <c r="L63" s="60"/>
      <c r="M63" s="60"/>
      <c r="N63" s="60"/>
      <c r="O63" s="60"/>
      <c r="P63" s="60"/>
      <c r="Q63" s="60"/>
      <c r="R63" s="60"/>
      <c r="S63" s="60"/>
      <c r="T63" s="60"/>
      <c r="U63" s="60"/>
      <c r="V63" s="60"/>
      <c r="W63" s="60"/>
      <c r="X63" s="60"/>
      <c r="Y63" s="60"/>
      <c r="Z63" s="60"/>
      <c r="AA63" s="60"/>
      <c r="AB63" s="60"/>
      <c r="AC63" s="60"/>
      <c r="AD63" s="60"/>
    </row>
    <row r="64" ht="40.15" customHeight="1">
      <c r="A64" s="60"/>
      <c r="H64" s="70"/>
      <c r="I64" s="60"/>
      <c r="J64" s="60"/>
      <c r="K64" s="60"/>
      <c r="L64" s="60"/>
      <c r="M64" s="60"/>
      <c r="N64" s="60"/>
      <c r="O64" s="60"/>
      <c r="P64" s="60"/>
      <c r="Q64" s="60"/>
      <c r="R64" s="60"/>
      <c r="S64" s="60"/>
      <c r="T64" s="60"/>
      <c r="U64" s="60"/>
      <c r="V64" s="60"/>
      <c r="W64" s="60"/>
      <c r="X64" s="60"/>
      <c r="Y64" s="60"/>
      <c r="Z64" s="60"/>
      <c r="AA64" s="60"/>
      <c r="AB64" s="60"/>
      <c r="AC64" s="60"/>
      <c r="AD64" s="60"/>
    </row>
    <row r="65" ht="40.15" customHeight="1">
      <c r="A65" s="60"/>
      <c r="H65" s="70"/>
      <c r="I65" s="60"/>
      <c r="J65" s="60"/>
      <c r="K65" s="60"/>
      <c r="L65" s="60"/>
      <c r="M65" s="60"/>
      <c r="N65" s="60"/>
      <c r="O65" s="60"/>
      <c r="P65" s="60"/>
      <c r="Q65" s="60"/>
      <c r="R65" s="60"/>
      <c r="S65" s="60"/>
      <c r="T65" s="60"/>
      <c r="U65" s="60"/>
      <c r="V65" s="60"/>
      <c r="W65" s="60"/>
      <c r="X65" s="60"/>
      <c r="Y65" s="60"/>
      <c r="Z65" s="60"/>
      <c r="AA65" s="60"/>
      <c r="AB65" s="60"/>
      <c r="AC65" s="60"/>
      <c r="AD65" s="60"/>
    </row>
    <row r="66" ht="40.15" customHeight="1">
      <c r="A66" s="60"/>
      <c r="H66" s="70"/>
      <c r="I66" s="60"/>
      <c r="J66" s="60"/>
      <c r="K66" s="60"/>
      <c r="L66" s="60"/>
      <c r="M66" s="60"/>
      <c r="N66" s="60"/>
      <c r="O66" s="60"/>
      <c r="P66" s="60"/>
      <c r="Q66" s="60"/>
      <c r="R66" s="60"/>
      <c r="S66" s="60"/>
      <c r="T66" s="60"/>
      <c r="U66" s="60"/>
      <c r="V66" s="60"/>
      <c r="W66" s="60"/>
      <c r="X66" s="60"/>
      <c r="Y66" s="60"/>
      <c r="Z66" s="60"/>
      <c r="AA66" s="60"/>
      <c r="AB66" s="60"/>
      <c r="AC66" s="60"/>
      <c r="AD66" s="60"/>
    </row>
    <row r="67" ht="40.15" customHeight="1">
      <c r="A67" s="60"/>
      <c r="H67" s="70"/>
      <c r="I67" s="60"/>
      <c r="J67" s="60"/>
      <c r="K67" s="60"/>
      <c r="L67" s="60"/>
      <c r="M67" s="60"/>
      <c r="N67" s="60"/>
      <c r="O67" s="60"/>
      <c r="P67" s="60"/>
      <c r="Q67" s="60"/>
      <c r="R67" s="60"/>
      <c r="S67" s="60"/>
      <c r="T67" s="60"/>
      <c r="U67" s="60"/>
      <c r="V67" s="60"/>
      <c r="W67" s="60"/>
      <c r="X67" s="60"/>
      <c r="Y67" s="60"/>
      <c r="Z67" s="60"/>
      <c r="AA67" s="60"/>
      <c r="AB67" s="60"/>
      <c r="AC67" s="60"/>
      <c r="AD67" s="60"/>
    </row>
    <row r="68" ht="40.15" customHeight="1">
      <c r="A68" s="60"/>
      <c r="H68" s="70"/>
      <c r="I68" s="60"/>
      <c r="J68" s="60"/>
      <c r="K68" s="60"/>
      <c r="L68" s="60"/>
      <c r="M68" s="60"/>
      <c r="N68" s="60"/>
      <c r="O68" s="60"/>
      <c r="P68" s="60"/>
      <c r="Q68" s="60"/>
      <c r="R68" s="60"/>
      <c r="S68" s="60"/>
      <c r="T68" s="60"/>
      <c r="U68" s="60"/>
      <c r="V68" s="60"/>
      <c r="W68" s="60"/>
      <c r="X68" s="60"/>
      <c r="Y68" s="60"/>
      <c r="Z68" s="60"/>
      <c r="AA68" s="60"/>
      <c r="AB68" s="60"/>
      <c r="AC68" s="60"/>
      <c r="AD68" s="60"/>
    </row>
    <row r="69" ht="40.15" customHeight="1">
      <c r="A69" s="60"/>
      <c r="H69" s="70"/>
      <c r="I69" s="60"/>
      <c r="J69" s="60"/>
      <c r="K69" s="60"/>
      <c r="L69" s="60"/>
      <c r="M69" s="60"/>
      <c r="N69" s="60"/>
      <c r="O69" s="60"/>
      <c r="P69" s="60"/>
      <c r="Q69" s="60"/>
      <c r="R69" s="60"/>
      <c r="S69" s="60"/>
      <c r="T69" s="60"/>
      <c r="U69" s="60"/>
      <c r="V69" s="60"/>
      <c r="W69" s="60"/>
      <c r="X69" s="60"/>
      <c r="Y69" s="60"/>
      <c r="Z69" s="60"/>
      <c r="AA69" s="60"/>
      <c r="AB69" s="60"/>
      <c r="AC69" s="60"/>
      <c r="AD69" s="60"/>
    </row>
    <row r="70" ht="40.15" customHeight="1">
      <c r="A70" s="60"/>
      <c r="H70" s="70"/>
      <c r="I70" s="60"/>
      <c r="J70" s="60"/>
      <c r="K70" s="60"/>
      <c r="L70" s="60"/>
      <c r="M70" s="60"/>
      <c r="N70" s="60"/>
      <c r="O70" s="60"/>
      <c r="P70" s="60"/>
      <c r="Q70" s="60"/>
      <c r="R70" s="60"/>
      <c r="S70" s="60"/>
      <c r="T70" s="60"/>
      <c r="U70" s="60"/>
      <c r="V70" s="60"/>
      <c r="W70" s="60"/>
      <c r="X70" s="60"/>
      <c r="Y70" s="60"/>
      <c r="Z70" s="60"/>
      <c r="AA70" s="60"/>
      <c r="AB70" s="60"/>
      <c r="AC70" s="60"/>
      <c r="AD70" s="60"/>
    </row>
    <row r="71" ht="40.15" customHeight="1">
      <c r="A71" s="60"/>
      <c r="H71" s="70"/>
      <c r="I71" s="60"/>
      <c r="J71" s="60"/>
      <c r="K71" s="60"/>
      <c r="L71" s="60"/>
      <c r="M71" s="60"/>
      <c r="N71" s="60"/>
      <c r="O71" s="60"/>
      <c r="P71" s="60"/>
      <c r="Q71" s="60"/>
      <c r="R71" s="60"/>
      <c r="S71" s="60"/>
      <c r="T71" s="60"/>
      <c r="U71" s="60"/>
      <c r="V71" s="60"/>
      <c r="W71" s="60"/>
      <c r="X71" s="60"/>
      <c r="Y71" s="60"/>
      <c r="Z71" s="60"/>
      <c r="AA71" s="60"/>
      <c r="AB71" s="60"/>
      <c r="AC71" s="60"/>
      <c r="AD71" s="60"/>
    </row>
    <row r="72" ht="40.15" customHeight="1">
      <c r="A72" s="60"/>
      <c r="H72" s="70"/>
      <c r="I72" s="60"/>
      <c r="J72" s="60"/>
      <c r="K72" s="60"/>
      <c r="L72" s="60"/>
      <c r="M72" s="60"/>
      <c r="N72" s="60"/>
      <c r="O72" s="60"/>
      <c r="P72" s="60"/>
      <c r="Q72" s="60"/>
      <c r="R72" s="60"/>
      <c r="S72" s="60"/>
      <c r="T72" s="60"/>
      <c r="U72" s="60"/>
      <c r="V72" s="60"/>
      <c r="W72" s="60"/>
      <c r="X72" s="60"/>
      <c r="Y72" s="60"/>
      <c r="Z72" s="60"/>
      <c r="AA72" s="60"/>
      <c r="AB72" s="60"/>
      <c r="AC72" s="60"/>
      <c r="AD72" s="60"/>
    </row>
    <row r="73" ht="40.15" customHeight="1">
      <c r="A73" s="60"/>
      <c r="H73" s="70"/>
      <c r="I73" s="60"/>
      <c r="J73" s="60"/>
      <c r="K73" s="60"/>
      <c r="L73" s="60"/>
      <c r="M73" s="60"/>
      <c r="N73" s="60"/>
      <c r="O73" s="60"/>
      <c r="P73" s="60"/>
      <c r="Q73" s="60"/>
      <c r="R73" s="60"/>
      <c r="S73" s="60"/>
      <c r="T73" s="60"/>
      <c r="U73" s="60"/>
      <c r="V73" s="60"/>
      <c r="W73" s="60"/>
      <c r="X73" s="60"/>
      <c r="Y73" s="60"/>
      <c r="Z73" s="60"/>
      <c r="AA73" s="60"/>
      <c r="AB73" s="60"/>
      <c r="AC73" s="60"/>
      <c r="AD73" s="60"/>
    </row>
    <row r="74" ht="40.15" customHeight="1">
      <c r="A74" s="60"/>
      <c r="H74" s="70"/>
      <c r="I74" s="60"/>
      <c r="J74" s="60"/>
      <c r="K74" s="60"/>
      <c r="L74" s="60"/>
      <c r="M74" s="60"/>
      <c r="N74" s="60"/>
      <c r="O74" s="60"/>
      <c r="P74" s="60"/>
      <c r="Q74" s="60"/>
      <c r="R74" s="60"/>
      <c r="S74" s="60"/>
      <c r="T74" s="60"/>
      <c r="U74" s="60"/>
      <c r="V74" s="60"/>
      <c r="W74" s="60"/>
      <c r="X74" s="60"/>
      <c r="Y74" s="60"/>
      <c r="Z74" s="60"/>
      <c r="AA74" s="60"/>
      <c r="AB74" s="60"/>
      <c r="AC74" s="60"/>
      <c r="AD74" s="60"/>
    </row>
    <row r="75" ht="40.15" customHeight="1">
      <c r="A75" s="60"/>
      <c r="H75" s="70"/>
      <c r="I75" s="60"/>
      <c r="J75" s="60"/>
      <c r="K75" s="60"/>
      <c r="L75" s="60"/>
      <c r="M75" s="60"/>
      <c r="N75" s="60"/>
      <c r="O75" s="60"/>
      <c r="P75" s="60"/>
      <c r="Q75" s="60"/>
      <c r="R75" s="60"/>
      <c r="S75" s="60"/>
      <c r="T75" s="60"/>
      <c r="U75" s="60"/>
      <c r="V75" s="60"/>
      <c r="W75" s="60"/>
      <c r="X75" s="60"/>
      <c r="Y75" s="60"/>
      <c r="Z75" s="60"/>
      <c r="AA75" s="60"/>
      <c r="AB75" s="60"/>
      <c r="AC75" s="60"/>
      <c r="AD75" s="60"/>
    </row>
    <row r="76" ht="40.15" customHeight="1">
      <c r="A76" s="60"/>
      <c r="H76" s="77"/>
      <c r="I76" s="60"/>
      <c r="J76" s="60"/>
      <c r="K76" s="60"/>
      <c r="L76" s="60"/>
      <c r="M76" s="60"/>
      <c r="N76" s="60"/>
      <c r="O76" s="60"/>
      <c r="P76" s="60"/>
      <c r="Q76" s="60"/>
      <c r="R76" s="60"/>
      <c r="S76" s="60"/>
      <c r="T76" s="60"/>
      <c r="U76" s="60"/>
      <c r="V76" s="60"/>
      <c r="W76" s="60"/>
      <c r="X76" s="60"/>
      <c r="Y76" s="60"/>
      <c r="Z76" s="60"/>
      <c r="AA76" s="60"/>
      <c r="AB76" s="60"/>
      <c r="AC76" s="60"/>
      <c r="AD76" s="60"/>
    </row>
    <row r="77" ht="40.15" customHeight="1">
      <c r="A77" s="60"/>
      <c r="H77" s="77"/>
      <c r="I77" s="60"/>
      <c r="J77" s="60"/>
      <c r="K77" s="60"/>
      <c r="L77" s="60"/>
      <c r="M77" s="60"/>
      <c r="N77" s="60"/>
      <c r="O77" s="60"/>
      <c r="P77" s="60"/>
      <c r="Q77" s="60"/>
      <c r="R77" s="60"/>
      <c r="S77" s="60"/>
      <c r="T77" s="60"/>
      <c r="U77" s="60"/>
      <c r="V77" s="60"/>
      <c r="W77" s="60"/>
      <c r="X77" s="60"/>
      <c r="Y77" s="60"/>
      <c r="Z77" s="60"/>
      <c r="AA77" s="60"/>
      <c r="AB77" s="60"/>
      <c r="AC77" s="60"/>
      <c r="AD77" s="60"/>
    </row>
    <row r="78" ht="40.15" customHeight="1">
      <c r="A78" s="60"/>
      <c r="H78" s="77"/>
      <c r="I78" s="60"/>
      <c r="J78" s="60"/>
      <c r="K78" s="60"/>
      <c r="L78" s="60"/>
      <c r="M78" s="60"/>
      <c r="N78" s="60"/>
      <c r="O78" s="60"/>
      <c r="P78" s="60"/>
      <c r="Q78" s="60"/>
      <c r="R78" s="60"/>
      <c r="S78" s="60"/>
      <c r="T78" s="60"/>
      <c r="U78" s="60"/>
      <c r="V78" s="60"/>
      <c r="W78" s="60"/>
      <c r="X78" s="60"/>
      <c r="Y78" s="60"/>
      <c r="Z78" s="60"/>
      <c r="AA78" s="60"/>
      <c r="AB78" s="60"/>
      <c r="AC78" s="60"/>
      <c r="AD78" s="60"/>
    </row>
    <row r="79" ht="40.15" customHeight="1">
      <c r="A79" s="60"/>
      <c r="H79" s="77"/>
      <c r="I79" s="60"/>
      <c r="J79" s="60"/>
      <c r="K79" s="60"/>
      <c r="L79" s="60"/>
      <c r="M79" s="60"/>
      <c r="N79" s="60"/>
      <c r="O79" s="60"/>
      <c r="P79" s="60"/>
      <c r="Q79" s="60"/>
      <c r="R79" s="60"/>
      <c r="S79" s="60"/>
      <c r="T79" s="60"/>
      <c r="U79" s="60"/>
      <c r="V79" s="60"/>
      <c r="W79" s="60"/>
      <c r="X79" s="60"/>
      <c r="Y79" s="60"/>
      <c r="Z79" s="60"/>
      <c r="AA79" s="60"/>
      <c r="AB79" s="60"/>
      <c r="AC79" s="60"/>
      <c r="AD79" s="60"/>
    </row>
    <row r="80" ht="40.15" customHeight="1">
      <c r="A80" s="60"/>
      <c r="H80" s="77"/>
      <c r="I80" s="60"/>
      <c r="J80" s="60"/>
      <c r="K80" s="60"/>
      <c r="L80" s="60"/>
      <c r="M80" s="60"/>
      <c r="N80" s="60"/>
      <c r="O80" s="60"/>
      <c r="P80" s="60"/>
      <c r="Q80" s="60"/>
      <c r="R80" s="60"/>
      <c r="S80" s="60"/>
      <c r="T80" s="60"/>
      <c r="U80" s="60"/>
      <c r="V80" s="60"/>
      <c r="W80" s="60"/>
      <c r="X80" s="60"/>
      <c r="Y80" s="60"/>
      <c r="Z80" s="60"/>
      <c r="AA80" s="60"/>
      <c r="AB80" s="60"/>
      <c r="AC80" s="60"/>
      <c r="AD80" s="60"/>
    </row>
    <row r="81" ht="40.15" customHeight="1">
      <c r="A81" s="60"/>
      <c r="H81" s="77"/>
      <c r="I81" s="60"/>
      <c r="J81" s="60"/>
      <c r="K81" s="60"/>
      <c r="L81" s="60"/>
      <c r="M81" s="60"/>
      <c r="N81" s="60"/>
      <c r="O81" s="60"/>
      <c r="P81" s="60"/>
      <c r="Q81" s="60"/>
      <c r="R81" s="60"/>
      <c r="S81" s="60"/>
      <c r="T81" s="60"/>
      <c r="U81" s="60"/>
      <c r="V81" s="60"/>
      <c r="W81" s="60"/>
      <c r="X81" s="60"/>
      <c r="Y81" s="60"/>
      <c r="Z81" s="60"/>
      <c r="AA81" s="60"/>
      <c r="AB81" s="60"/>
      <c r="AC81" s="60"/>
      <c r="AD81" s="60"/>
    </row>
    <row r="82" ht="40.15" customHeight="1">
      <c r="A82" s="60"/>
      <c r="H82" s="77"/>
      <c r="I82" s="60"/>
      <c r="J82" s="60"/>
      <c r="K82" s="60"/>
      <c r="L82" s="60"/>
      <c r="M82" s="60"/>
      <c r="N82" s="60"/>
      <c r="O82" s="60"/>
      <c r="P82" s="60"/>
      <c r="Q82" s="60"/>
      <c r="R82" s="60"/>
      <c r="S82" s="60"/>
      <c r="T82" s="60"/>
      <c r="U82" s="60"/>
      <c r="V82" s="60"/>
      <c r="W82" s="60"/>
      <c r="X82" s="60"/>
      <c r="Y82" s="60"/>
      <c r="Z82" s="60"/>
      <c r="AA82" s="60"/>
      <c r="AB82" s="60"/>
      <c r="AC82" s="60"/>
      <c r="AD82" s="60"/>
    </row>
    <row r="83" ht="40.15" customHeight="1">
      <c r="A83" s="60"/>
      <c r="H83" s="77"/>
      <c r="I83" s="60"/>
      <c r="J83" s="60"/>
      <c r="K83" s="60"/>
      <c r="L83" s="60"/>
      <c r="M83" s="60"/>
      <c r="N83" s="60"/>
      <c r="O83" s="60"/>
      <c r="P83" s="60"/>
      <c r="Q83" s="60"/>
      <c r="R83" s="60"/>
      <c r="S83" s="60"/>
      <c r="T83" s="60"/>
      <c r="U83" s="60"/>
      <c r="V83" s="60"/>
      <c r="W83" s="60"/>
      <c r="X83" s="60"/>
      <c r="Y83" s="60"/>
      <c r="Z83" s="60"/>
      <c r="AA83" s="60"/>
      <c r="AB83" s="60"/>
      <c r="AC83" s="60"/>
      <c r="AD83" s="60"/>
    </row>
    <row r="84" ht="40.15" customHeight="1">
      <c r="A84" s="60"/>
      <c r="H84" s="77"/>
      <c r="I84" s="60"/>
      <c r="J84" s="60"/>
      <c r="K84" s="60"/>
      <c r="L84" s="60"/>
      <c r="M84" s="60"/>
      <c r="N84" s="60"/>
      <c r="O84" s="60"/>
      <c r="P84" s="60"/>
      <c r="Q84" s="60"/>
      <c r="R84" s="60"/>
      <c r="S84" s="60"/>
      <c r="T84" s="60"/>
      <c r="U84" s="60"/>
      <c r="V84" s="60"/>
      <c r="W84" s="60"/>
      <c r="X84" s="60"/>
      <c r="Y84" s="60"/>
      <c r="Z84" s="60"/>
      <c r="AA84" s="60"/>
      <c r="AB84" s="60"/>
      <c r="AC84" s="60"/>
      <c r="AD84" s="60"/>
    </row>
    <row r="85" ht="40.15" customHeight="1">
      <c r="A85" s="60"/>
      <c r="H85" s="77"/>
      <c r="I85" s="60"/>
      <c r="J85" s="60"/>
      <c r="K85" s="60"/>
      <c r="L85" s="60"/>
      <c r="M85" s="60"/>
      <c r="N85" s="60"/>
      <c r="O85" s="60"/>
      <c r="P85" s="60"/>
      <c r="Q85" s="60"/>
      <c r="R85" s="60"/>
      <c r="S85" s="60"/>
      <c r="T85" s="60"/>
      <c r="U85" s="60"/>
      <c r="V85" s="60"/>
      <c r="W85" s="60"/>
      <c r="X85" s="60"/>
      <c r="Y85" s="60"/>
      <c r="Z85" s="60"/>
      <c r="AA85" s="60"/>
      <c r="AB85" s="60"/>
      <c r="AC85" s="60"/>
      <c r="AD85" s="60"/>
    </row>
    <row r="86" ht="40.15" customHeight="1">
      <c r="A86" s="60"/>
      <c r="H86" s="77"/>
      <c r="I86" s="60"/>
      <c r="J86" s="60"/>
      <c r="K86" s="60"/>
      <c r="L86" s="60"/>
      <c r="M86" s="60"/>
      <c r="N86" s="60"/>
      <c r="O86" s="60"/>
      <c r="P86" s="60"/>
      <c r="Q86" s="60"/>
      <c r="R86" s="60"/>
      <c r="S86" s="60"/>
      <c r="T86" s="60"/>
      <c r="U86" s="60"/>
      <c r="V86" s="60"/>
      <c r="W86" s="60"/>
      <c r="X86" s="60"/>
      <c r="Y86" s="60"/>
      <c r="Z86" s="60"/>
      <c r="AA86" s="60"/>
      <c r="AB86" s="60"/>
      <c r="AC86" s="60"/>
      <c r="AD86" s="60"/>
    </row>
    <row r="87" ht="40.15" customHeight="1">
      <c r="A87" s="60"/>
      <c r="H87" s="77"/>
      <c r="I87" s="60"/>
      <c r="J87" s="60"/>
      <c r="K87" s="60"/>
      <c r="L87" s="60"/>
      <c r="M87" s="60"/>
      <c r="N87" s="60"/>
      <c r="O87" s="60"/>
      <c r="P87" s="60"/>
      <c r="Q87" s="60"/>
      <c r="R87" s="60"/>
      <c r="S87" s="60"/>
      <c r="T87" s="60"/>
      <c r="U87" s="60"/>
      <c r="V87" s="60"/>
      <c r="W87" s="60"/>
      <c r="X87" s="60"/>
      <c r="Y87" s="60"/>
      <c r="Z87" s="60"/>
      <c r="AA87" s="60"/>
      <c r="AB87" s="60"/>
      <c r="AC87" s="60"/>
      <c r="AD87" s="60"/>
    </row>
    <row r="88" ht="40.15" customHeight="1">
      <c r="A88" s="60"/>
      <c r="H88" s="77"/>
      <c r="I88" s="60"/>
      <c r="J88" s="60"/>
      <c r="K88" s="60"/>
      <c r="L88" s="60"/>
      <c r="M88" s="60"/>
      <c r="N88" s="60"/>
      <c r="O88" s="60"/>
      <c r="P88" s="60"/>
      <c r="Q88" s="60"/>
      <c r="R88" s="60"/>
      <c r="S88" s="60"/>
      <c r="T88" s="60"/>
      <c r="U88" s="60"/>
      <c r="V88" s="60"/>
      <c r="W88" s="60"/>
      <c r="X88" s="60"/>
      <c r="Y88" s="60"/>
      <c r="Z88" s="60"/>
      <c r="AA88" s="60"/>
      <c r="AB88" s="60"/>
      <c r="AC88" s="60"/>
      <c r="AD88" s="60"/>
    </row>
    <row r="89" ht="40.15" customHeight="1">
      <c r="A89" s="60"/>
      <c r="H89" s="77"/>
      <c r="I89" s="60"/>
      <c r="J89" s="60"/>
      <c r="K89" s="60"/>
      <c r="L89" s="60"/>
      <c r="M89" s="60"/>
      <c r="N89" s="60"/>
      <c r="O89" s="60"/>
      <c r="P89" s="60"/>
      <c r="Q89" s="60"/>
      <c r="R89" s="60"/>
      <c r="S89" s="60"/>
      <c r="T89" s="60"/>
      <c r="U89" s="60"/>
      <c r="V89" s="60"/>
      <c r="W89" s="60"/>
      <c r="X89" s="60"/>
      <c r="Y89" s="60"/>
      <c r="Z89" s="60"/>
      <c r="AA89" s="60"/>
      <c r="AB89" s="60"/>
      <c r="AC89" s="60"/>
      <c r="AD89" s="60"/>
    </row>
    <row r="90" ht="40.15" customHeight="1">
      <c r="A90" s="60"/>
      <c r="H90" s="77"/>
      <c r="I90" s="60"/>
      <c r="J90" s="60"/>
      <c r="K90" s="60"/>
      <c r="L90" s="60"/>
      <c r="M90" s="60"/>
      <c r="N90" s="60"/>
      <c r="O90" s="60"/>
      <c r="P90" s="60"/>
      <c r="Q90" s="60"/>
      <c r="R90" s="60"/>
      <c r="S90" s="60"/>
      <c r="T90" s="60"/>
      <c r="U90" s="60"/>
      <c r="V90" s="60"/>
      <c r="W90" s="60"/>
      <c r="X90" s="60"/>
      <c r="Y90" s="60"/>
      <c r="Z90" s="60"/>
      <c r="AA90" s="60"/>
      <c r="AB90" s="60"/>
      <c r="AC90" s="60"/>
      <c r="AD90" s="60"/>
    </row>
    <row r="91" ht="40.15" customHeight="1">
      <c r="A91" s="60"/>
      <c r="H91" s="77"/>
      <c r="I91" s="60"/>
      <c r="J91" s="60"/>
      <c r="K91" s="60"/>
      <c r="L91" s="60"/>
      <c r="M91" s="60"/>
      <c r="N91" s="60"/>
      <c r="O91" s="60"/>
      <c r="P91" s="60"/>
      <c r="Q91" s="60"/>
      <c r="R91" s="60"/>
      <c r="S91" s="60"/>
      <c r="T91" s="60"/>
      <c r="U91" s="60"/>
      <c r="V91" s="60"/>
      <c r="W91" s="60"/>
      <c r="X91" s="60"/>
      <c r="Y91" s="60"/>
      <c r="Z91" s="60"/>
      <c r="AA91" s="60"/>
      <c r="AB91" s="60"/>
      <c r="AC91" s="60"/>
      <c r="AD91" s="60"/>
    </row>
    <row r="92" ht="40.15" customHeight="1">
      <c r="A92" s="60"/>
      <c r="H92" s="77"/>
      <c r="I92" s="60"/>
      <c r="J92" s="60"/>
      <c r="K92" s="60"/>
      <c r="L92" s="60"/>
      <c r="M92" s="60"/>
      <c r="N92" s="60"/>
      <c r="O92" s="60"/>
      <c r="P92" s="60"/>
      <c r="Q92" s="60"/>
      <c r="R92" s="60"/>
      <c r="S92" s="60"/>
      <c r="T92" s="60"/>
      <c r="U92" s="60"/>
      <c r="V92" s="60"/>
      <c r="W92" s="60"/>
      <c r="X92" s="60"/>
      <c r="Y92" s="60"/>
      <c r="Z92" s="60"/>
      <c r="AA92" s="60"/>
      <c r="AB92" s="60"/>
      <c r="AC92" s="60"/>
      <c r="AD92" s="60"/>
    </row>
    <row r="93" ht="40.15" customHeight="1">
      <c r="A93" s="60"/>
      <c r="H93" s="77"/>
      <c r="I93" s="60"/>
      <c r="J93" s="60"/>
      <c r="K93" s="60"/>
      <c r="L93" s="60"/>
      <c r="M93" s="60"/>
      <c r="N93" s="60"/>
      <c r="O93" s="60"/>
      <c r="P93" s="60"/>
      <c r="Q93" s="60"/>
      <c r="R93" s="60"/>
      <c r="S93" s="60"/>
      <c r="T93" s="60"/>
      <c r="U93" s="60"/>
      <c r="V93" s="60"/>
      <c r="W93" s="60"/>
      <c r="X93" s="60"/>
      <c r="Y93" s="60"/>
      <c r="Z93" s="60"/>
      <c r="AA93" s="60"/>
      <c r="AB93" s="60"/>
      <c r="AC93" s="60"/>
      <c r="AD93" s="60"/>
    </row>
    <row r="94" ht="40.15" customHeight="1">
      <c r="A94" s="60"/>
      <c r="H94" s="77"/>
      <c r="I94" s="60"/>
      <c r="J94" s="60"/>
      <c r="K94" s="60"/>
      <c r="L94" s="60"/>
      <c r="M94" s="60"/>
      <c r="N94" s="60"/>
      <c r="O94" s="60"/>
      <c r="P94" s="60"/>
      <c r="Q94" s="60"/>
      <c r="R94" s="60"/>
      <c r="S94" s="60"/>
      <c r="T94" s="60"/>
      <c r="U94" s="60"/>
      <c r="V94" s="60"/>
      <c r="W94" s="60"/>
      <c r="X94" s="60"/>
      <c r="Y94" s="60"/>
      <c r="Z94" s="60"/>
      <c r="AA94" s="60"/>
      <c r="AB94" s="60"/>
      <c r="AC94" s="60"/>
      <c r="AD94" s="60"/>
    </row>
    <row r="95" ht="40.15" customHeight="1">
      <c r="A95" s="60"/>
      <c r="H95" s="77"/>
      <c r="I95" s="60"/>
      <c r="J95" s="60"/>
      <c r="K95" s="60"/>
      <c r="L95" s="60"/>
      <c r="M95" s="60"/>
      <c r="N95" s="60"/>
      <c r="O95" s="60"/>
      <c r="P95" s="60"/>
      <c r="Q95" s="60"/>
      <c r="R95" s="60"/>
      <c r="S95" s="60"/>
      <c r="T95" s="60"/>
      <c r="U95" s="60"/>
      <c r="V95" s="60"/>
      <c r="W95" s="60"/>
      <c r="X95" s="60"/>
      <c r="Y95" s="60"/>
      <c r="Z95" s="60"/>
      <c r="AA95" s="60"/>
      <c r="AB95" s="60"/>
      <c r="AC95" s="60"/>
      <c r="AD95" s="60"/>
    </row>
    <row r="96" ht="40.15" customHeight="1">
      <c r="A96" s="60"/>
      <c r="H96" s="77"/>
      <c r="I96" s="60"/>
      <c r="J96" s="60"/>
      <c r="K96" s="60"/>
      <c r="L96" s="60"/>
      <c r="M96" s="60"/>
      <c r="N96" s="60"/>
      <c r="O96" s="60"/>
      <c r="P96" s="60"/>
      <c r="Q96" s="60"/>
      <c r="R96" s="60"/>
      <c r="S96" s="60"/>
      <c r="T96" s="60"/>
      <c r="U96" s="60"/>
      <c r="V96" s="60"/>
      <c r="W96" s="60"/>
      <c r="X96" s="60"/>
      <c r="Y96" s="60"/>
      <c r="Z96" s="60"/>
      <c r="AA96" s="60"/>
      <c r="AB96" s="60"/>
      <c r="AC96" s="60"/>
      <c r="AD96" s="60"/>
    </row>
    <row r="97" ht="40.15" customHeight="1">
      <c r="A97" s="60"/>
      <c r="H97" s="77"/>
      <c r="I97" s="60"/>
      <c r="J97" s="60"/>
      <c r="K97" s="60"/>
      <c r="L97" s="60"/>
      <c r="M97" s="60"/>
      <c r="N97" s="60"/>
      <c r="O97" s="60"/>
      <c r="P97" s="60"/>
      <c r="Q97" s="60"/>
      <c r="R97" s="60"/>
      <c r="S97" s="60"/>
      <c r="T97" s="60"/>
      <c r="U97" s="60"/>
      <c r="V97" s="60"/>
      <c r="W97" s="60"/>
      <c r="X97" s="60"/>
      <c r="Y97" s="60"/>
      <c r="Z97" s="60"/>
      <c r="AA97" s="60"/>
      <c r="AB97" s="60"/>
      <c r="AC97" s="60"/>
      <c r="AD97" s="60"/>
    </row>
    <row r="98" ht="40.15" customHeight="1">
      <c r="A98" s="60"/>
      <c r="H98" s="77"/>
      <c r="I98" s="60"/>
      <c r="J98" s="60"/>
      <c r="K98" s="60"/>
      <c r="L98" s="60"/>
      <c r="M98" s="60"/>
      <c r="N98" s="60"/>
      <c r="O98" s="60"/>
      <c r="P98" s="60"/>
      <c r="Q98" s="60"/>
      <c r="R98" s="60"/>
      <c r="S98" s="60"/>
      <c r="T98" s="60"/>
      <c r="U98" s="60"/>
      <c r="V98" s="60"/>
      <c r="W98" s="60"/>
      <c r="X98" s="60"/>
      <c r="Y98" s="60"/>
      <c r="Z98" s="60"/>
      <c r="AA98" s="60"/>
      <c r="AB98" s="60"/>
      <c r="AC98" s="60"/>
      <c r="AD98" s="60"/>
    </row>
    <row r="99" ht="40.15" customHeight="1">
      <c r="A99" s="60"/>
      <c r="H99" s="77"/>
      <c r="I99" s="60"/>
      <c r="J99" s="60"/>
      <c r="K99" s="60"/>
      <c r="L99" s="60"/>
      <c r="M99" s="60"/>
      <c r="N99" s="60"/>
      <c r="O99" s="60"/>
      <c r="P99" s="60"/>
      <c r="Q99" s="60"/>
      <c r="R99" s="60"/>
      <c r="S99" s="60"/>
      <c r="T99" s="60"/>
      <c r="U99" s="60"/>
      <c r="V99" s="60"/>
      <c r="W99" s="60"/>
      <c r="X99" s="60"/>
      <c r="Y99" s="60"/>
      <c r="Z99" s="60"/>
      <c r="AA99" s="60"/>
      <c r="AB99" s="60"/>
      <c r="AC99" s="60"/>
      <c r="AD99" s="60"/>
    </row>
    <row r="100" ht="40.15" customHeight="1">
      <c r="A100" s="60"/>
      <c r="H100" s="77"/>
      <c r="I100" s="60"/>
      <c r="J100" s="60"/>
      <c r="K100" s="60"/>
      <c r="L100" s="60"/>
      <c r="M100" s="60"/>
      <c r="N100" s="60"/>
      <c r="O100" s="60"/>
      <c r="P100" s="60"/>
      <c r="Q100" s="60"/>
      <c r="R100" s="60"/>
      <c r="S100" s="60"/>
      <c r="T100" s="60"/>
      <c r="U100" s="60"/>
      <c r="V100" s="60"/>
      <c r="W100" s="60"/>
      <c r="X100" s="60"/>
      <c r="Y100" s="60"/>
      <c r="Z100" s="60"/>
      <c r="AA100" s="60"/>
      <c r="AB100" s="60"/>
      <c r="AC100" s="60"/>
      <c r="AD100" s="60"/>
    </row>
    <row r="101" ht="40.15" customHeight="1">
      <c r="A101" s="60"/>
      <c r="H101" s="77"/>
      <c r="I101" s="60"/>
      <c r="J101" s="60"/>
      <c r="K101" s="60"/>
      <c r="L101" s="60"/>
      <c r="M101" s="60"/>
      <c r="N101" s="60"/>
      <c r="O101" s="60"/>
      <c r="P101" s="60"/>
      <c r="Q101" s="60"/>
      <c r="R101" s="60"/>
      <c r="S101" s="60"/>
      <c r="T101" s="60"/>
      <c r="U101" s="60"/>
      <c r="V101" s="60"/>
      <c r="W101" s="60"/>
      <c r="X101" s="60"/>
      <c r="Y101" s="60"/>
      <c r="Z101" s="60"/>
      <c r="AA101" s="60"/>
      <c r="AB101" s="60"/>
      <c r="AC101" s="60"/>
      <c r="AD101" s="60"/>
    </row>
    <row r="102" ht="40.15" customHeight="1">
      <c r="A102" s="60"/>
      <c r="H102" s="77"/>
      <c r="I102" s="60"/>
      <c r="J102" s="60"/>
      <c r="K102" s="60"/>
      <c r="L102" s="60"/>
      <c r="M102" s="60"/>
      <c r="N102" s="60"/>
      <c r="O102" s="60"/>
      <c r="P102" s="60"/>
      <c r="Q102" s="60"/>
      <c r="R102" s="60"/>
      <c r="S102" s="60"/>
      <c r="T102" s="60"/>
      <c r="U102" s="60"/>
      <c r="V102" s="60"/>
      <c r="W102" s="60"/>
      <c r="X102" s="60"/>
      <c r="Y102" s="60"/>
      <c r="Z102" s="60"/>
      <c r="AA102" s="60"/>
      <c r="AB102" s="60"/>
      <c r="AC102" s="60"/>
      <c r="AD102" s="60"/>
    </row>
    <row r="103" ht="40.15" customHeight="1">
      <c r="A103" s="60"/>
      <c r="H103" s="77"/>
      <c r="I103" s="60"/>
      <c r="J103" s="60"/>
      <c r="K103" s="60"/>
      <c r="L103" s="60"/>
      <c r="M103" s="60"/>
      <c r="N103" s="60"/>
      <c r="O103" s="60"/>
      <c r="P103" s="60"/>
      <c r="Q103" s="60"/>
      <c r="R103" s="60"/>
      <c r="S103" s="60"/>
      <c r="T103" s="60"/>
      <c r="U103" s="60"/>
      <c r="V103" s="60"/>
      <c r="W103" s="60"/>
      <c r="X103" s="60"/>
      <c r="Y103" s="60"/>
      <c r="Z103" s="60"/>
      <c r="AA103" s="60"/>
      <c r="AB103" s="60"/>
      <c r="AC103" s="60"/>
      <c r="AD103" s="60"/>
    </row>
    <row r="104" ht="40.15" customHeight="1">
      <c r="A104" s="60"/>
      <c r="H104" s="77"/>
      <c r="I104" s="60"/>
      <c r="J104" s="60"/>
      <c r="K104" s="60"/>
      <c r="L104" s="60"/>
      <c r="M104" s="60"/>
      <c r="N104" s="60"/>
      <c r="O104" s="60"/>
      <c r="P104" s="60"/>
      <c r="Q104" s="60"/>
      <c r="R104" s="60"/>
      <c r="S104" s="60"/>
      <c r="T104" s="60"/>
      <c r="U104" s="60"/>
      <c r="V104" s="60"/>
      <c r="W104" s="60"/>
      <c r="X104" s="60"/>
      <c r="Y104" s="60"/>
      <c r="Z104" s="60"/>
      <c r="AA104" s="60"/>
      <c r="AB104" s="60"/>
      <c r="AC104" s="60"/>
      <c r="AD104" s="60"/>
    </row>
    <row r="105" ht="40.15" customHeight="1">
      <c r="A105" s="60"/>
      <c r="H105" s="77"/>
      <c r="I105" s="60"/>
      <c r="J105" s="60"/>
      <c r="K105" s="60"/>
      <c r="L105" s="60"/>
      <c r="M105" s="60"/>
      <c r="N105" s="60"/>
      <c r="O105" s="60"/>
      <c r="P105" s="60"/>
      <c r="Q105" s="60"/>
      <c r="R105" s="60"/>
      <c r="S105" s="60"/>
      <c r="T105" s="60"/>
      <c r="U105" s="60"/>
      <c r="V105" s="60"/>
      <c r="W105" s="60"/>
      <c r="X105" s="60"/>
      <c r="Y105" s="60"/>
      <c r="Z105" s="60"/>
      <c r="AA105" s="60"/>
      <c r="AB105" s="60"/>
      <c r="AC105" s="60"/>
      <c r="AD105" s="60"/>
    </row>
    <row r="106" ht="40.15" customHeight="1">
      <c r="A106" s="60"/>
      <c r="H106" s="77"/>
      <c r="I106" s="60"/>
      <c r="J106" s="60"/>
      <c r="K106" s="60"/>
      <c r="L106" s="60"/>
      <c r="M106" s="60"/>
      <c r="N106" s="60"/>
      <c r="O106" s="60"/>
      <c r="P106" s="60"/>
      <c r="Q106" s="60"/>
      <c r="R106" s="60"/>
      <c r="S106" s="60"/>
      <c r="T106" s="60"/>
      <c r="U106" s="60"/>
      <c r="V106" s="60"/>
      <c r="W106" s="60"/>
      <c r="X106" s="60"/>
      <c r="Y106" s="60"/>
      <c r="Z106" s="60"/>
      <c r="AA106" s="60"/>
      <c r="AB106" s="60"/>
      <c r="AC106" s="60"/>
      <c r="AD106" s="60"/>
    </row>
    <row r="107" ht="40.15" customHeight="1">
      <c r="A107" s="60"/>
      <c r="H107" s="77"/>
      <c r="I107" s="60"/>
      <c r="J107" s="60"/>
      <c r="K107" s="60"/>
      <c r="L107" s="60"/>
      <c r="M107" s="60"/>
      <c r="N107" s="60"/>
      <c r="O107" s="60"/>
      <c r="P107" s="60"/>
      <c r="Q107" s="60"/>
      <c r="R107" s="60"/>
      <c r="S107" s="60"/>
      <c r="T107" s="60"/>
      <c r="U107" s="60"/>
      <c r="V107" s="60"/>
      <c r="W107" s="60"/>
      <c r="X107" s="60"/>
      <c r="Y107" s="60"/>
      <c r="Z107" s="60"/>
      <c r="AA107" s="60"/>
      <c r="AB107" s="60"/>
      <c r="AC107" s="60"/>
      <c r="AD107" s="60"/>
    </row>
    <row r="108" ht="40.15" customHeight="1">
      <c r="A108" s="60"/>
      <c r="H108" s="77"/>
      <c r="I108" s="60"/>
      <c r="J108" s="60"/>
      <c r="K108" s="60"/>
      <c r="L108" s="60"/>
      <c r="M108" s="60"/>
      <c r="N108" s="60"/>
      <c r="O108" s="60"/>
      <c r="P108" s="60"/>
      <c r="Q108" s="60"/>
      <c r="R108" s="60"/>
      <c r="S108" s="60"/>
      <c r="T108" s="60"/>
      <c r="U108" s="60"/>
      <c r="V108" s="60"/>
      <c r="W108" s="60"/>
      <c r="X108" s="60"/>
      <c r="Y108" s="60"/>
      <c r="Z108" s="60"/>
      <c r="AA108" s="60"/>
      <c r="AB108" s="60"/>
      <c r="AC108" s="60"/>
      <c r="AD108" s="60"/>
    </row>
    <row r="109" ht="40.15" customHeight="1">
      <c r="A109" s="60"/>
      <c r="H109" s="77"/>
      <c r="I109" s="60"/>
      <c r="J109" s="60"/>
      <c r="K109" s="60"/>
      <c r="L109" s="60"/>
      <c r="M109" s="60"/>
      <c r="N109" s="60"/>
      <c r="O109" s="60"/>
      <c r="P109" s="60"/>
      <c r="Q109" s="60"/>
      <c r="R109" s="60"/>
      <c r="S109" s="60"/>
      <c r="T109" s="60"/>
      <c r="U109" s="60"/>
      <c r="V109" s="60"/>
      <c r="W109" s="60"/>
      <c r="X109" s="60"/>
      <c r="Y109" s="60"/>
      <c r="Z109" s="60"/>
      <c r="AA109" s="60"/>
      <c r="AB109" s="60"/>
      <c r="AC109" s="60"/>
      <c r="AD109" s="60"/>
    </row>
    <row r="110" ht="40.15" customHeight="1">
      <c r="A110" s="60"/>
      <c r="H110" s="77"/>
      <c r="I110" s="60"/>
      <c r="J110" s="60"/>
      <c r="K110" s="60"/>
      <c r="L110" s="60"/>
      <c r="M110" s="60"/>
      <c r="N110" s="60"/>
      <c r="O110" s="60"/>
      <c r="P110" s="60"/>
      <c r="Q110" s="60"/>
      <c r="R110" s="60"/>
      <c r="S110" s="60"/>
      <c r="T110" s="60"/>
      <c r="U110" s="60"/>
      <c r="V110" s="60"/>
      <c r="W110" s="60"/>
      <c r="X110" s="60"/>
      <c r="Y110" s="60"/>
      <c r="Z110" s="60"/>
      <c r="AA110" s="60"/>
      <c r="AB110" s="60"/>
      <c r="AC110" s="60"/>
      <c r="AD110" s="60"/>
    </row>
    <row r="111" ht="40.15" customHeight="1">
      <c r="A111" s="60"/>
      <c r="H111" s="77"/>
      <c r="I111" s="60"/>
      <c r="J111" s="60"/>
      <c r="K111" s="60"/>
      <c r="L111" s="60"/>
      <c r="M111" s="60"/>
      <c r="N111" s="60"/>
      <c r="O111" s="60"/>
      <c r="P111" s="60"/>
      <c r="Q111" s="60"/>
      <c r="R111" s="60"/>
      <c r="S111" s="60"/>
      <c r="T111" s="60"/>
      <c r="U111" s="60"/>
      <c r="V111" s="60"/>
      <c r="W111" s="60"/>
      <c r="X111" s="60"/>
      <c r="Y111" s="60"/>
      <c r="Z111" s="60"/>
      <c r="AA111" s="60"/>
      <c r="AB111" s="60"/>
      <c r="AC111" s="60"/>
      <c r="AD111" s="60"/>
    </row>
    <row r="112" ht="40.15" customHeight="1">
      <c r="A112" s="60"/>
      <c r="H112" s="77"/>
      <c r="I112" s="60"/>
      <c r="J112" s="60"/>
      <c r="K112" s="60"/>
      <c r="L112" s="60"/>
      <c r="M112" s="60"/>
      <c r="N112" s="60"/>
      <c r="O112" s="60"/>
      <c r="P112" s="60"/>
      <c r="Q112" s="60"/>
      <c r="R112" s="60"/>
      <c r="S112" s="60"/>
      <c r="T112" s="60"/>
      <c r="U112" s="60"/>
      <c r="V112" s="60"/>
      <c r="W112" s="60"/>
      <c r="X112" s="60"/>
      <c r="Y112" s="60"/>
      <c r="Z112" s="60"/>
      <c r="AA112" s="60"/>
      <c r="AB112" s="60"/>
      <c r="AC112" s="60"/>
      <c r="AD112" s="60"/>
    </row>
    <row r="113" ht="40.15" customHeight="1">
      <c r="A113" s="60"/>
      <c r="H113" s="77"/>
      <c r="I113" s="60"/>
      <c r="J113" s="60"/>
      <c r="K113" s="60"/>
      <c r="L113" s="60"/>
      <c r="M113" s="60"/>
      <c r="N113" s="60"/>
      <c r="O113" s="60"/>
      <c r="P113" s="60"/>
      <c r="Q113" s="60"/>
      <c r="R113" s="60"/>
      <c r="S113" s="60"/>
      <c r="T113" s="60"/>
      <c r="U113" s="60"/>
      <c r="V113" s="60"/>
      <c r="W113" s="60"/>
      <c r="X113" s="60"/>
      <c r="Y113" s="60"/>
      <c r="Z113" s="60"/>
      <c r="AA113" s="60"/>
      <c r="AB113" s="60"/>
      <c r="AC113" s="60"/>
      <c r="AD113" s="60"/>
    </row>
    <row r="114" ht="40.15" customHeight="1">
      <c r="A114" s="60"/>
      <c r="H114" s="77"/>
      <c r="I114" s="60"/>
      <c r="J114" s="60"/>
      <c r="K114" s="60"/>
      <c r="L114" s="60"/>
      <c r="M114" s="60"/>
      <c r="N114" s="60"/>
      <c r="O114" s="60"/>
      <c r="P114" s="60"/>
      <c r="Q114" s="60"/>
      <c r="R114" s="60"/>
      <c r="S114" s="60"/>
      <c r="T114" s="60"/>
      <c r="U114" s="60"/>
      <c r="V114" s="60"/>
      <c r="W114" s="60"/>
      <c r="X114" s="60"/>
      <c r="Y114" s="60"/>
      <c r="Z114" s="60"/>
      <c r="AA114" s="60"/>
      <c r="AB114" s="60"/>
      <c r="AC114" s="60"/>
      <c r="AD114" s="60"/>
    </row>
    <row r="115" ht="40.15" customHeight="1">
      <c r="A115" s="60"/>
      <c r="H115" s="77"/>
      <c r="I115" s="60"/>
      <c r="J115" s="60"/>
      <c r="K115" s="60"/>
      <c r="L115" s="60"/>
      <c r="M115" s="60"/>
      <c r="N115" s="60"/>
      <c r="O115" s="60"/>
      <c r="P115" s="60"/>
      <c r="Q115" s="60"/>
      <c r="R115" s="60"/>
      <c r="S115" s="60"/>
      <c r="T115" s="60"/>
      <c r="U115" s="60"/>
      <c r="V115" s="60"/>
      <c r="W115" s="60"/>
      <c r="X115" s="60"/>
      <c r="Y115" s="60"/>
      <c r="Z115" s="60"/>
      <c r="AA115" s="60"/>
      <c r="AB115" s="60"/>
      <c r="AC115" s="60"/>
      <c r="AD115" s="60"/>
    </row>
    <row r="116" ht="40.15" customHeight="1">
      <c r="A116" s="60"/>
      <c r="H116" s="77"/>
      <c r="I116" s="60"/>
      <c r="J116" s="60"/>
      <c r="K116" s="60"/>
      <c r="L116" s="60"/>
      <c r="M116" s="60"/>
      <c r="N116" s="60"/>
      <c r="O116" s="60"/>
      <c r="P116" s="60"/>
      <c r="Q116" s="60"/>
      <c r="R116" s="60"/>
      <c r="S116" s="60"/>
      <c r="T116" s="60"/>
      <c r="U116" s="60"/>
      <c r="V116" s="60"/>
      <c r="W116" s="60"/>
      <c r="X116" s="60"/>
      <c r="Y116" s="60"/>
      <c r="Z116" s="60"/>
      <c r="AA116" s="60"/>
      <c r="AB116" s="60"/>
      <c r="AC116" s="60"/>
      <c r="AD116" s="60"/>
    </row>
    <row r="117" ht="40.15" customHeight="1">
      <c r="A117" s="60"/>
      <c r="H117" s="77"/>
      <c r="I117" s="60"/>
      <c r="J117" s="60"/>
      <c r="K117" s="60"/>
      <c r="L117" s="60"/>
      <c r="M117" s="60"/>
      <c r="N117" s="60"/>
      <c r="O117" s="60"/>
      <c r="P117" s="60"/>
      <c r="Q117" s="60"/>
      <c r="R117" s="60"/>
      <c r="S117" s="60"/>
      <c r="T117" s="60"/>
      <c r="U117" s="60"/>
      <c r="V117" s="60"/>
      <c r="W117" s="60"/>
      <c r="X117" s="60"/>
      <c r="Y117" s="60"/>
      <c r="Z117" s="60"/>
      <c r="AA117" s="60"/>
      <c r="AB117" s="60"/>
      <c r="AC117" s="60"/>
      <c r="AD117" s="60"/>
    </row>
    <row r="118" ht="40.15" customHeight="1">
      <c r="A118" s="60"/>
      <c r="H118" s="77"/>
      <c r="I118" s="60"/>
      <c r="J118" s="60"/>
      <c r="K118" s="60"/>
      <c r="L118" s="60"/>
      <c r="M118" s="60"/>
      <c r="N118" s="60"/>
      <c r="O118" s="60"/>
      <c r="P118" s="60"/>
      <c r="Q118" s="60"/>
      <c r="R118" s="60"/>
      <c r="S118" s="60"/>
      <c r="T118" s="60"/>
      <c r="U118" s="60"/>
      <c r="V118" s="60"/>
      <c r="W118" s="60"/>
      <c r="X118" s="60"/>
      <c r="Y118" s="60"/>
      <c r="Z118" s="60"/>
      <c r="AA118" s="60"/>
      <c r="AB118" s="60"/>
      <c r="AC118" s="60"/>
      <c r="AD118" s="60"/>
    </row>
    <row r="119" ht="40.15" customHeight="1">
      <c r="A119" s="60"/>
      <c r="C119" s="59"/>
      <c r="D119" s="58"/>
      <c r="E119" s="59"/>
      <c r="F119" s="59"/>
      <c r="G119" s="59"/>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row>
    <row r="120" ht="40.15" customHeight="1">
      <c r="A120" s="60"/>
      <c r="C120" s="59"/>
      <c r="D120" s="58"/>
      <c r="E120" s="59"/>
      <c r="F120" s="59"/>
      <c r="G120" s="59"/>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row>
    <row r="121" ht="40.15" customHeight="1">
      <c r="A121" s="60"/>
      <c r="C121" s="59"/>
      <c r="D121" s="58"/>
      <c r="E121" s="59"/>
      <c r="F121" s="59"/>
      <c r="G121" s="59"/>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row>
    <row r="122" ht="40.15" customHeight="1">
      <c r="A122" s="60"/>
      <c r="C122" s="59"/>
      <c r="D122" s="58"/>
      <c r="E122" s="59"/>
      <c r="F122" s="59"/>
      <c r="G122" s="59"/>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row>
    <row r="123" ht="40.15" customHeight="1">
      <c r="A123" s="60"/>
      <c r="C123" s="59"/>
      <c r="D123" s="58"/>
      <c r="E123" s="59"/>
      <c r="F123" s="59"/>
      <c r="G123" s="59"/>
      <c r="H123" s="60"/>
      <c r="I123" s="60"/>
      <c r="J123" s="60"/>
      <c r="K123" s="60"/>
      <c r="L123" s="60"/>
      <c r="M123" s="60"/>
      <c r="N123" s="60"/>
      <c r="O123" s="60"/>
      <c r="P123" s="60"/>
      <c r="Q123" s="60"/>
      <c r="R123" s="60"/>
      <c r="S123" s="60"/>
      <c r="T123" s="60"/>
      <c r="U123" s="60"/>
      <c r="V123" s="60"/>
      <c r="W123" s="60"/>
      <c r="X123" s="60"/>
      <c r="Y123" s="60"/>
      <c r="Z123" s="60"/>
      <c r="AA123" s="60"/>
      <c r="AB123" s="60"/>
      <c r="AC123" s="60"/>
      <c r="AD123" s="60"/>
    </row>
    <row r="124" ht="40.15" customHeight="1">
      <c r="A124" s="60"/>
      <c r="C124" s="59"/>
      <c r="D124" s="58"/>
      <c r="E124" s="59"/>
      <c r="F124" s="59"/>
      <c r="G124" s="59"/>
      <c r="H124" s="60"/>
      <c r="I124" s="60"/>
      <c r="J124" s="60"/>
      <c r="K124" s="60"/>
      <c r="L124" s="60"/>
      <c r="M124" s="60"/>
      <c r="N124" s="60"/>
      <c r="O124" s="60"/>
      <c r="P124" s="60"/>
      <c r="Q124" s="60"/>
      <c r="R124" s="60"/>
      <c r="S124" s="60"/>
      <c r="T124" s="60"/>
      <c r="U124" s="60"/>
      <c r="V124" s="60"/>
      <c r="W124" s="60"/>
      <c r="X124" s="60"/>
      <c r="Y124" s="60"/>
      <c r="Z124" s="60"/>
      <c r="AA124" s="60"/>
      <c r="AB124" s="60"/>
      <c r="AC124" s="60"/>
      <c r="AD124" s="60"/>
    </row>
    <row r="125" ht="40.15" customHeight="1">
      <c r="A125" s="60"/>
      <c r="C125" s="59"/>
      <c r="D125" s="58"/>
      <c r="E125" s="59"/>
      <c r="F125" s="59"/>
      <c r="G125" s="59"/>
      <c r="H125" s="60"/>
      <c r="I125" s="60"/>
      <c r="J125" s="60"/>
      <c r="K125" s="60"/>
      <c r="L125" s="60"/>
      <c r="M125" s="60"/>
      <c r="N125" s="60"/>
      <c r="O125" s="60"/>
      <c r="P125" s="60"/>
      <c r="Q125" s="60"/>
      <c r="R125" s="60"/>
      <c r="S125" s="60"/>
      <c r="T125" s="60"/>
      <c r="U125" s="60"/>
      <c r="V125" s="60"/>
      <c r="W125" s="60"/>
      <c r="X125" s="60"/>
      <c r="Y125" s="60"/>
      <c r="Z125" s="60"/>
      <c r="AA125" s="60"/>
      <c r="AB125" s="60"/>
      <c r="AC125" s="60"/>
      <c r="AD125" s="60"/>
    </row>
    <row r="126" ht="40.15" customHeight="1">
      <c r="A126" s="60"/>
      <c r="C126" s="59"/>
      <c r="D126" s="58"/>
      <c r="E126" s="59"/>
      <c r="F126" s="59"/>
      <c r="G126" s="59"/>
      <c r="H126" s="60"/>
      <c r="I126" s="60"/>
      <c r="J126" s="60"/>
      <c r="K126" s="60"/>
      <c r="L126" s="60"/>
      <c r="M126" s="60"/>
      <c r="N126" s="60"/>
      <c r="O126" s="60"/>
      <c r="P126" s="60"/>
      <c r="Q126" s="60"/>
      <c r="R126" s="60"/>
      <c r="S126" s="60"/>
      <c r="T126" s="60"/>
      <c r="U126" s="60"/>
      <c r="V126" s="60"/>
      <c r="W126" s="60"/>
      <c r="X126" s="60"/>
      <c r="Y126" s="60"/>
      <c r="Z126" s="60"/>
      <c r="AA126" s="60"/>
      <c r="AB126" s="60"/>
      <c r="AC126" s="60"/>
      <c r="AD126" s="60"/>
    </row>
    <row r="127" ht="40.15" customHeight="1">
      <c r="A127" s="60"/>
      <c r="C127" s="59"/>
      <c r="D127" s="58"/>
      <c r="E127" s="59"/>
      <c r="F127" s="59"/>
      <c r="G127" s="59"/>
      <c r="H127" s="60"/>
      <c r="I127" s="60"/>
      <c r="J127" s="60"/>
      <c r="K127" s="60"/>
      <c r="L127" s="60"/>
      <c r="M127" s="60"/>
      <c r="N127" s="60"/>
      <c r="O127" s="60"/>
      <c r="P127" s="60"/>
      <c r="Q127" s="60"/>
      <c r="R127" s="60"/>
      <c r="S127" s="60"/>
      <c r="T127" s="60"/>
      <c r="U127" s="60"/>
      <c r="V127" s="60"/>
      <c r="W127" s="60"/>
      <c r="X127" s="60"/>
      <c r="Y127" s="60"/>
      <c r="Z127" s="60"/>
      <c r="AA127" s="60"/>
      <c r="AB127" s="60"/>
      <c r="AC127" s="60"/>
      <c r="AD127" s="60"/>
    </row>
    <row r="128" ht="40.15" customHeight="1">
      <c r="A128" s="60"/>
      <c r="C128" s="59"/>
      <c r="D128" s="58"/>
      <c r="E128" s="59"/>
      <c r="F128" s="59"/>
      <c r="G128" s="59"/>
      <c r="H128" s="60"/>
      <c r="I128" s="60"/>
      <c r="J128" s="60"/>
      <c r="K128" s="60"/>
      <c r="L128" s="60"/>
      <c r="M128" s="60"/>
      <c r="N128" s="60"/>
      <c r="O128" s="60"/>
      <c r="P128" s="60"/>
      <c r="Q128" s="60"/>
      <c r="R128" s="60"/>
      <c r="S128" s="60"/>
      <c r="T128" s="60"/>
      <c r="U128" s="60"/>
      <c r="V128" s="60"/>
      <c r="W128" s="60"/>
      <c r="X128" s="60"/>
      <c r="Y128" s="60"/>
      <c r="Z128" s="60"/>
      <c r="AA128" s="60"/>
      <c r="AB128" s="60"/>
      <c r="AC128" s="60"/>
      <c r="AD128" s="60"/>
    </row>
    <row r="129" ht="40.15" customHeight="1">
      <c r="A129" s="60"/>
      <c r="C129" s="59"/>
      <c r="D129" s="58"/>
      <c r="E129" s="59"/>
      <c r="F129" s="59"/>
      <c r="G129" s="59"/>
      <c r="H129" s="60"/>
      <c r="I129" s="60"/>
      <c r="J129" s="60"/>
      <c r="K129" s="60"/>
      <c r="L129" s="60"/>
      <c r="M129" s="60"/>
      <c r="N129" s="60"/>
      <c r="O129" s="60"/>
      <c r="P129" s="60"/>
      <c r="Q129" s="60"/>
      <c r="R129" s="60"/>
      <c r="S129" s="60"/>
      <c r="T129" s="60"/>
      <c r="U129" s="60"/>
      <c r="V129" s="60"/>
      <c r="W129" s="60"/>
      <c r="X129" s="60"/>
      <c r="Y129" s="60"/>
      <c r="Z129" s="60"/>
      <c r="AA129" s="60"/>
      <c r="AB129" s="60"/>
      <c r="AC129" s="60"/>
      <c r="AD129" s="60"/>
    </row>
    <row r="130" ht="40.15" customHeight="1">
      <c r="A130" s="60"/>
      <c r="C130" s="59"/>
      <c r="D130" s="58"/>
      <c r="E130" s="59"/>
      <c r="F130" s="59"/>
      <c r="G130" s="59"/>
      <c r="H130" s="60"/>
      <c r="I130" s="60"/>
      <c r="J130" s="60"/>
      <c r="K130" s="60"/>
      <c r="L130" s="60"/>
      <c r="M130" s="60"/>
      <c r="N130" s="60"/>
      <c r="O130" s="60"/>
      <c r="P130" s="60"/>
      <c r="Q130" s="60"/>
      <c r="R130" s="60"/>
      <c r="S130" s="60"/>
      <c r="T130" s="60"/>
      <c r="U130" s="60"/>
      <c r="V130" s="60"/>
      <c r="W130" s="60"/>
      <c r="X130" s="60"/>
      <c r="Y130" s="60"/>
      <c r="Z130" s="60"/>
      <c r="AA130" s="60"/>
      <c r="AB130" s="60"/>
      <c r="AC130" s="60"/>
      <c r="AD130" s="60"/>
    </row>
    <row r="131" ht="40.15" customHeight="1">
      <c r="A131" s="60"/>
      <c r="C131" s="59"/>
      <c r="D131" s="58"/>
      <c r="E131" s="59"/>
      <c r="F131" s="59"/>
      <c r="G131" s="59"/>
      <c r="H131" s="60"/>
      <c r="I131" s="60"/>
      <c r="J131" s="60"/>
      <c r="K131" s="60"/>
      <c r="L131" s="60"/>
      <c r="M131" s="60"/>
      <c r="N131" s="60"/>
      <c r="O131" s="60"/>
      <c r="P131" s="60"/>
      <c r="Q131" s="60"/>
      <c r="R131" s="60"/>
      <c r="S131" s="60"/>
      <c r="T131" s="60"/>
      <c r="U131" s="60"/>
      <c r="V131" s="60"/>
      <c r="W131" s="60"/>
      <c r="X131" s="60"/>
      <c r="Y131" s="60"/>
      <c r="Z131" s="60"/>
      <c r="AA131" s="60"/>
      <c r="AB131" s="60"/>
      <c r="AC131" s="60"/>
      <c r="AD131" s="60"/>
    </row>
    <row r="132" ht="40.15" customHeight="1">
      <c r="A132" s="60"/>
      <c r="C132" s="59"/>
      <c r="D132" s="58"/>
      <c r="E132" s="59"/>
      <c r="F132" s="59"/>
      <c r="G132" s="59"/>
      <c r="H132" s="60"/>
      <c r="I132" s="60"/>
      <c r="J132" s="60"/>
      <c r="K132" s="60"/>
      <c r="L132" s="60"/>
      <c r="M132" s="60"/>
      <c r="N132" s="60"/>
      <c r="O132" s="60"/>
      <c r="P132" s="60"/>
      <c r="Q132" s="60"/>
      <c r="R132" s="60"/>
      <c r="S132" s="60"/>
      <c r="T132" s="60"/>
      <c r="U132" s="60"/>
      <c r="V132" s="60"/>
      <c r="W132" s="60"/>
      <c r="X132" s="60"/>
      <c r="Y132" s="60"/>
      <c r="Z132" s="60"/>
      <c r="AA132" s="60"/>
      <c r="AB132" s="60"/>
      <c r="AC132" s="60"/>
      <c r="AD132" s="60"/>
    </row>
    <row r="133" ht="40.15" customHeight="1">
      <c r="A133" s="60"/>
      <c r="C133" s="59"/>
      <c r="D133" s="58"/>
      <c r="E133" s="59"/>
      <c r="F133" s="59"/>
      <c r="G133" s="59"/>
      <c r="H133" s="60"/>
      <c r="I133" s="60"/>
      <c r="J133" s="60"/>
      <c r="K133" s="60"/>
      <c r="L133" s="60"/>
      <c r="M133" s="60"/>
      <c r="N133" s="60"/>
      <c r="O133" s="60"/>
      <c r="P133" s="60"/>
      <c r="Q133" s="60"/>
      <c r="R133" s="60"/>
      <c r="S133" s="60"/>
      <c r="T133" s="60"/>
      <c r="U133" s="60"/>
      <c r="V133" s="60"/>
      <c r="W133" s="60"/>
      <c r="X133" s="60"/>
      <c r="Y133" s="60"/>
      <c r="Z133" s="60"/>
      <c r="AA133" s="60"/>
      <c r="AB133" s="60"/>
      <c r="AC133" s="60"/>
      <c r="AD133" s="60"/>
    </row>
    <row r="134" ht="40.15" customHeight="1">
      <c r="A134" s="60"/>
      <c r="C134" s="59"/>
      <c r="D134" s="58"/>
      <c r="E134" s="59"/>
      <c r="F134" s="59"/>
      <c r="G134" s="59"/>
      <c r="H134" s="60"/>
      <c r="I134" s="60"/>
      <c r="J134" s="60"/>
      <c r="K134" s="60"/>
      <c r="L134" s="60"/>
      <c r="M134" s="60"/>
      <c r="N134" s="60"/>
      <c r="O134" s="60"/>
      <c r="P134" s="60"/>
      <c r="Q134" s="60"/>
      <c r="R134" s="60"/>
      <c r="S134" s="60"/>
      <c r="T134" s="60"/>
      <c r="U134" s="60"/>
      <c r="V134" s="60"/>
      <c r="W134" s="60"/>
      <c r="X134" s="60"/>
      <c r="Y134" s="60"/>
      <c r="Z134" s="60"/>
      <c r="AA134" s="60"/>
      <c r="AB134" s="60"/>
      <c r="AC134" s="60"/>
      <c r="AD134" s="60"/>
    </row>
    <row r="135" ht="40.15" customHeight="1">
      <c r="A135" s="60"/>
      <c r="C135" s="59"/>
      <c r="D135" s="58"/>
      <c r="E135" s="59"/>
      <c r="F135" s="59"/>
      <c r="G135" s="59"/>
      <c r="H135" s="60"/>
      <c r="I135" s="60"/>
      <c r="J135" s="60"/>
      <c r="K135" s="60"/>
      <c r="L135" s="60"/>
      <c r="M135" s="60"/>
      <c r="N135" s="60"/>
      <c r="O135" s="60"/>
      <c r="P135" s="60"/>
      <c r="Q135" s="60"/>
      <c r="R135" s="60"/>
      <c r="S135" s="60"/>
      <c r="T135" s="60"/>
      <c r="U135" s="60"/>
      <c r="V135" s="60"/>
      <c r="W135" s="60"/>
      <c r="X135" s="60"/>
      <c r="Y135" s="60"/>
      <c r="Z135" s="60"/>
      <c r="AA135" s="60"/>
      <c r="AB135" s="60"/>
      <c r="AC135" s="60"/>
      <c r="AD135" s="60"/>
    </row>
    <row r="136" ht="40.15" customHeight="1">
      <c r="A136" s="60"/>
      <c r="C136" s="59"/>
      <c r="D136" s="58"/>
      <c r="E136" s="59"/>
      <c r="F136" s="59"/>
      <c r="G136" s="59"/>
      <c r="H136" s="60"/>
      <c r="I136" s="60"/>
      <c r="J136" s="60"/>
      <c r="K136" s="60"/>
      <c r="L136" s="60"/>
      <c r="M136" s="60"/>
      <c r="N136" s="60"/>
      <c r="O136" s="60"/>
      <c r="P136" s="60"/>
      <c r="Q136" s="60"/>
      <c r="R136" s="60"/>
      <c r="S136" s="60"/>
      <c r="T136" s="60"/>
      <c r="U136" s="60"/>
      <c r="V136" s="60"/>
      <c r="W136" s="60"/>
      <c r="X136" s="60"/>
      <c r="Y136" s="60"/>
      <c r="Z136" s="60"/>
      <c r="AA136" s="60"/>
      <c r="AB136" s="60"/>
      <c r="AC136" s="60"/>
      <c r="AD136" s="60"/>
    </row>
    <row r="137" ht="40.15" customHeight="1">
      <c r="A137" s="60"/>
      <c r="C137" s="59"/>
      <c r="D137" s="58"/>
      <c r="E137" s="59"/>
      <c r="F137" s="59"/>
      <c r="G137" s="59"/>
      <c r="H137" s="60"/>
      <c r="I137" s="60"/>
      <c r="J137" s="60"/>
      <c r="K137" s="60"/>
      <c r="L137" s="60"/>
      <c r="M137" s="60"/>
      <c r="N137" s="60"/>
      <c r="O137" s="60"/>
      <c r="P137" s="60"/>
      <c r="Q137" s="60"/>
      <c r="R137" s="60"/>
      <c r="S137" s="60"/>
      <c r="T137" s="60"/>
      <c r="U137" s="60"/>
      <c r="V137" s="60"/>
      <c r="W137" s="60"/>
      <c r="X137" s="60"/>
      <c r="Y137" s="60"/>
      <c r="Z137" s="60"/>
      <c r="AA137" s="60"/>
      <c r="AB137" s="60"/>
      <c r="AC137" s="60"/>
      <c r="AD137" s="60"/>
    </row>
    <row r="138" ht="40.15" customHeight="1">
      <c r="A138" s="60"/>
      <c r="C138" s="59"/>
      <c r="D138" s="58"/>
      <c r="E138" s="59"/>
      <c r="F138" s="59"/>
      <c r="G138" s="59"/>
      <c r="H138" s="60"/>
      <c r="I138" s="60"/>
      <c r="J138" s="60"/>
      <c r="K138" s="60"/>
      <c r="L138" s="60"/>
      <c r="M138" s="60"/>
      <c r="N138" s="60"/>
      <c r="O138" s="60"/>
      <c r="P138" s="60"/>
      <c r="Q138" s="60"/>
      <c r="R138" s="60"/>
      <c r="S138" s="60"/>
      <c r="T138" s="60"/>
      <c r="U138" s="60"/>
      <c r="V138" s="60"/>
      <c r="W138" s="60"/>
      <c r="X138" s="60"/>
      <c r="Y138" s="60"/>
      <c r="Z138" s="60"/>
      <c r="AA138" s="60"/>
      <c r="AB138" s="60"/>
      <c r="AC138" s="60"/>
      <c r="AD138" s="60"/>
    </row>
    <row r="139" ht="40.15" customHeight="1">
      <c r="A139" s="60"/>
      <c r="C139" s="59"/>
      <c r="D139" s="58"/>
      <c r="E139" s="59"/>
      <c r="F139" s="59"/>
      <c r="G139" s="59"/>
      <c r="H139" s="60"/>
      <c r="I139" s="60"/>
      <c r="J139" s="60"/>
      <c r="K139" s="60"/>
      <c r="L139" s="60"/>
      <c r="M139" s="60"/>
      <c r="N139" s="60"/>
      <c r="O139" s="60"/>
      <c r="P139" s="60"/>
      <c r="Q139" s="60"/>
      <c r="R139" s="60"/>
      <c r="S139" s="60"/>
      <c r="T139" s="60"/>
      <c r="U139" s="60"/>
      <c r="V139" s="60"/>
      <c r="W139" s="60"/>
      <c r="X139" s="60"/>
      <c r="Y139" s="60"/>
      <c r="Z139" s="60"/>
      <c r="AA139" s="60"/>
      <c r="AB139" s="60"/>
      <c r="AC139" s="60"/>
      <c r="AD139" s="60"/>
    </row>
    <row r="140" ht="40.15" customHeight="1">
      <c r="A140" s="60"/>
      <c r="C140" s="59"/>
      <c r="D140" s="58"/>
      <c r="E140" s="59"/>
      <c r="F140" s="59"/>
      <c r="G140" s="59"/>
      <c r="H140" s="60"/>
      <c r="I140" s="60"/>
      <c r="J140" s="60"/>
      <c r="K140" s="60"/>
      <c r="L140" s="60"/>
      <c r="M140" s="60"/>
      <c r="N140" s="60"/>
      <c r="O140" s="60"/>
      <c r="P140" s="60"/>
      <c r="Q140" s="60"/>
      <c r="R140" s="60"/>
      <c r="S140" s="60"/>
      <c r="T140" s="60"/>
      <c r="U140" s="60"/>
      <c r="V140" s="60"/>
      <c r="W140" s="60"/>
      <c r="X140" s="60"/>
      <c r="Y140" s="60"/>
      <c r="Z140" s="60"/>
      <c r="AA140" s="60"/>
      <c r="AB140" s="60"/>
      <c r="AC140" s="60"/>
      <c r="AD140" s="60"/>
    </row>
    <row r="141" ht="40.15" customHeight="1">
      <c r="A141" s="60"/>
      <c r="C141" s="59"/>
      <c r="D141" s="58"/>
      <c r="E141" s="59"/>
      <c r="F141" s="59"/>
      <c r="G141" s="59"/>
      <c r="H141" s="60"/>
      <c r="I141" s="60"/>
      <c r="J141" s="60"/>
      <c r="K141" s="60"/>
      <c r="L141" s="60"/>
      <c r="M141" s="60"/>
      <c r="N141" s="60"/>
      <c r="O141" s="60"/>
      <c r="P141" s="60"/>
      <c r="Q141" s="60"/>
      <c r="R141" s="60"/>
      <c r="S141" s="60"/>
      <c r="T141" s="60"/>
      <c r="U141" s="60"/>
      <c r="V141" s="60"/>
      <c r="W141" s="60"/>
      <c r="X141" s="60"/>
      <c r="Y141" s="60"/>
      <c r="Z141" s="60"/>
      <c r="AA141" s="60"/>
      <c r="AB141" s="60"/>
      <c r="AC141" s="60"/>
      <c r="AD141" s="60"/>
    </row>
    <row r="142" ht="40.15" customHeight="1">
      <c r="A142" s="60"/>
      <c r="C142" s="59"/>
      <c r="D142" s="58"/>
      <c r="E142" s="59"/>
      <c r="F142" s="59"/>
      <c r="G142" s="59"/>
      <c r="H142" s="60"/>
      <c r="I142" s="60"/>
      <c r="J142" s="60"/>
      <c r="K142" s="60"/>
      <c r="L142" s="60"/>
      <c r="M142" s="60"/>
      <c r="N142" s="60"/>
      <c r="O142" s="60"/>
      <c r="P142" s="60"/>
      <c r="Q142" s="60"/>
      <c r="R142" s="60"/>
      <c r="S142" s="60"/>
      <c r="T142" s="60"/>
      <c r="U142" s="60"/>
      <c r="V142" s="60"/>
      <c r="W142" s="60"/>
      <c r="X142" s="60"/>
      <c r="Y142" s="60"/>
      <c r="Z142" s="60"/>
      <c r="AA142" s="60"/>
      <c r="AB142" s="60"/>
      <c r="AC142" s="60"/>
      <c r="AD142" s="60"/>
    </row>
    <row r="143" ht="40.15" customHeight="1">
      <c r="A143" s="60"/>
      <c r="C143" s="59"/>
      <c r="D143" s="58"/>
      <c r="E143" s="59"/>
      <c r="F143" s="59"/>
      <c r="G143" s="59"/>
      <c r="H143" s="60"/>
      <c r="I143" s="60"/>
      <c r="J143" s="60"/>
      <c r="K143" s="60"/>
      <c r="L143" s="60"/>
      <c r="M143" s="60"/>
      <c r="N143" s="60"/>
      <c r="O143" s="60"/>
      <c r="P143" s="60"/>
      <c r="Q143" s="60"/>
      <c r="R143" s="60"/>
      <c r="S143" s="60"/>
      <c r="T143" s="60"/>
      <c r="U143" s="60"/>
      <c r="V143" s="60"/>
      <c r="W143" s="60"/>
      <c r="X143" s="60"/>
      <c r="Y143" s="60"/>
      <c r="Z143" s="60"/>
      <c r="AA143" s="60"/>
      <c r="AB143" s="60"/>
      <c r="AC143" s="60"/>
      <c r="AD143" s="60"/>
    </row>
    <row r="144" ht="40.15" customHeight="1">
      <c r="A144" s="60"/>
      <c r="C144" s="59"/>
      <c r="D144" s="58"/>
      <c r="E144" s="59"/>
      <c r="F144" s="59"/>
      <c r="G144" s="59"/>
      <c r="H144" s="60"/>
      <c r="I144" s="60"/>
      <c r="J144" s="60"/>
      <c r="K144" s="60"/>
      <c r="L144" s="60"/>
      <c r="M144" s="60"/>
      <c r="N144" s="60"/>
      <c r="O144" s="60"/>
      <c r="P144" s="60"/>
      <c r="Q144" s="60"/>
      <c r="R144" s="60"/>
      <c r="S144" s="60"/>
      <c r="T144" s="60"/>
      <c r="U144" s="60"/>
      <c r="V144" s="60"/>
      <c r="W144" s="60"/>
      <c r="X144" s="60"/>
      <c r="Y144" s="60"/>
      <c r="Z144" s="60"/>
      <c r="AA144" s="60"/>
      <c r="AB144" s="60"/>
      <c r="AC144" s="60"/>
      <c r="AD144" s="60"/>
    </row>
    <row r="145" ht="40.15" customHeight="1">
      <c r="A145" s="60"/>
      <c r="C145" s="59"/>
      <c r="D145" s="58"/>
      <c r="E145" s="59"/>
      <c r="F145" s="59"/>
      <c r="G145" s="59"/>
      <c r="H145" s="60"/>
      <c r="I145" s="60"/>
      <c r="J145" s="60"/>
      <c r="K145" s="60"/>
      <c r="L145" s="60"/>
      <c r="M145" s="60"/>
      <c r="N145" s="60"/>
      <c r="O145" s="60"/>
      <c r="P145" s="60"/>
      <c r="Q145" s="60"/>
      <c r="R145" s="60"/>
      <c r="S145" s="60"/>
      <c r="T145" s="60"/>
      <c r="U145" s="60"/>
      <c r="V145" s="60"/>
      <c r="W145" s="60"/>
      <c r="X145" s="60"/>
      <c r="Y145" s="60"/>
      <c r="Z145" s="60"/>
      <c r="AA145" s="60"/>
      <c r="AB145" s="60"/>
      <c r="AC145" s="60"/>
      <c r="AD145" s="60"/>
    </row>
    <row r="146" ht="40.15" customHeight="1">
      <c r="A146" s="60"/>
      <c r="C146" s="59"/>
      <c r="D146" s="58"/>
      <c r="E146" s="59"/>
      <c r="F146" s="59"/>
      <c r="G146" s="59"/>
      <c r="H146" s="60"/>
      <c r="I146" s="60"/>
      <c r="J146" s="60"/>
      <c r="K146" s="60"/>
      <c r="L146" s="60"/>
      <c r="M146" s="60"/>
      <c r="N146" s="60"/>
      <c r="O146" s="60"/>
      <c r="P146" s="60"/>
      <c r="Q146" s="60"/>
      <c r="R146" s="60"/>
      <c r="S146" s="60"/>
      <c r="T146" s="60"/>
      <c r="U146" s="60"/>
      <c r="V146" s="60"/>
      <c r="W146" s="60"/>
      <c r="X146" s="60"/>
      <c r="Y146" s="60"/>
      <c r="Z146" s="60"/>
      <c r="AA146" s="60"/>
      <c r="AB146" s="60"/>
      <c r="AC146" s="60"/>
      <c r="AD146" s="60"/>
    </row>
    <row r="147" ht="40.15" customHeight="1">
      <c r="A147" s="60"/>
      <c r="C147" s="59"/>
      <c r="D147" s="58"/>
      <c r="E147" s="59"/>
      <c r="F147" s="59"/>
      <c r="G147" s="59"/>
      <c r="H147" s="60"/>
      <c r="I147" s="60"/>
      <c r="J147" s="60"/>
      <c r="K147" s="60"/>
      <c r="L147" s="60"/>
      <c r="M147" s="60"/>
      <c r="N147" s="60"/>
      <c r="O147" s="60"/>
      <c r="P147" s="60"/>
      <c r="Q147" s="60"/>
      <c r="R147" s="60"/>
      <c r="S147" s="60"/>
      <c r="T147" s="60"/>
      <c r="U147" s="60"/>
      <c r="V147" s="60"/>
      <c r="W147" s="60"/>
      <c r="X147" s="60"/>
      <c r="Y147" s="60"/>
      <c r="Z147" s="60"/>
      <c r="AA147" s="60"/>
      <c r="AB147" s="60"/>
      <c r="AC147" s="60"/>
      <c r="AD147" s="60"/>
    </row>
    <row r="148" ht="40.15" customHeight="1">
      <c r="A148" s="60"/>
      <c r="C148" s="59"/>
      <c r="D148" s="58"/>
      <c r="E148" s="59"/>
      <c r="F148" s="59"/>
      <c r="G148" s="59"/>
      <c r="H148" s="60"/>
      <c r="I148" s="60"/>
      <c r="J148" s="60"/>
      <c r="K148" s="60"/>
      <c r="L148" s="60"/>
      <c r="M148" s="60"/>
      <c r="N148" s="60"/>
      <c r="O148" s="60"/>
      <c r="P148" s="60"/>
      <c r="Q148" s="60"/>
      <c r="R148" s="60"/>
      <c r="S148" s="60"/>
      <c r="T148" s="60"/>
      <c r="U148" s="60"/>
      <c r="V148" s="60"/>
      <c r="W148" s="60"/>
      <c r="X148" s="60"/>
      <c r="Y148" s="60"/>
      <c r="Z148" s="60"/>
      <c r="AA148" s="60"/>
      <c r="AB148" s="60"/>
      <c r="AC148" s="60"/>
      <c r="AD148" s="60"/>
    </row>
    <row r="149" ht="40.15" customHeight="1">
      <c r="A149" s="60"/>
      <c r="C149" s="59"/>
      <c r="D149" s="58"/>
      <c r="E149" s="59"/>
      <c r="F149" s="59"/>
      <c r="G149" s="59"/>
      <c r="H149" s="60"/>
      <c r="I149" s="60"/>
      <c r="J149" s="60"/>
      <c r="K149" s="60"/>
      <c r="L149" s="60"/>
      <c r="M149" s="60"/>
      <c r="N149" s="60"/>
      <c r="O149" s="60"/>
      <c r="P149" s="60"/>
      <c r="Q149" s="60"/>
      <c r="R149" s="60"/>
      <c r="S149" s="60"/>
      <c r="T149" s="60"/>
      <c r="U149" s="60"/>
      <c r="V149" s="60"/>
      <c r="W149" s="60"/>
      <c r="X149" s="60"/>
      <c r="Y149" s="60"/>
      <c r="Z149" s="60"/>
      <c r="AA149" s="60"/>
      <c r="AB149" s="60"/>
      <c r="AC149" s="60"/>
      <c r="AD149" s="60"/>
    </row>
    <row r="150" ht="40.15" customHeight="1">
      <c r="A150" s="60"/>
      <c r="C150" s="59"/>
      <c r="D150" s="58"/>
      <c r="E150" s="59"/>
      <c r="F150" s="59"/>
      <c r="G150" s="59"/>
      <c r="H150" s="60"/>
      <c r="I150" s="60"/>
      <c r="J150" s="60"/>
      <c r="K150" s="60"/>
      <c r="L150" s="60"/>
      <c r="M150" s="60"/>
      <c r="N150" s="60"/>
      <c r="O150" s="60"/>
      <c r="P150" s="60"/>
      <c r="Q150" s="60"/>
      <c r="R150" s="60"/>
      <c r="S150" s="60"/>
      <c r="T150" s="60"/>
      <c r="U150" s="60"/>
      <c r="V150" s="60"/>
      <c r="W150" s="60"/>
      <c r="X150" s="60"/>
      <c r="Y150" s="60"/>
      <c r="Z150" s="60"/>
      <c r="AA150" s="60"/>
      <c r="AB150" s="60"/>
      <c r="AC150" s="60"/>
      <c r="AD150" s="60"/>
    </row>
    <row r="151" ht="40.15" customHeight="1">
      <c r="A151" s="60"/>
      <c r="C151" s="59"/>
      <c r="D151" s="58"/>
      <c r="E151" s="59"/>
      <c r="F151" s="59"/>
      <c r="G151" s="59"/>
      <c r="H151" s="60"/>
      <c r="I151" s="60"/>
      <c r="J151" s="60"/>
      <c r="K151" s="60"/>
      <c r="L151" s="60"/>
      <c r="M151" s="60"/>
      <c r="N151" s="60"/>
      <c r="O151" s="60"/>
      <c r="P151" s="60"/>
      <c r="Q151" s="60"/>
      <c r="R151" s="60"/>
      <c r="S151" s="60"/>
      <c r="T151" s="60"/>
      <c r="U151" s="60"/>
      <c r="V151" s="60"/>
      <c r="W151" s="60"/>
      <c r="X151" s="60"/>
      <c r="Y151" s="60"/>
      <c r="Z151" s="60"/>
      <c r="AA151" s="60"/>
      <c r="AB151" s="60"/>
      <c r="AC151" s="60"/>
      <c r="AD151" s="60"/>
    </row>
    <row r="152" ht="40.15" customHeight="1">
      <c r="A152" s="60"/>
      <c r="C152" s="59"/>
      <c r="D152" s="58"/>
      <c r="E152" s="59"/>
      <c r="F152" s="59"/>
      <c r="G152" s="59"/>
      <c r="H152" s="60"/>
      <c r="I152" s="60"/>
      <c r="J152" s="60"/>
      <c r="K152" s="60"/>
      <c r="L152" s="60"/>
      <c r="M152" s="60"/>
      <c r="N152" s="60"/>
      <c r="O152" s="60"/>
      <c r="P152" s="60"/>
      <c r="Q152" s="60"/>
      <c r="R152" s="60"/>
      <c r="S152" s="60"/>
      <c r="T152" s="60"/>
      <c r="U152" s="60"/>
      <c r="V152" s="60"/>
      <c r="W152" s="60"/>
      <c r="X152" s="60"/>
      <c r="Y152" s="60"/>
      <c r="Z152" s="60"/>
      <c r="AA152" s="60"/>
      <c r="AB152" s="60"/>
      <c r="AC152" s="60"/>
      <c r="AD152" s="60"/>
    </row>
    <row r="153" ht="40.15" customHeight="1">
      <c r="A153" s="60"/>
      <c r="C153" s="59"/>
      <c r="D153" s="58"/>
      <c r="E153" s="59"/>
      <c r="F153" s="59"/>
      <c r="G153" s="59"/>
      <c r="H153" s="60"/>
      <c r="I153" s="60"/>
      <c r="J153" s="60"/>
      <c r="K153" s="60"/>
      <c r="L153" s="60"/>
      <c r="M153" s="60"/>
      <c r="N153" s="60"/>
      <c r="O153" s="60"/>
      <c r="P153" s="60"/>
      <c r="Q153" s="60"/>
      <c r="R153" s="60"/>
      <c r="S153" s="60"/>
      <c r="T153" s="60"/>
      <c r="U153" s="60"/>
      <c r="V153" s="60"/>
      <c r="W153" s="60"/>
      <c r="X153" s="60"/>
      <c r="Y153" s="60"/>
      <c r="Z153" s="60"/>
      <c r="AA153" s="60"/>
      <c r="AB153" s="60"/>
      <c r="AC153" s="60"/>
      <c r="AD153" s="60"/>
    </row>
    <row r="154" ht="40.15" customHeight="1">
      <c r="A154" s="60"/>
      <c r="C154" s="59"/>
      <c r="D154" s="58"/>
      <c r="E154" s="59"/>
      <c r="F154" s="59"/>
      <c r="G154" s="59"/>
      <c r="H154" s="60"/>
      <c r="I154" s="60"/>
      <c r="J154" s="60"/>
      <c r="K154" s="60"/>
      <c r="L154" s="60"/>
      <c r="M154" s="60"/>
      <c r="N154" s="60"/>
      <c r="O154" s="60"/>
      <c r="P154" s="60"/>
      <c r="Q154" s="60"/>
      <c r="R154" s="60"/>
      <c r="S154" s="60"/>
      <c r="T154" s="60"/>
      <c r="U154" s="60"/>
      <c r="V154" s="60"/>
      <c r="W154" s="60"/>
      <c r="X154" s="60"/>
      <c r="Y154" s="60"/>
      <c r="Z154" s="60"/>
      <c r="AA154" s="60"/>
      <c r="AB154" s="60"/>
      <c r="AC154" s="60"/>
      <c r="AD154" s="60"/>
    </row>
    <row r="155" ht="40.15" customHeight="1">
      <c r="A155" s="60"/>
      <c r="C155" s="59"/>
      <c r="D155" s="58"/>
      <c r="E155" s="59"/>
      <c r="F155" s="59"/>
      <c r="G155" s="59"/>
      <c r="H155" s="60"/>
      <c r="I155" s="60"/>
      <c r="J155" s="60"/>
      <c r="K155" s="60"/>
      <c r="L155" s="60"/>
      <c r="M155" s="60"/>
      <c r="N155" s="60"/>
      <c r="O155" s="60"/>
      <c r="P155" s="60"/>
      <c r="Q155" s="60"/>
      <c r="R155" s="60"/>
      <c r="S155" s="60"/>
      <c r="T155" s="60"/>
      <c r="U155" s="60"/>
      <c r="V155" s="60"/>
      <c r="W155" s="60"/>
      <c r="X155" s="60"/>
      <c r="Y155" s="60"/>
      <c r="Z155" s="60"/>
      <c r="AA155" s="60"/>
      <c r="AB155" s="60"/>
      <c r="AC155" s="60"/>
      <c r="AD155" s="60"/>
    </row>
    <row r="156" ht="40.15" customHeight="1">
      <c r="A156" s="60"/>
      <c r="C156" s="59"/>
      <c r="D156" s="58"/>
      <c r="E156" s="59"/>
      <c r="F156" s="59"/>
      <c r="G156" s="59"/>
      <c r="H156" s="60"/>
      <c r="I156" s="60"/>
      <c r="J156" s="60"/>
      <c r="K156" s="60"/>
      <c r="L156" s="60"/>
      <c r="M156" s="60"/>
      <c r="N156" s="60"/>
      <c r="O156" s="60"/>
      <c r="P156" s="60"/>
      <c r="Q156" s="60"/>
      <c r="R156" s="60"/>
      <c r="S156" s="60"/>
      <c r="T156" s="60"/>
      <c r="U156" s="60"/>
      <c r="V156" s="60"/>
      <c r="W156" s="60"/>
      <c r="X156" s="60"/>
      <c r="Y156" s="60"/>
      <c r="Z156" s="60"/>
      <c r="AA156" s="60"/>
      <c r="AB156" s="60"/>
      <c r="AC156" s="60"/>
      <c r="AD156" s="60"/>
    </row>
    <row r="157" ht="40.15" customHeight="1">
      <c r="A157" s="60"/>
      <c r="C157" s="59"/>
      <c r="D157" s="58"/>
      <c r="E157" s="59"/>
      <c r="F157" s="59"/>
      <c r="G157" s="59"/>
      <c r="H157" s="60"/>
      <c r="I157" s="60"/>
      <c r="J157" s="60"/>
      <c r="K157" s="60"/>
      <c r="L157" s="60"/>
      <c r="M157" s="60"/>
      <c r="N157" s="60"/>
      <c r="O157" s="60"/>
      <c r="P157" s="60"/>
      <c r="Q157" s="60"/>
      <c r="R157" s="60"/>
      <c r="S157" s="60"/>
      <c r="T157" s="60"/>
      <c r="U157" s="60"/>
      <c r="V157" s="60"/>
      <c r="W157" s="60"/>
      <c r="X157" s="60"/>
      <c r="Y157" s="60"/>
      <c r="Z157" s="60"/>
      <c r="AA157" s="60"/>
      <c r="AB157" s="60"/>
      <c r="AC157" s="60"/>
      <c r="AD157" s="60"/>
    </row>
    <row r="158" ht="40.15" customHeight="1">
      <c r="A158" s="60"/>
      <c r="C158" s="59"/>
      <c r="D158" s="58"/>
      <c r="E158" s="59"/>
      <c r="F158" s="59"/>
      <c r="G158" s="59"/>
      <c r="H158" s="60"/>
      <c r="I158" s="60"/>
      <c r="J158" s="60"/>
      <c r="K158" s="60"/>
      <c r="L158" s="60"/>
      <c r="M158" s="60"/>
      <c r="N158" s="60"/>
      <c r="O158" s="60"/>
      <c r="P158" s="60"/>
      <c r="Q158" s="60"/>
      <c r="R158" s="60"/>
      <c r="S158" s="60"/>
      <c r="T158" s="60"/>
      <c r="U158" s="60"/>
      <c r="V158" s="60"/>
      <c r="W158" s="60"/>
      <c r="X158" s="60"/>
      <c r="Y158" s="60"/>
      <c r="Z158" s="60"/>
      <c r="AA158" s="60"/>
      <c r="AB158" s="60"/>
      <c r="AC158" s="60"/>
      <c r="AD158" s="60"/>
    </row>
    <row r="159" ht="40.15" customHeight="1">
      <c r="A159" s="60"/>
      <c r="C159" s="59"/>
      <c r="D159" s="58"/>
      <c r="E159" s="59"/>
      <c r="F159" s="59"/>
      <c r="G159" s="59"/>
      <c r="H159" s="60"/>
      <c r="I159" s="60"/>
      <c r="J159" s="60"/>
      <c r="K159" s="60"/>
      <c r="L159" s="60"/>
      <c r="M159" s="60"/>
      <c r="N159" s="60"/>
      <c r="O159" s="60"/>
      <c r="P159" s="60"/>
      <c r="Q159" s="60"/>
      <c r="R159" s="60"/>
      <c r="S159" s="60"/>
      <c r="T159" s="60"/>
      <c r="U159" s="60"/>
      <c r="V159" s="60"/>
      <c r="W159" s="60"/>
      <c r="X159" s="60"/>
      <c r="Y159" s="60"/>
      <c r="Z159" s="60"/>
      <c r="AA159" s="60"/>
      <c r="AB159" s="60"/>
      <c r="AC159" s="60"/>
      <c r="AD159" s="60"/>
    </row>
    <row r="160" ht="40.15" customHeight="1">
      <c r="A160" s="60"/>
      <c r="C160" s="59"/>
      <c r="D160" s="58"/>
      <c r="E160" s="59"/>
      <c r="F160" s="59"/>
      <c r="G160" s="59"/>
      <c r="H160" s="60"/>
      <c r="I160" s="60"/>
      <c r="J160" s="60"/>
      <c r="K160" s="60"/>
      <c r="L160" s="60"/>
      <c r="M160" s="60"/>
      <c r="N160" s="60"/>
      <c r="O160" s="60"/>
      <c r="P160" s="60"/>
      <c r="Q160" s="60"/>
      <c r="R160" s="60"/>
      <c r="S160" s="60"/>
      <c r="T160" s="60"/>
      <c r="U160" s="60"/>
      <c r="V160" s="60"/>
      <c r="W160" s="60"/>
      <c r="X160" s="60"/>
      <c r="Y160" s="60"/>
      <c r="Z160" s="60"/>
      <c r="AA160" s="60"/>
      <c r="AB160" s="60"/>
      <c r="AC160" s="60"/>
      <c r="AD160" s="60"/>
    </row>
    <row r="161" ht="40.15" customHeight="1">
      <c r="A161" s="60"/>
      <c r="C161" s="59"/>
      <c r="D161" s="58"/>
      <c r="E161" s="59"/>
      <c r="F161" s="59"/>
      <c r="G161" s="59"/>
      <c r="H161" s="60"/>
      <c r="I161" s="60"/>
      <c r="J161" s="60"/>
      <c r="K161" s="60"/>
      <c r="L161" s="60"/>
      <c r="M161" s="60"/>
      <c r="N161" s="60"/>
      <c r="O161" s="60"/>
      <c r="P161" s="60"/>
      <c r="Q161" s="60"/>
      <c r="R161" s="60"/>
      <c r="S161" s="60"/>
      <c r="T161" s="60"/>
      <c r="U161" s="60"/>
      <c r="V161" s="60"/>
      <c r="W161" s="60"/>
      <c r="X161" s="60"/>
      <c r="Y161" s="60"/>
      <c r="Z161" s="60"/>
      <c r="AA161" s="60"/>
      <c r="AB161" s="60"/>
      <c r="AC161" s="60"/>
      <c r="AD161" s="60"/>
    </row>
    <row r="162" ht="40.15" customHeight="1">
      <c r="A162" s="60"/>
      <c r="C162" s="59"/>
      <c r="D162" s="58"/>
      <c r="E162" s="59"/>
      <c r="F162" s="59"/>
      <c r="G162" s="59"/>
      <c r="H162" s="60"/>
      <c r="I162" s="60"/>
      <c r="J162" s="60"/>
      <c r="K162" s="60"/>
      <c r="L162" s="60"/>
      <c r="M162" s="60"/>
      <c r="N162" s="60"/>
      <c r="O162" s="60"/>
      <c r="P162" s="60"/>
      <c r="Q162" s="60"/>
      <c r="R162" s="60"/>
      <c r="S162" s="60"/>
      <c r="T162" s="60"/>
      <c r="U162" s="60"/>
      <c r="V162" s="60"/>
      <c r="W162" s="60"/>
      <c r="X162" s="60"/>
      <c r="Y162" s="60"/>
      <c r="Z162" s="60"/>
      <c r="AA162" s="60"/>
      <c r="AB162" s="60"/>
      <c r="AC162" s="60"/>
      <c r="AD162" s="60"/>
    </row>
    <row r="163" ht="40.15" customHeight="1">
      <c r="A163" s="60"/>
      <c r="C163" s="59"/>
      <c r="D163" s="58"/>
      <c r="E163" s="59"/>
      <c r="F163" s="59"/>
      <c r="G163" s="59"/>
      <c r="H163" s="60"/>
      <c r="I163" s="60"/>
      <c r="J163" s="60"/>
      <c r="K163" s="60"/>
      <c r="L163" s="60"/>
      <c r="M163" s="60"/>
      <c r="N163" s="60"/>
      <c r="O163" s="60"/>
      <c r="P163" s="60"/>
      <c r="Q163" s="60"/>
      <c r="R163" s="60"/>
      <c r="S163" s="60"/>
      <c r="T163" s="60"/>
      <c r="U163" s="60"/>
      <c r="V163" s="60"/>
      <c r="W163" s="60"/>
      <c r="X163" s="60"/>
      <c r="Y163" s="60"/>
      <c r="Z163" s="60"/>
      <c r="AA163" s="60"/>
      <c r="AB163" s="60"/>
      <c r="AC163" s="60"/>
      <c r="AD163" s="60"/>
    </row>
    <row r="164" ht="40.15" customHeight="1">
      <c r="A164" s="60"/>
      <c r="C164" s="59"/>
      <c r="D164" s="58"/>
      <c r="E164" s="59"/>
      <c r="F164" s="59"/>
      <c r="G164" s="59"/>
      <c r="H164" s="60"/>
      <c r="I164" s="60"/>
      <c r="J164" s="60"/>
      <c r="K164" s="60"/>
      <c r="L164" s="60"/>
      <c r="M164" s="60"/>
      <c r="N164" s="60"/>
      <c r="O164" s="60"/>
      <c r="P164" s="60"/>
      <c r="Q164" s="60"/>
      <c r="R164" s="60"/>
      <c r="S164" s="60"/>
      <c r="T164" s="60"/>
      <c r="U164" s="60"/>
      <c r="V164" s="60"/>
      <c r="W164" s="60"/>
      <c r="X164" s="60"/>
      <c r="Y164" s="60"/>
      <c r="Z164" s="60"/>
      <c r="AA164" s="60"/>
      <c r="AB164" s="60"/>
      <c r="AC164" s="60"/>
      <c r="AD164" s="60"/>
    </row>
    <row r="165" ht="40.15" customHeight="1">
      <c r="A165" s="60"/>
      <c r="C165" s="59"/>
      <c r="D165" s="58"/>
      <c r="E165" s="59"/>
      <c r="F165" s="59"/>
      <c r="G165" s="59"/>
      <c r="H165" s="60"/>
      <c r="I165" s="60"/>
      <c r="J165" s="60"/>
      <c r="K165" s="60"/>
      <c r="L165" s="60"/>
      <c r="M165" s="60"/>
      <c r="N165" s="60"/>
      <c r="O165" s="60"/>
      <c r="P165" s="60"/>
      <c r="Q165" s="60"/>
      <c r="R165" s="60"/>
      <c r="S165" s="60"/>
      <c r="T165" s="60"/>
      <c r="U165" s="60"/>
      <c r="V165" s="60"/>
      <c r="W165" s="60"/>
      <c r="X165" s="60"/>
      <c r="Y165" s="60"/>
      <c r="Z165" s="60"/>
      <c r="AA165" s="60"/>
      <c r="AB165" s="60"/>
      <c r="AC165" s="60"/>
      <c r="AD165" s="60"/>
    </row>
    <row r="166" ht="40.15" customHeight="1">
      <c r="A166" s="60"/>
      <c r="C166" s="59"/>
      <c r="D166" s="58"/>
      <c r="E166" s="59"/>
      <c r="F166" s="59"/>
      <c r="G166" s="59"/>
      <c r="H166" s="60"/>
      <c r="I166" s="60"/>
      <c r="J166" s="60"/>
      <c r="K166" s="60"/>
      <c r="L166" s="60"/>
      <c r="M166" s="60"/>
      <c r="N166" s="60"/>
      <c r="O166" s="60"/>
      <c r="P166" s="60"/>
      <c r="Q166" s="60"/>
      <c r="R166" s="60"/>
      <c r="S166" s="60"/>
      <c r="T166" s="60"/>
      <c r="U166" s="60"/>
      <c r="V166" s="60"/>
      <c r="W166" s="60"/>
      <c r="X166" s="60"/>
      <c r="Y166" s="60"/>
      <c r="Z166" s="60"/>
      <c r="AA166" s="60"/>
      <c r="AB166" s="60"/>
      <c r="AC166" s="60"/>
      <c r="AD166" s="60"/>
    </row>
    <row r="167" ht="40.15" customHeight="1">
      <c r="A167" s="60"/>
      <c r="C167" s="59"/>
      <c r="D167" s="58"/>
      <c r="E167" s="59"/>
      <c r="F167" s="59"/>
      <c r="G167" s="59"/>
      <c r="H167" s="60"/>
      <c r="I167" s="60"/>
      <c r="J167" s="60"/>
      <c r="K167" s="60"/>
      <c r="L167" s="60"/>
      <c r="M167" s="60"/>
      <c r="N167" s="60"/>
      <c r="O167" s="60"/>
      <c r="P167" s="60"/>
      <c r="Q167" s="60"/>
      <c r="R167" s="60"/>
      <c r="S167" s="60"/>
      <c r="T167" s="60"/>
      <c r="U167" s="60"/>
      <c r="V167" s="60"/>
      <c r="W167" s="60"/>
      <c r="X167" s="60"/>
      <c r="Y167" s="60"/>
      <c r="Z167" s="60"/>
      <c r="AA167" s="60"/>
      <c r="AB167" s="60"/>
      <c r="AC167" s="60"/>
      <c r="AD167" s="60"/>
    </row>
    <row r="168" ht="40.15" customHeight="1">
      <c r="A168" s="60"/>
      <c r="C168" s="59"/>
      <c r="D168" s="58"/>
      <c r="E168" s="59"/>
      <c r="F168" s="59"/>
      <c r="G168" s="59"/>
      <c r="H168" s="60"/>
      <c r="I168" s="60"/>
      <c r="J168" s="60"/>
      <c r="K168" s="60"/>
      <c r="L168" s="60"/>
      <c r="M168" s="60"/>
      <c r="N168" s="60"/>
      <c r="O168" s="60"/>
      <c r="P168" s="60"/>
      <c r="Q168" s="60"/>
      <c r="R168" s="60"/>
      <c r="S168" s="60"/>
      <c r="T168" s="60"/>
      <c r="U168" s="60"/>
      <c r="V168" s="60"/>
      <c r="W168" s="60"/>
      <c r="X168" s="60"/>
      <c r="Y168" s="60"/>
      <c r="Z168" s="60"/>
      <c r="AA168" s="60"/>
      <c r="AB168" s="60"/>
      <c r="AC168" s="60"/>
      <c r="AD168" s="60"/>
    </row>
    <row r="169" ht="40.15" customHeight="1">
      <c r="A169" s="60"/>
      <c r="C169" s="59"/>
      <c r="D169" s="58"/>
      <c r="E169" s="59"/>
      <c r="F169" s="59"/>
      <c r="G169" s="59"/>
      <c r="H169" s="60"/>
      <c r="I169" s="60"/>
      <c r="J169" s="60"/>
      <c r="K169" s="60"/>
      <c r="L169" s="60"/>
      <c r="M169" s="60"/>
      <c r="N169" s="60"/>
      <c r="O169" s="60"/>
      <c r="P169" s="60"/>
      <c r="Q169" s="60"/>
      <c r="R169" s="60"/>
      <c r="S169" s="60"/>
      <c r="T169" s="60"/>
      <c r="U169" s="60"/>
      <c r="V169" s="60"/>
      <c r="W169" s="60"/>
      <c r="X169" s="60"/>
      <c r="Y169" s="60"/>
      <c r="Z169" s="60"/>
      <c r="AA169" s="60"/>
      <c r="AB169" s="60"/>
      <c r="AC169" s="60"/>
      <c r="AD169" s="60"/>
    </row>
    <row r="170" ht="40.15" customHeight="1">
      <c r="A170" s="60"/>
      <c r="C170" s="59"/>
      <c r="D170" s="58"/>
      <c r="E170" s="59"/>
      <c r="F170" s="59"/>
      <c r="G170" s="59"/>
      <c r="H170" s="60"/>
      <c r="I170" s="60"/>
      <c r="J170" s="60"/>
      <c r="K170" s="60"/>
      <c r="L170" s="60"/>
      <c r="M170" s="60"/>
      <c r="N170" s="60"/>
      <c r="O170" s="60"/>
      <c r="P170" s="60"/>
      <c r="Q170" s="60"/>
      <c r="R170" s="60"/>
      <c r="S170" s="60"/>
      <c r="T170" s="60"/>
      <c r="U170" s="60"/>
      <c r="V170" s="60"/>
      <c r="W170" s="60"/>
      <c r="X170" s="60"/>
      <c r="Y170" s="60"/>
      <c r="Z170" s="60"/>
      <c r="AA170" s="60"/>
      <c r="AB170" s="60"/>
      <c r="AC170" s="60"/>
      <c r="AD170" s="60"/>
    </row>
    <row r="171" ht="40.15" customHeight="1">
      <c r="A171" s="60"/>
      <c r="C171" s="59"/>
      <c r="D171" s="58"/>
      <c r="E171" s="59"/>
      <c r="F171" s="59"/>
      <c r="G171" s="59"/>
      <c r="H171" s="60"/>
      <c r="I171" s="60"/>
      <c r="J171" s="60"/>
      <c r="K171" s="60"/>
      <c r="L171" s="60"/>
      <c r="M171" s="60"/>
      <c r="N171" s="60"/>
      <c r="O171" s="60"/>
      <c r="P171" s="60"/>
      <c r="Q171" s="60"/>
      <c r="R171" s="60"/>
      <c r="S171" s="60"/>
      <c r="T171" s="60"/>
      <c r="U171" s="60"/>
      <c r="V171" s="60"/>
      <c r="W171" s="60"/>
      <c r="X171" s="60"/>
      <c r="Y171" s="60"/>
      <c r="Z171" s="60"/>
      <c r="AA171" s="60"/>
      <c r="AB171" s="60"/>
      <c r="AC171" s="60"/>
      <c r="AD171" s="60"/>
    </row>
    <row r="172" ht="40.15" customHeight="1">
      <c r="A172" s="60"/>
      <c r="C172" s="59"/>
      <c r="D172" s="58"/>
      <c r="E172" s="59"/>
      <c r="F172" s="59"/>
      <c r="G172" s="59"/>
      <c r="H172" s="60"/>
      <c r="I172" s="60"/>
      <c r="J172" s="60"/>
      <c r="K172" s="60"/>
      <c r="L172" s="60"/>
      <c r="M172" s="60"/>
      <c r="N172" s="60"/>
      <c r="O172" s="60"/>
      <c r="P172" s="60"/>
      <c r="Q172" s="60"/>
      <c r="R172" s="60"/>
      <c r="S172" s="60"/>
      <c r="T172" s="60"/>
      <c r="U172" s="60"/>
      <c r="V172" s="60"/>
      <c r="W172" s="60"/>
      <c r="X172" s="60"/>
      <c r="Y172" s="60"/>
      <c r="Z172" s="60"/>
      <c r="AA172" s="60"/>
      <c r="AB172" s="60"/>
      <c r="AC172" s="60"/>
      <c r="AD172" s="60"/>
    </row>
    <row r="173" ht="40.15" customHeight="1">
      <c r="A173" s="60"/>
      <c r="C173" s="59"/>
      <c r="D173" s="58"/>
      <c r="E173" s="59"/>
      <c r="F173" s="59"/>
      <c r="G173" s="59"/>
      <c r="H173" s="60"/>
      <c r="I173" s="60"/>
      <c r="J173" s="60"/>
      <c r="K173" s="60"/>
      <c r="L173" s="60"/>
      <c r="M173" s="60"/>
      <c r="N173" s="60"/>
      <c r="O173" s="60"/>
      <c r="P173" s="60"/>
      <c r="Q173" s="60"/>
      <c r="R173" s="60"/>
      <c r="S173" s="60"/>
      <c r="T173" s="60"/>
      <c r="U173" s="60"/>
      <c r="V173" s="60"/>
      <c r="W173" s="60"/>
      <c r="X173" s="60"/>
      <c r="Y173" s="60"/>
      <c r="Z173" s="60"/>
      <c r="AA173" s="60"/>
      <c r="AB173" s="60"/>
      <c r="AC173" s="60"/>
      <c r="AD173" s="60"/>
    </row>
    <row r="174" ht="40.15" customHeight="1">
      <c r="A174" s="60"/>
      <c r="C174" s="59"/>
      <c r="D174" s="58"/>
      <c r="E174" s="59"/>
      <c r="F174" s="59"/>
      <c r="G174" s="59"/>
      <c r="H174" s="60"/>
      <c r="I174" s="60"/>
      <c r="J174" s="60"/>
      <c r="K174" s="60"/>
      <c r="L174" s="60"/>
      <c r="M174" s="60"/>
      <c r="N174" s="60"/>
      <c r="O174" s="60"/>
      <c r="P174" s="60"/>
      <c r="Q174" s="60"/>
      <c r="R174" s="60"/>
      <c r="S174" s="60"/>
      <c r="T174" s="60"/>
      <c r="U174" s="60"/>
      <c r="V174" s="60"/>
      <c r="W174" s="60"/>
      <c r="X174" s="60"/>
      <c r="Y174" s="60"/>
      <c r="Z174" s="60"/>
      <c r="AA174" s="60"/>
      <c r="AB174" s="60"/>
      <c r="AC174" s="60"/>
      <c r="AD174" s="60"/>
    </row>
    <row r="175" ht="40.15" customHeight="1">
      <c r="A175" s="60"/>
      <c r="C175" s="59"/>
      <c r="D175" s="58"/>
      <c r="E175" s="59"/>
      <c r="F175" s="59"/>
      <c r="G175" s="59"/>
      <c r="H175" s="60"/>
      <c r="I175" s="60"/>
      <c r="J175" s="60"/>
      <c r="K175" s="60"/>
      <c r="L175" s="60"/>
      <c r="M175" s="60"/>
      <c r="N175" s="60"/>
      <c r="O175" s="60"/>
      <c r="P175" s="60"/>
      <c r="Q175" s="60"/>
      <c r="R175" s="60"/>
      <c r="S175" s="60"/>
      <c r="T175" s="60"/>
      <c r="U175" s="60"/>
      <c r="V175" s="60"/>
      <c r="W175" s="60"/>
      <c r="X175" s="60"/>
      <c r="Y175" s="60"/>
      <c r="Z175" s="60"/>
      <c r="AA175" s="60"/>
      <c r="AB175" s="60"/>
      <c r="AC175" s="60"/>
      <c r="AD175" s="60"/>
    </row>
    <row r="176" ht="40.15" customHeight="1">
      <c r="A176" s="60"/>
      <c r="C176" s="59"/>
      <c r="D176" s="58"/>
      <c r="E176" s="59"/>
      <c r="F176" s="59"/>
      <c r="G176" s="59"/>
      <c r="H176" s="60"/>
      <c r="I176" s="60"/>
      <c r="J176" s="60"/>
      <c r="K176" s="60"/>
      <c r="L176" s="60"/>
      <c r="M176" s="60"/>
      <c r="N176" s="60"/>
      <c r="O176" s="60"/>
      <c r="P176" s="60"/>
      <c r="Q176" s="60"/>
      <c r="R176" s="60"/>
      <c r="S176" s="60"/>
      <c r="T176" s="60"/>
      <c r="U176" s="60"/>
      <c r="V176" s="60"/>
      <c r="W176" s="60"/>
      <c r="X176" s="60"/>
      <c r="Y176" s="60"/>
      <c r="Z176" s="60"/>
      <c r="AA176" s="60"/>
      <c r="AB176" s="60"/>
      <c r="AC176" s="60"/>
      <c r="AD176" s="60"/>
    </row>
    <row r="177" ht="40.15" customHeight="1">
      <c r="A177" s="60"/>
      <c r="C177" s="59"/>
      <c r="D177" s="58"/>
      <c r="E177" s="59"/>
      <c r="F177" s="59"/>
      <c r="G177" s="59"/>
      <c r="H177" s="60"/>
      <c r="I177" s="60"/>
      <c r="J177" s="60"/>
      <c r="K177" s="60"/>
      <c r="L177" s="60"/>
      <c r="M177" s="60"/>
      <c r="N177" s="60"/>
      <c r="O177" s="60"/>
      <c r="P177" s="60"/>
      <c r="Q177" s="60"/>
      <c r="R177" s="60"/>
      <c r="S177" s="60"/>
      <c r="T177" s="60"/>
      <c r="U177" s="60"/>
      <c r="V177" s="60"/>
      <c r="W177" s="60"/>
      <c r="X177" s="60"/>
      <c r="Y177" s="60"/>
      <c r="Z177" s="60"/>
      <c r="AA177" s="60"/>
      <c r="AB177" s="60"/>
      <c r="AC177" s="60"/>
      <c r="AD177" s="60"/>
    </row>
    <row r="178" ht="40.15" customHeight="1">
      <c r="A178" s="60"/>
      <c r="C178" s="59"/>
      <c r="D178" s="58"/>
      <c r="E178" s="59"/>
      <c r="F178" s="59"/>
      <c r="G178" s="59"/>
      <c r="H178" s="60"/>
      <c r="I178" s="60"/>
      <c r="J178" s="60"/>
      <c r="K178" s="60"/>
      <c r="L178" s="60"/>
      <c r="M178" s="60"/>
      <c r="N178" s="60"/>
      <c r="O178" s="60"/>
      <c r="P178" s="60"/>
      <c r="Q178" s="60"/>
      <c r="R178" s="60"/>
      <c r="S178" s="60"/>
      <c r="T178" s="60"/>
      <c r="U178" s="60"/>
      <c r="V178" s="60"/>
      <c r="W178" s="60"/>
      <c r="X178" s="60"/>
      <c r="Y178" s="60"/>
      <c r="Z178" s="60"/>
      <c r="AA178" s="60"/>
      <c r="AB178" s="60"/>
      <c r="AC178" s="60"/>
      <c r="AD178" s="60"/>
    </row>
    <row r="179" ht="40.15" customHeight="1">
      <c r="A179" s="60"/>
      <c r="C179" s="59"/>
      <c r="D179" s="58"/>
      <c r="E179" s="59"/>
      <c r="F179" s="59"/>
      <c r="G179" s="59"/>
      <c r="H179" s="60"/>
      <c r="I179" s="60"/>
      <c r="J179" s="60"/>
      <c r="K179" s="60"/>
      <c r="L179" s="60"/>
      <c r="M179" s="60"/>
      <c r="N179" s="60"/>
      <c r="O179" s="60"/>
      <c r="P179" s="60"/>
      <c r="Q179" s="60"/>
      <c r="R179" s="60"/>
      <c r="S179" s="60"/>
      <c r="T179" s="60"/>
      <c r="U179" s="60"/>
      <c r="V179" s="60"/>
      <c r="W179" s="60"/>
      <c r="X179" s="60"/>
      <c r="Y179" s="60"/>
      <c r="Z179" s="60"/>
      <c r="AA179" s="60"/>
      <c r="AB179" s="60"/>
      <c r="AC179" s="60"/>
      <c r="AD179" s="60"/>
    </row>
    <row r="180" ht="40.15" customHeight="1">
      <c r="A180" s="60"/>
      <c r="C180" s="59"/>
      <c r="D180" s="58"/>
      <c r="E180" s="59"/>
      <c r="F180" s="59"/>
      <c r="G180" s="59"/>
      <c r="H180" s="60"/>
      <c r="I180" s="60"/>
      <c r="J180" s="60"/>
      <c r="K180" s="60"/>
      <c r="L180" s="60"/>
      <c r="M180" s="60"/>
      <c r="N180" s="60"/>
      <c r="O180" s="60"/>
      <c r="P180" s="60"/>
      <c r="Q180" s="60"/>
      <c r="R180" s="60"/>
      <c r="S180" s="60"/>
      <c r="T180" s="60"/>
      <c r="U180" s="60"/>
      <c r="V180" s="60"/>
      <c r="W180" s="60"/>
      <c r="X180" s="60"/>
      <c r="Y180" s="60"/>
      <c r="Z180" s="60"/>
      <c r="AA180" s="60"/>
      <c r="AB180" s="60"/>
      <c r="AC180" s="60"/>
      <c r="AD180" s="60"/>
    </row>
    <row r="181" ht="40.15" customHeight="1">
      <c r="A181" s="60"/>
      <c r="C181" s="59"/>
      <c r="D181" s="58"/>
      <c r="E181" s="59"/>
      <c r="F181" s="59"/>
      <c r="G181" s="59"/>
      <c r="H181" s="60"/>
      <c r="I181" s="60"/>
      <c r="J181" s="60"/>
      <c r="K181" s="60"/>
      <c r="L181" s="60"/>
      <c r="M181" s="60"/>
      <c r="N181" s="60"/>
      <c r="O181" s="60"/>
      <c r="P181" s="60"/>
      <c r="Q181" s="60"/>
      <c r="R181" s="60"/>
      <c r="S181" s="60"/>
      <c r="T181" s="60"/>
      <c r="U181" s="60"/>
      <c r="V181" s="60"/>
      <c r="W181" s="60"/>
      <c r="X181" s="60"/>
      <c r="Y181" s="60"/>
      <c r="Z181" s="60"/>
      <c r="AA181" s="60"/>
      <c r="AB181" s="60"/>
      <c r="AC181" s="60"/>
      <c r="AD181" s="60"/>
    </row>
    <row r="182" ht="40.15" customHeight="1">
      <c r="A182" s="60"/>
      <c r="C182" s="59"/>
      <c r="D182" s="58"/>
      <c r="E182" s="59"/>
      <c r="F182" s="59"/>
      <c r="G182" s="59"/>
      <c r="H182" s="60"/>
      <c r="I182" s="60"/>
      <c r="J182" s="60"/>
      <c r="K182" s="60"/>
      <c r="L182" s="60"/>
      <c r="M182" s="60"/>
      <c r="N182" s="60"/>
      <c r="O182" s="60"/>
      <c r="P182" s="60"/>
      <c r="Q182" s="60"/>
      <c r="R182" s="60"/>
      <c r="S182" s="60"/>
      <c r="T182" s="60"/>
      <c r="U182" s="60"/>
      <c r="V182" s="60"/>
      <c r="W182" s="60"/>
      <c r="X182" s="60"/>
      <c r="Y182" s="60"/>
      <c r="Z182" s="60"/>
      <c r="AA182" s="60"/>
      <c r="AB182" s="60"/>
      <c r="AC182" s="60"/>
      <c r="AD182" s="60"/>
    </row>
    <row r="183" ht="40.15" customHeight="1">
      <c r="A183" s="60"/>
      <c r="C183" s="59"/>
      <c r="D183" s="58"/>
      <c r="E183" s="59"/>
      <c r="F183" s="59"/>
      <c r="G183" s="59"/>
      <c r="H183" s="60"/>
      <c r="I183" s="60"/>
      <c r="J183" s="60"/>
      <c r="K183" s="60"/>
      <c r="L183" s="60"/>
      <c r="M183" s="60"/>
      <c r="N183" s="60"/>
      <c r="O183" s="60"/>
      <c r="P183" s="60"/>
      <c r="Q183" s="60"/>
      <c r="R183" s="60"/>
      <c r="S183" s="60"/>
      <c r="T183" s="60"/>
      <c r="U183" s="60"/>
      <c r="V183" s="60"/>
      <c r="W183" s="60"/>
      <c r="X183" s="60"/>
      <c r="Y183" s="60"/>
      <c r="Z183" s="60"/>
      <c r="AA183" s="60"/>
      <c r="AB183" s="60"/>
      <c r="AC183" s="60"/>
      <c r="AD183" s="60"/>
    </row>
    <row r="184" ht="40.15" customHeight="1">
      <c r="A184" s="60"/>
      <c r="C184" s="59"/>
      <c r="D184" s="58"/>
      <c r="E184" s="59"/>
      <c r="F184" s="59"/>
      <c r="G184" s="59"/>
      <c r="H184" s="60"/>
      <c r="I184" s="60"/>
      <c r="J184" s="60"/>
      <c r="K184" s="60"/>
      <c r="L184" s="60"/>
      <c r="M184" s="60"/>
      <c r="N184" s="60"/>
      <c r="O184" s="60"/>
      <c r="P184" s="60"/>
      <c r="Q184" s="60"/>
      <c r="R184" s="60"/>
      <c r="S184" s="60"/>
      <c r="T184" s="60"/>
      <c r="U184" s="60"/>
      <c r="V184" s="60"/>
      <c r="W184" s="60"/>
      <c r="X184" s="60"/>
      <c r="Y184" s="60"/>
      <c r="Z184" s="60"/>
      <c r="AA184" s="60"/>
      <c r="AB184" s="60"/>
      <c r="AC184" s="60"/>
      <c r="AD184" s="60"/>
    </row>
    <row r="185" ht="40.15" customHeight="1">
      <c r="A185" s="60"/>
      <c r="C185" s="59"/>
      <c r="D185" s="58"/>
      <c r="E185" s="59"/>
      <c r="F185" s="59"/>
      <c r="G185" s="59"/>
      <c r="H185" s="60"/>
      <c r="I185" s="60"/>
      <c r="J185" s="60"/>
      <c r="K185" s="60"/>
      <c r="L185" s="60"/>
      <c r="M185" s="60"/>
      <c r="N185" s="60"/>
      <c r="O185" s="60"/>
      <c r="P185" s="60"/>
      <c r="Q185" s="60"/>
      <c r="R185" s="60"/>
      <c r="S185" s="60"/>
      <c r="T185" s="60"/>
      <c r="U185" s="60"/>
      <c r="V185" s="60"/>
      <c r="W185" s="60"/>
      <c r="X185" s="60"/>
      <c r="Y185" s="60"/>
      <c r="Z185" s="60"/>
      <c r="AA185" s="60"/>
      <c r="AB185" s="60"/>
      <c r="AC185" s="60"/>
      <c r="AD185" s="60"/>
    </row>
    <row r="186" ht="40.15" customHeight="1">
      <c r="A186" s="60"/>
      <c r="C186" s="59"/>
      <c r="D186" s="58"/>
      <c r="E186" s="59"/>
      <c r="F186" s="59"/>
      <c r="G186" s="59"/>
      <c r="H186" s="60"/>
      <c r="I186" s="60"/>
      <c r="J186" s="60"/>
      <c r="K186" s="60"/>
      <c r="L186" s="60"/>
      <c r="M186" s="60"/>
      <c r="N186" s="60"/>
      <c r="O186" s="60"/>
      <c r="P186" s="60"/>
      <c r="Q186" s="60"/>
      <c r="R186" s="60"/>
      <c r="S186" s="60"/>
      <c r="T186" s="60"/>
      <c r="U186" s="60"/>
      <c r="V186" s="60"/>
      <c r="W186" s="60"/>
      <c r="X186" s="60"/>
      <c r="Y186" s="60"/>
      <c r="Z186" s="60"/>
      <c r="AA186" s="60"/>
      <c r="AB186" s="60"/>
      <c r="AC186" s="60"/>
      <c r="AD186" s="60"/>
    </row>
    <row r="187" ht="40.15" customHeight="1">
      <c r="A187" s="60"/>
      <c r="C187" s="59"/>
      <c r="D187" s="58"/>
      <c r="E187" s="59"/>
      <c r="F187" s="59"/>
      <c r="G187" s="59"/>
      <c r="H187" s="60"/>
      <c r="I187" s="60"/>
      <c r="J187" s="60"/>
      <c r="K187" s="60"/>
      <c r="L187" s="60"/>
      <c r="M187" s="60"/>
      <c r="N187" s="60"/>
      <c r="O187" s="60"/>
      <c r="P187" s="60"/>
      <c r="Q187" s="60"/>
      <c r="R187" s="60"/>
      <c r="S187" s="60"/>
      <c r="T187" s="60"/>
      <c r="U187" s="60"/>
      <c r="V187" s="60"/>
      <c r="W187" s="60"/>
      <c r="X187" s="60"/>
      <c r="Y187" s="60"/>
      <c r="Z187" s="60"/>
      <c r="AA187" s="60"/>
      <c r="AB187" s="60"/>
      <c r="AC187" s="60"/>
      <c r="AD187" s="60"/>
    </row>
    <row r="188" ht="40.15" customHeight="1">
      <c r="A188" s="60"/>
      <c r="C188" s="59"/>
      <c r="D188" s="58"/>
      <c r="E188" s="59"/>
      <c r="F188" s="59"/>
      <c r="G188" s="59"/>
      <c r="H188" s="60"/>
      <c r="I188" s="60"/>
      <c r="J188" s="60"/>
      <c r="K188" s="60"/>
      <c r="L188" s="60"/>
      <c r="M188" s="60"/>
      <c r="N188" s="60"/>
      <c r="O188" s="60"/>
      <c r="P188" s="60"/>
      <c r="Q188" s="60"/>
      <c r="R188" s="60"/>
      <c r="S188" s="60"/>
      <c r="T188" s="60"/>
      <c r="U188" s="60"/>
      <c r="V188" s="60"/>
      <c r="W188" s="60"/>
      <c r="X188" s="60"/>
      <c r="Y188" s="60"/>
      <c r="Z188" s="60"/>
      <c r="AA188" s="60"/>
      <c r="AB188" s="60"/>
      <c r="AC188" s="60"/>
      <c r="AD188" s="60"/>
    </row>
    <row r="189" ht="40.15" customHeight="1">
      <c r="A189" s="60"/>
      <c r="C189" s="59"/>
      <c r="D189" s="58"/>
      <c r="E189" s="59"/>
      <c r="F189" s="59"/>
      <c r="G189" s="59"/>
      <c r="H189" s="60"/>
      <c r="I189" s="60"/>
      <c r="J189" s="60"/>
      <c r="K189" s="60"/>
      <c r="L189" s="60"/>
      <c r="M189" s="60"/>
      <c r="N189" s="60"/>
      <c r="O189" s="60"/>
      <c r="P189" s="60"/>
      <c r="Q189" s="60"/>
      <c r="R189" s="60"/>
      <c r="S189" s="60"/>
      <c r="T189" s="60"/>
      <c r="U189" s="60"/>
      <c r="V189" s="60"/>
      <c r="W189" s="60"/>
      <c r="X189" s="60"/>
      <c r="Y189" s="60"/>
      <c r="Z189" s="60"/>
      <c r="AA189" s="60"/>
      <c r="AB189" s="60"/>
      <c r="AC189" s="60"/>
      <c r="AD189" s="60"/>
    </row>
    <row r="190" ht="40.15" customHeight="1">
      <c r="A190" s="60"/>
      <c r="C190" s="59"/>
      <c r="D190" s="58"/>
      <c r="E190" s="59"/>
      <c r="F190" s="59"/>
      <c r="G190" s="59"/>
      <c r="H190" s="60"/>
      <c r="I190" s="60"/>
      <c r="J190" s="60"/>
      <c r="K190" s="60"/>
      <c r="L190" s="60"/>
      <c r="M190" s="60"/>
      <c r="N190" s="60"/>
      <c r="O190" s="60"/>
      <c r="P190" s="60"/>
      <c r="Q190" s="60"/>
      <c r="R190" s="60"/>
      <c r="S190" s="60"/>
      <c r="T190" s="60"/>
      <c r="U190" s="60"/>
      <c r="V190" s="60"/>
      <c r="W190" s="60"/>
      <c r="X190" s="60"/>
      <c r="Y190" s="60"/>
      <c r="Z190" s="60"/>
      <c r="AA190" s="60"/>
      <c r="AB190" s="60"/>
      <c r="AC190" s="60"/>
      <c r="AD190" s="60"/>
    </row>
    <row r="191" ht="40.15" customHeight="1">
      <c r="A191" s="60"/>
      <c r="C191" s="59"/>
      <c r="D191" s="58"/>
      <c r="E191" s="59"/>
      <c r="F191" s="59"/>
      <c r="G191" s="59"/>
      <c r="H191" s="60"/>
      <c r="I191" s="60"/>
      <c r="J191" s="60"/>
      <c r="K191" s="60"/>
      <c r="L191" s="60"/>
      <c r="M191" s="60"/>
      <c r="N191" s="60"/>
      <c r="O191" s="60"/>
      <c r="P191" s="60"/>
      <c r="Q191" s="60"/>
      <c r="R191" s="60"/>
      <c r="S191" s="60"/>
      <c r="T191" s="60"/>
      <c r="U191" s="60"/>
      <c r="V191" s="60"/>
      <c r="W191" s="60"/>
      <c r="X191" s="60"/>
      <c r="Y191" s="60"/>
      <c r="Z191" s="60"/>
      <c r="AA191" s="60"/>
      <c r="AB191" s="60"/>
      <c r="AC191" s="60"/>
      <c r="AD191" s="60"/>
    </row>
    <row r="192" ht="40.15" customHeight="1">
      <c r="A192" s="60"/>
      <c r="C192" s="59"/>
      <c r="D192" s="58"/>
      <c r="E192" s="59"/>
      <c r="F192" s="59"/>
      <c r="G192" s="59"/>
      <c r="H192" s="60"/>
      <c r="I192" s="60"/>
      <c r="J192" s="60"/>
      <c r="K192" s="60"/>
      <c r="L192" s="60"/>
      <c r="M192" s="60"/>
      <c r="N192" s="60"/>
      <c r="O192" s="60"/>
      <c r="P192" s="60"/>
      <c r="Q192" s="60"/>
      <c r="R192" s="60"/>
      <c r="S192" s="60"/>
      <c r="T192" s="60"/>
      <c r="U192" s="60"/>
      <c r="V192" s="60"/>
      <c r="W192" s="60"/>
      <c r="X192" s="60"/>
      <c r="Y192" s="60"/>
      <c r="Z192" s="60"/>
      <c r="AA192" s="60"/>
      <c r="AB192" s="60"/>
      <c r="AC192" s="60"/>
      <c r="AD192" s="60"/>
    </row>
    <row r="193" ht="40.15" customHeight="1">
      <c r="A193" s="60"/>
      <c r="C193" s="59"/>
      <c r="D193" s="58"/>
      <c r="E193" s="59"/>
      <c r="F193" s="59"/>
      <c r="G193" s="59"/>
      <c r="H193" s="60"/>
      <c r="I193" s="60"/>
      <c r="J193" s="60"/>
      <c r="K193" s="60"/>
      <c r="L193" s="60"/>
      <c r="M193" s="60"/>
      <c r="N193" s="60"/>
      <c r="O193" s="60"/>
      <c r="P193" s="60"/>
      <c r="Q193" s="60"/>
      <c r="R193" s="60"/>
      <c r="S193" s="60"/>
      <c r="T193" s="60"/>
      <c r="U193" s="60"/>
      <c r="V193" s="60"/>
      <c r="W193" s="60"/>
      <c r="X193" s="60"/>
      <c r="Y193" s="60"/>
      <c r="Z193" s="60"/>
      <c r="AA193" s="60"/>
      <c r="AB193" s="60"/>
      <c r="AC193" s="60"/>
      <c r="AD193" s="60"/>
    </row>
    <row r="194" ht="40.15" customHeight="1">
      <c r="A194" s="60"/>
      <c r="C194" s="59"/>
      <c r="D194" s="58"/>
      <c r="E194" s="59"/>
      <c r="F194" s="59"/>
      <c r="G194" s="59"/>
      <c r="H194" s="60"/>
      <c r="I194" s="60"/>
      <c r="J194" s="60"/>
      <c r="K194" s="60"/>
      <c r="L194" s="60"/>
      <c r="M194" s="60"/>
      <c r="N194" s="60"/>
      <c r="O194" s="60"/>
      <c r="P194" s="60"/>
      <c r="Q194" s="60"/>
      <c r="R194" s="60"/>
      <c r="S194" s="60"/>
      <c r="T194" s="60"/>
      <c r="U194" s="60"/>
      <c r="V194" s="60"/>
      <c r="W194" s="60"/>
      <c r="X194" s="60"/>
      <c r="Y194" s="60"/>
      <c r="Z194" s="60"/>
      <c r="AA194" s="60"/>
      <c r="AB194" s="60"/>
      <c r="AC194" s="60"/>
      <c r="AD194" s="60"/>
    </row>
    <row r="195" ht="40.15" customHeight="1">
      <c r="A195" s="60"/>
      <c r="C195" s="59"/>
      <c r="D195" s="58"/>
      <c r="E195" s="59"/>
      <c r="F195" s="59"/>
      <c r="G195" s="59"/>
      <c r="H195" s="60"/>
      <c r="I195" s="60"/>
      <c r="J195" s="60"/>
      <c r="K195" s="60"/>
      <c r="L195" s="60"/>
      <c r="M195" s="60"/>
      <c r="N195" s="60"/>
      <c r="O195" s="60"/>
      <c r="P195" s="60"/>
      <c r="Q195" s="60"/>
      <c r="R195" s="60"/>
      <c r="S195" s="60"/>
      <c r="T195" s="60"/>
      <c r="U195" s="60"/>
      <c r="V195" s="60"/>
      <c r="W195" s="60"/>
      <c r="X195" s="60"/>
      <c r="Y195" s="60"/>
      <c r="Z195" s="60"/>
      <c r="AA195" s="60"/>
      <c r="AB195" s="60"/>
      <c r="AC195" s="60"/>
      <c r="AD195" s="60"/>
    </row>
    <row r="196" ht="40.15" customHeight="1">
      <c r="A196" s="60"/>
      <c r="C196" s="59"/>
      <c r="D196" s="58"/>
      <c r="E196" s="59"/>
      <c r="F196" s="59"/>
      <c r="G196" s="59"/>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row>
    <row r="197" ht="40.15" customHeight="1">
      <c r="A197" s="60"/>
      <c r="C197" s="59"/>
      <c r="D197" s="58"/>
      <c r="E197" s="59"/>
      <c r="F197" s="59"/>
      <c r="G197" s="59"/>
      <c r="H197" s="60"/>
      <c r="I197" s="60"/>
      <c r="J197" s="60"/>
      <c r="K197" s="60"/>
      <c r="L197" s="60"/>
      <c r="M197" s="60"/>
      <c r="N197" s="60"/>
      <c r="O197" s="60"/>
      <c r="P197" s="60"/>
      <c r="Q197" s="60"/>
      <c r="R197" s="60"/>
      <c r="S197" s="60"/>
      <c r="T197" s="60"/>
      <c r="U197" s="60"/>
      <c r="V197" s="60"/>
      <c r="W197" s="60"/>
      <c r="X197" s="60"/>
      <c r="Y197" s="60"/>
      <c r="Z197" s="60"/>
      <c r="AA197" s="60"/>
      <c r="AB197" s="60"/>
      <c r="AC197" s="60"/>
      <c r="AD197" s="60"/>
    </row>
    <row r="198" ht="40.15" customHeight="1">
      <c r="A198" s="60"/>
      <c r="C198" s="59"/>
      <c r="D198" s="58"/>
      <c r="E198" s="59"/>
      <c r="F198" s="59"/>
      <c r="G198" s="59"/>
      <c r="H198" s="60"/>
      <c r="I198" s="60"/>
      <c r="J198" s="60"/>
      <c r="K198" s="60"/>
      <c r="L198" s="60"/>
      <c r="M198" s="60"/>
      <c r="N198" s="60"/>
      <c r="O198" s="60"/>
      <c r="P198" s="60"/>
      <c r="Q198" s="60"/>
      <c r="R198" s="60"/>
      <c r="S198" s="60"/>
      <c r="T198" s="60"/>
      <c r="U198" s="60"/>
      <c r="V198" s="60"/>
      <c r="W198" s="60"/>
      <c r="X198" s="60"/>
      <c r="Y198" s="60"/>
      <c r="Z198" s="60"/>
      <c r="AA198" s="60"/>
      <c r="AB198" s="60"/>
      <c r="AC198" s="60"/>
      <c r="AD198" s="60"/>
    </row>
    <row r="199" ht="40.15" customHeight="1">
      <c r="A199" s="60"/>
      <c r="C199" s="59"/>
      <c r="D199" s="58"/>
      <c r="E199" s="59"/>
      <c r="F199" s="59"/>
      <c r="G199" s="59"/>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row>
    <row r="200" ht="40.15" customHeight="1">
      <c r="A200" s="60"/>
      <c r="C200" s="59"/>
      <c r="D200" s="58"/>
      <c r="E200" s="59"/>
      <c r="F200" s="59"/>
      <c r="G200" s="59"/>
      <c r="H200" s="60"/>
      <c r="I200" s="60"/>
      <c r="J200" s="60"/>
      <c r="K200" s="60"/>
      <c r="L200" s="60"/>
      <c r="M200" s="60"/>
      <c r="N200" s="60"/>
      <c r="O200" s="60"/>
      <c r="P200" s="60"/>
      <c r="Q200" s="60"/>
      <c r="R200" s="60"/>
      <c r="S200" s="60"/>
      <c r="T200" s="60"/>
      <c r="U200" s="60"/>
      <c r="V200" s="60"/>
      <c r="W200" s="60"/>
      <c r="X200" s="60"/>
      <c r="Y200" s="60"/>
      <c r="Z200" s="60"/>
      <c r="AA200" s="60"/>
      <c r="AB200" s="60"/>
      <c r="AC200" s="60"/>
      <c r="AD200" s="60"/>
    </row>
    <row r="201" ht="40.15" customHeight="1">
      <c r="A201" s="60"/>
      <c r="C201" s="59"/>
      <c r="D201" s="58"/>
      <c r="E201" s="59"/>
      <c r="F201" s="59"/>
      <c r="G201" s="59"/>
      <c r="H201" s="60"/>
      <c r="I201" s="60"/>
      <c r="J201" s="60"/>
      <c r="K201" s="60"/>
      <c r="L201" s="60"/>
      <c r="M201" s="60"/>
      <c r="N201" s="60"/>
      <c r="O201" s="60"/>
      <c r="P201" s="60"/>
      <c r="Q201" s="60"/>
      <c r="R201" s="60"/>
      <c r="S201" s="60"/>
      <c r="T201" s="60"/>
      <c r="U201" s="60"/>
      <c r="V201" s="60"/>
      <c r="W201" s="60"/>
      <c r="X201" s="60"/>
      <c r="Y201" s="60"/>
      <c r="Z201" s="60"/>
      <c r="AA201" s="60"/>
      <c r="AB201" s="60"/>
      <c r="AC201" s="60"/>
      <c r="AD201" s="60"/>
    </row>
    <row r="202" ht="40.15" customHeight="1">
      <c r="A202" s="60"/>
      <c r="C202" s="59"/>
      <c r="D202" s="58"/>
      <c r="E202" s="59"/>
      <c r="F202" s="59"/>
      <c r="G202" s="59"/>
      <c r="H202" s="60"/>
      <c r="I202" s="60"/>
      <c r="J202" s="60"/>
      <c r="K202" s="60"/>
      <c r="L202" s="60"/>
      <c r="M202" s="60"/>
      <c r="N202" s="60"/>
      <c r="O202" s="60"/>
      <c r="P202" s="60"/>
      <c r="Q202" s="60"/>
      <c r="R202" s="60"/>
      <c r="S202" s="60"/>
      <c r="T202" s="60"/>
      <c r="U202" s="60"/>
      <c r="V202" s="60"/>
      <c r="W202" s="60"/>
      <c r="X202" s="60"/>
      <c r="Y202" s="60"/>
      <c r="Z202" s="60"/>
      <c r="AA202" s="60"/>
      <c r="AB202" s="60"/>
      <c r="AC202" s="60"/>
      <c r="AD202" s="60"/>
    </row>
    <row r="203" ht="40.15" customHeight="1">
      <c r="A203" s="60"/>
      <c r="C203" s="59"/>
      <c r="D203" s="58"/>
      <c r="E203" s="59"/>
      <c r="F203" s="59"/>
      <c r="G203" s="59"/>
      <c r="H203" s="60"/>
      <c r="I203" s="60"/>
      <c r="J203" s="60"/>
      <c r="K203" s="60"/>
      <c r="L203" s="60"/>
      <c r="M203" s="60"/>
      <c r="N203" s="60"/>
      <c r="O203" s="60"/>
      <c r="P203" s="60"/>
      <c r="Q203" s="60"/>
      <c r="R203" s="60"/>
      <c r="S203" s="60"/>
      <c r="T203" s="60"/>
      <c r="U203" s="60"/>
      <c r="V203" s="60"/>
      <c r="W203" s="60"/>
      <c r="X203" s="60"/>
      <c r="Y203" s="60"/>
      <c r="Z203" s="60"/>
      <c r="AA203" s="60"/>
      <c r="AB203" s="60"/>
      <c r="AC203" s="60"/>
      <c r="AD203" s="60"/>
    </row>
    <row r="204" ht="40.15" customHeight="1">
      <c r="A204" s="60"/>
      <c r="C204" s="59"/>
      <c r="D204" s="58"/>
      <c r="E204" s="59"/>
      <c r="F204" s="59"/>
      <c r="G204" s="59"/>
      <c r="H204" s="60"/>
      <c r="I204" s="60"/>
      <c r="J204" s="60"/>
      <c r="K204" s="60"/>
      <c r="L204" s="60"/>
      <c r="M204" s="60"/>
      <c r="N204" s="60"/>
      <c r="O204" s="60"/>
      <c r="P204" s="60"/>
      <c r="Q204" s="60"/>
      <c r="R204" s="60"/>
      <c r="S204" s="60"/>
      <c r="T204" s="60"/>
      <c r="U204" s="60"/>
      <c r="V204" s="60"/>
      <c r="W204" s="60"/>
      <c r="X204" s="60"/>
      <c r="Y204" s="60"/>
      <c r="Z204" s="60"/>
      <c r="AA204" s="60"/>
      <c r="AB204" s="60"/>
      <c r="AC204" s="60"/>
      <c r="AD204" s="60"/>
    </row>
    <row r="205" ht="40.15" customHeight="1">
      <c r="A205" s="60"/>
      <c r="C205" s="59"/>
      <c r="D205" s="58"/>
      <c r="E205" s="59"/>
      <c r="F205" s="59"/>
      <c r="G205" s="59"/>
      <c r="H205" s="60"/>
      <c r="I205" s="60"/>
      <c r="J205" s="60"/>
      <c r="K205" s="60"/>
      <c r="L205" s="60"/>
      <c r="M205" s="60"/>
      <c r="N205" s="60"/>
      <c r="O205" s="60"/>
      <c r="P205" s="60"/>
      <c r="Q205" s="60"/>
      <c r="R205" s="60"/>
      <c r="S205" s="60"/>
      <c r="T205" s="60"/>
      <c r="U205" s="60"/>
      <c r="V205" s="60"/>
      <c r="W205" s="60"/>
      <c r="X205" s="60"/>
      <c r="Y205" s="60"/>
      <c r="Z205" s="60"/>
      <c r="AA205" s="60"/>
      <c r="AB205" s="60"/>
      <c r="AC205" s="60"/>
      <c r="AD205" s="60"/>
    </row>
    <row r="206" ht="40.15" customHeight="1">
      <c r="A206" s="60"/>
      <c r="C206" s="59"/>
      <c r="D206" s="58"/>
      <c r="E206" s="59"/>
      <c r="F206" s="59"/>
      <c r="G206" s="59"/>
      <c r="H206" s="60"/>
      <c r="I206" s="60"/>
      <c r="J206" s="60"/>
      <c r="K206" s="60"/>
      <c r="L206" s="60"/>
      <c r="M206" s="60"/>
      <c r="N206" s="60"/>
      <c r="O206" s="60"/>
      <c r="P206" s="60"/>
      <c r="Q206" s="60"/>
      <c r="R206" s="60"/>
      <c r="S206" s="60"/>
      <c r="T206" s="60"/>
      <c r="U206" s="60"/>
      <c r="V206" s="60"/>
      <c r="W206" s="60"/>
      <c r="X206" s="60"/>
      <c r="Y206" s="60"/>
      <c r="Z206" s="60"/>
      <c r="AA206" s="60"/>
      <c r="AB206" s="60"/>
      <c r="AC206" s="60"/>
      <c r="AD206" s="60"/>
    </row>
    <row r="207" ht="40.15" customHeight="1">
      <c r="A207" s="60"/>
      <c r="C207" s="59"/>
      <c r="D207" s="58"/>
      <c r="E207" s="59"/>
      <c r="F207" s="59"/>
      <c r="G207" s="59"/>
      <c r="H207" s="60"/>
      <c r="I207" s="60"/>
      <c r="J207" s="60"/>
      <c r="K207" s="60"/>
      <c r="L207" s="60"/>
      <c r="M207" s="60"/>
      <c r="N207" s="60"/>
      <c r="O207" s="60"/>
      <c r="P207" s="60"/>
      <c r="Q207" s="60"/>
      <c r="R207" s="60"/>
      <c r="S207" s="60"/>
      <c r="T207" s="60"/>
      <c r="U207" s="60"/>
      <c r="V207" s="60"/>
      <c r="W207" s="60"/>
      <c r="X207" s="60"/>
      <c r="Y207" s="60"/>
      <c r="Z207" s="60"/>
      <c r="AA207" s="60"/>
      <c r="AB207" s="60"/>
      <c r="AC207" s="60"/>
      <c r="AD207" s="60"/>
    </row>
    <row r="208" ht="40.15" customHeight="1">
      <c r="A208" s="60"/>
      <c r="C208" s="59"/>
      <c r="D208" s="58"/>
      <c r="E208" s="59"/>
      <c r="F208" s="59"/>
      <c r="G208" s="59"/>
      <c r="H208" s="60"/>
      <c r="I208" s="60"/>
      <c r="J208" s="60"/>
      <c r="K208" s="60"/>
      <c r="L208" s="60"/>
      <c r="M208" s="60"/>
      <c r="N208" s="60"/>
      <c r="O208" s="60"/>
      <c r="P208" s="60"/>
      <c r="Q208" s="60"/>
      <c r="R208" s="60"/>
      <c r="S208" s="60"/>
      <c r="T208" s="60"/>
      <c r="U208" s="60"/>
      <c r="V208" s="60"/>
      <c r="W208" s="60"/>
      <c r="X208" s="60"/>
      <c r="Y208" s="60"/>
      <c r="Z208" s="60"/>
      <c r="AA208" s="60"/>
      <c r="AB208" s="60"/>
      <c r="AC208" s="60"/>
      <c r="AD208" s="60"/>
    </row>
    <row r="209" ht="40.15" customHeight="1">
      <c r="A209" s="60"/>
      <c r="C209" s="59"/>
      <c r="D209" s="58"/>
      <c r="E209" s="59"/>
      <c r="F209" s="59"/>
      <c r="G209" s="59"/>
      <c r="H209" s="60"/>
      <c r="I209" s="60"/>
      <c r="J209" s="60"/>
      <c r="K209" s="60"/>
      <c r="L209" s="60"/>
      <c r="M209" s="60"/>
      <c r="N209" s="60"/>
      <c r="O209" s="60"/>
      <c r="P209" s="60"/>
      <c r="Q209" s="60"/>
      <c r="R209" s="60"/>
      <c r="S209" s="60"/>
      <c r="T209" s="60"/>
      <c r="U209" s="60"/>
      <c r="V209" s="60"/>
      <c r="W209" s="60"/>
      <c r="X209" s="60"/>
      <c r="Y209" s="60"/>
      <c r="Z209" s="60"/>
      <c r="AA209" s="60"/>
      <c r="AB209" s="60"/>
      <c r="AC209" s="60"/>
      <c r="AD209" s="60"/>
    </row>
    <row r="210" ht="40.15" customHeight="1">
      <c r="A210" s="60"/>
      <c r="C210" s="59"/>
      <c r="D210" s="58"/>
      <c r="E210" s="59"/>
      <c r="F210" s="59"/>
      <c r="G210" s="59"/>
      <c r="H210" s="60"/>
      <c r="I210" s="60"/>
      <c r="J210" s="60"/>
      <c r="K210" s="60"/>
      <c r="L210" s="60"/>
      <c r="M210" s="60"/>
      <c r="N210" s="60"/>
      <c r="O210" s="60"/>
      <c r="P210" s="60"/>
      <c r="Q210" s="60"/>
      <c r="R210" s="60"/>
      <c r="S210" s="60"/>
      <c r="T210" s="60"/>
      <c r="U210" s="60"/>
      <c r="V210" s="60"/>
      <c r="W210" s="60"/>
      <c r="X210" s="60"/>
      <c r="Y210" s="60"/>
      <c r="Z210" s="60"/>
      <c r="AA210" s="60"/>
      <c r="AB210" s="60"/>
      <c r="AC210" s="60"/>
      <c r="AD210" s="60"/>
    </row>
    <row r="211" ht="40.15" customHeight="1">
      <c r="A211" s="60"/>
      <c r="C211" s="59"/>
      <c r="D211" s="58"/>
      <c r="E211" s="59"/>
      <c r="F211" s="59"/>
      <c r="G211" s="59"/>
      <c r="H211" s="60"/>
      <c r="I211" s="60"/>
      <c r="J211" s="60"/>
      <c r="K211" s="60"/>
      <c r="L211" s="60"/>
      <c r="M211" s="60"/>
      <c r="N211" s="60"/>
      <c r="O211" s="60"/>
      <c r="P211" s="60"/>
      <c r="Q211" s="60"/>
      <c r="R211" s="60"/>
      <c r="S211" s="60"/>
      <c r="T211" s="60"/>
      <c r="U211" s="60"/>
      <c r="V211" s="60"/>
      <c r="W211" s="60"/>
      <c r="X211" s="60"/>
      <c r="Y211" s="60"/>
      <c r="Z211" s="60"/>
      <c r="AA211" s="60"/>
      <c r="AB211" s="60"/>
      <c r="AC211" s="60"/>
      <c r="AD211" s="60"/>
    </row>
    <row r="212" ht="40.15" customHeight="1">
      <c r="A212" s="60"/>
      <c r="C212" s="59"/>
      <c r="D212" s="58"/>
      <c r="E212" s="59"/>
      <c r="F212" s="59"/>
      <c r="G212" s="59"/>
      <c r="H212" s="60"/>
      <c r="I212" s="60"/>
      <c r="J212" s="60"/>
      <c r="K212" s="60"/>
      <c r="L212" s="60"/>
      <c r="M212" s="60"/>
      <c r="N212" s="60"/>
      <c r="O212" s="60"/>
      <c r="P212" s="60"/>
      <c r="Q212" s="60"/>
      <c r="R212" s="60"/>
      <c r="S212" s="60"/>
      <c r="T212" s="60"/>
      <c r="U212" s="60"/>
      <c r="V212" s="60"/>
      <c r="W212" s="60"/>
      <c r="X212" s="60"/>
      <c r="Y212" s="60"/>
      <c r="Z212" s="60"/>
      <c r="AA212" s="60"/>
      <c r="AB212" s="60"/>
      <c r="AC212" s="60"/>
      <c r="AD212" s="60"/>
    </row>
    <row r="213" ht="40.15" customHeight="1">
      <c r="A213" s="60"/>
      <c r="C213" s="59"/>
      <c r="D213" s="58"/>
      <c r="E213" s="59"/>
      <c r="F213" s="59"/>
      <c r="G213" s="59"/>
      <c r="H213" s="60"/>
      <c r="I213" s="60"/>
      <c r="J213" s="60"/>
      <c r="K213" s="60"/>
      <c r="L213" s="60"/>
      <c r="M213" s="60"/>
      <c r="N213" s="60"/>
      <c r="O213" s="60"/>
      <c r="P213" s="60"/>
      <c r="Q213" s="60"/>
      <c r="R213" s="60"/>
      <c r="S213" s="60"/>
      <c r="T213" s="60"/>
      <c r="U213" s="60"/>
      <c r="V213" s="60"/>
      <c r="W213" s="60"/>
      <c r="X213" s="60"/>
      <c r="Y213" s="60"/>
      <c r="Z213" s="60"/>
      <c r="AA213" s="60"/>
      <c r="AB213" s="60"/>
      <c r="AC213" s="60"/>
      <c r="AD213" s="60"/>
    </row>
    <row r="214" ht="40.15" customHeight="1">
      <c r="A214" s="60"/>
      <c r="C214" s="59"/>
      <c r="D214" s="58"/>
      <c r="E214" s="59"/>
      <c r="F214" s="59"/>
      <c r="G214" s="59"/>
      <c r="H214" s="60"/>
      <c r="I214" s="60"/>
      <c r="J214" s="60"/>
      <c r="K214" s="60"/>
      <c r="L214" s="60"/>
      <c r="M214" s="60"/>
      <c r="N214" s="60"/>
      <c r="O214" s="60"/>
      <c r="P214" s="60"/>
      <c r="Q214" s="60"/>
      <c r="R214" s="60"/>
      <c r="S214" s="60"/>
      <c r="T214" s="60"/>
      <c r="U214" s="60"/>
      <c r="V214" s="60"/>
      <c r="W214" s="60"/>
      <c r="X214" s="60"/>
      <c r="Y214" s="60"/>
      <c r="Z214" s="60"/>
      <c r="AA214" s="60"/>
      <c r="AB214" s="60"/>
      <c r="AC214" s="60"/>
      <c r="AD214" s="60"/>
    </row>
    <row r="215" ht="40.15" customHeight="1">
      <c r="A215" s="60"/>
      <c r="C215" s="59"/>
      <c r="D215" s="58"/>
      <c r="E215" s="59"/>
      <c r="F215" s="59"/>
      <c r="G215" s="59"/>
      <c r="H215" s="60"/>
      <c r="I215" s="60"/>
      <c r="J215" s="60"/>
      <c r="K215" s="60"/>
      <c r="L215" s="60"/>
      <c r="M215" s="60"/>
      <c r="N215" s="60"/>
      <c r="O215" s="60"/>
      <c r="P215" s="60"/>
      <c r="Q215" s="60"/>
      <c r="R215" s="60"/>
      <c r="S215" s="60"/>
      <c r="T215" s="60"/>
      <c r="U215" s="60"/>
      <c r="V215" s="60"/>
      <c r="W215" s="60"/>
      <c r="X215" s="60"/>
      <c r="Y215" s="60"/>
      <c r="Z215" s="60"/>
      <c r="AA215" s="60"/>
      <c r="AB215" s="60"/>
      <c r="AC215" s="60"/>
      <c r="AD215" s="60"/>
    </row>
    <row r="216" ht="40.15" customHeight="1">
      <c r="A216" s="60"/>
      <c r="C216" s="59"/>
      <c r="D216" s="58"/>
      <c r="E216" s="59"/>
      <c r="F216" s="59"/>
      <c r="G216" s="59"/>
      <c r="H216" s="60"/>
      <c r="I216" s="60"/>
      <c r="J216" s="60"/>
      <c r="K216" s="60"/>
      <c r="L216" s="60"/>
      <c r="M216" s="60"/>
      <c r="N216" s="60"/>
      <c r="O216" s="60"/>
      <c r="P216" s="60"/>
      <c r="Q216" s="60"/>
      <c r="R216" s="60"/>
      <c r="S216" s="60"/>
      <c r="T216" s="60"/>
      <c r="U216" s="60"/>
      <c r="V216" s="60"/>
      <c r="W216" s="60"/>
      <c r="X216" s="60"/>
      <c r="Y216" s="60"/>
      <c r="Z216" s="60"/>
      <c r="AA216" s="60"/>
      <c r="AB216" s="60"/>
      <c r="AC216" s="60"/>
      <c r="AD216" s="60"/>
    </row>
    <row r="217" ht="40.15" customHeight="1">
      <c r="A217" s="60"/>
      <c r="C217" s="59"/>
      <c r="D217" s="58"/>
      <c r="E217" s="59"/>
      <c r="F217" s="59"/>
      <c r="G217" s="59"/>
      <c r="H217" s="60"/>
      <c r="I217" s="60"/>
      <c r="J217" s="60"/>
      <c r="K217" s="60"/>
      <c r="L217" s="60"/>
      <c r="M217" s="60"/>
      <c r="N217" s="60"/>
      <c r="O217" s="60"/>
      <c r="P217" s="60"/>
      <c r="Q217" s="60"/>
      <c r="R217" s="60"/>
      <c r="S217" s="60"/>
      <c r="T217" s="60"/>
      <c r="U217" s="60"/>
      <c r="V217" s="60"/>
      <c r="W217" s="60"/>
      <c r="X217" s="60"/>
      <c r="Y217" s="60"/>
      <c r="Z217" s="60"/>
      <c r="AA217" s="60"/>
      <c r="AB217" s="60"/>
      <c r="AC217" s="60"/>
      <c r="AD217" s="60"/>
    </row>
    <row r="218" ht="40.15" customHeight="1">
      <c r="A218" s="60"/>
      <c r="C218" s="59"/>
      <c r="D218" s="58"/>
      <c r="E218" s="59"/>
      <c r="F218" s="59"/>
      <c r="G218" s="59"/>
      <c r="H218" s="60"/>
      <c r="I218" s="60"/>
      <c r="J218" s="60"/>
      <c r="K218" s="60"/>
      <c r="L218" s="60"/>
      <c r="M218" s="60"/>
      <c r="N218" s="60"/>
      <c r="O218" s="60"/>
      <c r="P218" s="60"/>
      <c r="Q218" s="60"/>
      <c r="R218" s="60"/>
      <c r="S218" s="60"/>
      <c r="T218" s="60"/>
      <c r="U218" s="60"/>
      <c r="V218" s="60"/>
      <c r="W218" s="60"/>
      <c r="X218" s="60"/>
      <c r="Y218" s="60"/>
      <c r="Z218" s="60"/>
      <c r="AA218" s="60"/>
      <c r="AB218" s="60"/>
      <c r="AC218" s="60"/>
      <c r="AD218" s="60"/>
    </row>
    <row r="219" ht="40.15" customHeight="1">
      <c r="A219" s="60"/>
      <c r="C219" s="59"/>
      <c r="D219" s="58"/>
      <c r="E219" s="59"/>
      <c r="F219" s="59"/>
      <c r="G219" s="59"/>
      <c r="H219" s="60"/>
      <c r="I219" s="60"/>
      <c r="J219" s="60"/>
      <c r="K219" s="60"/>
      <c r="L219" s="60"/>
      <c r="M219" s="60"/>
      <c r="N219" s="60"/>
      <c r="O219" s="60"/>
      <c r="P219" s="60"/>
      <c r="Q219" s="60"/>
      <c r="R219" s="60"/>
      <c r="S219" s="60"/>
      <c r="T219" s="60"/>
      <c r="U219" s="60"/>
      <c r="V219" s="60"/>
      <c r="W219" s="60"/>
      <c r="X219" s="60"/>
      <c r="Y219" s="60"/>
      <c r="Z219" s="60"/>
      <c r="AA219" s="60"/>
      <c r="AB219" s="60"/>
      <c r="AC219" s="60"/>
      <c r="AD219" s="60"/>
    </row>
    <row r="220" ht="40.15" customHeight="1">
      <c r="A220" s="60"/>
      <c r="C220" s="59"/>
      <c r="D220" s="58"/>
      <c r="E220" s="59"/>
      <c r="F220" s="59"/>
      <c r="G220" s="59"/>
      <c r="H220" s="60"/>
      <c r="I220" s="60"/>
      <c r="J220" s="60"/>
      <c r="K220" s="60"/>
      <c r="L220" s="60"/>
      <c r="M220" s="60"/>
      <c r="N220" s="60"/>
      <c r="O220" s="60"/>
      <c r="P220" s="60"/>
      <c r="Q220" s="60"/>
      <c r="R220" s="60"/>
      <c r="S220" s="60"/>
      <c r="T220" s="60"/>
      <c r="U220" s="60"/>
      <c r="V220" s="60"/>
      <c r="W220" s="60"/>
      <c r="X220" s="60"/>
      <c r="Y220" s="60"/>
      <c r="Z220" s="60"/>
      <c r="AA220" s="60"/>
      <c r="AB220" s="60"/>
      <c r="AC220" s="60"/>
      <c r="AD220" s="60"/>
    </row>
    <row r="221" ht="40.15" customHeight="1">
      <c r="A221" s="60"/>
      <c r="C221" s="59"/>
      <c r="D221" s="58"/>
      <c r="E221" s="59"/>
      <c r="F221" s="59"/>
      <c r="G221" s="59"/>
      <c r="H221" s="60"/>
      <c r="I221" s="60"/>
      <c r="J221" s="60"/>
      <c r="K221" s="60"/>
      <c r="L221" s="60"/>
      <c r="M221" s="60"/>
      <c r="N221" s="60"/>
      <c r="O221" s="60"/>
      <c r="P221" s="60"/>
      <c r="Q221" s="60"/>
      <c r="R221" s="60"/>
      <c r="S221" s="60"/>
      <c r="T221" s="60"/>
      <c r="U221" s="60"/>
      <c r="V221" s="60"/>
      <c r="W221" s="60"/>
      <c r="X221" s="60"/>
      <c r="Y221" s="60"/>
      <c r="Z221" s="60"/>
      <c r="AA221" s="60"/>
      <c r="AB221" s="60"/>
      <c r="AC221" s="60"/>
      <c r="AD221" s="60"/>
    </row>
    <row r="222" ht="40.15" customHeight="1">
      <c r="A222" s="60"/>
      <c r="C222" s="59"/>
      <c r="D222" s="58"/>
      <c r="E222" s="59"/>
      <c r="F222" s="59"/>
      <c r="G222" s="59"/>
      <c r="H222" s="60"/>
      <c r="I222" s="60"/>
      <c r="J222" s="60"/>
      <c r="K222" s="60"/>
      <c r="L222" s="60"/>
      <c r="M222" s="60"/>
      <c r="N222" s="60"/>
      <c r="O222" s="60"/>
      <c r="P222" s="60"/>
      <c r="Q222" s="60"/>
      <c r="R222" s="60"/>
      <c r="S222" s="60"/>
      <c r="T222" s="60"/>
      <c r="U222" s="60"/>
      <c r="V222" s="60"/>
      <c r="W222" s="60"/>
      <c r="X222" s="60"/>
      <c r="Y222" s="60"/>
      <c r="Z222" s="60"/>
      <c r="AA222" s="60"/>
      <c r="AB222" s="60"/>
      <c r="AC222" s="60"/>
      <c r="AD222" s="60"/>
    </row>
    <row r="223" ht="40.15" customHeight="1">
      <c r="A223" s="60"/>
      <c r="C223" s="59"/>
      <c r="D223" s="58"/>
      <c r="E223" s="59"/>
      <c r="F223" s="59"/>
      <c r="G223" s="59"/>
      <c r="H223" s="60"/>
      <c r="I223" s="60"/>
      <c r="J223" s="60"/>
      <c r="K223" s="60"/>
      <c r="L223" s="60"/>
      <c r="M223" s="60"/>
      <c r="N223" s="60"/>
      <c r="O223" s="60"/>
      <c r="P223" s="60"/>
      <c r="Q223" s="60"/>
      <c r="R223" s="60"/>
      <c r="S223" s="60"/>
      <c r="T223" s="60"/>
      <c r="U223" s="60"/>
      <c r="V223" s="60"/>
      <c r="W223" s="60"/>
      <c r="X223" s="60"/>
      <c r="Y223" s="60"/>
      <c r="Z223" s="60"/>
      <c r="AA223" s="60"/>
      <c r="AB223" s="60"/>
      <c r="AC223" s="60"/>
      <c r="AD223" s="60"/>
    </row>
    <row r="224" ht="40.15" customHeight="1">
      <c r="A224" s="60"/>
      <c r="C224" s="59"/>
      <c r="D224" s="58"/>
      <c r="E224" s="59"/>
      <c r="F224" s="59"/>
      <c r="G224" s="59"/>
      <c r="H224" s="60"/>
      <c r="I224" s="60"/>
      <c r="J224" s="60"/>
      <c r="K224" s="60"/>
      <c r="L224" s="60"/>
      <c r="M224" s="60"/>
      <c r="N224" s="60"/>
      <c r="O224" s="60"/>
      <c r="P224" s="60"/>
      <c r="Q224" s="60"/>
      <c r="R224" s="60"/>
      <c r="S224" s="60"/>
      <c r="T224" s="60"/>
      <c r="U224" s="60"/>
      <c r="V224" s="60"/>
      <c r="W224" s="60"/>
      <c r="X224" s="60"/>
      <c r="Y224" s="60"/>
      <c r="Z224" s="60"/>
      <c r="AA224" s="60"/>
      <c r="AB224" s="60"/>
      <c r="AC224" s="60"/>
      <c r="AD224" s="60"/>
    </row>
    <row r="225" ht="40.15" customHeight="1">
      <c r="A225" s="60"/>
      <c r="C225" s="59"/>
      <c r="D225" s="58"/>
      <c r="E225" s="59"/>
      <c r="F225" s="59"/>
      <c r="G225" s="59"/>
      <c r="H225" s="60"/>
      <c r="I225" s="60"/>
      <c r="J225" s="60"/>
      <c r="K225" s="60"/>
      <c r="L225" s="60"/>
      <c r="M225" s="60"/>
      <c r="N225" s="60"/>
      <c r="O225" s="60"/>
      <c r="P225" s="60"/>
      <c r="Q225" s="60"/>
      <c r="R225" s="60"/>
      <c r="S225" s="60"/>
      <c r="T225" s="60"/>
      <c r="U225" s="60"/>
      <c r="V225" s="60"/>
      <c r="W225" s="60"/>
      <c r="X225" s="60"/>
      <c r="Y225" s="60"/>
      <c r="Z225" s="60"/>
      <c r="AA225" s="60"/>
      <c r="AB225" s="60"/>
      <c r="AC225" s="60"/>
      <c r="AD225" s="60"/>
    </row>
    <row r="226" ht="40.15" customHeight="1">
      <c r="A226" s="60"/>
      <c r="C226" s="59"/>
      <c r="D226" s="58"/>
      <c r="E226" s="59"/>
      <c r="F226" s="59"/>
      <c r="G226" s="59"/>
      <c r="H226" s="60"/>
      <c r="I226" s="60"/>
      <c r="J226" s="60"/>
      <c r="K226" s="60"/>
      <c r="L226" s="60"/>
      <c r="M226" s="60"/>
      <c r="N226" s="60"/>
      <c r="O226" s="60"/>
      <c r="P226" s="60"/>
      <c r="Q226" s="60"/>
      <c r="R226" s="60"/>
      <c r="S226" s="60"/>
      <c r="T226" s="60"/>
      <c r="U226" s="60"/>
      <c r="V226" s="60"/>
      <c r="W226" s="60"/>
      <c r="X226" s="60"/>
      <c r="Y226" s="60"/>
      <c r="Z226" s="60"/>
      <c r="AA226" s="60"/>
      <c r="AB226" s="60"/>
      <c r="AC226" s="60"/>
      <c r="AD226" s="60"/>
    </row>
    <row r="227" ht="40.15" customHeight="1">
      <c r="A227" s="60"/>
      <c r="C227" s="59"/>
      <c r="D227" s="58"/>
      <c r="E227" s="59"/>
      <c r="F227" s="59"/>
      <c r="G227" s="59"/>
      <c r="H227" s="60"/>
      <c r="I227" s="60"/>
      <c r="J227" s="60"/>
      <c r="K227" s="60"/>
      <c r="L227" s="60"/>
      <c r="M227" s="60"/>
      <c r="N227" s="60"/>
      <c r="O227" s="60"/>
      <c r="P227" s="60"/>
      <c r="Q227" s="60"/>
      <c r="R227" s="60"/>
      <c r="S227" s="60"/>
      <c r="T227" s="60"/>
      <c r="U227" s="60"/>
      <c r="V227" s="60"/>
      <c r="W227" s="60"/>
      <c r="X227" s="60"/>
      <c r="Y227" s="60"/>
      <c r="Z227" s="60"/>
      <c r="AA227" s="60"/>
      <c r="AB227" s="60"/>
      <c r="AC227" s="60"/>
      <c r="AD227" s="60"/>
    </row>
    <row r="228" ht="40.15" customHeight="1">
      <c r="A228" s="60"/>
      <c r="C228" s="59"/>
      <c r="D228" s="58"/>
      <c r="E228" s="59"/>
      <c r="F228" s="59"/>
      <c r="G228" s="59"/>
      <c r="H228" s="60"/>
      <c r="I228" s="60"/>
      <c r="J228" s="60"/>
      <c r="K228" s="60"/>
      <c r="L228" s="60"/>
      <c r="M228" s="60"/>
      <c r="N228" s="60"/>
      <c r="O228" s="60"/>
      <c r="P228" s="60"/>
      <c r="Q228" s="60"/>
      <c r="R228" s="60"/>
      <c r="S228" s="60"/>
      <c r="T228" s="60"/>
      <c r="U228" s="60"/>
      <c r="V228" s="60"/>
      <c r="W228" s="60"/>
      <c r="X228" s="60"/>
      <c r="Y228" s="60"/>
      <c r="Z228" s="60"/>
      <c r="AA228" s="60"/>
      <c r="AB228" s="60"/>
      <c r="AC228" s="60"/>
      <c r="AD228" s="60"/>
    </row>
    <row r="229" ht="40.15" customHeight="1">
      <c r="A229" s="60"/>
      <c r="C229" s="59"/>
      <c r="D229" s="58"/>
      <c r="E229" s="59"/>
      <c r="F229" s="59"/>
      <c r="G229" s="59"/>
      <c r="H229" s="60"/>
      <c r="I229" s="60"/>
      <c r="J229" s="60"/>
      <c r="K229" s="60"/>
      <c r="L229" s="60"/>
      <c r="M229" s="60"/>
      <c r="N229" s="60"/>
      <c r="O229" s="60"/>
      <c r="P229" s="60"/>
      <c r="Q229" s="60"/>
      <c r="R229" s="60"/>
      <c r="S229" s="60"/>
      <c r="T229" s="60"/>
      <c r="U229" s="60"/>
      <c r="V229" s="60"/>
      <c r="W229" s="60"/>
      <c r="X229" s="60"/>
      <c r="Y229" s="60"/>
      <c r="Z229" s="60"/>
      <c r="AA229" s="60"/>
      <c r="AB229" s="60"/>
      <c r="AC229" s="60"/>
      <c r="AD229" s="60"/>
    </row>
    <row r="230" ht="40.15" customHeight="1">
      <c r="A230" s="60"/>
      <c r="C230" s="59"/>
      <c r="D230" s="58"/>
      <c r="E230" s="59"/>
      <c r="F230" s="59"/>
      <c r="G230" s="59"/>
      <c r="H230" s="60"/>
      <c r="I230" s="60"/>
      <c r="J230" s="60"/>
      <c r="K230" s="60"/>
      <c r="L230" s="60"/>
      <c r="M230" s="60"/>
      <c r="N230" s="60"/>
      <c r="O230" s="60"/>
      <c r="P230" s="60"/>
      <c r="Q230" s="60"/>
      <c r="R230" s="60"/>
      <c r="S230" s="60"/>
      <c r="T230" s="60"/>
      <c r="U230" s="60"/>
      <c r="V230" s="60"/>
      <c r="W230" s="60"/>
      <c r="X230" s="60"/>
      <c r="Y230" s="60"/>
      <c r="Z230" s="60"/>
      <c r="AA230" s="60"/>
      <c r="AB230" s="60"/>
      <c r="AC230" s="60"/>
      <c r="AD230" s="60"/>
    </row>
    <row r="231" ht="40.15" customHeight="1">
      <c r="A231" s="60"/>
      <c r="C231" s="59"/>
      <c r="D231" s="58"/>
      <c r="E231" s="59"/>
      <c r="F231" s="59"/>
      <c r="G231" s="59"/>
      <c r="H231" s="60"/>
      <c r="I231" s="60"/>
      <c r="J231" s="60"/>
      <c r="K231" s="60"/>
      <c r="L231" s="60"/>
      <c r="M231" s="60"/>
      <c r="N231" s="60"/>
      <c r="O231" s="60"/>
      <c r="P231" s="60"/>
      <c r="Q231" s="60"/>
      <c r="R231" s="60"/>
      <c r="S231" s="60"/>
      <c r="T231" s="60"/>
      <c r="U231" s="60"/>
      <c r="V231" s="60"/>
      <c r="W231" s="60"/>
      <c r="X231" s="60"/>
      <c r="Y231" s="60"/>
      <c r="Z231" s="60"/>
      <c r="AA231" s="60"/>
      <c r="AB231" s="60"/>
      <c r="AC231" s="60"/>
      <c r="AD231" s="60"/>
    </row>
    <row r="232" ht="40.15" customHeight="1">
      <c r="A232" s="60"/>
      <c r="C232" s="59"/>
      <c r="D232" s="58"/>
      <c r="E232" s="59"/>
      <c r="F232" s="59"/>
      <c r="G232" s="59"/>
      <c r="H232" s="60"/>
      <c r="I232" s="60"/>
      <c r="J232" s="60"/>
      <c r="K232" s="60"/>
      <c r="L232" s="60"/>
      <c r="M232" s="60"/>
      <c r="N232" s="60"/>
      <c r="O232" s="60"/>
      <c r="P232" s="60"/>
      <c r="Q232" s="60"/>
      <c r="R232" s="60"/>
      <c r="S232" s="60"/>
      <c r="T232" s="60"/>
      <c r="U232" s="60"/>
      <c r="V232" s="60"/>
      <c r="W232" s="60"/>
      <c r="X232" s="60"/>
      <c r="Y232" s="60"/>
      <c r="Z232" s="60"/>
      <c r="AA232" s="60"/>
      <c r="AB232" s="60"/>
      <c r="AC232" s="60"/>
      <c r="AD232" s="60"/>
    </row>
    <row r="233" ht="40.15" customHeight="1">
      <c r="A233" s="60"/>
      <c r="C233" s="59"/>
      <c r="D233" s="58"/>
      <c r="E233" s="59"/>
      <c r="F233" s="59"/>
      <c r="G233" s="59"/>
      <c r="H233" s="60"/>
      <c r="I233" s="60"/>
      <c r="J233" s="60"/>
      <c r="K233" s="60"/>
      <c r="L233" s="60"/>
      <c r="M233" s="60"/>
      <c r="N233" s="60"/>
      <c r="O233" s="60"/>
      <c r="P233" s="60"/>
      <c r="Q233" s="60"/>
      <c r="R233" s="60"/>
      <c r="S233" s="60"/>
      <c r="T233" s="60"/>
      <c r="U233" s="60"/>
      <c r="V233" s="60"/>
      <c r="W233" s="60"/>
      <c r="X233" s="60"/>
      <c r="Y233" s="60"/>
      <c r="Z233" s="60"/>
      <c r="AA233" s="60"/>
      <c r="AB233" s="60"/>
      <c r="AC233" s="60"/>
      <c r="AD233" s="60"/>
    </row>
    <row r="234" ht="40.15" customHeight="1">
      <c r="A234" s="60"/>
      <c r="C234" s="59"/>
      <c r="D234" s="58"/>
      <c r="E234" s="59"/>
      <c r="F234" s="59"/>
      <c r="G234" s="59"/>
      <c r="H234" s="60"/>
      <c r="I234" s="60"/>
      <c r="J234" s="60"/>
      <c r="K234" s="60"/>
      <c r="L234" s="60"/>
      <c r="M234" s="60"/>
      <c r="N234" s="60"/>
      <c r="O234" s="60"/>
      <c r="P234" s="60"/>
      <c r="Q234" s="60"/>
      <c r="R234" s="60"/>
      <c r="S234" s="60"/>
      <c r="T234" s="60"/>
      <c r="U234" s="60"/>
      <c r="V234" s="60"/>
      <c r="W234" s="60"/>
      <c r="X234" s="60"/>
      <c r="Y234" s="60"/>
      <c r="Z234" s="60"/>
      <c r="AA234" s="60"/>
      <c r="AB234" s="60"/>
      <c r="AC234" s="60"/>
      <c r="AD234" s="60"/>
    </row>
    <row r="235" ht="40.15" customHeight="1">
      <c r="A235" s="60"/>
      <c r="C235" s="59"/>
      <c r="D235" s="58"/>
      <c r="E235" s="59"/>
      <c r="F235" s="59"/>
      <c r="G235" s="59"/>
      <c r="H235" s="60"/>
      <c r="I235" s="60"/>
      <c r="J235" s="60"/>
      <c r="K235" s="60"/>
      <c r="L235" s="60"/>
      <c r="M235" s="60"/>
      <c r="N235" s="60"/>
      <c r="O235" s="60"/>
      <c r="P235" s="60"/>
      <c r="Q235" s="60"/>
      <c r="R235" s="60"/>
      <c r="S235" s="60"/>
      <c r="T235" s="60"/>
      <c r="U235" s="60"/>
      <c r="V235" s="60"/>
      <c r="W235" s="60"/>
      <c r="X235" s="60"/>
      <c r="Y235" s="60"/>
      <c r="Z235" s="60"/>
      <c r="AA235" s="60"/>
      <c r="AB235" s="60"/>
      <c r="AC235" s="60"/>
      <c r="AD235" s="60"/>
    </row>
    <row r="236" ht="40.15" customHeight="1">
      <c r="A236" s="60"/>
      <c r="C236" s="59"/>
      <c r="D236" s="58"/>
      <c r="E236" s="59"/>
      <c r="F236" s="59"/>
      <c r="G236" s="59"/>
      <c r="H236" s="60"/>
      <c r="I236" s="60"/>
      <c r="J236" s="60"/>
      <c r="K236" s="60"/>
      <c r="L236" s="60"/>
      <c r="M236" s="60"/>
      <c r="N236" s="60"/>
      <c r="O236" s="60"/>
      <c r="P236" s="60"/>
      <c r="Q236" s="60"/>
      <c r="R236" s="60"/>
      <c r="S236" s="60"/>
      <c r="T236" s="60"/>
      <c r="U236" s="60"/>
      <c r="V236" s="60"/>
      <c r="W236" s="60"/>
      <c r="X236" s="60"/>
      <c r="Y236" s="60"/>
      <c r="Z236" s="60"/>
      <c r="AA236" s="60"/>
      <c r="AB236" s="60"/>
      <c r="AC236" s="60"/>
      <c r="AD236" s="60"/>
    </row>
    <row r="237" ht="40.15" customHeight="1">
      <c r="A237" s="60"/>
      <c r="C237" s="59"/>
      <c r="D237" s="58"/>
      <c r="E237" s="59"/>
      <c r="F237" s="59"/>
      <c r="G237" s="59"/>
      <c r="H237" s="60"/>
      <c r="I237" s="60"/>
      <c r="J237" s="60"/>
      <c r="K237" s="60"/>
      <c r="L237" s="60"/>
      <c r="M237" s="60"/>
      <c r="N237" s="60"/>
      <c r="O237" s="60"/>
      <c r="P237" s="60"/>
      <c r="Q237" s="60"/>
      <c r="R237" s="60"/>
      <c r="S237" s="60"/>
      <c r="T237" s="60"/>
      <c r="U237" s="60"/>
      <c r="V237" s="60"/>
      <c r="W237" s="60"/>
      <c r="X237" s="60"/>
      <c r="Y237" s="60"/>
      <c r="Z237" s="60"/>
      <c r="AA237" s="60"/>
      <c r="AB237" s="60"/>
      <c r="AC237" s="60"/>
      <c r="AD237" s="60"/>
    </row>
    <row r="238" ht="40.15" customHeight="1">
      <c r="A238" s="60"/>
      <c r="C238" s="59"/>
      <c r="D238" s="58"/>
      <c r="E238" s="59"/>
      <c r="F238" s="59"/>
      <c r="G238" s="59"/>
      <c r="H238" s="60"/>
      <c r="I238" s="60"/>
      <c r="J238" s="60"/>
      <c r="K238" s="60"/>
      <c r="L238" s="60"/>
      <c r="M238" s="60"/>
      <c r="N238" s="60"/>
      <c r="O238" s="60"/>
      <c r="P238" s="60"/>
      <c r="Q238" s="60"/>
      <c r="R238" s="60"/>
      <c r="S238" s="60"/>
      <c r="T238" s="60"/>
      <c r="U238" s="60"/>
      <c r="V238" s="60"/>
      <c r="W238" s="60"/>
      <c r="X238" s="60"/>
      <c r="Y238" s="60"/>
      <c r="Z238" s="60"/>
      <c r="AA238" s="60"/>
      <c r="AB238" s="60"/>
      <c r="AC238" s="60"/>
      <c r="AD238" s="60"/>
    </row>
    <row r="239" ht="40.15" customHeight="1">
      <c r="A239" s="60"/>
      <c r="C239" s="59"/>
      <c r="D239" s="58"/>
      <c r="E239" s="59"/>
      <c r="F239" s="59"/>
      <c r="G239" s="59"/>
      <c r="H239" s="60"/>
      <c r="I239" s="60"/>
      <c r="J239" s="60"/>
      <c r="K239" s="60"/>
      <c r="L239" s="60"/>
      <c r="M239" s="60"/>
      <c r="N239" s="60"/>
      <c r="O239" s="60"/>
      <c r="P239" s="60"/>
      <c r="Q239" s="60"/>
      <c r="R239" s="60"/>
      <c r="S239" s="60"/>
      <c r="T239" s="60"/>
      <c r="U239" s="60"/>
      <c r="V239" s="60"/>
      <c r="W239" s="60"/>
      <c r="X239" s="60"/>
      <c r="Y239" s="60"/>
      <c r="Z239" s="60"/>
      <c r="AA239" s="60"/>
      <c r="AB239" s="60"/>
      <c r="AC239" s="60"/>
      <c r="AD239" s="60"/>
    </row>
    <row r="240" ht="40.15" customHeight="1">
      <c r="A240" s="60"/>
      <c r="C240" s="59"/>
      <c r="D240" s="58"/>
      <c r="E240" s="59"/>
      <c r="F240" s="59"/>
      <c r="G240" s="59"/>
      <c r="H240" s="60"/>
      <c r="I240" s="60"/>
      <c r="J240" s="60"/>
      <c r="K240" s="60"/>
      <c r="L240" s="60"/>
      <c r="M240" s="60"/>
      <c r="N240" s="60"/>
      <c r="O240" s="60"/>
      <c r="P240" s="60"/>
      <c r="Q240" s="60"/>
      <c r="R240" s="60"/>
      <c r="S240" s="60"/>
      <c r="T240" s="60"/>
      <c r="U240" s="60"/>
      <c r="V240" s="60"/>
      <c r="W240" s="60"/>
      <c r="X240" s="60"/>
      <c r="Y240" s="60"/>
      <c r="Z240" s="60"/>
      <c r="AA240" s="60"/>
      <c r="AB240" s="60"/>
      <c r="AC240" s="60"/>
      <c r="AD240" s="60"/>
    </row>
    <row r="241" ht="40.15" customHeight="1">
      <c r="A241" s="60"/>
      <c r="C241" s="59"/>
      <c r="D241" s="58"/>
      <c r="E241" s="59"/>
      <c r="F241" s="59"/>
      <c r="G241" s="59"/>
      <c r="H241" s="60"/>
      <c r="I241" s="60"/>
      <c r="J241" s="60"/>
      <c r="K241" s="60"/>
      <c r="L241" s="60"/>
      <c r="M241" s="60"/>
      <c r="N241" s="60"/>
      <c r="O241" s="60"/>
      <c r="P241" s="60"/>
      <c r="Q241" s="60"/>
      <c r="R241" s="60"/>
      <c r="S241" s="60"/>
      <c r="T241" s="60"/>
      <c r="U241" s="60"/>
      <c r="V241" s="60"/>
      <c r="W241" s="60"/>
      <c r="X241" s="60"/>
      <c r="Y241" s="60"/>
      <c r="Z241" s="60"/>
      <c r="AA241" s="60"/>
      <c r="AB241" s="60"/>
      <c r="AC241" s="60"/>
      <c r="AD241" s="60"/>
    </row>
    <row r="242" ht="40.15" customHeight="1">
      <c r="A242" s="60"/>
      <c r="C242" s="59"/>
      <c r="D242" s="58"/>
      <c r="E242" s="59"/>
      <c r="F242" s="59"/>
      <c r="G242" s="59"/>
      <c r="H242" s="60"/>
      <c r="I242" s="60"/>
      <c r="J242" s="60"/>
      <c r="K242" s="60"/>
      <c r="L242" s="60"/>
      <c r="M242" s="60"/>
      <c r="N242" s="60"/>
      <c r="O242" s="60"/>
      <c r="P242" s="60"/>
      <c r="Q242" s="60"/>
      <c r="R242" s="60"/>
      <c r="S242" s="60"/>
      <c r="T242" s="60"/>
      <c r="U242" s="60"/>
      <c r="V242" s="60"/>
      <c r="W242" s="60"/>
      <c r="X242" s="60"/>
      <c r="Y242" s="60"/>
      <c r="Z242" s="60"/>
      <c r="AA242" s="60"/>
      <c r="AB242" s="60"/>
      <c r="AC242" s="60"/>
      <c r="AD242" s="60"/>
    </row>
    <row r="243" ht="40.15" customHeight="1">
      <c r="A243" s="60"/>
      <c r="C243" s="59"/>
      <c r="D243" s="58"/>
      <c r="E243" s="59"/>
      <c r="F243" s="59"/>
      <c r="G243" s="59"/>
      <c r="H243" s="60"/>
      <c r="I243" s="60"/>
      <c r="J243" s="60"/>
      <c r="K243" s="60"/>
      <c r="L243" s="60"/>
      <c r="M243" s="60"/>
      <c r="N243" s="60"/>
      <c r="O243" s="60"/>
      <c r="P243" s="60"/>
      <c r="Q243" s="60"/>
      <c r="R243" s="60"/>
      <c r="S243" s="60"/>
      <c r="T243" s="60"/>
      <c r="U243" s="60"/>
      <c r="V243" s="60"/>
      <c r="W243" s="60"/>
      <c r="X243" s="60"/>
      <c r="Y243" s="60"/>
      <c r="Z243" s="60"/>
      <c r="AA243" s="60"/>
      <c r="AB243" s="60"/>
      <c r="AC243" s="60"/>
      <c r="AD243" s="60"/>
    </row>
    <row r="244" ht="40.15" customHeight="1">
      <c r="A244" s="60"/>
      <c r="C244" s="59"/>
      <c r="D244" s="58"/>
      <c r="E244" s="59"/>
      <c r="F244" s="59"/>
      <c r="G244" s="59"/>
      <c r="H244" s="60"/>
      <c r="I244" s="60"/>
      <c r="J244" s="60"/>
      <c r="K244" s="60"/>
      <c r="L244" s="60"/>
      <c r="M244" s="60"/>
      <c r="N244" s="60"/>
      <c r="O244" s="60"/>
      <c r="P244" s="60"/>
      <c r="Q244" s="60"/>
      <c r="R244" s="60"/>
      <c r="S244" s="60"/>
      <c r="T244" s="60"/>
      <c r="U244" s="60"/>
      <c r="V244" s="60"/>
      <c r="W244" s="60"/>
      <c r="X244" s="60"/>
      <c r="Y244" s="60"/>
      <c r="Z244" s="60"/>
      <c r="AA244" s="60"/>
      <c r="AB244" s="60"/>
      <c r="AC244" s="60"/>
      <c r="AD244" s="60"/>
    </row>
    <row r="245" ht="40.15" customHeight="1">
      <c r="A245" s="60"/>
      <c r="C245" s="59"/>
      <c r="D245" s="58"/>
      <c r="E245" s="59"/>
      <c r="F245" s="59"/>
      <c r="G245" s="59"/>
      <c r="H245" s="60"/>
      <c r="I245" s="60"/>
      <c r="J245" s="60"/>
      <c r="K245" s="60"/>
      <c r="L245" s="60"/>
      <c r="M245" s="60"/>
      <c r="N245" s="60"/>
      <c r="O245" s="60"/>
      <c r="P245" s="60"/>
      <c r="Q245" s="60"/>
      <c r="R245" s="60"/>
      <c r="S245" s="60"/>
      <c r="T245" s="60"/>
      <c r="U245" s="60"/>
      <c r="V245" s="60"/>
      <c r="W245" s="60"/>
      <c r="X245" s="60"/>
      <c r="Y245" s="60"/>
      <c r="Z245" s="60"/>
      <c r="AA245" s="60"/>
      <c r="AB245" s="60"/>
      <c r="AC245" s="60"/>
      <c r="AD245" s="60"/>
    </row>
    <row r="246" ht="40.15" customHeight="1">
      <c r="A246" s="60"/>
      <c r="C246" s="59"/>
      <c r="D246" s="58"/>
      <c r="E246" s="59"/>
      <c r="F246" s="59"/>
      <c r="G246" s="59"/>
      <c r="H246" s="60"/>
      <c r="I246" s="60"/>
      <c r="J246" s="60"/>
      <c r="K246" s="60"/>
      <c r="L246" s="60"/>
      <c r="M246" s="60"/>
      <c r="N246" s="60"/>
      <c r="O246" s="60"/>
      <c r="P246" s="60"/>
      <c r="Q246" s="60"/>
      <c r="R246" s="60"/>
      <c r="S246" s="60"/>
      <c r="T246" s="60"/>
      <c r="U246" s="60"/>
      <c r="V246" s="60"/>
      <c r="W246" s="60"/>
      <c r="X246" s="60"/>
      <c r="Y246" s="60"/>
      <c r="Z246" s="60"/>
      <c r="AA246" s="60"/>
      <c r="AB246" s="60"/>
      <c r="AC246" s="60"/>
      <c r="AD246" s="60"/>
    </row>
    <row r="247" ht="40.15" customHeight="1">
      <c r="A247" s="60"/>
      <c r="C247" s="59"/>
      <c r="D247" s="58"/>
      <c r="E247" s="59"/>
      <c r="F247" s="59"/>
      <c r="G247" s="59"/>
      <c r="H247" s="60"/>
      <c r="I247" s="60"/>
      <c r="J247" s="60"/>
      <c r="K247" s="60"/>
      <c r="L247" s="60"/>
      <c r="M247" s="60"/>
      <c r="N247" s="60"/>
      <c r="O247" s="60"/>
      <c r="P247" s="60"/>
      <c r="Q247" s="60"/>
      <c r="R247" s="60"/>
      <c r="S247" s="60"/>
      <c r="T247" s="60"/>
      <c r="U247" s="60"/>
      <c r="V247" s="60"/>
      <c r="W247" s="60"/>
      <c r="X247" s="60"/>
      <c r="Y247" s="60"/>
      <c r="Z247" s="60"/>
      <c r="AA247" s="60"/>
      <c r="AB247" s="60"/>
      <c r="AC247" s="60"/>
      <c r="AD247" s="60"/>
    </row>
    <row r="248" ht="40.15" customHeight="1">
      <c r="A248" s="60"/>
      <c r="C248" s="59"/>
      <c r="D248" s="58"/>
      <c r="E248" s="59"/>
      <c r="F248" s="59"/>
      <c r="G248" s="59"/>
      <c r="H248" s="60"/>
      <c r="I248" s="60"/>
      <c r="J248" s="60"/>
      <c r="K248" s="60"/>
      <c r="L248" s="60"/>
      <c r="M248" s="60"/>
      <c r="N248" s="60"/>
      <c r="O248" s="60"/>
      <c r="P248" s="60"/>
      <c r="Q248" s="60"/>
      <c r="R248" s="60"/>
      <c r="S248" s="60"/>
      <c r="T248" s="60"/>
      <c r="U248" s="60"/>
      <c r="V248" s="60"/>
      <c r="W248" s="60"/>
      <c r="X248" s="60"/>
      <c r="Y248" s="60"/>
      <c r="Z248" s="60"/>
      <c r="AA248" s="60"/>
      <c r="AB248" s="60"/>
      <c r="AC248" s="60"/>
      <c r="AD248" s="60"/>
    </row>
    <row r="249" ht="40.15" customHeight="1">
      <c r="A249" s="60"/>
      <c r="C249" s="59"/>
      <c r="D249" s="58"/>
      <c r="E249" s="59"/>
      <c r="F249" s="59"/>
      <c r="G249" s="59"/>
      <c r="H249" s="60"/>
      <c r="I249" s="60"/>
      <c r="J249" s="60"/>
      <c r="K249" s="60"/>
      <c r="L249" s="60"/>
      <c r="M249" s="60"/>
      <c r="N249" s="60"/>
      <c r="O249" s="60"/>
      <c r="P249" s="60"/>
      <c r="Q249" s="60"/>
      <c r="R249" s="60"/>
      <c r="S249" s="60"/>
      <c r="T249" s="60"/>
      <c r="U249" s="60"/>
      <c r="V249" s="60"/>
      <c r="W249" s="60"/>
      <c r="X249" s="60"/>
      <c r="Y249" s="60"/>
      <c r="Z249" s="60"/>
      <c r="AA249" s="60"/>
      <c r="AB249" s="60"/>
      <c r="AC249" s="60"/>
      <c r="AD249" s="60"/>
    </row>
    <row r="250" ht="40.15" customHeight="1">
      <c r="A250" s="60"/>
      <c r="C250" s="59"/>
      <c r="D250" s="58"/>
      <c r="E250" s="59"/>
      <c r="F250" s="59"/>
      <c r="G250" s="59"/>
      <c r="H250" s="60"/>
      <c r="I250" s="60"/>
      <c r="J250" s="60"/>
      <c r="K250" s="60"/>
      <c r="L250" s="60"/>
      <c r="M250" s="60"/>
      <c r="N250" s="60"/>
      <c r="O250" s="60"/>
      <c r="P250" s="60"/>
      <c r="Q250" s="60"/>
      <c r="R250" s="60"/>
      <c r="S250" s="60"/>
      <c r="T250" s="60"/>
      <c r="U250" s="60"/>
      <c r="V250" s="60"/>
      <c r="W250" s="60"/>
      <c r="X250" s="60"/>
      <c r="Y250" s="60"/>
      <c r="Z250" s="60"/>
      <c r="AA250" s="60"/>
      <c r="AB250" s="60"/>
      <c r="AC250" s="60"/>
      <c r="AD250" s="60"/>
    </row>
    <row r="251" ht="40.15" customHeight="1">
      <c r="A251" s="60"/>
      <c r="C251" s="59"/>
      <c r="D251" s="58"/>
      <c r="E251" s="59"/>
      <c r="F251" s="59"/>
      <c r="G251" s="59"/>
      <c r="H251" s="60"/>
      <c r="I251" s="60"/>
      <c r="J251" s="60"/>
      <c r="K251" s="60"/>
      <c r="L251" s="60"/>
      <c r="M251" s="60"/>
      <c r="N251" s="60"/>
      <c r="O251" s="60"/>
      <c r="P251" s="60"/>
      <c r="Q251" s="60"/>
      <c r="R251" s="60"/>
      <c r="S251" s="60"/>
      <c r="T251" s="60"/>
      <c r="U251" s="60"/>
      <c r="V251" s="60"/>
      <c r="W251" s="60"/>
      <c r="X251" s="60"/>
      <c r="Y251" s="60"/>
      <c r="Z251" s="60"/>
      <c r="AA251" s="60"/>
      <c r="AB251" s="60"/>
      <c r="AC251" s="60"/>
      <c r="AD251" s="60"/>
    </row>
    <row r="252" ht="40.15" customHeight="1">
      <c r="A252" s="60"/>
      <c r="C252" s="59"/>
      <c r="D252" s="58"/>
      <c r="E252" s="59"/>
      <c r="F252" s="59"/>
      <c r="G252" s="59"/>
      <c r="H252" s="60"/>
      <c r="I252" s="60"/>
      <c r="J252" s="60"/>
      <c r="K252" s="60"/>
      <c r="L252" s="60"/>
      <c r="M252" s="60"/>
      <c r="N252" s="60"/>
      <c r="O252" s="60"/>
      <c r="P252" s="60"/>
      <c r="Q252" s="60"/>
      <c r="R252" s="60"/>
      <c r="S252" s="60"/>
      <c r="T252" s="60"/>
      <c r="U252" s="60"/>
      <c r="V252" s="60"/>
      <c r="W252" s="60"/>
      <c r="X252" s="60"/>
      <c r="Y252" s="60"/>
      <c r="Z252" s="60"/>
      <c r="AA252" s="60"/>
      <c r="AB252" s="60"/>
      <c r="AC252" s="60"/>
      <c r="AD252" s="60"/>
    </row>
    <row r="253" ht="40.15" customHeight="1">
      <c r="A253" s="60"/>
      <c r="C253" s="59"/>
      <c r="D253" s="58"/>
      <c r="E253" s="59"/>
      <c r="F253" s="59"/>
      <c r="G253" s="59"/>
      <c r="H253" s="60"/>
      <c r="I253" s="60"/>
      <c r="J253" s="60"/>
      <c r="K253" s="60"/>
      <c r="L253" s="60"/>
      <c r="M253" s="60"/>
      <c r="N253" s="60"/>
      <c r="O253" s="60"/>
      <c r="P253" s="60"/>
      <c r="Q253" s="60"/>
      <c r="R253" s="60"/>
      <c r="S253" s="60"/>
      <c r="T253" s="60"/>
      <c r="U253" s="60"/>
      <c r="V253" s="60"/>
      <c r="W253" s="60"/>
      <c r="X253" s="60"/>
      <c r="Y253" s="60"/>
      <c r="Z253" s="60"/>
      <c r="AA253" s="60"/>
      <c r="AB253" s="60"/>
      <c r="AC253" s="60"/>
      <c r="AD253" s="60"/>
    </row>
    <row r="254" ht="40.15" customHeight="1">
      <c r="A254" s="60"/>
      <c r="C254" s="59"/>
      <c r="D254" s="58"/>
      <c r="E254" s="59"/>
      <c r="F254" s="59"/>
      <c r="G254" s="59"/>
      <c r="H254" s="60"/>
      <c r="I254" s="60"/>
      <c r="J254" s="60"/>
      <c r="K254" s="60"/>
      <c r="L254" s="60"/>
      <c r="M254" s="60"/>
      <c r="N254" s="60"/>
      <c r="O254" s="60"/>
      <c r="P254" s="60"/>
      <c r="Q254" s="60"/>
      <c r="R254" s="60"/>
      <c r="S254" s="60"/>
      <c r="T254" s="60"/>
      <c r="U254" s="60"/>
      <c r="V254" s="60"/>
      <c r="W254" s="60"/>
      <c r="X254" s="60"/>
      <c r="Y254" s="60"/>
      <c r="Z254" s="60"/>
      <c r="AA254" s="60"/>
      <c r="AB254" s="60"/>
      <c r="AC254" s="60"/>
      <c r="AD254" s="60"/>
    </row>
    <row r="255" ht="40.15" customHeight="1">
      <c r="A255" s="60"/>
      <c r="C255" s="59"/>
      <c r="D255" s="58"/>
      <c r="E255" s="59"/>
      <c r="F255" s="59"/>
      <c r="G255" s="59"/>
      <c r="H255" s="60"/>
      <c r="I255" s="60"/>
      <c r="J255" s="60"/>
      <c r="K255" s="60"/>
      <c r="L255" s="60"/>
      <c r="M255" s="60"/>
      <c r="N255" s="60"/>
      <c r="O255" s="60"/>
      <c r="P255" s="60"/>
      <c r="Q255" s="60"/>
      <c r="R255" s="60"/>
      <c r="S255" s="60"/>
      <c r="T255" s="60"/>
      <c r="U255" s="60"/>
      <c r="V255" s="60"/>
      <c r="W255" s="60"/>
      <c r="X255" s="60"/>
      <c r="Y255" s="60"/>
      <c r="Z255" s="60"/>
      <c r="AA255" s="60"/>
      <c r="AB255" s="60"/>
      <c r="AC255" s="60"/>
      <c r="AD255" s="60"/>
    </row>
    <row r="256" ht="40.15" customHeight="1">
      <c r="A256" s="60"/>
      <c r="C256" s="59"/>
      <c r="D256" s="58"/>
      <c r="E256" s="59"/>
      <c r="F256" s="59"/>
      <c r="G256" s="59"/>
      <c r="H256" s="60"/>
      <c r="I256" s="60"/>
      <c r="J256" s="60"/>
      <c r="K256" s="60"/>
      <c r="L256" s="60"/>
      <c r="M256" s="60"/>
      <c r="N256" s="60"/>
      <c r="O256" s="60"/>
      <c r="P256" s="60"/>
      <c r="Q256" s="60"/>
      <c r="R256" s="60"/>
      <c r="S256" s="60"/>
      <c r="T256" s="60"/>
      <c r="U256" s="60"/>
      <c r="V256" s="60"/>
      <c r="W256" s="60"/>
      <c r="X256" s="60"/>
      <c r="Y256" s="60"/>
      <c r="Z256" s="60"/>
      <c r="AA256" s="60"/>
      <c r="AB256" s="60"/>
      <c r="AC256" s="60"/>
      <c r="AD256" s="60"/>
    </row>
    <row r="257" ht="40.15" customHeight="1">
      <c r="A257" s="60"/>
      <c r="C257" s="59"/>
      <c r="D257" s="58"/>
      <c r="E257" s="59"/>
      <c r="F257" s="59"/>
      <c r="G257" s="59"/>
      <c r="H257" s="60"/>
      <c r="I257" s="60"/>
      <c r="J257" s="60"/>
      <c r="K257" s="60"/>
      <c r="L257" s="60"/>
      <c r="M257" s="60"/>
      <c r="N257" s="60"/>
      <c r="O257" s="60"/>
      <c r="P257" s="60"/>
      <c r="Q257" s="60"/>
      <c r="R257" s="60"/>
      <c r="S257" s="60"/>
      <c r="T257" s="60"/>
      <c r="U257" s="60"/>
      <c r="V257" s="60"/>
      <c r="W257" s="60"/>
      <c r="X257" s="60"/>
      <c r="Y257" s="60"/>
      <c r="Z257" s="60"/>
      <c r="AA257" s="60"/>
      <c r="AB257" s="60"/>
      <c r="AC257" s="60"/>
      <c r="AD257" s="60"/>
    </row>
    <row r="258" ht="40.15" customHeight="1">
      <c r="A258" s="60"/>
      <c r="C258" s="59"/>
      <c r="D258" s="58"/>
      <c r="E258" s="59"/>
      <c r="F258" s="59"/>
      <c r="G258" s="59"/>
      <c r="H258" s="60"/>
      <c r="I258" s="60"/>
      <c r="J258" s="60"/>
      <c r="K258" s="60"/>
      <c r="L258" s="60"/>
      <c r="M258" s="60"/>
      <c r="N258" s="60"/>
      <c r="O258" s="60"/>
      <c r="P258" s="60"/>
      <c r="Q258" s="60"/>
      <c r="R258" s="60"/>
      <c r="S258" s="60"/>
      <c r="T258" s="60"/>
      <c r="U258" s="60"/>
      <c r="V258" s="60"/>
      <c r="W258" s="60"/>
      <c r="X258" s="60"/>
      <c r="Y258" s="60"/>
      <c r="Z258" s="60"/>
      <c r="AA258" s="60"/>
      <c r="AB258" s="60"/>
      <c r="AC258" s="60"/>
      <c r="AD258" s="60"/>
    </row>
    <row r="259" ht="40.15" customHeight="1">
      <c r="A259" s="60"/>
      <c r="C259" s="59"/>
      <c r="D259" s="58"/>
      <c r="E259" s="59"/>
      <c r="F259" s="59"/>
      <c r="G259" s="59"/>
      <c r="H259" s="60"/>
      <c r="I259" s="60"/>
      <c r="J259" s="60"/>
      <c r="K259" s="60"/>
      <c r="L259" s="60"/>
      <c r="M259" s="60"/>
      <c r="N259" s="60"/>
      <c r="O259" s="60"/>
      <c r="P259" s="60"/>
      <c r="Q259" s="60"/>
      <c r="R259" s="60"/>
      <c r="S259" s="60"/>
      <c r="T259" s="60"/>
      <c r="U259" s="60"/>
      <c r="V259" s="60"/>
      <c r="W259" s="60"/>
      <c r="X259" s="60"/>
      <c r="Y259" s="60"/>
      <c r="Z259" s="60"/>
      <c r="AA259" s="60"/>
      <c r="AB259" s="60"/>
      <c r="AC259" s="60"/>
      <c r="AD259" s="60"/>
    </row>
    <row r="260" ht="40.15" customHeight="1">
      <c r="A260" s="60"/>
      <c r="C260" s="59"/>
      <c r="D260" s="58"/>
      <c r="E260" s="59"/>
      <c r="F260" s="59"/>
      <c r="G260" s="59"/>
      <c r="H260" s="60"/>
      <c r="I260" s="60"/>
      <c r="J260" s="60"/>
      <c r="K260" s="60"/>
      <c r="L260" s="60"/>
      <c r="M260" s="60"/>
      <c r="N260" s="60"/>
      <c r="O260" s="60"/>
      <c r="P260" s="60"/>
      <c r="Q260" s="60"/>
      <c r="R260" s="60"/>
      <c r="S260" s="60"/>
      <c r="T260" s="60"/>
      <c r="U260" s="60"/>
      <c r="V260" s="60"/>
      <c r="W260" s="60"/>
      <c r="X260" s="60"/>
      <c r="Y260" s="60"/>
      <c r="Z260" s="60"/>
      <c r="AA260" s="60"/>
      <c r="AB260" s="60"/>
      <c r="AC260" s="60"/>
      <c r="AD260" s="60"/>
    </row>
    <row r="261" ht="40.15" customHeight="1">
      <c r="A261" s="60"/>
      <c r="C261" s="59"/>
      <c r="D261" s="58"/>
      <c r="E261" s="59"/>
      <c r="F261" s="59"/>
      <c r="G261" s="59"/>
      <c r="H261" s="60"/>
      <c r="I261" s="60"/>
      <c r="J261" s="60"/>
      <c r="K261" s="60"/>
      <c r="L261" s="60"/>
      <c r="M261" s="60"/>
      <c r="N261" s="60"/>
      <c r="O261" s="60"/>
      <c r="P261" s="60"/>
      <c r="Q261" s="60"/>
      <c r="R261" s="60"/>
      <c r="S261" s="60"/>
      <c r="T261" s="60"/>
      <c r="U261" s="60"/>
      <c r="V261" s="60"/>
      <c r="W261" s="60"/>
      <c r="X261" s="60"/>
      <c r="Y261" s="60"/>
      <c r="Z261" s="60"/>
      <c r="AA261" s="60"/>
      <c r="AB261" s="60"/>
      <c r="AC261" s="60"/>
      <c r="AD261" s="60"/>
    </row>
    <row r="262" ht="40.15" customHeight="1">
      <c r="A262" s="60"/>
      <c r="C262" s="59"/>
      <c r="D262" s="58"/>
      <c r="E262" s="59"/>
      <c r="F262" s="59"/>
      <c r="G262" s="59"/>
      <c r="H262" s="60"/>
      <c r="I262" s="60"/>
      <c r="J262" s="60"/>
      <c r="K262" s="60"/>
      <c r="L262" s="60"/>
      <c r="M262" s="60"/>
      <c r="N262" s="60"/>
      <c r="O262" s="60"/>
      <c r="P262" s="60"/>
      <c r="Q262" s="60"/>
      <c r="R262" s="60"/>
      <c r="S262" s="60"/>
      <c r="T262" s="60"/>
      <c r="U262" s="60"/>
      <c r="V262" s="60"/>
      <c r="W262" s="60"/>
      <c r="X262" s="60"/>
      <c r="Y262" s="60"/>
      <c r="Z262" s="60"/>
      <c r="AA262" s="60"/>
      <c r="AB262" s="60"/>
      <c r="AC262" s="60"/>
      <c r="AD262" s="60"/>
    </row>
    <row r="263" ht="40.15" customHeight="1">
      <c r="A263" s="60"/>
      <c r="C263" s="59"/>
      <c r="D263" s="58"/>
      <c r="E263" s="59"/>
      <c r="F263" s="59"/>
      <c r="G263" s="59"/>
      <c r="H263" s="60"/>
      <c r="I263" s="60"/>
      <c r="J263" s="60"/>
      <c r="K263" s="60"/>
      <c r="L263" s="60"/>
      <c r="M263" s="60"/>
      <c r="N263" s="60"/>
      <c r="O263" s="60"/>
      <c r="P263" s="60"/>
      <c r="Q263" s="60"/>
      <c r="R263" s="60"/>
      <c r="S263" s="60"/>
      <c r="T263" s="60"/>
      <c r="U263" s="60"/>
      <c r="V263" s="60"/>
      <c r="W263" s="60"/>
      <c r="X263" s="60"/>
      <c r="Y263" s="60"/>
      <c r="Z263" s="60"/>
      <c r="AA263" s="60"/>
      <c r="AB263" s="60"/>
      <c r="AC263" s="60"/>
      <c r="AD263" s="60"/>
    </row>
    <row r="264" ht="40.15" customHeight="1">
      <c r="A264" s="60"/>
      <c r="C264" s="59"/>
      <c r="D264" s="58"/>
      <c r="E264" s="59"/>
      <c r="F264" s="59"/>
      <c r="G264" s="59"/>
      <c r="H264" s="60"/>
      <c r="I264" s="60"/>
      <c r="J264" s="60"/>
      <c r="K264" s="60"/>
      <c r="L264" s="60"/>
      <c r="M264" s="60"/>
      <c r="N264" s="60"/>
      <c r="O264" s="60"/>
      <c r="P264" s="60"/>
      <c r="Q264" s="60"/>
      <c r="R264" s="60"/>
      <c r="S264" s="60"/>
      <c r="T264" s="60"/>
      <c r="U264" s="60"/>
      <c r="V264" s="60"/>
      <c r="W264" s="60"/>
      <c r="X264" s="60"/>
      <c r="Y264" s="60"/>
      <c r="Z264" s="60"/>
      <c r="AA264" s="60"/>
      <c r="AB264" s="60"/>
      <c r="AC264" s="60"/>
      <c r="AD264" s="60"/>
    </row>
    <row r="265" ht="40.15" customHeight="1">
      <c r="A265" s="60"/>
      <c r="C265" s="59"/>
      <c r="D265" s="58"/>
      <c r="E265" s="59"/>
      <c r="F265" s="59"/>
      <c r="G265" s="59"/>
      <c r="H265" s="60"/>
      <c r="I265" s="60"/>
      <c r="J265" s="60"/>
      <c r="K265" s="60"/>
      <c r="L265" s="60"/>
      <c r="M265" s="60"/>
      <c r="N265" s="60"/>
      <c r="O265" s="60"/>
      <c r="P265" s="60"/>
      <c r="Q265" s="60"/>
      <c r="R265" s="60"/>
      <c r="S265" s="60"/>
      <c r="T265" s="60"/>
      <c r="U265" s="60"/>
      <c r="V265" s="60"/>
      <c r="W265" s="60"/>
      <c r="X265" s="60"/>
      <c r="Y265" s="60"/>
      <c r="Z265" s="60"/>
      <c r="AA265" s="60"/>
      <c r="AB265" s="60"/>
      <c r="AC265" s="60"/>
      <c r="AD265" s="60"/>
    </row>
    <row r="266" ht="40.15" customHeight="1">
      <c r="A266" s="60"/>
      <c r="C266" s="59"/>
      <c r="D266" s="58"/>
      <c r="E266" s="59"/>
      <c r="F266" s="59"/>
      <c r="G266" s="59"/>
      <c r="H266" s="60"/>
      <c r="I266" s="60"/>
      <c r="J266" s="60"/>
      <c r="K266" s="60"/>
      <c r="L266" s="60"/>
      <c r="M266" s="60"/>
      <c r="N266" s="60"/>
      <c r="O266" s="60"/>
      <c r="P266" s="60"/>
      <c r="Q266" s="60"/>
      <c r="R266" s="60"/>
      <c r="S266" s="60"/>
      <c r="T266" s="60"/>
      <c r="U266" s="60"/>
      <c r="V266" s="60"/>
      <c r="W266" s="60"/>
      <c r="X266" s="60"/>
      <c r="Y266" s="60"/>
      <c r="Z266" s="60"/>
      <c r="AA266" s="60"/>
      <c r="AB266" s="60"/>
      <c r="AC266" s="60"/>
      <c r="AD266" s="60"/>
    </row>
    <row r="267" ht="40.15" customHeight="1">
      <c r="A267" s="60"/>
      <c r="C267" s="59"/>
      <c r="D267" s="58"/>
      <c r="E267" s="59"/>
      <c r="F267" s="59"/>
      <c r="G267" s="59"/>
      <c r="H267" s="60"/>
      <c r="I267" s="60"/>
      <c r="J267" s="60"/>
      <c r="K267" s="60"/>
      <c r="L267" s="60"/>
      <c r="M267" s="60"/>
      <c r="N267" s="60"/>
      <c r="O267" s="60"/>
      <c r="P267" s="60"/>
      <c r="Q267" s="60"/>
      <c r="R267" s="60"/>
      <c r="S267" s="60"/>
      <c r="T267" s="60"/>
      <c r="U267" s="60"/>
      <c r="V267" s="60"/>
      <c r="W267" s="60"/>
      <c r="X267" s="60"/>
      <c r="Y267" s="60"/>
      <c r="Z267" s="60"/>
      <c r="AA267" s="60"/>
      <c r="AB267" s="60"/>
      <c r="AC267" s="60"/>
      <c r="AD267" s="60"/>
    </row>
    <row r="268" ht="40.15" customHeight="1">
      <c r="A268" s="60"/>
      <c r="C268" s="59"/>
      <c r="D268" s="58"/>
      <c r="E268" s="59"/>
      <c r="F268" s="59"/>
      <c r="G268" s="59"/>
      <c r="H268" s="60"/>
      <c r="I268" s="60"/>
      <c r="J268" s="60"/>
      <c r="K268" s="60"/>
      <c r="L268" s="60"/>
      <c r="M268" s="60"/>
      <c r="N268" s="60"/>
      <c r="O268" s="60"/>
      <c r="P268" s="60"/>
      <c r="Q268" s="60"/>
      <c r="R268" s="60"/>
      <c r="S268" s="60"/>
      <c r="T268" s="60"/>
      <c r="U268" s="60"/>
      <c r="V268" s="60"/>
      <c r="W268" s="60"/>
      <c r="X268" s="60"/>
      <c r="Y268" s="60"/>
      <c r="Z268" s="60"/>
      <c r="AA268" s="60"/>
      <c r="AB268" s="60"/>
      <c r="AC268" s="60"/>
      <c r="AD268" s="60"/>
    </row>
    <row r="269" ht="40.15" customHeight="1">
      <c r="A269" s="60"/>
      <c r="C269" s="59"/>
      <c r="D269" s="58"/>
      <c r="E269" s="59"/>
      <c r="F269" s="59"/>
      <c r="G269" s="59"/>
      <c r="H269" s="60"/>
      <c r="I269" s="60"/>
      <c r="J269" s="60"/>
      <c r="K269" s="60"/>
      <c r="L269" s="60"/>
      <c r="M269" s="60"/>
      <c r="N269" s="60"/>
      <c r="O269" s="60"/>
      <c r="P269" s="60"/>
      <c r="Q269" s="60"/>
      <c r="R269" s="60"/>
      <c r="S269" s="60"/>
      <c r="T269" s="60"/>
      <c r="U269" s="60"/>
      <c r="V269" s="60"/>
      <c r="W269" s="60"/>
      <c r="X269" s="60"/>
      <c r="Y269" s="60"/>
      <c r="Z269" s="60"/>
      <c r="AA269" s="60"/>
      <c r="AB269" s="60"/>
      <c r="AC269" s="60"/>
      <c r="AD269" s="60"/>
    </row>
    <row r="270" ht="40.15" customHeight="1">
      <c r="A270" s="60"/>
      <c r="C270" s="59"/>
      <c r="D270" s="58"/>
      <c r="E270" s="59"/>
      <c r="F270" s="59"/>
      <c r="G270" s="59"/>
      <c r="H270" s="60"/>
      <c r="I270" s="60"/>
      <c r="J270" s="60"/>
      <c r="K270" s="60"/>
      <c r="L270" s="60"/>
      <c r="M270" s="60"/>
      <c r="N270" s="60"/>
      <c r="O270" s="60"/>
      <c r="P270" s="60"/>
      <c r="Q270" s="60"/>
      <c r="R270" s="60"/>
      <c r="S270" s="60"/>
      <c r="T270" s="60"/>
      <c r="U270" s="60"/>
      <c r="V270" s="60"/>
      <c r="W270" s="60"/>
      <c r="X270" s="60"/>
      <c r="Y270" s="60"/>
      <c r="Z270" s="60"/>
      <c r="AA270" s="60"/>
      <c r="AB270" s="60"/>
      <c r="AC270" s="60"/>
      <c r="AD270" s="60"/>
    </row>
    <row r="271" ht="40.15" customHeight="1">
      <c r="A271" s="60"/>
      <c r="C271" s="59"/>
      <c r="D271" s="58"/>
      <c r="E271" s="59"/>
      <c r="F271" s="59"/>
      <c r="G271" s="59"/>
      <c r="H271" s="60"/>
      <c r="I271" s="60"/>
      <c r="J271" s="60"/>
      <c r="K271" s="60"/>
      <c r="L271" s="60"/>
      <c r="M271" s="60"/>
      <c r="N271" s="60"/>
      <c r="O271" s="60"/>
      <c r="P271" s="60"/>
      <c r="Q271" s="60"/>
      <c r="R271" s="60"/>
      <c r="S271" s="60"/>
      <c r="T271" s="60"/>
      <c r="U271" s="60"/>
      <c r="V271" s="60"/>
      <c r="W271" s="60"/>
      <c r="X271" s="60"/>
      <c r="Y271" s="60"/>
      <c r="Z271" s="60"/>
      <c r="AA271" s="60"/>
      <c r="AB271" s="60"/>
      <c r="AC271" s="60"/>
      <c r="AD271" s="60"/>
    </row>
    <row r="272" ht="40.15" customHeight="1">
      <c r="A272" s="60"/>
      <c r="C272" s="59"/>
      <c r="D272" s="58"/>
      <c r="E272" s="59"/>
      <c r="F272" s="59"/>
      <c r="G272" s="59"/>
      <c r="H272" s="60"/>
      <c r="I272" s="60"/>
      <c r="J272" s="60"/>
      <c r="K272" s="60"/>
      <c r="L272" s="60"/>
      <c r="M272" s="60"/>
      <c r="N272" s="60"/>
      <c r="O272" s="60"/>
      <c r="P272" s="60"/>
      <c r="Q272" s="60"/>
      <c r="R272" s="60"/>
      <c r="S272" s="60"/>
      <c r="T272" s="60"/>
      <c r="U272" s="60"/>
      <c r="V272" s="60"/>
      <c r="W272" s="60"/>
      <c r="X272" s="60"/>
      <c r="Y272" s="60"/>
      <c r="Z272" s="60"/>
      <c r="AA272" s="60"/>
      <c r="AB272" s="60"/>
      <c r="AC272" s="60"/>
      <c r="AD272" s="60"/>
    </row>
    <row r="273" ht="40.15" customHeight="1">
      <c r="A273" s="60"/>
      <c r="C273" s="59"/>
      <c r="D273" s="58"/>
      <c r="E273" s="59"/>
      <c r="F273" s="59"/>
      <c r="G273" s="59"/>
      <c r="H273" s="60"/>
      <c r="I273" s="60"/>
      <c r="J273" s="60"/>
      <c r="K273" s="60"/>
      <c r="L273" s="60"/>
      <c r="M273" s="60"/>
      <c r="N273" s="60"/>
      <c r="O273" s="60"/>
      <c r="P273" s="60"/>
      <c r="Q273" s="60"/>
      <c r="R273" s="60"/>
      <c r="S273" s="60"/>
      <c r="T273" s="60"/>
      <c r="U273" s="60"/>
      <c r="V273" s="60"/>
      <c r="W273" s="60"/>
      <c r="X273" s="60"/>
      <c r="Y273" s="60"/>
      <c r="Z273" s="60"/>
      <c r="AA273" s="60"/>
      <c r="AB273" s="60"/>
      <c r="AC273" s="60"/>
      <c r="AD273" s="60"/>
    </row>
    <row r="274" ht="40.15" customHeight="1">
      <c r="A274" s="60"/>
      <c r="C274" s="59"/>
      <c r="D274" s="58"/>
      <c r="E274" s="59"/>
      <c r="F274" s="59"/>
      <c r="G274" s="59"/>
      <c r="H274" s="60"/>
      <c r="I274" s="60"/>
      <c r="J274" s="60"/>
      <c r="K274" s="60"/>
      <c r="L274" s="60"/>
      <c r="M274" s="60"/>
      <c r="N274" s="60"/>
      <c r="O274" s="60"/>
      <c r="P274" s="60"/>
      <c r="Q274" s="60"/>
      <c r="R274" s="60"/>
      <c r="S274" s="60"/>
      <c r="T274" s="60"/>
      <c r="U274" s="60"/>
      <c r="V274" s="60"/>
      <c r="W274" s="60"/>
      <c r="X274" s="60"/>
      <c r="Y274" s="60"/>
      <c r="Z274" s="60"/>
      <c r="AA274" s="60"/>
      <c r="AB274" s="60"/>
      <c r="AC274" s="60"/>
      <c r="AD274" s="60"/>
    </row>
    <row r="275" ht="40.15" customHeight="1">
      <c r="A275" s="60"/>
      <c r="C275" s="59"/>
      <c r="D275" s="58"/>
      <c r="E275" s="59"/>
      <c r="F275" s="59"/>
      <c r="G275" s="59"/>
      <c r="H275" s="60"/>
      <c r="I275" s="60"/>
      <c r="J275" s="60"/>
      <c r="K275" s="60"/>
      <c r="L275" s="60"/>
      <c r="M275" s="60"/>
      <c r="N275" s="60"/>
      <c r="O275" s="60"/>
      <c r="P275" s="60"/>
      <c r="Q275" s="60"/>
      <c r="R275" s="60"/>
      <c r="S275" s="60"/>
      <c r="T275" s="60"/>
      <c r="U275" s="60"/>
      <c r="V275" s="60"/>
      <c r="W275" s="60"/>
      <c r="X275" s="60"/>
      <c r="Y275" s="60"/>
      <c r="Z275" s="60"/>
      <c r="AA275" s="60"/>
      <c r="AB275" s="60"/>
      <c r="AC275" s="60"/>
      <c r="AD275" s="60"/>
    </row>
    <row r="276" ht="40.15" customHeight="1">
      <c r="A276" s="60"/>
      <c r="C276" s="59"/>
      <c r="D276" s="58"/>
      <c r="E276" s="59"/>
      <c r="F276" s="59"/>
      <c r="G276" s="59"/>
      <c r="H276" s="60"/>
      <c r="I276" s="60"/>
      <c r="J276" s="60"/>
      <c r="K276" s="60"/>
      <c r="L276" s="60"/>
      <c r="M276" s="60"/>
      <c r="N276" s="60"/>
      <c r="O276" s="60"/>
      <c r="P276" s="60"/>
      <c r="Q276" s="60"/>
      <c r="R276" s="60"/>
      <c r="S276" s="60"/>
      <c r="T276" s="60"/>
      <c r="U276" s="60"/>
      <c r="V276" s="60"/>
      <c r="W276" s="60"/>
      <c r="X276" s="60"/>
      <c r="Y276" s="60"/>
      <c r="Z276" s="60"/>
      <c r="AA276" s="60"/>
      <c r="AB276" s="60"/>
      <c r="AC276" s="60"/>
      <c r="AD276" s="60"/>
    </row>
    <row r="277" ht="40.15" customHeight="1">
      <c r="A277" s="60"/>
      <c r="C277" s="59"/>
      <c r="D277" s="58"/>
      <c r="E277" s="59"/>
      <c r="F277" s="59"/>
      <c r="G277" s="59"/>
      <c r="H277" s="60"/>
      <c r="I277" s="60"/>
      <c r="J277" s="60"/>
      <c r="K277" s="60"/>
      <c r="L277" s="60"/>
      <c r="M277" s="60"/>
      <c r="N277" s="60"/>
      <c r="O277" s="60"/>
      <c r="P277" s="60"/>
      <c r="Q277" s="60"/>
      <c r="R277" s="60"/>
      <c r="S277" s="60"/>
      <c r="T277" s="60"/>
      <c r="U277" s="60"/>
      <c r="V277" s="60"/>
      <c r="W277" s="60"/>
      <c r="X277" s="60"/>
      <c r="Y277" s="60"/>
      <c r="Z277" s="60"/>
      <c r="AA277" s="60"/>
      <c r="AB277" s="60"/>
      <c r="AC277" s="60"/>
      <c r="AD277" s="60"/>
    </row>
    <row r="278" ht="40.15" customHeight="1">
      <c r="A278" s="60"/>
      <c r="C278" s="59"/>
      <c r="D278" s="58"/>
      <c r="E278" s="59"/>
      <c r="F278" s="59"/>
      <c r="G278" s="59"/>
      <c r="H278" s="60"/>
      <c r="I278" s="60"/>
      <c r="J278" s="60"/>
      <c r="K278" s="60"/>
      <c r="L278" s="60"/>
      <c r="M278" s="60"/>
      <c r="N278" s="60"/>
      <c r="O278" s="60"/>
      <c r="P278" s="60"/>
      <c r="Q278" s="60"/>
      <c r="R278" s="60"/>
      <c r="S278" s="60"/>
      <c r="T278" s="60"/>
      <c r="U278" s="60"/>
      <c r="V278" s="60"/>
      <c r="W278" s="60"/>
      <c r="X278" s="60"/>
      <c r="Y278" s="60"/>
      <c r="Z278" s="60"/>
      <c r="AA278" s="60"/>
      <c r="AB278" s="60"/>
      <c r="AC278" s="60"/>
      <c r="AD278" s="60"/>
    </row>
    <row r="279" ht="40.15" customHeight="1">
      <c r="A279" s="60"/>
      <c r="C279" s="59"/>
      <c r="D279" s="58"/>
      <c r="E279" s="59"/>
      <c r="F279" s="59"/>
      <c r="G279" s="59"/>
      <c r="H279" s="60"/>
      <c r="I279" s="60"/>
      <c r="J279" s="60"/>
      <c r="K279" s="60"/>
      <c r="L279" s="60"/>
      <c r="M279" s="60"/>
      <c r="N279" s="60"/>
      <c r="O279" s="60"/>
      <c r="P279" s="60"/>
      <c r="Q279" s="60"/>
      <c r="R279" s="60"/>
      <c r="S279" s="60"/>
      <c r="T279" s="60"/>
      <c r="U279" s="60"/>
      <c r="V279" s="60"/>
      <c r="W279" s="60"/>
      <c r="X279" s="60"/>
      <c r="Y279" s="60"/>
      <c r="Z279" s="60"/>
      <c r="AA279" s="60"/>
      <c r="AB279" s="60"/>
      <c r="AC279" s="60"/>
      <c r="AD279" s="60"/>
    </row>
    <row r="280" ht="40.15" customHeight="1">
      <c r="A280" s="60"/>
      <c r="C280" s="59"/>
      <c r="D280" s="58"/>
      <c r="E280" s="59"/>
      <c r="F280" s="59"/>
      <c r="G280" s="59"/>
      <c r="H280" s="60"/>
      <c r="I280" s="60"/>
      <c r="J280" s="60"/>
      <c r="K280" s="60"/>
      <c r="L280" s="60"/>
      <c r="M280" s="60"/>
      <c r="N280" s="60"/>
      <c r="O280" s="60"/>
      <c r="P280" s="60"/>
      <c r="Q280" s="60"/>
      <c r="R280" s="60"/>
      <c r="S280" s="60"/>
      <c r="T280" s="60"/>
      <c r="U280" s="60"/>
      <c r="V280" s="60"/>
      <c r="W280" s="60"/>
      <c r="X280" s="60"/>
      <c r="Y280" s="60"/>
      <c r="Z280" s="60"/>
      <c r="AA280" s="60"/>
      <c r="AB280" s="60"/>
      <c r="AC280" s="60"/>
      <c r="AD280" s="60"/>
    </row>
    <row r="281" ht="40.15" customHeight="1">
      <c r="A281" s="60"/>
      <c r="C281" s="59"/>
      <c r="D281" s="58"/>
      <c r="E281" s="59"/>
      <c r="F281" s="59"/>
      <c r="G281" s="59"/>
      <c r="H281" s="60"/>
      <c r="I281" s="60"/>
      <c r="J281" s="60"/>
      <c r="K281" s="60"/>
      <c r="L281" s="60"/>
      <c r="M281" s="60"/>
      <c r="N281" s="60"/>
      <c r="O281" s="60"/>
      <c r="P281" s="60"/>
      <c r="Q281" s="60"/>
      <c r="R281" s="60"/>
      <c r="S281" s="60"/>
      <c r="T281" s="60"/>
      <c r="U281" s="60"/>
      <c r="V281" s="60"/>
      <c r="W281" s="60"/>
      <c r="X281" s="60"/>
      <c r="Y281" s="60"/>
      <c r="Z281" s="60"/>
      <c r="AA281" s="60"/>
      <c r="AB281" s="60"/>
      <c r="AC281" s="60"/>
      <c r="AD281" s="60"/>
    </row>
    <row r="282" ht="40.15" customHeight="1">
      <c r="A282" s="60"/>
      <c r="C282" s="59"/>
      <c r="D282" s="58"/>
      <c r="E282" s="59"/>
      <c r="F282" s="59"/>
      <c r="G282" s="59"/>
      <c r="H282" s="60"/>
      <c r="I282" s="60"/>
      <c r="J282" s="60"/>
      <c r="K282" s="60"/>
      <c r="L282" s="60"/>
      <c r="M282" s="60"/>
      <c r="N282" s="60"/>
      <c r="O282" s="60"/>
      <c r="P282" s="60"/>
      <c r="Q282" s="60"/>
      <c r="R282" s="60"/>
      <c r="S282" s="60"/>
      <c r="T282" s="60"/>
      <c r="U282" s="60"/>
      <c r="V282" s="60"/>
      <c r="W282" s="60"/>
      <c r="X282" s="60"/>
      <c r="Y282" s="60"/>
      <c r="Z282" s="60"/>
      <c r="AA282" s="60"/>
      <c r="AB282" s="60"/>
      <c r="AC282" s="60"/>
      <c r="AD282" s="60"/>
    </row>
    <row r="283" ht="40.15" customHeight="1">
      <c r="A283" s="60"/>
      <c r="C283" s="59"/>
      <c r="D283" s="58"/>
      <c r="E283" s="59"/>
      <c r="F283" s="59"/>
      <c r="G283" s="59"/>
      <c r="H283" s="60"/>
      <c r="I283" s="60"/>
      <c r="J283" s="60"/>
      <c r="K283" s="60"/>
      <c r="L283" s="60"/>
      <c r="M283" s="60"/>
      <c r="N283" s="60"/>
      <c r="O283" s="60"/>
      <c r="P283" s="60"/>
      <c r="Q283" s="60"/>
      <c r="R283" s="60"/>
      <c r="S283" s="60"/>
      <c r="T283" s="60"/>
      <c r="U283" s="60"/>
      <c r="V283" s="60"/>
      <c r="W283" s="60"/>
      <c r="X283" s="60"/>
      <c r="Y283" s="60"/>
      <c r="Z283" s="60"/>
      <c r="AA283" s="60"/>
      <c r="AB283" s="60"/>
      <c r="AC283" s="60"/>
      <c r="AD283" s="60"/>
    </row>
    <row r="284" ht="40.15" customHeight="1">
      <c r="A284" s="60"/>
      <c r="C284" s="59"/>
      <c r="D284" s="58"/>
      <c r="E284" s="59"/>
      <c r="F284" s="59"/>
      <c r="G284" s="59"/>
      <c r="H284" s="60"/>
      <c r="I284" s="60"/>
      <c r="J284" s="60"/>
      <c r="K284" s="60"/>
      <c r="L284" s="60"/>
      <c r="M284" s="60"/>
      <c r="N284" s="60"/>
      <c r="O284" s="60"/>
      <c r="P284" s="60"/>
      <c r="Q284" s="60"/>
      <c r="R284" s="60"/>
      <c r="S284" s="60"/>
      <c r="T284" s="60"/>
      <c r="U284" s="60"/>
      <c r="V284" s="60"/>
      <c r="W284" s="60"/>
      <c r="X284" s="60"/>
      <c r="Y284" s="60"/>
      <c r="Z284" s="60"/>
      <c r="AA284" s="60"/>
      <c r="AB284" s="60"/>
      <c r="AC284" s="60"/>
      <c r="AD284" s="60"/>
    </row>
    <row r="285" ht="40.15" customHeight="1">
      <c r="A285" s="60"/>
      <c r="C285" s="59"/>
      <c r="D285" s="58"/>
      <c r="E285" s="59"/>
      <c r="F285" s="59"/>
      <c r="G285" s="59"/>
      <c r="H285" s="60"/>
      <c r="I285" s="60"/>
      <c r="J285" s="60"/>
      <c r="K285" s="60"/>
      <c r="L285" s="60"/>
      <c r="M285" s="60"/>
      <c r="N285" s="60"/>
      <c r="O285" s="60"/>
      <c r="P285" s="60"/>
      <c r="Q285" s="60"/>
      <c r="R285" s="60"/>
      <c r="S285" s="60"/>
      <c r="T285" s="60"/>
      <c r="U285" s="60"/>
      <c r="V285" s="60"/>
      <c r="W285" s="60"/>
      <c r="X285" s="60"/>
      <c r="Y285" s="60"/>
      <c r="Z285" s="60"/>
      <c r="AA285" s="60"/>
      <c r="AB285" s="60"/>
      <c r="AC285" s="60"/>
      <c r="AD285" s="60"/>
    </row>
    <row r="286" ht="40.15" customHeight="1">
      <c r="A286" s="60"/>
      <c r="C286" s="59"/>
      <c r="D286" s="58"/>
      <c r="E286" s="59"/>
      <c r="F286" s="59"/>
      <c r="G286" s="59"/>
      <c r="H286" s="60"/>
      <c r="I286" s="60"/>
      <c r="J286" s="60"/>
      <c r="K286" s="60"/>
      <c r="L286" s="60"/>
      <c r="M286" s="60"/>
      <c r="N286" s="60"/>
      <c r="O286" s="60"/>
      <c r="P286" s="60"/>
      <c r="Q286" s="60"/>
      <c r="R286" s="60"/>
      <c r="S286" s="60"/>
      <c r="T286" s="60"/>
      <c r="U286" s="60"/>
      <c r="V286" s="60"/>
      <c r="W286" s="60"/>
      <c r="X286" s="60"/>
      <c r="Y286" s="60"/>
      <c r="Z286" s="60"/>
      <c r="AA286" s="60"/>
      <c r="AB286" s="60"/>
      <c r="AC286" s="60"/>
      <c r="AD286" s="60"/>
    </row>
    <row r="287" ht="40.15" customHeight="1">
      <c r="A287" s="60"/>
      <c r="C287" s="59"/>
      <c r="D287" s="58"/>
      <c r="E287" s="59"/>
      <c r="F287" s="59"/>
      <c r="G287" s="59"/>
      <c r="H287" s="60"/>
      <c r="I287" s="60"/>
      <c r="J287" s="60"/>
      <c r="K287" s="60"/>
      <c r="L287" s="60"/>
      <c r="M287" s="60"/>
      <c r="N287" s="60"/>
      <c r="O287" s="60"/>
      <c r="P287" s="60"/>
      <c r="Q287" s="60"/>
      <c r="R287" s="60"/>
      <c r="S287" s="60"/>
      <c r="T287" s="60"/>
      <c r="U287" s="60"/>
      <c r="V287" s="60"/>
      <c r="W287" s="60"/>
      <c r="X287" s="60"/>
      <c r="Y287" s="60"/>
      <c r="Z287" s="60"/>
      <c r="AA287" s="60"/>
      <c r="AB287" s="60"/>
      <c r="AC287" s="60"/>
      <c r="AD287" s="60"/>
    </row>
    <row r="288" ht="40.15" customHeight="1">
      <c r="A288" s="60"/>
      <c r="C288" s="59"/>
      <c r="D288" s="58"/>
      <c r="E288" s="59"/>
      <c r="F288" s="59"/>
      <c r="G288" s="59"/>
      <c r="H288" s="60"/>
      <c r="I288" s="60"/>
      <c r="J288" s="60"/>
      <c r="K288" s="60"/>
      <c r="L288" s="60"/>
      <c r="M288" s="60"/>
      <c r="N288" s="60"/>
      <c r="O288" s="60"/>
      <c r="P288" s="60"/>
      <c r="Q288" s="60"/>
      <c r="R288" s="60"/>
      <c r="S288" s="60"/>
      <c r="T288" s="60"/>
      <c r="U288" s="60"/>
      <c r="V288" s="60"/>
      <c r="W288" s="60"/>
      <c r="X288" s="60"/>
      <c r="Y288" s="60"/>
      <c r="Z288" s="60"/>
      <c r="AA288" s="60"/>
      <c r="AB288" s="60"/>
      <c r="AC288" s="60"/>
      <c r="AD288" s="60"/>
    </row>
    <row r="289" ht="40.15" customHeight="1">
      <c r="A289" s="60"/>
      <c r="C289" s="59"/>
      <c r="D289" s="58"/>
      <c r="E289" s="59"/>
      <c r="F289" s="59"/>
      <c r="G289" s="59"/>
      <c r="H289" s="60"/>
      <c r="I289" s="60"/>
      <c r="J289" s="60"/>
      <c r="K289" s="60"/>
      <c r="L289" s="60"/>
      <c r="M289" s="60"/>
      <c r="N289" s="60"/>
      <c r="O289" s="60"/>
      <c r="P289" s="60"/>
      <c r="Q289" s="60"/>
      <c r="R289" s="60"/>
      <c r="S289" s="60"/>
      <c r="T289" s="60"/>
      <c r="U289" s="60"/>
      <c r="V289" s="60"/>
      <c r="W289" s="60"/>
      <c r="X289" s="60"/>
      <c r="Y289" s="60"/>
      <c r="Z289" s="60"/>
      <c r="AA289" s="60"/>
      <c r="AB289" s="60"/>
      <c r="AC289" s="60"/>
      <c r="AD289" s="60"/>
    </row>
    <row r="290" ht="40.15" customHeight="1">
      <c r="A290" s="60"/>
      <c r="C290" s="59"/>
      <c r="D290" s="58"/>
      <c r="E290" s="59"/>
      <c r="F290" s="59"/>
      <c r="G290" s="59"/>
      <c r="H290" s="60"/>
      <c r="I290" s="60"/>
      <c r="J290" s="60"/>
      <c r="K290" s="60"/>
      <c r="L290" s="60"/>
      <c r="M290" s="60"/>
      <c r="N290" s="60"/>
      <c r="O290" s="60"/>
      <c r="P290" s="60"/>
      <c r="Q290" s="60"/>
      <c r="R290" s="60"/>
      <c r="S290" s="60"/>
      <c r="T290" s="60"/>
      <c r="U290" s="60"/>
      <c r="V290" s="60"/>
      <c r="W290" s="60"/>
      <c r="X290" s="60"/>
      <c r="Y290" s="60"/>
      <c r="Z290" s="60"/>
      <c r="AA290" s="60"/>
      <c r="AB290" s="60"/>
      <c r="AC290" s="60"/>
      <c r="AD290" s="60"/>
    </row>
    <row r="291" ht="40.15" customHeight="1">
      <c r="A291" s="60"/>
      <c r="C291" s="59"/>
      <c r="D291" s="58"/>
      <c r="E291" s="59"/>
      <c r="F291" s="59"/>
      <c r="G291" s="59"/>
      <c r="H291" s="60"/>
      <c r="I291" s="60"/>
      <c r="J291" s="60"/>
      <c r="K291" s="60"/>
      <c r="L291" s="60"/>
      <c r="M291" s="60"/>
      <c r="N291" s="60"/>
      <c r="O291" s="60"/>
      <c r="P291" s="60"/>
      <c r="Q291" s="60"/>
      <c r="R291" s="60"/>
      <c r="S291" s="60"/>
      <c r="T291" s="60"/>
      <c r="U291" s="60"/>
      <c r="V291" s="60"/>
      <c r="W291" s="60"/>
      <c r="X291" s="60"/>
      <c r="Y291" s="60"/>
      <c r="Z291" s="60"/>
      <c r="AA291" s="60"/>
      <c r="AB291" s="60"/>
      <c r="AC291" s="60"/>
      <c r="AD291" s="60"/>
    </row>
    <row r="292" ht="40.15" customHeight="1">
      <c r="A292" s="60"/>
      <c r="C292" s="59"/>
      <c r="D292" s="58"/>
      <c r="E292" s="59"/>
      <c r="F292" s="59"/>
      <c r="G292" s="59"/>
      <c r="H292" s="60"/>
      <c r="I292" s="60"/>
      <c r="J292" s="60"/>
      <c r="K292" s="60"/>
      <c r="L292" s="60"/>
      <c r="M292" s="60"/>
      <c r="N292" s="60"/>
      <c r="O292" s="60"/>
      <c r="P292" s="60"/>
      <c r="Q292" s="60"/>
      <c r="R292" s="60"/>
      <c r="S292" s="60"/>
      <c r="T292" s="60"/>
      <c r="U292" s="60"/>
      <c r="V292" s="60"/>
      <c r="W292" s="60"/>
      <c r="X292" s="60"/>
      <c r="Y292" s="60"/>
      <c r="Z292" s="60"/>
      <c r="AA292" s="60"/>
      <c r="AB292" s="60"/>
      <c r="AC292" s="60"/>
      <c r="AD292" s="60"/>
    </row>
    <row r="293" ht="40.15" customHeight="1">
      <c r="A293" s="60"/>
      <c r="C293" s="59"/>
      <c r="D293" s="58"/>
      <c r="E293" s="59"/>
      <c r="F293" s="59"/>
      <c r="G293" s="59"/>
      <c r="H293" s="60"/>
      <c r="I293" s="60"/>
      <c r="J293" s="60"/>
      <c r="K293" s="60"/>
      <c r="L293" s="60"/>
      <c r="M293" s="60"/>
      <c r="N293" s="60"/>
      <c r="O293" s="60"/>
      <c r="P293" s="60"/>
      <c r="Q293" s="60"/>
      <c r="R293" s="60"/>
      <c r="S293" s="60"/>
      <c r="T293" s="60"/>
      <c r="U293" s="60"/>
      <c r="V293" s="60"/>
      <c r="W293" s="60"/>
      <c r="X293" s="60"/>
      <c r="Y293" s="60"/>
      <c r="Z293" s="60"/>
      <c r="AA293" s="60"/>
      <c r="AB293" s="60"/>
      <c r="AC293" s="60"/>
      <c r="AD293" s="60"/>
    </row>
    <row r="294" ht="40.15" customHeight="1">
      <c r="A294" s="60"/>
      <c r="C294" s="59"/>
      <c r="D294" s="58"/>
      <c r="E294" s="59"/>
      <c r="F294" s="59"/>
      <c r="G294" s="59"/>
      <c r="H294" s="60"/>
      <c r="I294" s="60"/>
      <c r="J294" s="60"/>
      <c r="K294" s="60"/>
      <c r="L294" s="60"/>
      <c r="M294" s="60"/>
      <c r="N294" s="60"/>
      <c r="O294" s="60"/>
      <c r="P294" s="60"/>
      <c r="Q294" s="60"/>
      <c r="R294" s="60"/>
      <c r="S294" s="60"/>
      <c r="T294" s="60"/>
      <c r="U294" s="60"/>
      <c r="V294" s="60"/>
      <c r="W294" s="60"/>
      <c r="X294" s="60"/>
      <c r="Y294" s="60"/>
      <c r="Z294" s="60"/>
      <c r="AA294" s="60"/>
      <c r="AB294" s="60"/>
      <c r="AC294" s="60"/>
      <c r="AD294" s="60"/>
    </row>
    <row r="295" ht="40.15" customHeight="1">
      <c r="A295" s="60"/>
      <c r="C295" s="59"/>
      <c r="D295" s="58"/>
      <c r="E295" s="59"/>
      <c r="F295" s="59"/>
      <c r="G295" s="59"/>
      <c r="H295" s="60"/>
      <c r="I295" s="60"/>
      <c r="J295" s="60"/>
      <c r="K295" s="60"/>
      <c r="L295" s="60"/>
      <c r="M295" s="60"/>
      <c r="N295" s="60"/>
      <c r="O295" s="60"/>
      <c r="P295" s="60"/>
      <c r="Q295" s="60"/>
      <c r="R295" s="60"/>
      <c r="S295" s="60"/>
      <c r="T295" s="60"/>
      <c r="U295" s="60"/>
      <c r="V295" s="60"/>
      <c r="W295" s="60"/>
      <c r="X295" s="60"/>
      <c r="Y295" s="60"/>
      <c r="Z295" s="60"/>
      <c r="AA295" s="60"/>
      <c r="AB295" s="60"/>
      <c r="AC295" s="60"/>
      <c r="AD295" s="60"/>
    </row>
    <row r="296" ht="40.15" customHeight="1">
      <c r="A296" s="60"/>
      <c r="C296" s="59"/>
      <c r="D296" s="58"/>
      <c r="E296" s="59"/>
      <c r="F296" s="59"/>
      <c r="G296" s="59"/>
      <c r="H296" s="60"/>
      <c r="I296" s="60"/>
      <c r="J296" s="60"/>
      <c r="K296" s="60"/>
      <c r="L296" s="60"/>
      <c r="M296" s="60"/>
      <c r="N296" s="60"/>
      <c r="O296" s="60"/>
      <c r="P296" s="60"/>
      <c r="Q296" s="60"/>
      <c r="R296" s="60"/>
      <c r="S296" s="60"/>
      <c r="T296" s="60"/>
      <c r="U296" s="60"/>
      <c r="V296" s="60"/>
      <c r="W296" s="60"/>
      <c r="X296" s="60"/>
      <c r="Y296" s="60"/>
      <c r="Z296" s="60"/>
      <c r="AA296" s="60"/>
      <c r="AB296" s="60"/>
      <c r="AC296" s="60"/>
      <c r="AD296" s="60"/>
    </row>
    <row r="297" ht="40.15" customHeight="1">
      <c r="A297" s="60"/>
      <c r="C297" s="59"/>
      <c r="D297" s="58"/>
      <c r="E297" s="59"/>
      <c r="F297" s="59"/>
      <c r="G297" s="59"/>
      <c r="H297" s="60"/>
      <c r="I297" s="60"/>
      <c r="J297" s="60"/>
      <c r="K297" s="60"/>
      <c r="L297" s="60"/>
      <c r="M297" s="60"/>
      <c r="N297" s="60"/>
      <c r="O297" s="60"/>
      <c r="P297" s="60"/>
      <c r="Q297" s="60"/>
      <c r="R297" s="60"/>
      <c r="S297" s="60"/>
      <c r="T297" s="60"/>
      <c r="U297" s="60"/>
      <c r="V297" s="60"/>
      <c r="W297" s="60"/>
      <c r="X297" s="60"/>
      <c r="Y297" s="60"/>
      <c r="Z297" s="60"/>
      <c r="AA297" s="60"/>
      <c r="AB297" s="60"/>
      <c r="AC297" s="60"/>
      <c r="AD297" s="60"/>
    </row>
    <row r="298" ht="40.15" customHeight="1">
      <c r="A298" s="60"/>
      <c r="C298" s="59"/>
      <c r="D298" s="58"/>
      <c r="E298" s="59"/>
      <c r="F298" s="59"/>
      <c r="G298" s="59"/>
      <c r="H298" s="60"/>
      <c r="I298" s="60"/>
      <c r="J298" s="60"/>
      <c r="K298" s="60"/>
      <c r="L298" s="60"/>
      <c r="M298" s="60"/>
      <c r="N298" s="60"/>
      <c r="O298" s="60"/>
      <c r="P298" s="60"/>
      <c r="Q298" s="60"/>
      <c r="R298" s="60"/>
      <c r="S298" s="60"/>
      <c r="T298" s="60"/>
      <c r="U298" s="60"/>
      <c r="V298" s="60"/>
      <c r="W298" s="60"/>
      <c r="X298" s="60"/>
      <c r="Y298" s="60"/>
      <c r="Z298" s="60"/>
      <c r="AA298" s="60"/>
      <c r="AB298" s="60"/>
      <c r="AC298" s="60"/>
      <c r="AD298" s="60"/>
    </row>
    <row r="299" ht="40.15" customHeight="1">
      <c r="A299" s="60"/>
      <c r="C299" s="59"/>
      <c r="D299" s="58"/>
      <c r="E299" s="59"/>
      <c r="F299" s="59"/>
      <c r="G299" s="59"/>
      <c r="H299" s="60"/>
      <c r="I299" s="60"/>
      <c r="J299" s="60"/>
      <c r="K299" s="60"/>
      <c r="L299" s="60"/>
      <c r="M299" s="60"/>
      <c r="N299" s="60"/>
      <c r="O299" s="60"/>
      <c r="P299" s="60"/>
      <c r="Q299" s="60"/>
      <c r="R299" s="60"/>
      <c r="S299" s="60"/>
      <c r="T299" s="60"/>
      <c r="U299" s="60"/>
      <c r="V299" s="60"/>
      <c r="W299" s="60"/>
      <c r="X299" s="60"/>
      <c r="Y299" s="60"/>
      <c r="Z299" s="60"/>
      <c r="AA299" s="60"/>
      <c r="AB299" s="60"/>
      <c r="AC299" s="60"/>
      <c r="AD299" s="60"/>
    </row>
    <row r="300" ht="40.15" customHeight="1">
      <c r="A300" s="60"/>
      <c r="C300" s="59"/>
      <c r="D300" s="58"/>
      <c r="E300" s="59"/>
      <c r="F300" s="59"/>
      <c r="G300" s="59"/>
      <c r="H300" s="60"/>
      <c r="I300" s="60"/>
      <c r="J300" s="60"/>
      <c r="K300" s="60"/>
      <c r="L300" s="60"/>
      <c r="M300" s="60"/>
      <c r="N300" s="60"/>
      <c r="O300" s="60"/>
      <c r="P300" s="60"/>
      <c r="Q300" s="60"/>
      <c r="R300" s="60"/>
      <c r="S300" s="60"/>
      <c r="T300" s="60"/>
      <c r="U300" s="60"/>
      <c r="V300" s="60"/>
      <c r="W300" s="60"/>
      <c r="X300" s="60"/>
      <c r="Y300" s="60"/>
      <c r="Z300" s="60"/>
      <c r="AA300" s="60"/>
      <c r="AB300" s="60"/>
      <c r="AC300" s="60"/>
      <c r="AD300" s="60"/>
    </row>
    <row r="301" ht="40.15" customHeight="1">
      <c r="A301" s="60"/>
      <c r="C301" s="59"/>
      <c r="D301" s="58"/>
      <c r="E301" s="59"/>
      <c r="F301" s="59"/>
      <c r="G301" s="59"/>
      <c r="H301" s="60"/>
      <c r="I301" s="60"/>
      <c r="J301" s="60"/>
      <c r="K301" s="60"/>
      <c r="L301" s="60"/>
      <c r="M301" s="60"/>
      <c r="N301" s="60"/>
      <c r="O301" s="60"/>
      <c r="P301" s="60"/>
      <c r="Q301" s="60"/>
      <c r="R301" s="60"/>
      <c r="S301" s="60"/>
      <c r="T301" s="60"/>
      <c r="U301" s="60"/>
      <c r="V301" s="60"/>
      <c r="W301" s="60"/>
      <c r="X301" s="60"/>
      <c r="Y301" s="60"/>
      <c r="Z301" s="60"/>
      <c r="AA301" s="60"/>
      <c r="AB301" s="60"/>
      <c r="AC301" s="60"/>
      <c r="AD301" s="60"/>
    </row>
    <row r="302" ht="40.15" customHeight="1">
      <c r="A302" s="60"/>
      <c r="C302" s="59"/>
      <c r="D302" s="58"/>
      <c r="E302" s="59"/>
      <c r="F302" s="59"/>
      <c r="G302" s="59"/>
      <c r="H302" s="60"/>
      <c r="I302" s="60"/>
      <c r="J302" s="60"/>
      <c r="K302" s="60"/>
      <c r="L302" s="60"/>
      <c r="M302" s="60"/>
      <c r="N302" s="60"/>
      <c r="O302" s="60"/>
      <c r="P302" s="60"/>
      <c r="Q302" s="60"/>
      <c r="R302" s="60"/>
      <c r="S302" s="60"/>
      <c r="T302" s="60"/>
      <c r="U302" s="60"/>
      <c r="V302" s="60"/>
      <c r="W302" s="60"/>
      <c r="X302" s="60"/>
      <c r="Y302" s="60"/>
      <c r="Z302" s="60"/>
      <c r="AA302" s="60"/>
      <c r="AB302" s="60"/>
      <c r="AC302" s="60"/>
      <c r="AD302" s="60"/>
    </row>
    <row r="303" ht="40.15" customHeight="1">
      <c r="A303" s="60"/>
      <c r="C303" s="59"/>
      <c r="D303" s="58"/>
      <c r="E303" s="59"/>
      <c r="F303" s="59"/>
      <c r="G303" s="59"/>
      <c r="H303" s="60"/>
      <c r="I303" s="60"/>
      <c r="J303" s="60"/>
      <c r="K303" s="60"/>
      <c r="L303" s="60"/>
      <c r="M303" s="60"/>
      <c r="N303" s="60"/>
      <c r="O303" s="60"/>
      <c r="P303" s="60"/>
      <c r="Q303" s="60"/>
      <c r="R303" s="60"/>
      <c r="S303" s="60"/>
      <c r="T303" s="60"/>
      <c r="U303" s="60"/>
      <c r="V303" s="60"/>
      <c r="W303" s="60"/>
      <c r="X303" s="60"/>
      <c r="Y303" s="60"/>
      <c r="Z303" s="60"/>
      <c r="AA303" s="60"/>
      <c r="AB303" s="60"/>
      <c r="AC303" s="60"/>
      <c r="AD303" s="60"/>
    </row>
    <row r="304" ht="40.15" customHeight="1">
      <c r="A304" s="60"/>
      <c r="C304" s="59"/>
      <c r="D304" s="58"/>
      <c r="E304" s="59"/>
      <c r="F304" s="59"/>
      <c r="G304" s="59"/>
      <c r="H304" s="60"/>
      <c r="I304" s="60"/>
      <c r="J304" s="60"/>
      <c r="K304" s="60"/>
      <c r="L304" s="60"/>
      <c r="M304" s="60"/>
      <c r="N304" s="60"/>
      <c r="O304" s="60"/>
      <c r="P304" s="60"/>
      <c r="Q304" s="60"/>
      <c r="R304" s="60"/>
      <c r="S304" s="60"/>
      <c r="T304" s="60"/>
      <c r="U304" s="60"/>
      <c r="V304" s="60"/>
      <c r="W304" s="60"/>
      <c r="X304" s="60"/>
      <c r="Y304" s="60"/>
      <c r="Z304" s="60"/>
      <c r="AA304" s="60"/>
      <c r="AB304" s="60"/>
      <c r="AC304" s="60"/>
      <c r="AD304" s="60"/>
    </row>
    <row r="305" ht="40.15" customHeight="1">
      <c r="A305" s="60"/>
      <c r="C305" s="59"/>
      <c r="D305" s="58"/>
      <c r="E305" s="59"/>
      <c r="F305" s="59"/>
      <c r="G305" s="59"/>
      <c r="H305" s="60"/>
      <c r="I305" s="60"/>
      <c r="J305" s="60"/>
      <c r="K305" s="60"/>
      <c r="L305" s="60"/>
      <c r="M305" s="60"/>
      <c r="N305" s="60"/>
      <c r="O305" s="60"/>
      <c r="P305" s="60"/>
      <c r="Q305" s="60"/>
      <c r="R305" s="60"/>
      <c r="S305" s="60"/>
      <c r="T305" s="60"/>
      <c r="U305" s="60"/>
      <c r="V305" s="60"/>
      <c r="W305" s="60"/>
      <c r="X305" s="60"/>
      <c r="Y305" s="60"/>
      <c r="Z305" s="60"/>
      <c r="AA305" s="60"/>
      <c r="AB305" s="60"/>
      <c r="AC305" s="60"/>
      <c r="AD305" s="60"/>
    </row>
    <row r="306" ht="40.15" customHeight="1">
      <c r="A306" s="60"/>
      <c r="C306" s="59"/>
      <c r="D306" s="58"/>
      <c r="E306" s="59"/>
      <c r="F306" s="59"/>
      <c r="G306" s="59"/>
      <c r="H306" s="60"/>
      <c r="I306" s="60"/>
      <c r="J306" s="60"/>
      <c r="K306" s="60"/>
      <c r="L306" s="60"/>
      <c r="M306" s="60"/>
      <c r="N306" s="60"/>
      <c r="O306" s="60"/>
      <c r="P306" s="60"/>
      <c r="Q306" s="60"/>
      <c r="R306" s="60"/>
      <c r="S306" s="60"/>
      <c r="T306" s="60"/>
      <c r="U306" s="60"/>
      <c r="V306" s="60"/>
      <c r="W306" s="60"/>
      <c r="X306" s="60"/>
      <c r="Y306" s="60"/>
      <c r="Z306" s="60"/>
      <c r="AA306" s="60"/>
      <c r="AB306" s="60"/>
      <c r="AC306" s="60"/>
      <c r="AD306" s="60"/>
    </row>
    <row r="307" ht="40.15" customHeight="1">
      <c r="A307" s="60"/>
      <c r="C307" s="59"/>
      <c r="D307" s="58"/>
      <c r="E307" s="59"/>
      <c r="F307" s="59"/>
      <c r="G307" s="59"/>
      <c r="H307" s="60"/>
      <c r="I307" s="60"/>
      <c r="J307" s="60"/>
      <c r="K307" s="60"/>
      <c r="L307" s="60"/>
      <c r="M307" s="60"/>
      <c r="N307" s="60"/>
      <c r="O307" s="60"/>
      <c r="P307" s="60"/>
      <c r="Q307" s="60"/>
      <c r="R307" s="60"/>
      <c r="S307" s="60"/>
      <c r="T307" s="60"/>
      <c r="U307" s="60"/>
      <c r="V307" s="60"/>
      <c r="W307" s="60"/>
      <c r="X307" s="60"/>
      <c r="Y307" s="60"/>
      <c r="Z307" s="60"/>
      <c r="AA307" s="60"/>
      <c r="AB307" s="60"/>
      <c r="AC307" s="60"/>
      <c r="AD307" s="60"/>
    </row>
    <row r="308" ht="40.15" customHeight="1">
      <c r="A308" s="60"/>
      <c r="C308" s="59"/>
      <c r="D308" s="58"/>
      <c r="E308" s="59"/>
      <c r="F308" s="59"/>
      <c r="G308" s="59"/>
      <c r="H308" s="60"/>
      <c r="I308" s="60"/>
      <c r="J308" s="60"/>
      <c r="K308" s="60"/>
      <c r="L308" s="60"/>
      <c r="M308" s="60"/>
      <c r="N308" s="60"/>
      <c r="O308" s="60"/>
      <c r="P308" s="60"/>
      <c r="Q308" s="60"/>
      <c r="R308" s="60"/>
      <c r="S308" s="60"/>
      <c r="T308" s="60"/>
      <c r="U308" s="60"/>
      <c r="V308" s="60"/>
      <c r="W308" s="60"/>
      <c r="X308" s="60"/>
      <c r="Y308" s="60"/>
      <c r="Z308" s="60"/>
      <c r="AA308" s="60"/>
      <c r="AB308" s="60"/>
      <c r="AC308" s="60"/>
      <c r="AD308" s="60"/>
    </row>
    <row r="309" ht="40.15" customHeight="1">
      <c r="A309" s="60"/>
      <c r="C309" s="59"/>
      <c r="D309" s="58"/>
      <c r="E309" s="59"/>
      <c r="F309" s="59"/>
      <c r="G309" s="59"/>
      <c r="H309" s="60"/>
      <c r="I309" s="60"/>
      <c r="J309" s="60"/>
      <c r="K309" s="60"/>
      <c r="L309" s="60"/>
      <c r="M309" s="60"/>
      <c r="N309" s="60"/>
      <c r="O309" s="60"/>
      <c r="P309" s="60"/>
      <c r="Q309" s="60"/>
      <c r="R309" s="60"/>
      <c r="S309" s="60"/>
      <c r="T309" s="60"/>
      <c r="U309" s="60"/>
      <c r="V309" s="60"/>
      <c r="W309" s="60"/>
      <c r="X309" s="60"/>
      <c r="Y309" s="60"/>
      <c r="Z309" s="60"/>
      <c r="AA309" s="60"/>
      <c r="AB309" s="60"/>
      <c r="AC309" s="60"/>
      <c r="AD309" s="60"/>
    </row>
    <row r="310" ht="40.15" customHeight="1">
      <c r="A310" s="60"/>
      <c r="C310" s="59"/>
      <c r="D310" s="58"/>
      <c r="E310" s="59"/>
      <c r="F310" s="59"/>
      <c r="G310" s="59"/>
      <c r="H310" s="60"/>
      <c r="I310" s="60"/>
      <c r="J310" s="60"/>
      <c r="K310" s="60"/>
      <c r="L310" s="60"/>
      <c r="M310" s="60"/>
      <c r="N310" s="60"/>
      <c r="O310" s="60"/>
      <c r="P310" s="60"/>
      <c r="Q310" s="60"/>
      <c r="R310" s="60"/>
      <c r="S310" s="60"/>
      <c r="T310" s="60"/>
      <c r="U310" s="60"/>
      <c r="V310" s="60"/>
      <c r="W310" s="60"/>
      <c r="X310" s="60"/>
      <c r="Y310" s="60"/>
      <c r="Z310" s="60"/>
      <c r="AA310" s="60"/>
      <c r="AB310" s="60"/>
      <c r="AC310" s="60"/>
      <c r="AD310" s="60"/>
    </row>
    <row r="311" ht="40.15" customHeight="1">
      <c r="A311" s="60"/>
      <c r="C311" s="59"/>
      <c r="D311" s="58"/>
      <c r="E311" s="59"/>
      <c r="F311" s="59"/>
      <c r="G311" s="59"/>
      <c r="H311" s="60"/>
      <c r="I311" s="60"/>
      <c r="J311" s="60"/>
      <c r="K311" s="60"/>
      <c r="L311" s="60"/>
      <c r="M311" s="60"/>
      <c r="N311" s="60"/>
      <c r="O311" s="60"/>
      <c r="P311" s="60"/>
      <c r="Q311" s="60"/>
      <c r="R311" s="60"/>
      <c r="S311" s="60"/>
      <c r="T311" s="60"/>
      <c r="U311" s="60"/>
      <c r="V311" s="60"/>
      <c r="W311" s="60"/>
      <c r="X311" s="60"/>
      <c r="Y311" s="60"/>
      <c r="Z311" s="60"/>
      <c r="AA311" s="60"/>
      <c r="AB311" s="60"/>
      <c r="AC311" s="60"/>
      <c r="AD311" s="60"/>
    </row>
    <row r="312" ht="40.15" customHeight="1">
      <c r="A312" s="60"/>
      <c r="C312" s="59"/>
      <c r="D312" s="58"/>
      <c r="E312" s="59"/>
      <c r="F312" s="59"/>
      <c r="G312" s="59"/>
      <c r="H312" s="60"/>
      <c r="I312" s="60"/>
      <c r="J312" s="60"/>
      <c r="K312" s="60"/>
      <c r="L312" s="60"/>
      <c r="M312" s="60"/>
      <c r="N312" s="60"/>
      <c r="O312" s="60"/>
      <c r="P312" s="60"/>
      <c r="Q312" s="60"/>
      <c r="R312" s="60"/>
      <c r="S312" s="60"/>
      <c r="T312" s="60"/>
      <c r="U312" s="60"/>
      <c r="V312" s="60"/>
      <c r="W312" s="60"/>
      <c r="X312" s="60"/>
      <c r="Y312" s="60"/>
      <c r="Z312" s="60"/>
      <c r="AA312" s="60"/>
      <c r="AB312" s="60"/>
      <c r="AC312" s="60"/>
      <c r="AD312" s="60"/>
    </row>
    <row r="313" ht="40.15" customHeight="1">
      <c r="A313" s="60"/>
      <c r="C313" s="59"/>
      <c r="D313" s="58"/>
      <c r="E313" s="59"/>
      <c r="F313" s="59"/>
      <c r="G313" s="59"/>
      <c r="H313" s="60"/>
      <c r="I313" s="60"/>
      <c r="J313" s="60"/>
      <c r="K313" s="60"/>
      <c r="L313" s="60"/>
      <c r="M313" s="60"/>
      <c r="N313" s="60"/>
      <c r="O313" s="60"/>
      <c r="P313" s="60"/>
      <c r="Q313" s="60"/>
      <c r="R313" s="60"/>
      <c r="S313" s="60"/>
      <c r="T313" s="60"/>
      <c r="U313" s="60"/>
      <c r="V313" s="60"/>
      <c r="W313" s="60"/>
      <c r="X313" s="60"/>
      <c r="Y313" s="60"/>
      <c r="Z313" s="60"/>
      <c r="AA313" s="60"/>
      <c r="AB313" s="60"/>
      <c r="AC313" s="60"/>
      <c r="AD313" s="60"/>
    </row>
    <row r="314" ht="40.15" customHeight="1">
      <c r="A314" s="60"/>
      <c r="C314" s="59"/>
      <c r="D314" s="58"/>
      <c r="E314" s="59"/>
      <c r="F314" s="59"/>
      <c r="G314" s="59"/>
      <c r="H314" s="60"/>
      <c r="I314" s="60"/>
      <c r="J314" s="60"/>
      <c r="K314" s="60"/>
      <c r="L314" s="60"/>
      <c r="M314" s="60"/>
      <c r="N314" s="60"/>
      <c r="O314" s="60"/>
      <c r="P314" s="60"/>
      <c r="Q314" s="60"/>
      <c r="R314" s="60"/>
      <c r="S314" s="60"/>
      <c r="T314" s="60"/>
      <c r="U314" s="60"/>
      <c r="V314" s="60"/>
      <c r="W314" s="60"/>
      <c r="X314" s="60"/>
      <c r="Y314" s="60"/>
      <c r="Z314" s="60"/>
      <c r="AA314" s="60"/>
      <c r="AB314" s="60"/>
      <c r="AC314" s="60"/>
      <c r="AD314" s="60"/>
    </row>
    <row r="315" ht="40.15" customHeight="1">
      <c r="A315" s="60"/>
      <c r="C315" s="59"/>
      <c r="D315" s="58"/>
      <c r="E315" s="59"/>
      <c r="F315" s="59"/>
      <c r="G315" s="59"/>
      <c r="H315" s="60"/>
      <c r="I315" s="60"/>
      <c r="J315" s="60"/>
      <c r="K315" s="60"/>
      <c r="L315" s="60"/>
      <c r="M315" s="60"/>
      <c r="N315" s="60"/>
      <c r="O315" s="60"/>
      <c r="P315" s="60"/>
      <c r="Q315" s="60"/>
      <c r="R315" s="60"/>
      <c r="S315" s="60"/>
      <c r="T315" s="60"/>
      <c r="U315" s="60"/>
      <c r="V315" s="60"/>
      <c r="W315" s="60"/>
      <c r="X315" s="60"/>
      <c r="Y315" s="60"/>
      <c r="Z315" s="60"/>
      <c r="AA315" s="60"/>
      <c r="AB315" s="60"/>
      <c r="AC315" s="60"/>
      <c r="AD315" s="60"/>
    </row>
    <row r="316" ht="40.15" customHeight="1">
      <c r="A316" s="60"/>
      <c r="C316" s="59"/>
      <c r="D316" s="58"/>
      <c r="E316" s="59"/>
      <c r="F316" s="59"/>
      <c r="G316" s="59"/>
      <c r="H316" s="60"/>
      <c r="I316" s="60"/>
      <c r="J316" s="60"/>
      <c r="K316" s="60"/>
      <c r="L316" s="60"/>
      <c r="M316" s="60"/>
      <c r="N316" s="60"/>
      <c r="O316" s="60"/>
      <c r="P316" s="60"/>
      <c r="Q316" s="60"/>
      <c r="R316" s="60"/>
      <c r="S316" s="60"/>
      <c r="T316" s="60"/>
      <c r="U316" s="60"/>
      <c r="V316" s="60"/>
      <c r="W316" s="60"/>
      <c r="X316" s="60"/>
      <c r="Y316" s="60"/>
      <c r="Z316" s="60"/>
      <c r="AA316" s="60"/>
      <c r="AB316" s="60"/>
      <c r="AC316" s="60"/>
      <c r="AD316" s="60"/>
    </row>
    <row r="317" ht="40.15" customHeight="1">
      <c r="A317" s="60"/>
      <c r="C317" s="59"/>
      <c r="D317" s="58"/>
      <c r="E317" s="59"/>
      <c r="F317" s="59"/>
      <c r="G317" s="59"/>
      <c r="H317" s="60"/>
      <c r="I317" s="60"/>
      <c r="J317" s="60"/>
      <c r="K317" s="60"/>
      <c r="L317" s="60"/>
      <c r="M317" s="60"/>
      <c r="N317" s="60"/>
      <c r="O317" s="60"/>
      <c r="P317" s="60"/>
      <c r="Q317" s="60"/>
      <c r="R317" s="60"/>
      <c r="S317" s="60"/>
      <c r="T317" s="60"/>
      <c r="U317" s="60"/>
      <c r="V317" s="60"/>
      <c r="W317" s="60"/>
      <c r="X317" s="60"/>
      <c r="Y317" s="60"/>
      <c r="Z317" s="60"/>
      <c r="AA317" s="60"/>
      <c r="AB317" s="60"/>
      <c r="AC317" s="60"/>
      <c r="AD317" s="60"/>
    </row>
    <row r="318" ht="40.15" customHeight="1">
      <c r="A318" s="60"/>
      <c r="C318" s="59"/>
      <c r="D318" s="58"/>
      <c r="E318" s="59"/>
      <c r="F318" s="59"/>
      <c r="G318" s="59"/>
      <c r="H318" s="60"/>
      <c r="I318" s="60"/>
      <c r="J318" s="60"/>
      <c r="K318" s="60"/>
      <c r="L318" s="60"/>
      <c r="M318" s="60"/>
      <c r="N318" s="60"/>
      <c r="O318" s="60"/>
      <c r="P318" s="60"/>
      <c r="Q318" s="60"/>
      <c r="R318" s="60"/>
      <c r="S318" s="60"/>
      <c r="T318" s="60"/>
      <c r="U318" s="60"/>
      <c r="V318" s="60"/>
      <c r="W318" s="60"/>
      <c r="X318" s="60"/>
      <c r="Y318" s="60"/>
      <c r="Z318" s="60"/>
      <c r="AA318" s="60"/>
      <c r="AB318" s="60"/>
      <c r="AC318" s="60"/>
      <c r="AD318" s="60"/>
    </row>
    <row r="319" ht="40.15" customHeight="1">
      <c r="A319" s="60"/>
      <c r="C319" s="59"/>
      <c r="D319" s="58"/>
      <c r="E319" s="59"/>
      <c r="F319" s="59"/>
      <c r="G319" s="59"/>
      <c r="H319" s="60"/>
      <c r="I319" s="60"/>
      <c r="J319" s="60"/>
      <c r="K319" s="60"/>
      <c r="L319" s="60"/>
      <c r="M319" s="60"/>
      <c r="N319" s="60"/>
      <c r="O319" s="60"/>
      <c r="P319" s="60"/>
      <c r="Q319" s="60"/>
      <c r="R319" s="60"/>
      <c r="S319" s="60"/>
      <c r="T319" s="60"/>
      <c r="U319" s="60"/>
      <c r="V319" s="60"/>
      <c r="W319" s="60"/>
      <c r="X319" s="60"/>
      <c r="Y319" s="60"/>
      <c r="Z319" s="60"/>
      <c r="AA319" s="60"/>
      <c r="AB319" s="60"/>
      <c r="AC319" s="60"/>
      <c r="AD319" s="60"/>
    </row>
    <row r="320" ht="40.15" customHeight="1">
      <c r="A320" s="60"/>
      <c r="C320" s="59"/>
      <c r="D320" s="58"/>
      <c r="E320" s="59"/>
      <c r="F320" s="59"/>
      <c r="G320" s="59"/>
      <c r="H320" s="60"/>
      <c r="I320" s="60"/>
      <c r="J320" s="60"/>
      <c r="K320" s="60"/>
      <c r="L320" s="60"/>
      <c r="M320" s="60"/>
      <c r="N320" s="60"/>
      <c r="O320" s="60"/>
      <c r="P320" s="60"/>
      <c r="Q320" s="60"/>
      <c r="R320" s="60"/>
      <c r="S320" s="60"/>
      <c r="T320" s="60"/>
      <c r="U320" s="60"/>
      <c r="V320" s="60"/>
      <c r="W320" s="60"/>
      <c r="X320" s="60"/>
      <c r="Y320" s="60"/>
      <c r="Z320" s="60"/>
      <c r="AA320" s="60"/>
      <c r="AB320" s="60"/>
      <c r="AC320" s="60"/>
      <c r="AD320" s="60"/>
    </row>
    <row r="321" ht="40.15" customHeight="1">
      <c r="A321" s="60"/>
      <c r="C321" s="59"/>
      <c r="D321" s="58"/>
      <c r="E321" s="59"/>
      <c r="F321" s="59"/>
      <c r="G321" s="59"/>
      <c r="H321" s="60"/>
      <c r="I321" s="60"/>
      <c r="J321" s="60"/>
      <c r="K321" s="60"/>
      <c r="L321" s="60"/>
      <c r="M321" s="60"/>
      <c r="N321" s="60"/>
      <c r="O321" s="60"/>
      <c r="P321" s="60"/>
      <c r="Q321" s="60"/>
      <c r="R321" s="60"/>
      <c r="S321" s="60"/>
      <c r="T321" s="60"/>
      <c r="U321" s="60"/>
      <c r="V321" s="60"/>
      <c r="W321" s="60"/>
      <c r="X321" s="60"/>
      <c r="Y321" s="60"/>
      <c r="Z321" s="60"/>
      <c r="AA321" s="60"/>
      <c r="AB321" s="60"/>
      <c r="AC321" s="60"/>
      <c r="AD321" s="60"/>
    </row>
    <row r="322" ht="40.15" customHeight="1">
      <c r="A322" s="60"/>
      <c r="C322" s="59"/>
      <c r="D322" s="58"/>
      <c r="E322" s="59"/>
      <c r="F322" s="59"/>
      <c r="G322" s="59"/>
      <c r="H322" s="60"/>
      <c r="I322" s="60"/>
      <c r="J322" s="60"/>
      <c r="K322" s="60"/>
      <c r="L322" s="60"/>
      <c r="M322" s="60"/>
      <c r="N322" s="60"/>
      <c r="O322" s="60"/>
      <c r="P322" s="60"/>
      <c r="Q322" s="60"/>
      <c r="R322" s="60"/>
      <c r="S322" s="60"/>
      <c r="T322" s="60"/>
      <c r="U322" s="60"/>
      <c r="V322" s="60"/>
      <c r="W322" s="60"/>
      <c r="X322" s="60"/>
      <c r="Y322" s="60"/>
      <c r="Z322" s="60"/>
      <c r="AA322" s="60"/>
      <c r="AB322" s="60"/>
      <c r="AC322" s="60"/>
      <c r="AD322" s="60"/>
    </row>
    <row r="323" ht="40.15" customHeight="1">
      <c r="A323" s="60"/>
      <c r="C323" s="59"/>
      <c r="D323" s="58"/>
      <c r="E323" s="59"/>
      <c r="F323" s="59"/>
      <c r="G323" s="59"/>
      <c r="H323" s="60"/>
      <c r="I323" s="60"/>
      <c r="J323" s="60"/>
      <c r="K323" s="60"/>
      <c r="L323" s="60"/>
      <c r="M323" s="60"/>
      <c r="N323" s="60"/>
      <c r="O323" s="60"/>
      <c r="P323" s="60"/>
      <c r="Q323" s="60"/>
      <c r="R323" s="60"/>
      <c r="S323" s="60"/>
      <c r="T323" s="60"/>
      <c r="U323" s="60"/>
      <c r="V323" s="60"/>
      <c r="W323" s="60"/>
      <c r="X323" s="60"/>
      <c r="Y323" s="60"/>
      <c r="Z323" s="60"/>
      <c r="AA323" s="60"/>
      <c r="AB323" s="60"/>
      <c r="AC323" s="60"/>
      <c r="AD323" s="60"/>
    </row>
    <row r="324" ht="40.15" customHeight="1">
      <c r="A324" s="60"/>
      <c r="C324" s="59"/>
      <c r="D324" s="58"/>
      <c r="E324" s="59"/>
      <c r="F324" s="59"/>
      <c r="G324" s="59"/>
      <c r="H324" s="60"/>
      <c r="I324" s="60"/>
      <c r="J324" s="60"/>
      <c r="K324" s="60"/>
      <c r="L324" s="60"/>
      <c r="M324" s="60"/>
      <c r="N324" s="60"/>
      <c r="O324" s="60"/>
      <c r="P324" s="60"/>
      <c r="Q324" s="60"/>
      <c r="R324" s="60"/>
      <c r="S324" s="60"/>
      <c r="T324" s="60"/>
      <c r="U324" s="60"/>
      <c r="V324" s="60"/>
      <c r="W324" s="60"/>
      <c r="X324" s="60"/>
      <c r="Y324" s="60"/>
      <c r="Z324" s="60"/>
      <c r="AA324" s="60"/>
      <c r="AB324" s="60"/>
      <c r="AC324" s="60"/>
      <c r="AD324" s="60"/>
    </row>
    <row r="325" ht="40.15" customHeight="1">
      <c r="A325" s="60"/>
      <c r="C325" s="59"/>
      <c r="D325" s="58"/>
      <c r="E325" s="59"/>
      <c r="F325" s="59"/>
      <c r="G325" s="59"/>
      <c r="H325" s="60"/>
      <c r="I325" s="60"/>
      <c r="J325" s="60"/>
      <c r="K325" s="60"/>
      <c r="L325" s="60"/>
      <c r="M325" s="60"/>
      <c r="N325" s="60"/>
      <c r="O325" s="60"/>
      <c r="P325" s="60"/>
      <c r="Q325" s="60"/>
      <c r="R325" s="60"/>
      <c r="S325" s="60"/>
      <c r="T325" s="60"/>
      <c r="U325" s="60"/>
      <c r="V325" s="60"/>
      <c r="W325" s="60"/>
      <c r="X325" s="60"/>
      <c r="Y325" s="60"/>
      <c r="Z325" s="60"/>
      <c r="AA325" s="60"/>
      <c r="AB325" s="60"/>
      <c r="AC325" s="60"/>
      <c r="AD325" s="60"/>
    </row>
    <row r="326" ht="40.15" customHeight="1">
      <c r="A326" s="60"/>
      <c r="C326" s="59"/>
      <c r="D326" s="58"/>
      <c r="E326" s="59"/>
      <c r="F326" s="59"/>
      <c r="G326" s="59"/>
      <c r="H326" s="60"/>
      <c r="I326" s="60"/>
      <c r="J326" s="60"/>
      <c r="K326" s="60"/>
      <c r="L326" s="60"/>
      <c r="M326" s="60"/>
      <c r="N326" s="60"/>
      <c r="O326" s="60"/>
      <c r="P326" s="60"/>
      <c r="Q326" s="60"/>
      <c r="R326" s="60"/>
      <c r="S326" s="60"/>
      <c r="T326" s="60"/>
      <c r="U326" s="60"/>
      <c r="V326" s="60"/>
      <c r="W326" s="60"/>
      <c r="X326" s="60"/>
      <c r="Y326" s="60"/>
      <c r="Z326" s="60"/>
      <c r="AA326" s="60"/>
      <c r="AB326" s="60"/>
      <c r="AC326" s="60"/>
      <c r="AD326" s="60"/>
    </row>
    <row r="327" ht="40.15" customHeight="1">
      <c r="A327" s="60"/>
      <c r="C327" s="59"/>
      <c r="D327" s="58"/>
      <c r="E327" s="59"/>
      <c r="F327" s="59"/>
      <c r="G327" s="59"/>
      <c r="H327" s="60"/>
      <c r="I327" s="60"/>
      <c r="J327" s="60"/>
      <c r="K327" s="60"/>
      <c r="L327" s="60"/>
      <c r="M327" s="60"/>
      <c r="N327" s="60"/>
      <c r="O327" s="60"/>
      <c r="P327" s="60"/>
      <c r="Q327" s="60"/>
      <c r="R327" s="60"/>
      <c r="S327" s="60"/>
      <c r="T327" s="60"/>
      <c r="U327" s="60"/>
      <c r="V327" s="60"/>
      <c r="W327" s="60"/>
      <c r="X327" s="60"/>
      <c r="Y327" s="60"/>
      <c r="Z327" s="60"/>
      <c r="AA327" s="60"/>
      <c r="AB327" s="60"/>
      <c r="AC327" s="60"/>
      <c r="AD327" s="60"/>
    </row>
    <row r="328" ht="40.15" customHeight="1">
      <c r="A328" s="60"/>
      <c r="C328" s="59"/>
      <c r="D328" s="58"/>
      <c r="E328" s="59"/>
      <c r="F328" s="59"/>
      <c r="G328" s="59"/>
      <c r="H328" s="60"/>
      <c r="I328" s="60"/>
      <c r="J328" s="60"/>
      <c r="K328" s="60"/>
      <c r="L328" s="60"/>
      <c r="M328" s="60"/>
      <c r="N328" s="60"/>
      <c r="O328" s="60"/>
      <c r="P328" s="60"/>
      <c r="Q328" s="60"/>
      <c r="R328" s="60"/>
      <c r="S328" s="60"/>
      <c r="T328" s="60"/>
      <c r="U328" s="60"/>
      <c r="V328" s="60"/>
      <c r="W328" s="60"/>
      <c r="X328" s="60"/>
      <c r="Y328" s="60"/>
      <c r="Z328" s="60"/>
      <c r="AA328" s="60"/>
      <c r="AB328" s="60"/>
      <c r="AC328" s="60"/>
      <c r="AD328" s="60"/>
    </row>
    <row r="329" ht="40.15" customHeight="1">
      <c r="A329" s="60"/>
      <c r="C329" s="59"/>
      <c r="D329" s="58"/>
      <c r="E329" s="59"/>
      <c r="F329" s="59"/>
      <c r="G329" s="59"/>
      <c r="H329" s="60"/>
      <c r="I329" s="60"/>
      <c r="J329" s="60"/>
      <c r="K329" s="60"/>
      <c r="L329" s="60"/>
      <c r="M329" s="60"/>
      <c r="N329" s="60"/>
      <c r="O329" s="60"/>
      <c r="P329" s="60"/>
      <c r="Q329" s="60"/>
      <c r="R329" s="60"/>
      <c r="S329" s="60"/>
      <c r="T329" s="60"/>
      <c r="U329" s="60"/>
      <c r="V329" s="60"/>
      <c r="W329" s="60"/>
      <c r="X329" s="60"/>
      <c r="Y329" s="60"/>
      <c r="Z329" s="60"/>
      <c r="AA329" s="60"/>
      <c r="AB329" s="60"/>
      <c r="AC329" s="60"/>
      <c r="AD329" s="60"/>
    </row>
    <row r="330" ht="40.15" customHeight="1">
      <c r="A330" s="60"/>
      <c r="C330" s="59"/>
      <c r="D330" s="58"/>
      <c r="E330" s="59"/>
      <c r="F330" s="59"/>
      <c r="G330" s="59"/>
      <c r="H330" s="60"/>
      <c r="I330" s="60"/>
      <c r="J330" s="60"/>
      <c r="K330" s="60"/>
      <c r="L330" s="60"/>
      <c r="M330" s="60"/>
      <c r="N330" s="60"/>
      <c r="O330" s="60"/>
      <c r="P330" s="60"/>
      <c r="Q330" s="60"/>
      <c r="R330" s="60"/>
      <c r="S330" s="60"/>
      <c r="T330" s="60"/>
      <c r="U330" s="60"/>
      <c r="V330" s="60"/>
      <c r="W330" s="60"/>
      <c r="X330" s="60"/>
      <c r="Y330" s="60"/>
      <c r="Z330" s="60"/>
      <c r="AA330" s="60"/>
      <c r="AB330" s="60"/>
      <c r="AC330" s="60"/>
      <c r="AD330" s="60"/>
    </row>
    <row r="331" ht="40.15" customHeight="1">
      <c r="A331" s="60"/>
      <c r="C331" s="59"/>
      <c r="D331" s="58"/>
      <c r="E331" s="59"/>
      <c r="F331" s="59"/>
      <c r="G331" s="59"/>
      <c r="H331" s="60"/>
      <c r="I331" s="60"/>
      <c r="J331" s="60"/>
      <c r="K331" s="60"/>
      <c r="L331" s="60"/>
      <c r="M331" s="60"/>
      <c r="N331" s="60"/>
      <c r="O331" s="60"/>
      <c r="P331" s="60"/>
      <c r="Q331" s="60"/>
      <c r="R331" s="60"/>
      <c r="S331" s="60"/>
      <c r="T331" s="60"/>
      <c r="U331" s="60"/>
      <c r="V331" s="60"/>
      <c r="W331" s="60"/>
      <c r="X331" s="60"/>
      <c r="Y331" s="60"/>
      <c r="Z331" s="60"/>
      <c r="AA331" s="60"/>
      <c r="AB331" s="60"/>
      <c r="AC331" s="60"/>
      <c r="AD331" s="60"/>
    </row>
    <row r="332" ht="40.15" customHeight="1">
      <c r="A332" s="60"/>
      <c r="C332" s="59"/>
      <c r="D332" s="58"/>
      <c r="E332" s="59"/>
      <c r="F332" s="59"/>
      <c r="G332" s="59"/>
      <c r="H332" s="60"/>
      <c r="I332" s="60"/>
      <c r="J332" s="60"/>
      <c r="K332" s="60"/>
      <c r="L332" s="60"/>
      <c r="M332" s="60"/>
      <c r="N332" s="60"/>
      <c r="O332" s="60"/>
      <c r="P332" s="60"/>
      <c r="Q332" s="60"/>
      <c r="R332" s="60"/>
      <c r="S332" s="60"/>
      <c r="T332" s="60"/>
      <c r="U332" s="60"/>
      <c r="V332" s="60"/>
      <c r="W332" s="60"/>
      <c r="X332" s="60"/>
      <c r="Y332" s="60"/>
      <c r="Z332" s="60"/>
      <c r="AA332" s="60"/>
      <c r="AB332" s="60"/>
      <c r="AC332" s="60"/>
      <c r="AD332" s="60"/>
    </row>
    <row r="333" ht="40.15" customHeight="1">
      <c r="A333" s="60"/>
      <c r="C333" s="59"/>
      <c r="D333" s="58"/>
      <c r="E333" s="59"/>
      <c r="F333" s="59"/>
      <c r="G333" s="59"/>
      <c r="H333" s="60"/>
      <c r="I333" s="60"/>
      <c r="J333" s="60"/>
      <c r="K333" s="60"/>
      <c r="L333" s="60"/>
      <c r="M333" s="60"/>
      <c r="N333" s="60"/>
      <c r="O333" s="60"/>
      <c r="P333" s="60"/>
      <c r="Q333" s="60"/>
      <c r="R333" s="60"/>
      <c r="S333" s="60"/>
      <c r="T333" s="60"/>
      <c r="U333" s="60"/>
      <c r="V333" s="60"/>
      <c r="W333" s="60"/>
      <c r="X333" s="60"/>
      <c r="Y333" s="60"/>
      <c r="Z333" s="60"/>
      <c r="AA333" s="60"/>
      <c r="AB333" s="60"/>
      <c r="AC333" s="60"/>
      <c r="AD333" s="60"/>
    </row>
    <row r="334" ht="40.15" customHeight="1">
      <c r="A334" s="60"/>
      <c r="C334" s="59"/>
      <c r="D334" s="58"/>
      <c r="E334" s="59"/>
      <c r="F334" s="59"/>
      <c r="G334" s="59"/>
      <c r="H334" s="60"/>
      <c r="I334" s="60"/>
      <c r="J334" s="60"/>
      <c r="K334" s="60"/>
      <c r="L334" s="60"/>
      <c r="M334" s="60"/>
      <c r="N334" s="60"/>
      <c r="O334" s="60"/>
      <c r="P334" s="60"/>
      <c r="Q334" s="60"/>
      <c r="R334" s="60"/>
      <c r="S334" s="60"/>
      <c r="T334" s="60"/>
      <c r="U334" s="60"/>
      <c r="V334" s="60"/>
      <c r="W334" s="60"/>
      <c r="X334" s="60"/>
      <c r="Y334" s="60"/>
      <c r="Z334" s="60"/>
      <c r="AA334" s="60"/>
      <c r="AB334" s="60"/>
      <c r="AC334" s="60"/>
      <c r="AD334" s="60"/>
    </row>
    <row r="335" ht="40.15" customHeight="1">
      <c r="A335" s="60"/>
      <c r="C335" s="59"/>
      <c r="D335" s="58"/>
      <c r="E335" s="59"/>
      <c r="F335" s="59"/>
      <c r="G335" s="59"/>
      <c r="H335" s="60"/>
      <c r="I335" s="60"/>
      <c r="J335" s="60"/>
      <c r="K335" s="60"/>
      <c r="L335" s="60"/>
      <c r="M335" s="60"/>
      <c r="N335" s="60"/>
      <c r="O335" s="60"/>
      <c r="P335" s="60"/>
      <c r="Q335" s="60"/>
      <c r="R335" s="60"/>
      <c r="S335" s="60"/>
      <c r="T335" s="60"/>
      <c r="U335" s="60"/>
      <c r="V335" s="60"/>
      <c r="W335" s="60"/>
      <c r="X335" s="60"/>
      <c r="Y335" s="60"/>
      <c r="Z335" s="60"/>
      <c r="AA335" s="60"/>
      <c r="AB335" s="60"/>
      <c r="AC335" s="60"/>
      <c r="AD335" s="60"/>
    </row>
    <row r="336" ht="40.15" customHeight="1">
      <c r="A336" s="60"/>
      <c r="C336" s="59"/>
      <c r="D336" s="58"/>
      <c r="E336" s="59"/>
      <c r="F336" s="59"/>
      <c r="G336" s="59"/>
      <c r="H336" s="60"/>
      <c r="I336" s="60"/>
      <c r="J336" s="60"/>
      <c r="K336" s="60"/>
      <c r="L336" s="60"/>
      <c r="M336" s="60"/>
      <c r="N336" s="60"/>
      <c r="O336" s="60"/>
      <c r="P336" s="60"/>
      <c r="Q336" s="60"/>
      <c r="R336" s="60"/>
      <c r="S336" s="60"/>
      <c r="T336" s="60"/>
      <c r="U336" s="60"/>
      <c r="V336" s="60"/>
      <c r="W336" s="60"/>
      <c r="X336" s="60"/>
      <c r="Y336" s="60"/>
      <c r="Z336" s="60"/>
      <c r="AA336" s="60"/>
      <c r="AB336" s="60"/>
      <c r="AC336" s="60"/>
      <c r="AD336" s="60"/>
    </row>
    <row r="337" ht="40.15" customHeight="1">
      <c r="A337" s="60"/>
      <c r="C337" s="59"/>
      <c r="D337" s="58"/>
      <c r="E337" s="59"/>
      <c r="F337" s="59"/>
      <c r="G337" s="59"/>
      <c r="H337" s="60"/>
      <c r="I337" s="60"/>
      <c r="J337" s="60"/>
      <c r="K337" s="60"/>
      <c r="L337" s="60"/>
      <c r="M337" s="60"/>
      <c r="N337" s="60"/>
      <c r="O337" s="60"/>
      <c r="P337" s="60"/>
      <c r="Q337" s="60"/>
      <c r="R337" s="60"/>
      <c r="S337" s="60"/>
      <c r="T337" s="60"/>
      <c r="U337" s="60"/>
      <c r="V337" s="60"/>
      <c r="W337" s="60"/>
      <c r="X337" s="60"/>
      <c r="Y337" s="60"/>
      <c r="Z337" s="60"/>
      <c r="AA337" s="60"/>
      <c r="AB337" s="60"/>
      <c r="AC337" s="60"/>
      <c r="AD337" s="60"/>
    </row>
    <row r="338" ht="40.15" customHeight="1">
      <c r="A338" s="60"/>
      <c r="C338" s="59"/>
      <c r="D338" s="58"/>
      <c r="E338" s="59"/>
      <c r="F338" s="59"/>
      <c r="G338" s="59"/>
      <c r="H338" s="60"/>
      <c r="I338" s="60"/>
      <c r="J338" s="60"/>
      <c r="K338" s="60"/>
      <c r="L338" s="60"/>
      <c r="M338" s="60"/>
      <c r="N338" s="60"/>
      <c r="O338" s="60"/>
      <c r="P338" s="60"/>
      <c r="Q338" s="60"/>
      <c r="R338" s="60"/>
      <c r="S338" s="60"/>
      <c r="T338" s="60"/>
      <c r="U338" s="60"/>
      <c r="V338" s="60"/>
      <c r="W338" s="60"/>
      <c r="X338" s="60"/>
      <c r="Y338" s="60"/>
      <c r="Z338" s="60"/>
      <c r="AA338" s="60"/>
      <c r="AB338" s="60"/>
      <c r="AC338" s="60"/>
      <c r="AD338" s="60"/>
    </row>
    <row r="339" ht="40.15" customHeight="1">
      <c r="A339" s="60"/>
      <c r="C339" s="59"/>
      <c r="D339" s="58"/>
      <c r="E339" s="59"/>
      <c r="F339" s="59"/>
      <c r="G339" s="59"/>
      <c r="H339" s="60"/>
      <c r="I339" s="60"/>
      <c r="J339" s="60"/>
      <c r="K339" s="60"/>
      <c r="L339" s="60"/>
      <c r="M339" s="60"/>
      <c r="N339" s="60"/>
      <c r="O339" s="60"/>
      <c r="P339" s="60"/>
      <c r="Q339" s="60"/>
      <c r="R339" s="60"/>
      <c r="S339" s="60"/>
      <c r="T339" s="60"/>
      <c r="U339" s="60"/>
      <c r="V339" s="60"/>
      <c r="W339" s="60"/>
      <c r="X339" s="60"/>
      <c r="Y339" s="60"/>
      <c r="Z339" s="60"/>
      <c r="AA339" s="60"/>
      <c r="AB339" s="60"/>
      <c r="AC339" s="60"/>
      <c r="AD339" s="60"/>
    </row>
    <row r="340" ht="40.15" customHeight="1">
      <c r="A340" s="60"/>
      <c r="C340" s="59"/>
      <c r="D340" s="58"/>
      <c r="E340" s="59"/>
      <c r="F340" s="59"/>
      <c r="G340" s="59"/>
      <c r="H340" s="60"/>
      <c r="I340" s="60"/>
      <c r="J340" s="60"/>
      <c r="K340" s="60"/>
      <c r="L340" s="60"/>
      <c r="M340" s="60"/>
      <c r="N340" s="60"/>
      <c r="O340" s="60"/>
      <c r="P340" s="60"/>
      <c r="Q340" s="60"/>
      <c r="R340" s="60"/>
      <c r="S340" s="60"/>
      <c r="T340" s="60"/>
      <c r="U340" s="60"/>
      <c r="V340" s="60"/>
      <c r="W340" s="60"/>
      <c r="X340" s="60"/>
      <c r="Y340" s="60"/>
      <c r="Z340" s="60"/>
      <c r="AA340" s="60"/>
      <c r="AB340" s="60"/>
      <c r="AC340" s="60"/>
      <c r="AD340" s="60"/>
    </row>
    <row r="341" ht="40.15" customHeight="1">
      <c r="A341" s="60"/>
      <c r="C341" s="59"/>
      <c r="D341" s="58"/>
      <c r="E341" s="59"/>
      <c r="F341" s="59"/>
      <c r="G341" s="59"/>
      <c r="H341" s="60"/>
      <c r="I341" s="60"/>
      <c r="J341" s="60"/>
      <c r="K341" s="60"/>
      <c r="L341" s="60"/>
      <c r="M341" s="60"/>
      <c r="N341" s="60"/>
      <c r="O341" s="60"/>
      <c r="P341" s="60"/>
      <c r="Q341" s="60"/>
      <c r="R341" s="60"/>
      <c r="S341" s="60"/>
      <c r="T341" s="60"/>
      <c r="U341" s="60"/>
      <c r="V341" s="60"/>
      <c r="W341" s="60"/>
      <c r="X341" s="60"/>
      <c r="Y341" s="60"/>
      <c r="Z341" s="60"/>
      <c r="AA341" s="60"/>
      <c r="AB341" s="60"/>
      <c r="AC341" s="60"/>
      <c r="AD341" s="60"/>
    </row>
    <row r="342" ht="40.15" customHeight="1">
      <c r="A342" s="60"/>
      <c r="C342" s="59"/>
      <c r="D342" s="58"/>
      <c r="E342" s="59"/>
      <c r="F342" s="59"/>
      <c r="G342" s="59"/>
      <c r="H342" s="60"/>
      <c r="I342" s="60"/>
      <c r="J342" s="60"/>
      <c r="K342" s="60"/>
      <c r="L342" s="60"/>
      <c r="M342" s="60"/>
      <c r="N342" s="60"/>
      <c r="O342" s="60"/>
      <c r="P342" s="60"/>
      <c r="Q342" s="60"/>
      <c r="R342" s="60"/>
      <c r="S342" s="60"/>
      <c r="T342" s="60"/>
      <c r="U342" s="60"/>
      <c r="V342" s="60"/>
      <c r="W342" s="60"/>
      <c r="X342" s="60"/>
      <c r="Y342" s="60"/>
      <c r="Z342" s="60"/>
      <c r="AA342" s="60"/>
      <c r="AB342" s="60"/>
      <c r="AC342" s="60"/>
      <c r="AD342" s="60"/>
    </row>
    <row r="343" ht="40.15" customHeight="1">
      <c r="A343" s="60"/>
      <c r="C343" s="59"/>
      <c r="D343" s="58"/>
      <c r="E343" s="59"/>
      <c r="F343" s="59"/>
      <c r="G343" s="59"/>
      <c r="H343" s="60"/>
      <c r="I343" s="60"/>
      <c r="J343" s="60"/>
      <c r="K343" s="60"/>
      <c r="L343" s="60"/>
      <c r="M343" s="60"/>
      <c r="N343" s="60"/>
      <c r="O343" s="60"/>
      <c r="P343" s="60"/>
      <c r="Q343" s="60"/>
      <c r="R343" s="60"/>
      <c r="S343" s="60"/>
      <c r="T343" s="60"/>
      <c r="U343" s="60"/>
      <c r="V343" s="60"/>
      <c r="W343" s="60"/>
      <c r="X343" s="60"/>
      <c r="Y343" s="60"/>
      <c r="Z343" s="60"/>
      <c r="AA343" s="60"/>
      <c r="AB343" s="60"/>
      <c r="AC343" s="60"/>
      <c r="AD343" s="60"/>
    </row>
    <row r="344" ht="40.15" customHeight="1">
      <c r="A344" s="60"/>
      <c r="C344" s="59"/>
      <c r="D344" s="58"/>
      <c r="E344" s="59"/>
      <c r="F344" s="59"/>
      <c r="G344" s="59"/>
      <c r="H344" s="60"/>
      <c r="I344" s="60"/>
      <c r="J344" s="60"/>
      <c r="K344" s="60"/>
      <c r="L344" s="60"/>
      <c r="M344" s="60"/>
      <c r="N344" s="60"/>
      <c r="O344" s="60"/>
      <c r="P344" s="60"/>
      <c r="Q344" s="60"/>
      <c r="R344" s="60"/>
      <c r="S344" s="60"/>
      <c r="T344" s="60"/>
      <c r="U344" s="60"/>
      <c r="V344" s="60"/>
      <c r="W344" s="60"/>
      <c r="X344" s="60"/>
      <c r="Y344" s="60"/>
      <c r="Z344" s="60"/>
      <c r="AA344" s="60"/>
      <c r="AB344" s="60"/>
      <c r="AC344" s="60"/>
      <c r="AD344" s="60"/>
    </row>
    <row r="345" ht="40.15" customHeight="1">
      <c r="A345" s="60"/>
      <c r="C345" s="59"/>
      <c r="D345" s="58"/>
      <c r="E345" s="59"/>
      <c r="F345" s="59"/>
      <c r="G345" s="59"/>
      <c r="H345" s="60"/>
      <c r="I345" s="60"/>
      <c r="J345" s="60"/>
      <c r="K345" s="60"/>
      <c r="L345" s="60"/>
      <c r="M345" s="60"/>
      <c r="N345" s="60"/>
      <c r="O345" s="60"/>
      <c r="P345" s="60"/>
      <c r="Q345" s="60"/>
      <c r="R345" s="60"/>
      <c r="S345" s="60"/>
      <c r="T345" s="60"/>
      <c r="U345" s="60"/>
      <c r="V345" s="60"/>
      <c r="W345" s="60"/>
      <c r="X345" s="60"/>
      <c r="Y345" s="60"/>
      <c r="Z345" s="60"/>
      <c r="AA345" s="60"/>
      <c r="AB345" s="60"/>
      <c r="AC345" s="60"/>
      <c r="AD345" s="60"/>
    </row>
    <row r="346" ht="40.15" customHeight="1">
      <c r="A346" s="60"/>
      <c r="C346" s="59"/>
      <c r="D346" s="58"/>
      <c r="E346" s="59"/>
      <c r="F346" s="59"/>
      <c r="G346" s="59"/>
      <c r="H346" s="60"/>
      <c r="I346" s="60"/>
      <c r="J346" s="60"/>
      <c r="K346" s="60"/>
      <c r="L346" s="60"/>
      <c r="M346" s="60"/>
      <c r="N346" s="60"/>
      <c r="O346" s="60"/>
      <c r="P346" s="60"/>
      <c r="Q346" s="60"/>
      <c r="R346" s="60"/>
      <c r="S346" s="60"/>
      <c r="T346" s="60"/>
      <c r="U346" s="60"/>
      <c r="V346" s="60"/>
      <c r="W346" s="60"/>
      <c r="X346" s="60"/>
      <c r="Y346" s="60"/>
      <c r="Z346" s="60"/>
      <c r="AA346" s="60"/>
      <c r="AB346" s="60"/>
      <c r="AC346" s="60"/>
      <c r="AD346" s="60"/>
    </row>
    <row r="347" ht="40.15" customHeight="1">
      <c r="A347" s="60"/>
      <c r="C347" s="59"/>
      <c r="D347" s="58"/>
      <c r="E347" s="59"/>
      <c r="F347" s="59"/>
      <c r="G347" s="59"/>
      <c r="H347" s="60"/>
      <c r="I347" s="60"/>
      <c r="J347" s="60"/>
      <c r="K347" s="60"/>
      <c r="L347" s="60"/>
      <c r="M347" s="60"/>
      <c r="N347" s="60"/>
      <c r="O347" s="60"/>
      <c r="P347" s="60"/>
      <c r="Q347" s="60"/>
      <c r="R347" s="60"/>
      <c r="S347" s="60"/>
      <c r="T347" s="60"/>
      <c r="U347" s="60"/>
      <c r="V347" s="60"/>
      <c r="W347" s="60"/>
      <c r="X347" s="60"/>
      <c r="Y347" s="60"/>
      <c r="Z347" s="60"/>
      <c r="AA347" s="60"/>
      <c r="AB347" s="60"/>
      <c r="AC347" s="60"/>
      <c r="AD347" s="60"/>
    </row>
    <row r="348" ht="40.15" customHeight="1">
      <c r="A348" s="60"/>
      <c r="C348" s="59"/>
      <c r="D348" s="58"/>
      <c r="E348" s="59"/>
      <c r="F348" s="59"/>
      <c r="G348" s="59"/>
      <c r="H348" s="60"/>
      <c r="I348" s="60"/>
      <c r="J348" s="60"/>
      <c r="K348" s="60"/>
      <c r="L348" s="60"/>
      <c r="M348" s="60"/>
      <c r="N348" s="60"/>
      <c r="O348" s="60"/>
      <c r="P348" s="60"/>
      <c r="Q348" s="60"/>
      <c r="R348" s="60"/>
      <c r="S348" s="60"/>
      <c r="T348" s="60"/>
      <c r="U348" s="60"/>
      <c r="V348" s="60"/>
      <c r="W348" s="60"/>
      <c r="X348" s="60"/>
      <c r="Y348" s="60"/>
      <c r="Z348" s="60"/>
      <c r="AA348" s="60"/>
      <c r="AB348" s="60"/>
      <c r="AC348" s="60"/>
      <c r="AD348" s="60"/>
    </row>
    <row r="349" ht="40.15" customHeight="1">
      <c r="A349" s="60"/>
      <c r="C349" s="59"/>
      <c r="D349" s="58"/>
      <c r="E349" s="59"/>
      <c r="F349" s="59"/>
      <c r="G349" s="59"/>
      <c r="H349" s="60"/>
      <c r="I349" s="60"/>
      <c r="J349" s="60"/>
      <c r="K349" s="60"/>
      <c r="L349" s="60"/>
      <c r="M349" s="60"/>
      <c r="N349" s="60"/>
      <c r="O349" s="60"/>
      <c r="P349" s="60"/>
      <c r="Q349" s="60"/>
      <c r="R349" s="60"/>
      <c r="S349" s="60"/>
      <c r="T349" s="60"/>
      <c r="U349" s="60"/>
      <c r="V349" s="60"/>
      <c r="W349" s="60"/>
      <c r="X349" s="60"/>
      <c r="Y349" s="60"/>
      <c r="Z349" s="60"/>
      <c r="AA349" s="60"/>
      <c r="AB349" s="60"/>
      <c r="AC349" s="60"/>
      <c r="AD349" s="60"/>
    </row>
    <row r="350" ht="40.15" customHeight="1">
      <c r="A350" s="60"/>
      <c r="C350" s="59"/>
      <c r="D350" s="58"/>
      <c r="E350" s="59"/>
      <c r="F350" s="59"/>
      <c r="G350" s="59"/>
      <c r="H350" s="60"/>
      <c r="I350" s="60"/>
      <c r="J350" s="60"/>
      <c r="K350" s="60"/>
      <c r="L350" s="60"/>
      <c r="M350" s="60"/>
      <c r="N350" s="60"/>
      <c r="O350" s="60"/>
      <c r="P350" s="60"/>
      <c r="Q350" s="60"/>
      <c r="R350" s="60"/>
      <c r="S350" s="60"/>
      <c r="T350" s="60"/>
      <c r="U350" s="60"/>
      <c r="V350" s="60"/>
      <c r="W350" s="60"/>
      <c r="X350" s="60"/>
      <c r="Y350" s="60"/>
      <c r="Z350" s="60"/>
      <c r="AA350" s="60"/>
      <c r="AB350" s="60"/>
      <c r="AC350" s="60"/>
      <c r="AD350" s="60"/>
    </row>
    <row r="351" ht="40.15" customHeight="1">
      <c r="A351" s="60"/>
      <c r="C351" s="59"/>
      <c r="D351" s="58"/>
      <c r="E351" s="59"/>
      <c r="F351" s="59"/>
      <c r="G351" s="59"/>
      <c r="H351" s="60"/>
      <c r="I351" s="60"/>
      <c r="J351" s="60"/>
      <c r="K351" s="60"/>
      <c r="L351" s="60"/>
      <c r="M351" s="60"/>
      <c r="N351" s="60"/>
      <c r="O351" s="60"/>
      <c r="P351" s="60"/>
      <c r="Q351" s="60"/>
      <c r="R351" s="60"/>
      <c r="S351" s="60"/>
      <c r="T351" s="60"/>
      <c r="U351" s="60"/>
      <c r="V351" s="60"/>
      <c r="W351" s="60"/>
      <c r="X351" s="60"/>
      <c r="Y351" s="60"/>
      <c r="Z351" s="60"/>
      <c r="AA351" s="60"/>
      <c r="AB351" s="60"/>
      <c r="AC351" s="60"/>
      <c r="AD351" s="60"/>
    </row>
    <row r="352" ht="40.15" customHeight="1">
      <c r="A352" s="60"/>
      <c r="C352" s="59"/>
      <c r="D352" s="58"/>
      <c r="E352" s="59"/>
      <c r="F352" s="59"/>
      <c r="G352" s="59"/>
      <c r="H352" s="60"/>
      <c r="I352" s="60"/>
      <c r="J352" s="60"/>
      <c r="K352" s="60"/>
      <c r="L352" s="60"/>
      <c r="M352" s="60"/>
      <c r="N352" s="60"/>
      <c r="O352" s="60"/>
      <c r="P352" s="60"/>
      <c r="Q352" s="60"/>
      <c r="R352" s="60"/>
      <c r="S352" s="60"/>
      <c r="T352" s="60"/>
      <c r="U352" s="60"/>
      <c r="V352" s="60"/>
      <c r="W352" s="60"/>
      <c r="X352" s="60"/>
      <c r="Y352" s="60"/>
      <c r="Z352" s="60"/>
      <c r="AA352" s="60"/>
      <c r="AB352" s="60"/>
      <c r="AC352" s="60"/>
      <c r="AD352" s="60"/>
    </row>
    <row r="353" ht="40.15" customHeight="1">
      <c r="A353" s="60"/>
      <c r="C353" s="59"/>
      <c r="D353" s="58"/>
      <c r="E353" s="59"/>
      <c r="F353" s="59"/>
      <c r="G353" s="59"/>
      <c r="H353" s="60"/>
      <c r="I353" s="60"/>
      <c r="J353" s="60"/>
      <c r="K353" s="60"/>
      <c r="L353" s="60"/>
      <c r="M353" s="60"/>
      <c r="N353" s="60"/>
      <c r="O353" s="60"/>
      <c r="P353" s="60"/>
      <c r="Q353" s="60"/>
      <c r="R353" s="60"/>
      <c r="S353" s="60"/>
      <c r="T353" s="60"/>
      <c r="U353" s="60"/>
      <c r="V353" s="60"/>
      <c r="W353" s="60"/>
      <c r="X353" s="60"/>
      <c r="Y353" s="60"/>
      <c r="Z353" s="60"/>
      <c r="AA353" s="60"/>
      <c r="AB353" s="60"/>
      <c r="AC353" s="60"/>
      <c r="AD353" s="60"/>
    </row>
    <row r="354" ht="40.15" customHeight="1">
      <c r="A354" s="60"/>
      <c r="C354" s="59"/>
      <c r="D354" s="58"/>
      <c r="E354" s="59"/>
      <c r="F354" s="59"/>
      <c r="G354" s="59"/>
      <c r="H354" s="60"/>
      <c r="I354" s="60"/>
      <c r="J354" s="60"/>
      <c r="K354" s="60"/>
      <c r="L354" s="60"/>
      <c r="M354" s="60"/>
      <c r="N354" s="60"/>
      <c r="O354" s="60"/>
      <c r="P354" s="60"/>
      <c r="Q354" s="60"/>
      <c r="R354" s="60"/>
      <c r="S354" s="60"/>
      <c r="T354" s="60"/>
      <c r="U354" s="60"/>
      <c r="V354" s="60"/>
      <c r="W354" s="60"/>
      <c r="X354" s="60"/>
      <c r="Y354" s="60"/>
      <c r="Z354" s="60"/>
      <c r="AA354" s="60"/>
      <c r="AB354" s="60"/>
      <c r="AC354" s="60"/>
      <c r="AD354" s="60"/>
    </row>
    <row r="355" ht="40.15" customHeight="1">
      <c r="A355" s="60"/>
      <c r="C355" s="59"/>
      <c r="D355" s="58"/>
      <c r="E355" s="59"/>
      <c r="F355" s="59"/>
      <c r="G355" s="59"/>
      <c r="H355" s="60"/>
      <c r="I355" s="60"/>
      <c r="J355" s="60"/>
      <c r="K355" s="60"/>
      <c r="L355" s="60"/>
      <c r="M355" s="60"/>
      <c r="N355" s="60"/>
      <c r="O355" s="60"/>
      <c r="P355" s="60"/>
      <c r="Q355" s="60"/>
      <c r="R355" s="60"/>
      <c r="S355" s="60"/>
      <c r="T355" s="60"/>
      <c r="U355" s="60"/>
      <c r="V355" s="60"/>
      <c r="W355" s="60"/>
      <c r="X355" s="60"/>
      <c r="Y355" s="60"/>
      <c r="Z355" s="60"/>
      <c r="AA355" s="60"/>
      <c r="AB355" s="60"/>
      <c r="AC355" s="60"/>
      <c r="AD355" s="60"/>
    </row>
    <row r="356" ht="40.15" customHeight="1">
      <c r="A356" s="60"/>
      <c r="C356" s="59"/>
      <c r="D356" s="58"/>
      <c r="E356" s="59"/>
      <c r="F356" s="59"/>
      <c r="G356" s="59"/>
      <c r="H356" s="60"/>
      <c r="I356" s="60"/>
      <c r="J356" s="60"/>
      <c r="K356" s="60"/>
      <c r="L356" s="60"/>
      <c r="M356" s="60"/>
      <c r="N356" s="60"/>
      <c r="O356" s="60"/>
      <c r="P356" s="60"/>
      <c r="Q356" s="60"/>
      <c r="R356" s="60"/>
      <c r="S356" s="60"/>
      <c r="T356" s="60"/>
      <c r="U356" s="60"/>
      <c r="V356" s="60"/>
      <c r="W356" s="60"/>
      <c r="X356" s="60"/>
      <c r="Y356" s="60"/>
      <c r="Z356" s="60"/>
      <c r="AA356" s="60"/>
      <c r="AB356" s="60"/>
      <c r="AC356" s="60"/>
      <c r="AD356" s="60"/>
    </row>
    <row r="357" ht="40.15" customHeight="1">
      <c r="A357" s="60"/>
      <c r="C357" s="59"/>
      <c r="D357" s="58"/>
      <c r="E357" s="59"/>
      <c r="F357" s="59"/>
      <c r="G357" s="59"/>
      <c r="H357" s="60"/>
      <c r="I357" s="60"/>
      <c r="J357" s="60"/>
      <c r="K357" s="60"/>
      <c r="L357" s="60"/>
      <c r="M357" s="60"/>
      <c r="N357" s="60"/>
      <c r="O357" s="60"/>
      <c r="P357" s="60"/>
      <c r="Q357" s="60"/>
      <c r="R357" s="60"/>
      <c r="S357" s="60"/>
      <c r="T357" s="60"/>
      <c r="U357" s="60"/>
      <c r="V357" s="60"/>
      <c r="W357" s="60"/>
      <c r="X357" s="60"/>
      <c r="Y357" s="60"/>
      <c r="Z357" s="60"/>
      <c r="AA357" s="60"/>
      <c r="AB357" s="60"/>
      <c r="AC357" s="60"/>
      <c r="AD357" s="60"/>
    </row>
    <row r="358" ht="40.15" customHeight="1">
      <c r="A358" s="60"/>
      <c r="C358" s="59"/>
      <c r="D358" s="58"/>
      <c r="E358" s="59"/>
      <c r="F358" s="59"/>
      <c r="G358" s="59"/>
      <c r="H358" s="60"/>
      <c r="I358" s="60"/>
      <c r="J358" s="60"/>
      <c r="K358" s="60"/>
      <c r="L358" s="60"/>
      <c r="M358" s="60"/>
      <c r="N358" s="60"/>
      <c r="O358" s="60"/>
      <c r="P358" s="60"/>
      <c r="Q358" s="60"/>
      <c r="R358" s="60"/>
      <c r="S358" s="60"/>
      <c r="T358" s="60"/>
      <c r="U358" s="60"/>
      <c r="V358" s="60"/>
      <c r="W358" s="60"/>
      <c r="X358" s="60"/>
      <c r="Y358" s="60"/>
      <c r="Z358" s="60"/>
      <c r="AA358" s="60"/>
      <c r="AB358" s="60"/>
      <c r="AC358" s="60"/>
      <c r="AD358" s="60"/>
    </row>
    <row r="359" ht="40.15" customHeight="1">
      <c r="A359" s="60"/>
      <c r="C359" s="59"/>
      <c r="D359" s="58"/>
      <c r="E359" s="59"/>
      <c r="F359" s="59"/>
      <c r="G359" s="59"/>
      <c r="H359" s="60"/>
      <c r="I359" s="60"/>
      <c r="J359" s="60"/>
      <c r="K359" s="60"/>
      <c r="L359" s="60"/>
      <c r="M359" s="60"/>
      <c r="N359" s="60"/>
      <c r="O359" s="60"/>
      <c r="P359" s="60"/>
      <c r="Q359" s="60"/>
      <c r="R359" s="60"/>
      <c r="S359" s="60"/>
      <c r="T359" s="60"/>
      <c r="U359" s="60"/>
      <c r="V359" s="60"/>
      <c r="W359" s="60"/>
      <c r="X359" s="60"/>
      <c r="Y359" s="60"/>
      <c r="Z359" s="60"/>
      <c r="AA359" s="60"/>
      <c r="AB359" s="60"/>
      <c r="AC359" s="60"/>
      <c r="AD359" s="60"/>
    </row>
    <row r="360" ht="40.15" customHeight="1">
      <c r="A360" s="60"/>
      <c r="C360" s="59"/>
      <c r="D360" s="58"/>
      <c r="E360" s="59"/>
      <c r="F360" s="59"/>
      <c r="G360" s="59"/>
      <c r="H360" s="60"/>
      <c r="I360" s="60"/>
      <c r="J360" s="60"/>
      <c r="K360" s="60"/>
      <c r="L360" s="60"/>
      <c r="M360" s="60"/>
      <c r="N360" s="60"/>
      <c r="O360" s="60"/>
      <c r="P360" s="60"/>
      <c r="Q360" s="60"/>
      <c r="R360" s="60"/>
      <c r="S360" s="60"/>
      <c r="T360" s="60"/>
      <c r="U360" s="60"/>
      <c r="V360" s="60"/>
      <c r="W360" s="60"/>
      <c r="X360" s="60"/>
      <c r="Y360" s="60"/>
      <c r="Z360" s="60"/>
      <c r="AA360" s="60"/>
      <c r="AB360" s="60"/>
      <c r="AC360" s="60"/>
      <c r="AD360" s="60"/>
    </row>
    <row r="361" ht="40.15" customHeight="1">
      <c r="A361" s="60"/>
      <c r="C361" s="59"/>
      <c r="D361" s="58"/>
      <c r="E361" s="59"/>
      <c r="F361" s="59"/>
      <c r="G361" s="59"/>
      <c r="H361" s="60"/>
      <c r="I361" s="60"/>
      <c r="J361" s="60"/>
      <c r="K361" s="60"/>
      <c r="L361" s="60"/>
      <c r="M361" s="60"/>
      <c r="N361" s="60"/>
      <c r="O361" s="60"/>
      <c r="P361" s="60"/>
      <c r="Q361" s="60"/>
      <c r="R361" s="60"/>
      <c r="S361" s="60"/>
      <c r="T361" s="60"/>
      <c r="U361" s="60"/>
      <c r="V361" s="60"/>
      <c r="W361" s="60"/>
      <c r="X361" s="60"/>
      <c r="Y361" s="60"/>
      <c r="Z361" s="60"/>
      <c r="AA361" s="60"/>
      <c r="AB361" s="60"/>
      <c r="AC361" s="60"/>
      <c r="AD361" s="60"/>
    </row>
    <row r="362" ht="40.15" customHeight="1">
      <c r="A362" s="60"/>
      <c r="C362" s="59"/>
      <c r="D362" s="58"/>
      <c r="E362" s="59"/>
      <c r="F362" s="59"/>
      <c r="G362" s="59"/>
      <c r="H362" s="60"/>
      <c r="I362" s="60"/>
      <c r="J362" s="60"/>
      <c r="K362" s="62"/>
      <c r="L362" s="62"/>
      <c r="M362" s="62"/>
      <c r="N362" s="62"/>
      <c r="O362" s="62"/>
      <c r="P362" s="62"/>
      <c r="Q362" s="62"/>
      <c r="R362" s="62"/>
      <c r="S362" s="62"/>
      <c r="T362" s="62"/>
      <c r="U362" s="62"/>
      <c r="V362" s="62"/>
      <c r="W362" s="62"/>
      <c r="X362" s="62"/>
      <c r="Y362" s="62"/>
      <c r="Z362" s="62"/>
      <c r="AA362" s="62"/>
      <c r="AB362" s="62"/>
      <c r="AC362" s="62"/>
      <c r="AD362" s="62"/>
    </row>
    <row r="363" ht="40.15" customHeight="1">
      <c r="A363" s="60"/>
      <c r="C363" s="59"/>
      <c r="D363" s="58"/>
      <c r="E363" s="59"/>
      <c r="F363" s="59"/>
      <c r="G363" s="59"/>
      <c r="H363" s="60"/>
      <c r="I363" s="60"/>
      <c r="J363" s="60"/>
    </row>
    <row r="364" ht="40.15" customHeight="1">
      <c r="A364" s="60"/>
      <c r="C364" s="59"/>
      <c r="D364" s="58"/>
      <c r="E364" s="59"/>
      <c r="F364" s="59"/>
      <c r="G364" s="59"/>
      <c r="H364" s="60"/>
      <c r="I364" s="60"/>
      <c r="J364" s="60"/>
    </row>
    <row r="365" ht="40.15" customHeight="1">
      <c r="A365" s="60"/>
      <c r="C365" s="59"/>
      <c r="D365" s="58"/>
      <c r="E365" s="59"/>
      <c r="F365" s="59"/>
      <c r="G365" s="59"/>
      <c r="H365" s="60"/>
      <c r="I365" s="60"/>
      <c r="J365" s="60"/>
    </row>
    <row r="366" ht="40.15" customHeight="1">
      <c r="A366" s="60"/>
      <c r="C366" s="59"/>
      <c r="D366" s="58"/>
      <c r="E366" s="59"/>
      <c r="F366" s="59"/>
      <c r="G366" s="59"/>
      <c r="H366" s="60"/>
      <c r="I366" s="60"/>
      <c r="J366" s="60"/>
    </row>
    <row r="367" ht="40.15" customHeight="1">
      <c r="A367" s="60"/>
      <c r="C367" s="59"/>
      <c r="D367" s="58"/>
      <c r="E367" s="59"/>
      <c r="F367" s="59"/>
      <c r="G367" s="59"/>
      <c r="H367" s="60"/>
      <c r="I367" s="60"/>
      <c r="J367" s="60"/>
    </row>
    <row r="368" ht="40.15" customHeight="1">
      <c r="A368" s="60"/>
      <c r="C368" s="59"/>
      <c r="D368" s="58"/>
      <c r="E368" s="59"/>
      <c r="F368" s="59"/>
      <c r="G368" s="59"/>
      <c r="H368" s="60"/>
      <c r="I368" s="60"/>
      <c r="J368" s="60"/>
    </row>
    <row r="369" ht="40.15" customHeight="1">
      <c r="A369" s="60"/>
      <c r="C369" s="59"/>
      <c r="D369" s="58"/>
      <c r="E369" s="59"/>
      <c r="F369" s="59"/>
      <c r="G369" s="59"/>
      <c r="H369" s="60"/>
      <c r="I369" s="60"/>
      <c r="J369" s="60"/>
    </row>
    <row r="370" ht="40.15" customHeight="1">
      <c r="A370" s="60"/>
      <c r="C370" s="59"/>
      <c r="D370" s="58"/>
      <c r="E370" s="59"/>
      <c r="F370" s="59"/>
      <c r="G370" s="59"/>
      <c r="H370" s="60"/>
      <c r="I370" s="60"/>
      <c r="J370" s="60"/>
    </row>
    <row r="371" ht="40.15" customHeight="1">
      <c r="A371" s="60"/>
      <c r="C371" s="59"/>
      <c r="D371" s="58"/>
      <c r="E371" s="59"/>
      <c r="F371" s="59"/>
      <c r="G371" s="59"/>
      <c r="H371" s="60"/>
      <c r="I371" s="60"/>
      <c r="J371" s="60"/>
    </row>
    <row r="372" ht="40.15" customHeight="1">
      <c r="A372" s="60"/>
      <c r="C372" s="59"/>
      <c r="D372" s="58"/>
      <c r="E372" s="59"/>
      <c r="F372" s="59"/>
      <c r="G372" s="59"/>
      <c r="H372" s="60"/>
      <c r="I372" s="60"/>
      <c r="J372" s="62"/>
    </row>
    <row r="373" ht="40.15" customHeight="1">
      <c r="C373" s="59"/>
      <c r="D373" s="58"/>
      <c r="E373" s="59"/>
      <c r="F373" s="59"/>
      <c r="G373" s="59"/>
    </row>
    <row r="374" ht="40.15" customHeight="1">
      <c r="C374" s="59"/>
      <c r="D374" s="58"/>
      <c r="E374" s="59"/>
      <c r="F374" s="59"/>
      <c r="G374" s="59"/>
    </row>
    <row r="375" ht="40.15" customHeight="1">
      <c r="C375" s="59"/>
      <c r="D375" s="58"/>
      <c r="E375" s="59"/>
      <c r="F375" s="59"/>
      <c r="G375" s="59"/>
    </row>
    <row r="376" ht="40.15" customHeight="1">
      <c r="C376" s="59"/>
      <c r="D376" s="58"/>
      <c r="E376" s="59"/>
      <c r="F376" s="59"/>
      <c r="G376" s="59"/>
    </row>
    <row r="377" ht="40.15" customHeight="1">
      <c r="C377" s="59"/>
      <c r="D377" s="58"/>
      <c r="E377" s="59"/>
      <c r="F377" s="59"/>
      <c r="G377" s="59"/>
    </row>
  </sheetData>
  <sheetProtection algorithmName="SHA-512" hashValue="iVsveKQeOePU4gFIV7nitlRptSZAglQS+5QG+SnWaDj7YSL8QMav9mNTN13TsDYT1+TRU7v4PNsemF/Goi+s7A==" saltValue="7LCNAaVsAsNoZTKbAZ8JvA==" spinCount="100000" sheet="1" objects="1" scenarios="1" selectLockedCells="1"/>
  <mergeCells>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V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5546875" defaultRowHeight="45" customHeight="1" x14ac:dyDescent="0.25"/>
  <cols>
    <col min="1" max="1" width="10.42578125" customWidth="1" style="110"/>
    <col min="2" max="2" bestFit="1" width="16.7109375" customWidth="1" style="121"/>
    <col min="3" max="3" width="103.28515625" customWidth="1" style="122"/>
    <col min="4" max="4" width="11.140625" customWidth="1" style="123"/>
    <col min="5" max="5" width="11.5703125" customWidth="1" style="123"/>
    <col min="6" max="6" width="11" customWidth="1" style="123"/>
    <col min="7" max="7" bestFit="1" width="18.7109375" customWidth="1" style="70"/>
    <col min="8" max="16384" width="8.85546875" customWidth="1" style="61"/>
  </cols>
  <sheetData>
    <row r="1" ht="45" customHeight="1">
      <c r="A1" s="124" t="s">
        <v>29</v>
      </c>
      <c r="B1" s="84" t="s">
        <v>30</v>
      </c>
      <c r="C1" s="85" t="s">
        <v>31</v>
      </c>
      <c r="D1" s="129"/>
      <c r="E1" s="89" t="s">
        <v>32</v>
      </c>
      <c r="F1" s="91"/>
    </row>
    <row r="2" ht="45" customHeight="1">
      <c r="A2" s="125"/>
      <c r="B2" s="95" t="s">
        <v>34</v>
      </c>
      <c r="C2" s="93" t="s">
        <v>47</v>
      </c>
      <c r="D2" s="86"/>
      <c r="E2" s="90"/>
      <c r="F2" s="135">
        <v>0</v>
      </c>
      <c r="G2" s="66" t="s">
        <v>34</v>
      </c>
    </row>
    <row r="3" ht="45" customHeight="1">
      <c r="A3" s="125"/>
      <c r="B3" s="126" t="s">
        <v>48</v>
      </c>
      <c r="C3" s="93" t="s">
        <v>49</v>
      </c>
      <c r="D3" s="86"/>
      <c r="E3" s="90"/>
      <c r="F3" s="135">
        <v>0</v>
      </c>
      <c r="G3" s="66" t="s">
        <v>34</v>
      </c>
    </row>
    <row r="4" ht="45" customHeight="1">
      <c r="A4" s="125"/>
      <c r="B4" s="126" t="s">
        <v>64</v>
      </c>
      <c r="C4" s="93" t="s">
        <v>65</v>
      </c>
      <c r="D4" s="86"/>
      <c r="E4" s="90"/>
      <c r="F4" s="135">
        <v>0</v>
      </c>
      <c r="G4" s="66" t="s">
        <v>34</v>
      </c>
    </row>
    <row r="5" ht="45" customHeight="1">
      <c r="A5" s="125"/>
      <c r="B5" s="126" t="s">
        <v>67</v>
      </c>
      <c r="C5" s="93" t="s">
        <v>68</v>
      </c>
      <c r="D5" s="86"/>
      <c r="E5" s="90"/>
      <c r="F5" s="135">
        <v>0</v>
      </c>
      <c r="G5" s="66" t="s">
        <v>34</v>
      </c>
    </row>
    <row r="6" ht="45" customHeight="1">
      <c r="A6" s="125"/>
      <c r="B6" s="87" t="s">
        <v>70</v>
      </c>
      <c r="C6" s="133" t="s">
        <v>71</v>
      </c>
      <c r="D6" s="92" t="s">
        <v>72</v>
      </c>
      <c r="E6" s="92" t="s">
        <v>73</v>
      </c>
      <c r="F6" s="92" t="s">
        <v>74</v>
      </c>
      <c r="G6" s="66" t="s">
        <v>34</v>
      </c>
    </row>
    <row r="7" ht="45" customHeight="1">
      <c r="A7" s="125"/>
      <c r="B7" s="87">
        <v>211</v>
      </c>
      <c r="C7" s="134" t="s">
        <v>76</v>
      </c>
      <c r="D7" s="78">
        <f>_xlfn.IFNA(VLOOKUP(B7,Worksheet!$C$3:$G$12,3,FALSE),D7)</f>
        <v>0</v>
      </c>
      <c r="E7" s="135">
        <f>_xlfn.IFNA(VLOOKUP(B7,Worksheet!$C$3:$G$12,4,FALSE),E7)</f>
        <v>0</v>
      </c>
      <c r="F7" s="135">
        <f>_xlfn.IFNA(VLOOKUP(B7,Worksheet!$C$3:$G$12,5,FALSE),F7)</f>
        <v>0</v>
      </c>
      <c r="G7" s="66" t="s">
        <v>34</v>
      </c>
    </row>
    <row r="8" ht="45" customHeight="1">
      <c r="A8" s="125"/>
      <c r="B8" s="87">
        <v>212</v>
      </c>
      <c r="C8" s="134" t="s">
        <v>77</v>
      </c>
      <c r="D8" s="78">
        <f>_xlfn.IFNA(VLOOKUP(B8,Worksheet!$C$3:$G$12,3,FALSE),D8)</f>
        <v>0</v>
      </c>
      <c r="E8" s="135">
        <f>_xlfn.IFNA(VLOOKUP(B8,Worksheet!$C$3:$G$12,4,FALSE),E8)</f>
        <v>0</v>
      </c>
      <c r="F8" s="135">
        <f>_xlfn.IFNA(VLOOKUP(B8,Worksheet!$C$3:$G$12,5,FALSE),F8)</f>
        <v>0</v>
      </c>
      <c r="G8" s="66" t="s">
        <v>34</v>
      </c>
    </row>
    <row r="9" ht="45" customHeight="1">
      <c r="A9" s="125"/>
      <c r="B9" s="87">
        <v>213</v>
      </c>
      <c r="C9" s="134" t="s">
        <v>79</v>
      </c>
      <c r="D9" s="78">
        <f>_xlfn.IFNA(VLOOKUP(B9,Worksheet!$C$3:$G$12,3,FALSE),D9)</f>
        <v>0</v>
      </c>
      <c r="E9" s="135">
        <f>_xlfn.IFNA(VLOOKUP(B9,Worksheet!$C$3:$G$12,4,FALSE),E9)</f>
        <v>0</v>
      </c>
      <c r="F9" s="135">
        <f>_xlfn.IFNA(VLOOKUP(B9,Worksheet!$C$3:$G$12,5,FALSE),F9)</f>
        <v>0</v>
      </c>
      <c r="G9" s="66" t="s">
        <v>34</v>
      </c>
    </row>
    <row r="10" ht="45" customHeight="1">
      <c r="A10" s="125"/>
      <c r="B10" s="87">
        <v>214</v>
      </c>
      <c r="C10" s="134" t="s">
        <v>81</v>
      </c>
      <c r="D10" s="78">
        <f>_xlfn.IFNA(VLOOKUP(B10,Worksheet!$C$3:$G$12,3,FALSE),D10)</f>
        <v>0</v>
      </c>
      <c r="E10" s="135">
        <f>_xlfn.IFNA(VLOOKUP(B10,Worksheet!$C$3:$G$12,4,FALSE),E10)</f>
        <v>0</v>
      </c>
      <c r="F10" s="135">
        <f>_xlfn.IFNA(VLOOKUP(B10,Worksheet!$C$3:$G$12,5,FALSE),F10)</f>
        <v>0</v>
      </c>
      <c r="G10" s="66" t="s">
        <v>34</v>
      </c>
    </row>
    <row r="11" hidden="1" ht="45" customHeight="1">
      <c r="A11" s="125"/>
      <c r="B11" s="72"/>
      <c r="C11" s="328"/>
      <c r="D11" s="329"/>
      <c r="E11" s="329"/>
      <c r="F11" s="330"/>
      <c r="G11" s="66"/>
    </row>
    <row r="12" hidden="1" ht="45" customHeight="1">
      <c r="A12" s="125"/>
      <c r="B12" s="127" t="s">
        <v>53</v>
      </c>
      <c r="C12" s="93" t="s">
        <v>88</v>
      </c>
      <c r="D12" s="86"/>
      <c r="E12" s="90"/>
      <c r="F12" s="135">
        <v>0</v>
      </c>
      <c r="G12" s="66" t="s">
        <v>53</v>
      </c>
    </row>
    <row r="13" hidden="1" ht="45" customHeight="1">
      <c r="A13" s="125"/>
      <c r="B13" s="128" t="s">
        <v>89</v>
      </c>
      <c r="C13" s="93" t="s">
        <v>90</v>
      </c>
      <c r="D13" s="86"/>
      <c r="E13" s="90"/>
      <c r="F13" s="135">
        <v>0</v>
      </c>
      <c r="G13" s="66" t="s">
        <v>53</v>
      </c>
    </row>
    <row r="14" hidden="1" ht="45" customHeight="1">
      <c r="A14" s="125"/>
      <c r="B14" s="128" t="s">
        <v>91</v>
      </c>
      <c r="C14" s="93" t="s">
        <v>92</v>
      </c>
      <c r="D14" s="86"/>
      <c r="E14" s="90"/>
      <c r="F14" s="135">
        <v>0</v>
      </c>
      <c r="G14" s="66" t="s">
        <v>53</v>
      </c>
    </row>
    <row r="15" hidden="1" ht="45" customHeight="1">
      <c r="A15" s="125"/>
      <c r="B15" s="84" t="s">
        <v>93</v>
      </c>
      <c r="C15" s="133" t="s">
        <v>94</v>
      </c>
      <c r="D15" s="92" t="s">
        <v>72</v>
      </c>
      <c r="E15" s="92" t="s">
        <v>73</v>
      </c>
      <c r="F15" s="92" t="s">
        <v>74</v>
      </c>
      <c r="G15" s="66" t="s">
        <v>53</v>
      </c>
    </row>
    <row r="16" hidden="1" ht="45" customHeight="1">
      <c r="A16" s="125"/>
      <c r="B16" s="87">
        <v>221</v>
      </c>
      <c r="C16" s="136" t="s">
        <v>95</v>
      </c>
      <c r="D16" s="78">
        <f>_xlfn.IFNA(VLOOKUP(B16,Worksheet!$C$3:$G$12,3,FALSE),D16)</f>
        <v>0</v>
      </c>
      <c r="E16" s="135">
        <f>_xlfn.IFNA(VLOOKUP(B16,Worksheet!$C$3:$G$12,4,FALSE),E16)</f>
        <v>0</v>
      </c>
      <c r="F16" s="135">
        <f>_xlfn.IFNA(VLOOKUP(B16,Worksheet!$C$3:$G$12,5,FALSE),F16)</f>
        <v>0</v>
      </c>
      <c r="G16" s="66" t="s">
        <v>53</v>
      </c>
    </row>
    <row r="17" hidden="1" ht="45" customHeight="1" s="71" customFormat="1">
      <c r="A17" s="125"/>
      <c r="B17" s="87">
        <v>222</v>
      </c>
      <c r="C17" s="136" t="s">
        <v>96</v>
      </c>
      <c r="D17" s="78">
        <f>_xlfn.IFNA(VLOOKUP(B17,Worksheet!$C$3:$G$12,3,FALSE),D17)</f>
        <v>0</v>
      </c>
      <c r="E17" s="135">
        <f>_xlfn.IFNA(VLOOKUP(B17,Worksheet!$C$3:$G$12,4,FALSE),E17)</f>
        <v>0</v>
      </c>
      <c r="F17" s="135">
        <f>_xlfn.IFNA(VLOOKUP(B17,Worksheet!$C$3:$G$12,5,FALSE),F17)</f>
        <v>0</v>
      </c>
      <c r="G17" s="66" t="s">
        <v>53</v>
      </c>
    </row>
    <row r="18" hidden="1" ht="45" customHeight="1" s="71" customFormat="1">
      <c r="A18" s="125"/>
      <c r="B18" s="87">
        <v>223</v>
      </c>
      <c r="C18" s="136" t="s">
        <v>97</v>
      </c>
      <c r="D18" s="78">
        <f>_xlfn.IFNA(VLOOKUP(B18,Worksheet!$C$3:$G$12,3,FALSE),D18)</f>
        <v>0</v>
      </c>
      <c r="E18" s="135">
        <f>_xlfn.IFNA(VLOOKUP(B18,Worksheet!$C$3:$G$12,4,FALSE),E18)</f>
        <v>0</v>
      </c>
      <c r="F18" s="135">
        <f>_xlfn.IFNA(VLOOKUP(B18,Worksheet!$C$3:$G$12,5,FALSE),F18)</f>
        <v>0</v>
      </c>
      <c r="G18" s="66" t="s">
        <v>53</v>
      </c>
    </row>
    <row r="19" hidden="1" ht="45" customHeight="1" s="71" customFormat="1">
      <c r="A19" s="125"/>
      <c r="B19" s="87">
        <v>224</v>
      </c>
      <c r="C19" s="136" t="s">
        <v>98</v>
      </c>
      <c r="D19" s="78">
        <f>_xlfn.IFNA(VLOOKUP(B19,Worksheet!$C$3:$G$12,3,FALSE),D19)</f>
        <v>0</v>
      </c>
      <c r="E19" s="135">
        <f>_xlfn.IFNA(VLOOKUP(B19,Worksheet!$C$3:$G$12,4,FALSE),E19)</f>
        <v>0</v>
      </c>
      <c r="F19" s="135">
        <f>_xlfn.IFNA(VLOOKUP(B19,Worksheet!$C$3:$G$12,5,FALSE),F19)</f>
        <v>0</v>
      </c>
      <c r="G19" s="66" t="s">
        <v>53</v>
      </c>
    </row>
    <row r="20" hidden="1" ht="45" customHeight="1">
      <c r="A20" s="125"/>
      <c r="B20" s="87">
        <v>225</v>
      </c>
      <c r="C20" s="88" t="s">
        <v>99</v>
      </c>
      <c r="D20" s="78">
        <f>_xlfn.IFNA(VLOOKUP(B20,Worksheet!$C$3:$G$12,3,FALSE),D20)</f>
        <v>0</v>
      </c>
      <c r="E20" s="135">
        <f>_xlfn.IFNA(VLOOKUP(B20,Worksheet!$C$3:$G$12,4,FALSE),E20)</f>
        <v>0</v>
      </c>
      <c r="F20" s="135">
        <f>_xlfn.IFNA(VLOOKUP(B20,Worksheet!$C$3:$G$12,5,FALSE),F20)</f>
        <v>0</v>
      </c>
      <c r="G20" s="66" t="s">
        <v>53</v>
      </c>
    </row>
    <row r="21" hidden="1" ht="45" customHeight="1">
      <c r="A21" s="125"/>
      <c r="B21" s="87">
        <v>226</v>
      </c>
      <c r="C21" s="136" t="s">
        <v>100</v>
      </c>
      <c r="D21" s="78">
        <f>_xlfn.IFNA(VLOOKUP(B21,Worksheet!$C$3:$G$12,3,FALSE),D21)</f>
        <v>0</v>
      </c>
      <c r="E21" s="135">
        <f>_xlfn.IFNA(VLOOKUP(B21,Worksheet!$C$3:$G$12,4,FALSE),E21)</f>
        <v>0</v>
      </c>
      <c r="F21" s="135">
        <f>_xlfn.IFNA(VLOOKUP(B21,Worksheet!$C$3:$G$12,5,FALSE),F21)</f>
        <v>0</v>
      </c>
      <c r="G21" s="66" t="s">
        <v>53</v>
      </c>
    </row>
    <row r="22" hidden="1" ht="45" customHeight="1">
      <c r="A22" s="125"/>
      <c r="B22" s="72"/>
      <c r="C22" s="328"/>
      <c r="D22" s="329"/>
      <c r="E22" s="329"/>
      <c r="F22" s="330"/>
      <c r="G22" s="74"/>
    </row>
    <row r="23" hidden="1" ht="45" customHeight="1">
      <c r="A23" s="125"/>
      <c r="B23" s="84" t="s">
        <v>56</v>
      </c>
      <c r="C23" s="93" t="s">
        <v>101</v>
      </c>
      <c r="D23" s="85"/>
      <c r="E23" s="85"/>
      <c r="F23" s="135">
        <v>0</v>
      </c>
      <c r="G23" s="74" t="s">
        <v>56</v>
      </c>
    </row>
    <row r="24" hidden="1" ht="45" customHeight="1">
      <c r="A24" s="125"/>
      <c r="B24" s="84" t="s">
        <v>70</v>
      </c>
      <c r="C24" s="133" t="s">
        <v>102</v>
      </c>
      <c r="D24" s="92" t="s">
        <v>72</v>
      </c>
      <c r="E24" s="92" t="s">
        <v>73</v>
      </c>
      <c r="F24" s="92" t="s">
        <v>74</v>
      </c>
      <c r="G24" s="74" t="s">
        <v>56</v>
      </c>
    </row>
    <row r="25" hidden="1" ht="45" customHeight="1">
      <c r="A25" s="125"/>
      <c r="B25" s="87">
        <v>231</v>
      </c>
      <c r="C25" s="136" t="s">
        <v>103</v>
      </c>
      <c r="D25" s="78">
        <f>_xlfn.IFNA(VLOOKUP(B25,Worksheet!$C$3:$G$12,3,FALSE),D25)</f>
        <v>0</v>
      </c>
      <c r="E25" s="135">
        <f>_xlfn.IFNA(VLOOKUP(B25,Worksheet!$C$3:$G$12,4,FALSE),E25)</f>
        <v>0</v>
      </c>
      <c r="F25" s="135">
        <f>_xlfn.IFNA(VLOOKUP(B25,Worksheet!$C$3:$G$12,5,FALSE),F25)</f>
        <v>0</v>
      </c>
      <c r="G25" s="74" t="s">
        <v>56</v>
      </c>
    </row>
    <row r="26" hidden="1" ht="45" customHeight="1">
      <c r="A26" s="125"/>
      <c r="B26" s="87">
        <v>232</v>
      </c>
      <c r="C26" s="136" t="s">
        <v>104</v>
      </c>
      <c r="D26" s="78">
        <f>_xlfn.IFNA(VLOOKUP(B26,Worksheet!$C$3:$G$12,3,FALSE),D26)</f>
        <v>0</v>
      </c>
      <c r="E26" s="135">
        <f>_xlfn.IFNA(VLOOKUP(B26,Worksheet!$C$3:$G$12,4,FALSE),E26)</f>
        <v>0</v>
      </c>
      <c r="F26" s="135">
        <f>_xlfn.IFNA(VLOOKUP(B26,Worksheet!$C$3:$G$12,5,FALSE),F26)</f>
        <v>0</v>
      </c>
      <c r="G26" s="74" t="s">
        <v>56</v>
      </c>
    </row>
    <row r="27" hidden="1" ht="45" customHeight="1">
      <c r="A27" s="137"/>
      <c r="B27" s="138"/>
      <c r="C27" s="328"/>
      <c r="D27" s="329"/>
      <c r="E27" s="329"/>
      <c r="F27" s="330"/>
      <c r="G27" s="139"/>
    </row>
    <row r="28" hidden="1" ht="45" customHeight="1">
      <c r="A28" s="125"/>
      <c r="B28" s="84" t="s">
        <v>57</v>
      </c>
      <c r="C28" s="93" t="s">
        <v>105</v>
      </c>
      <c r="D28" s="86"/>
      <c r="E28" s="90"/>
      <c r="F28" s="135">
        <v>0</v>
      </c>
      <c r="G28" s="66" t="s">
        <v>57</v>
      </c>
    </row>
    <row r="29" hidden="1" ht="45" customHeight="1">
      <c r="A29" s="125"/>
      <c r="B29" s="94" t="s">
        <v>106</v>
      </c>
      <c r="C29" s="133" t="s">
        <v>107</v>
      </c>
      <c r="D29" s="92" t="s">
        <v>72</v>
      </c>
      <c r="E29" s="92" t="s">
        <v>73</v>
      </c>
      <c r="F29" s="92" t="s">
        <v>74</v>
      </c>
      <c r="G29" s="66" t="s">
        <v>57</v>
      </c>
    </row>
    <row r="30" hidden="1" ht="45" customHeight="1">
      <c r="A30" s="125"/>
      <c r="B30" s="87">
        <v>241</v>
      </c>
      <c r="C30" s="136" t="s">
        <v>108</v>
      </c>
      <c r="D30" s="78">
        <f>_xlfn.IFNA(VLOOKUP(B30,Worksheet!$C$3:$G$12,3,FALSE),D30)</f>
        <v>0</v>
      </c>
      <c r="E30" s="135">
        <f>_xlfn.IFNA(VLOOKUP(B30,Worksheet!$C$3:$G$12,4,FALSE),E30)</f>
        <v>0</v>
      </c>
      <c r="F30" s="135">
        <f>_xlfn.IFNA(VLOOKUP(B30,Worksheet!$C$3:$G$12,5,FALSE),F30)</f>
        <v>0</v>
      </c>
      <c r="G30" s="66" t="s">
        <v>57</v>
      </c>
    </row>
    <row r="31" hidden="1" ht="45" customHeight="1">
      <c r="A31" s="125"/>
      <c r="B31" s="87">
        <v>242</v>
      </c>
      <c r="C31" s="136" t="s">
        <v>109</v>
      </c>
      <c r="D31" s="78">
        <f>_xlfn.IFNA(VLOOKUP(B31,Worksheet!$C$3:$G$12,3,FALSE),D31)</f>
        <v>0</v>
      </c>
      <c r="E31" s="135">
        <f>_xlfn.IFNA(VLOOKUP(B31,Worksheet!$C$3:$G$12,4,FALSE),E31)</f>
        <v>0</v>
      </c>
      <c r="F31" s="135">
        <f>_xlfn.IFNA(VLOOKUP(B31,Worksheet!$C$3:$G$12,5,FALSE),F31)</f>
        <v>0</v>
      </c>
      <c r="G31" s="66" t="s">
        <v>57</v>
      </c>
    </row>
    <row r="32" hidden="1" ht="45" customHeight="1">
      <c r="A32" s="137"/>
      <c r="B32" s="138"/>
      <c r="C32" s="328"/>
      <c r="D32" s="329"/>
      <c r="E32" s="329"/>
      <c r="F32" s="330"/>
      <c r="G32" s="140"/>
    </row>
    <row r="33" hidden="1" ht="45" customHeight="1">
      <c r="A33" s="137"/>
      <c r="B33" s="95" t="s">
        <v>58</v>
      </c>
      <c r="C33" s="141" t="s">
        <v>110</v>
      </c>
      <c r="D33" s="142"/>
      <c r="E33" s="143"/>
      <c r="F33" s="135">
        <v>0</v>
      </c>
      <c r="G33" s="66" t="s">
        <v>58</v>
      </c>
    </row>
    <row r="34" hidden="1" ht="45" customHeight="1">
      <c r="A34" s="137"/>
      <c r="B34" s="144" t="s">
        <v>93</v>
      </c>
      <c r="C34" s="133" t="s">
        <v>111</v>
      </c>
      <c r="D34" s="92" t="s">
        <v>72</v>
      </c>
      <c r="E34" s="92" t="s">
        <v>73</v>
      </c>
      <c r="F34" s="92" t="s">
        <v>74</v>
      </c>
      <c r="G34" s="66" t="s">
        <v>58</v>
      </c>
    </row>
    <row r="35" hidden="1" ht="45" customHeight="1">
      <c r="A35" s="137"/>
      <c r="B35" s="87">
        <v>451</v>
      </c>
      <c r="C35" s="136" t="s">
        <v>112</v>
      </c>
      <c r="D35" s="78">
        <f>_xlfn.IFNA(VLOOKUP(B35,Worksheet!$C$3:$G$12,3,FALSE),D35)</f>
        <v>0</v>
      </c>
      <c r="E35" s="135">
        <f>_xlfn.IFNA(VLOOKUP(B35,Worksheet!$C$3:$G$12,4,FALSE),E35)</f>
        <v>0</v>
      </c>
      <c r="F35" s="135">
        <f>_xlfn.IFNA(VLOOKUP(B35,Worksheet!$C$3:$G$12,5,FALSE),F35)</f>
        <v>0</v>
      </c>
      <c r="G35" s="66" t="s">
        <v>58</v>
      </c>
    </row>
    <row r="36" hidden="1" ht="45" customHeight="1">
      <c r="A36" s="137"/>
      <c r="B36" s="87">
        <v>452</v>
      </c>
      <c r="C36" s="136" t="s">
        <v>113</v>
      </c>
      <c r="D36" s="78">
        <f>_xlfn.IFNA(VLOOKUP(B36,Worksheet!$C$3:$G$12,3,FALSE),D36)</f>
        <v>0</v>
      </c>
      <c r="E36" s="135">
        <f>_xlfn.IFNA(VLOOKUP(B36,Worksheet!$C$3:$G$12,4,FALSE),E36)</f>
        <v>0</v>
      </c>
      <c r="F36" s="135">
        <f>_xlfn.IFNA(VLOOKUP(B36,Worksheet!$C$3:$G$12,5,FALSE),F36)</f>
        <v>0</v>
      </c>
      <c r="G36" s="66" t="s">
        <v>58</v>
      </c>
    </row>
    <row r="37" hidden="1" ht="45" customHeight="1">
      <c r="A37" s="137"/>
      <c r="B37" s="138"/>
      <c r="C37" s="227"/>
      <c r="D37" s="228"/>
      <c r="E37" s="228"/>
      <c r="F37" s="229"/>
      <c r="G37" s="140"/>
    </row>
    <row r="38" hidden="1" ht="45" customHeight="1" s="75" customFormat="1">
      <c r="A38" s="125"/>
      <c r="B38" s="95" t="s">
        <v>59</v>
      </c>
      <c r="C38" s="141" t="s">
        <v>114</v>
      </c>
      <c r="D38" s="142"/>
      <c r="E38" s="143"/>
      <c r="F38" s="135">
        <v>0</v>
      </c>
      <c r="G38" s="66" t="s">
        <v>59</v>
      </c>
    </row>
    <row r="39" hidden="1" ht="45" customHeight="1" s="75" customFormat="1">
      <c r="A39" s="125"/>
      <c r="B39" s="144" t="s">
        <v>93</v>
      </c>
      <c r="C39" s="145" t="s">
        <v>115</v>
      </c>
      <c r="D39" s="92" t="s">
        <v>72</v>
      </c>
      <c r="E39" s="92" t="s">
        <v>73</v>
      </c>
      <c r="F39" s="92" t="s">
        <v>74</v>
      </c>
      <c r="G39" s="66" t="s">
        <v>59</v>
      </c>
    </row>
    <row r="40" hidden="1" ht="45" customHeight="1" s="75" customFormat="1">
      <c r="A40" s="125"/>
      <c r="B40" s="87">
        <v>251</v>
      </c>
      <c r="C40" s="136" t="s">
        <v>116</v>
      </c>
      <c r="D40" s="78">
        <f>_xlfn.IFNA(VLOOKUP(B40,Worksheet!$C$3:$G$12,3,FALSE),D40)</f>
        <v>0</v>
      </c>
      <c r="E40" s="135">
        <f>_xlfn.IFNA(VLOOKUP(B40,Worksheet!$C$3:$G$12,4,FALSE),E40)</f>
        <v>0</v>
      </c>
      <c r="F40" s="135">
        <f>_xlfn.IFNA(VLOOKUP(B40,Worksheet!$C$3:$G$12,5,FALSE),F40)</f>
        <v>0</v>
      </c>
      <c r="G40" s="66" t="s">
        <v>59</v>
      </c>
    </row>
    <row r="41" hidden="1" ht="45" customHeight="1" s="75" customFormat="1">
      <c r="A41" s="125"/>
      <c r="B41" s="87">
        <v>252</v>
      </c>
      <c r="C41" s="136" t="s">
        <v>117</v>
      </c>
      <c r="D41" s="78">
        <f>_xlfn.IFNA(VLOOKUP(B41,Worksheet!$C$3:$G$12,3,FALSE),D41)</f>
        <v>0</v>
      </c>
      <c r="E41" s="135">
        <f>_xlfn.IFNA(VLOOKUP(B41,Worksheet!$C$3:$G$12,4,FALSE),E41)</f>
        <v>0</v>
      </c>
      <c r="F41" s="135">
        <f>_xlfn.IFNA(VLOOKUP(B41,Worksheet!$C$3:$G$12,5,FALSE),F41)</f>
        <v>0</v>
      </c>
      <c r="G41" s="66" t="s">
        <v>59</v>
      </c>
    </row>
    <row r="42" hidden="1" ht="45" customHeight="1" s="75" customFormat="1">
      <c r="A42" s="125"/>
      <c r="B42" s="72"/>
      <c r="C42" s="331"/>
      <c r="D42" s="332"/>
      <c r="E42" s="332"/>
      <c r="F42" s="333"/>
      <c r="G42" s="66"/>
    </row>
    <row r="43" hidden="1" ht="45" customHeight="1" s="75" customFormat="1">
      <c r="A43" s="125"/>
      <c r="B43" s="72"/>
      <c r="C43" s="321"/>
      <c r="D43" s="323"/>
      <c r="E43" s="323"/>
      <c r="F43" s="324"/>
      <c r="G43" s="66"/>
    </row>
    <row r="44" hidden="1" ht="45" customHeight="1" s="75" customFormat="1">
      <c r="A44" s="125"/>
      <c r="B44" s="84" t="s">
        <v>60</v>
      </c>
      <c r="C44" s="208" t="s">
        <v>118</v>
      </c>
      <c r="D44" s="206"/>
      <c r="E44" s="209"/>
      <c r="F44" s="210">
        <f>_xlfn.IFNA(VLOOKUP(B44,Worksheet!$C$3:$G$12,5,FALSE),F44)</f>
        <v>0</v>
      </c>
      <c r="G44" s="66" t="s">
        <v>60</v>
      </c>
    </row>
    <row r="45" hidden="1" ht="45" customHeight="1" s="75" customFormat="1">
      <c r="A45" s="125"/>
      <c r="B45" s="84" t="s">
        <v>106</v>
      </c>
      <c r="C45" s="145" t="s">
        <v>119</v>
      </c>
      <c r="D45" s="207"/>
      <c r="E45" s="205"/>
      <c r="F45" s="211" t="s">
        <v>120</v>
      </c>
      <c r="G45" s="66" t="s">
        <v>60</v>
      </c>
    </row>
    <row r="46" hidden="1" ht="45" customHeight="1" s="79" customFormat="1">
      <c r="A46" s="125"/>
      <c r="B46" s="87">
        <v>261</v>
      </c>
      <c r="C46" s="136" t="s">
        <v>121</v>
      </c>
      <c r="D46" s="207"/>
      <c r="E46" s="205"/>
      <c r="F46" s="135">
        <f>_xlfn.IFNA(VLOOKUP(B46,Worksheet!$C$3:$G$12,5,FALSE),F46)</f>
        <v>0</v>
      </c>
      <c r="G46" s="66" t="s">
        <v>60</v>
      </c>
    </row>
    <row r="47" hidden="1" ht="45" customHeight="1" s="75" customFormat="1">
      <c r="A47" s="125"/>
      <c r="B47" s="87">
        <v>262</v>
      </c>
      <c r="C47" s="136" t="s">
        <v>122</v>
      </c>
      <c r="D47" s="207"/>
      <c r="E47" s="205"/>
      <c r="F47" s="135">
        <f>_xlfn.IFNA(VLOOKUP(B47,Worksheet!$C$3:$G$12,5,FALSE),F47)</f>
        <v>0</v>
      </c>
      <c r="G47" s="66" t="s">
        <v>60</v>
      </c>
    </row>
    <row r="48" hidden="1" ht="45" customHeight="1" s="75" customFormat="1">
      <c r="A48" s="125"/>
      <c r="B48" s="87">
        <v>263</v>
      </c>
      <c r="C48" s="136" t="s">
        <v>123</v>
      </c>
      <c r="D48" s="207"/>
      <c r="E48" s="205"/>
      <c r="F48" s="135">
        <f>_xlfn.IFNA(VLOOKUP(B48,Worksheet!$C$3:$G$12,5,FALSE),F48)</f>
        <v>0</v>
      </c>
      <c r="G48" s="66" t="s">
        <v>60</v>
      </c>
    </row>
    <row r="49" hidden="1" ht="45" customHeight="1" s="75" customFormat="1">
      <c r="A49" s="125"/>
      <c r="B49" s="72"/>
      <c r="C49" s="321"/>
      <c r="D49" s="322"/>
      <c r="E49" s="323"/>
      <c r="F49" s="324"/>
      <c r="G49" s="76"/>
    </row>
    <row r="50" hidden="1" ht="45" customHeight="1" s="75" customFormat="1">
      <c r="A50" s="125"/>
      <c r="B50" s="84" t="s">
        <v>124</v>
      </c>
      <c r="C50" s="93" t="s">
        <v>125</v>
      </c>
      <c r="D50" s="206"/>
      <c r="E50" s="209"/>
      <c r="F50" s="135">
        <f>_xlfn.IFNA(VLOOKUP(B50,Worksheet!$C$3:$G$12,5,FALSE),F50)</f>
        <v>0</v>
      </c>
      <c r="G50" s="76" t="s">
        <v>61</v>
      </c>
    </row>
    <row r="51" hidden="1" ht="45" customHeight="1" s="75" customFormat="1">
      <c r="A51" s="125"/>
      <c r="B51" s="84" t="s">
        <v>106</v>
      </c>
      <c r="C51" s="145" t="s">
        <v>126</v>
      </c>
      <c r="D51" s="207"/>
      <c r="E51" s="205"/>
      <c r="F51" s="211" t="s">
        <v>120</v>
      </c>
      <c r="G51" s="76" t="s">
        <v>61</v>
      </c>
    </row>
    <row r="52" hidden="1" ht="45" customHeight="1" s="75" customFormat="1">
      <c r="A52" s="125"/>
      <c r="B52" s="87">
        <v>271</v>
      </c>
      <c r="C52" s="136" t="s">
        <v>127</v>
      </c>
      <c r="D52" s="207"/>
      <c r="E52" s="205"/>
      <c r="F52" s="135">
        <f>_xlfn.IFNA(VLOOKUP(B52,Worksheet!$C$3:$G$12,5,FALSE),F52)</f>
        <v>0</v>
      </c>
      <c r="G52" s="76" t="s">
        <v>61</v>
      </c>
    </row>
    <row r="53" hidden="1" ht="45" customHeight="1" s="75" customFormat="1">
      <c r="A53" s="125"/>
      <c r="B53" s="87">
        <v>272</v>
      </c>
      <c r="C53" s="136" t="s">
        <v>122</v>
      </c>
      <c r="D53" s="207"/>
      <c r="E53" s="205"/>
      <c r="F53" s="135">
        <f>_xlfn.IFNA(VLOOKUP(B53,Worksheet!$C$3:$G$12,5,FALSE),F53)</f>
        <v>0</v>
      </c>
      <c r="G53" s="76" t="s">
        <v>61</v>
      </c>
    </row>
    <row r="54" hidden="1" ht="45" customHeight="1" s="75" customFormat="1">
      <c r="A54" s="125"/>
      <c r="B54" s="72"/>
      <c r="C54" s="321"/>
      <c r="D54" s="323"/>
      <c r="E54" s="323"/>
      <c r="F54" s="324"/>
      <c r="G54" s="76"/>
    </row>
    <row r="55" hidden="1" ht="45" customHeight="1" s="75" customFormat="1">
      <c r="A55" s="125"/>
      <c r="B55" s="84" t="s">
        <v>62</v>
      </c>
      <c r="C55" s="93" t="s">
        <v>128</v>
      </c>
      <c r="D55" s="86"/>
      <c r="E55" s="90"/>
      <c r="F55" s="135">
        <f>_xlfn.IFNA(VLOOKUP(B55,Worksheet!$C$3:$G$12,5,FALSE),F55)</f>
        <v>0</v>
      </c>
      <c r="G55" s="76" t="s">
        <v>62</v>
      </c>
    </row>
    <row r="56" hidden="1" ht="45" customHeight="1" s="75" customFormat="1">
      <c r="A56" s="125"/>
      <c r="B56" s="84" t="s">
        <v>106</v>
      </c>
      <c r="C56" s="145" t="s">
        <v>129</v>
      </c>
      <c r="D56" s="207"/>
      <c r="E56" s="205"/>
      <c r="F56" s="211" t="s">
        <v>120</v>
      </c>
      <c r="G56" s="76" t="s">
        <v>62</v>
      </c>
    </row>
    <row r="57" hidden="1" ht="45" customHeight="1" s="75" customFormat="1">
      <c r="A57" s="125"/>
      <c r="B57" s="87">
        <v>281</v>
      </c>
      <c r="C57" s="136" t="s">
        <v>130</v>
      </c>
      <c r="D57" s="207"/>
      <c r="E57" s="205"/>
      <c r="F57" s="135">
        <f>_xlfn.IFNA(VLOOKUP(B57,Worksheet!$C$3:$G$12,5,FALSE),F57)</f>
        <v>0</v>
      </c>
      <c r="G57" s="76" t="s">
        <v>62</v>
      </c>
    </row>
    <row r="58" hidden="1" ht="45" customHeight="1" s="75" customFormat="1">
      <c r="A58" s="125"/>
      <c r="B58" s="87">
        <v>282</v>
      </c>
      <c r="C58" s="136" t="s">
        <v>131</v>
      </c>
      <c r="D58" s="207"/>
      <c r="E58" s="205"/>
      <c r="F58" s="135">
        <f>_xlfn.IFNA(VLOOKUP(B58,Worksheet!$C$3:$G$12,5,FALSE),F58)</f>
        <v>0</v>
      </c>
      <c r="G58" s="76" t="s">
        <v>62</v>
      </c>
    </row>
    <row r="59" hidden="1" ht="51" customHeight="1" s="75" customFormat="1">
      <c r="A59" s="125"/>
      <c r="B59" s="325"/>
      <c r="C59" s="326"/>
      <c r="D59" s="326"/>
      <c r="E59" s="326"/>
      <c r="F59" s="327"/>
      <c r="G59" s="76"/>
    </row>
    <row r="60" hidden="1" ht="45" customHeight="1" s="75" customFormat="1">
      <c r="A60" s="125"/>
      <c r="B60" s="84" t="s">
        <v>132</v>
      </c>
      <c r="C60" s="93" t="s">
        <v>133</v>
      </c>
      <c r="D60" s="86"/>
      <c r="E60" s="90"/>
      <c r="F60" s="135">
        <f>_xlfn.IFNA(VLOOKUP(B60,Worksheet!$C$3:$G$12,5,FALSE),F60)</f>
        <v>0</v>
      </c>
      <c r="G60" s="146" t="s">
        <v>132</v>
      </c>
    </row>
    <row r="61" hidden="1" ht="45" customHeight="1">
      <c r="A61" s="125"/>
      <c r="B61" s="84" t="s">
        <v>106</v>
      </c>
      <c r="C61" s="145" t="s">
        <v>134</v>
      </c>
      <c r="D61" s="92" t="s">
        <v>135</v>
      </c>
      <c r="E61" s="92" t="s">
        <v>136</v>
      </c>
      <c r="F61" s="92" t="s">
        <v>137</v>
      </c>
      <c r="G61" s="146" t="s">
        <v>132</v>
      </c>
    </row>
    <row r="62" hidden="1" ht="45" customHeight="1">
      <c r="A62" s="125"/>
      <c r="B62" s="87">
        <v>291</v>
      </c>
      <c r="C62" s="136" t="s">
        <v>138</v>
      </c>
      <c r="D62" s="78">
        <f>_xlfn.IFNA(VLOOKUP(B62,Worksheet!$C$3:$G$12,3,FALSE),D62)</f>
        <v>0</v>
      </c>
      <c r="E62" s="135">
        <f>_xlfn.IFNA(VLOOKUP(B62,Worksheet!$C$3:$G$12,4,FALSE),E62)</f>
        <v>0</v>
      </c>
      <c r="F62" s="135">
        <f>_xlfn.IFNA(VLOOKUP(B62,Worksheet!$C$3:$G$12,5,FALSE),F62)</f>
        <v>0</v>
      </c>
      <c r="G62" s="146" t="s">
        <v>132</v>
      </c>
    </row>
    <row r="63" hidden="1" ht="45" customHeight="1">
      <c r="B63" s="87">
        <v>292</v>
      </c>
      <c r="C63" s="136" t="s">
        <v>139</v>
      </c>
      <c r="D63" s="78">
        <f>_xlfn.IFNA(VLOOKUP(B63,Worksheet!$C$3:$G$12,3,FALSE),D63)</f>
        <v>0</v>
      </c>
      <c r="E63" s="135">
        <f>_xlfn.IFNA(VLOOKUP(B63,Worksheet!$C$3:$G$12,4,FALSE),E63)</f>
        <v>0</v>
      </c>
      <c r="F63" s="135">
        <f>_xlfn.IFNA(VLOOKUP(B63,Worksheet!$C$3:$G$12,5,FALSE),F63)</f>
        <v>0</v>
      </c>
      <c r="G63" s="146" t="s">
        <v>132</v>
      </c>
    </row>
    <row r="64" hidden="1" ht="45" customHeight="1">
      <c r="A64" s="125"/>
      <c r="B64" s="138"/>
      <c r="C64" s="156"/>
      <c r="D64" s="153"/>
      <c r="E64" s="153"/>
      <c r="F64" s="153"/>
      <c r="G64" s="140"/>
    </row>
    <row r="65" hidden="1" ht="45" customHeight="1">
      <c r="A65" s="125"/>
      <c r="B65" s="84" t="s">
        <v>63</v>
      </c>
      <c r="C65" s="93" t="s">
        <v>140</v>
      </c>
      <c r="D65" s="207"/>
      <c r="E65" s="205"/>
      <c r="F65" s="153">
        <v>0</v>
      </c>
      <c r="G65" s="140" t="s">
        <v>63</v>
      </c>
    </row>
    <row r="66" hidden="1" ht="45" customHeight="1">
      <c r="A66" s="125"/>
      <c r="B66" s="84" t="s">
        <v>106</v>
      </c>
      <c r="C66" s="145" t="s">
        <v>141</v>
      </c>
      <c r="D66" s="207"/>
      <c r="E66" s="205"/>
      <c r="F66" s="211" t="s">
        <v>142</v>
      </c>
      <c r="G66" s="140" t="s">
        <v>63</v>
      </c>
    </row>
    <row r="67" hidden="1" ht="45" customHeight="1">
      <c r="A67" s="125"/>
      <c r="B67" s="87">
        <v>4101</v>
      </c>
      <c r="C67" s="136" t="s">
        <v>143</v>
      </c>
      <c r="D67" s="207"/>
      <c r="E67" s="205"/>
      <c r="F67" s="153">
        <v>0</v>
      </c>
      <c r="G67" s="140" t="s">
        <v>63</v>
      </c>
    </row>
    <row r="68" hidden="1" ht="45" customHeight="1">
      <c r="A68" s="125"/>
      <c r="B68" s="87">
        <v>4102</v>
      </c>
      <c r="C68" s="136" t="s">
        <v>144</v>
      </c>
      <c r="D68" s="207"/>
      <c r="E68" s="205"/>
      <c r="F68" s="153">
        <v>0</v>
      </c>
      <c r="G68" s="140" t="s">
        <v>63</v>
      </c>
    </row>
    <row r="69" hidden="1" ht="45" customHeight="1">
      <c r="A69" s="125"/>
      <c r="B69" s="87">
        <v>4103</v>
      </c>
      <c r="C69" s="136" t="s">
        <v>145</v>
      </c>
      <c r="D69" s="207"/>
      <c r="E69" s="205"/>
      <c r="F69" s="153">
        <v>0</v>
      </c>
      <c r="G69" s="140" t="s">
        <v>63</v>
      </c>
    </row>
    <row r="70" hidden="1" ht="45" customHeight="1">
      <c r="A70" s="125"/>
      <c r="B70" s="138"/>
      <c r="C70" s="73"/>
      <c r="D70" s="153"/>
      <c r="E70" s="153"/>
      <c r="F70" s="153"/>
      <c r="G70" s="140"/>
    </row>
    <row r="71" hidden="1" ht="45" customHeight="1">
      <c r="A71" s="125"/>
      <c r="B71" s="138"/>
      <c r="C71" s="73"/>
      <c r="D71" s="153"/>
      <c r="E71" s="153"/>
      <c r="F71" s="153"/>
      <c r="G71" s="140"/>
    </row>
    <row r="72" hidden="1" ht="45" customHeight="1">
      <c r="A72" s="125"/>
      <c r="B72" s="138"/>
      <c r="C72" s="73"/>
      <c r="D72" s="153"/>
      <c r="E72" s="153"/>
      <c r="F72" s="153"/>
      <c r="G72" s="140"/>
    </row>
    <row r="73" hidden="1" ht="45" customHeight="1">
      <c r="A73" s="125"/>
      <c r="B73" s="138"/>
      <c r="C73" s="148"/>
      <c r="D73" s="112"/>
      <c r="E73" s="112"/>
      <c r="F73" s="112"/>
      <c r="G73" s="140"/>
    </row>
    <row r="74" hidden="1" ht="45" customHeight="1">
      <c r="A74" s="125"/>
      <c r="B74" s="149"/>
      <c r="C74" s="150"/>
      <c r="D74" s="151"/>
      <c r="E74" s="152"/>
      <c r="F74" s="153"/>
      <c r="G74" s="140"/>
    </row>
    <row r="75" hidden="1" ht="45" customHeight="1">
      <c r="A75" s="125"/>
      <c r="B75" s="149"/>
      <c r="C75" s="154"/>
      <c r="D75" s="155"/>
      <c r="E75" s="155"/>
      <c r="F75" s="155"/>
      <c r="G75" s="140"/>
    </row>
    <row r="76" hidden="1" ht="45" customHeight="1">
      <c r="A76" s="125"/>
      <c r="B76" s="138"/>
      <c r="C76" s="73"/>
      <c r="D76" s="153"/>
      <c r="E76" s="153"/>
      <c r="F76" s="153"/>
      <c r="G76" s="140"/>
    </row>
    <row r="77" hidden="1" ht="45" customHeight="1">
      <c r="A77" s="125"/>
      <c r="B77" s="138"/>
      <c r="C77" s="73"/>
      <c r="D77" s="153"/>
      <c r="E77" s="153"/>
      <c r="F77" s="153"/>
      <c r="G77" s="140"/>
    </row>
    <row r="78" hidden="1" ht="45" customHeight="1">
      <c r="A78" s="125"/>
      <c r="B78" s="138"/>
      <c r="C78" s="73"/>
      <c r="D78" s="153"/>
      <c r="E78" s="153"/>
      <c r="F78" s="153"/>
      <c r="G78" s="140"/>
    </row>
    <row r="79" hidden="1" ht="45" customHeight="1">
      <c r="A79" s="125"/>
      <c r="B79" s="138"/>
      <c r="C79" s="73"/>
      <c r="D79" s="153"/>
      <c r="E79" s="153"/>
      <c r="F79" s="153"/>
      <c r="G79" s="140"/>
    </row>
    <row r="80" hidden="1" ht="45" customHeight="1">
      <c r="A80" s="125"/>
      <c r="B80" s="138"/>
      <c r="C80" s="73"/>
      <c r="D80" s="153"/>
      <c r="E80" s="153"/>
      <c r="F80" s="153"/>
      <c r="G80" s="140"/>
    </row>
    <row r="81" hidden="1" ht="45" customHeight="1">
      <c r="A81" s="125"/>
      <c r="B81" s="138"/>
      <c r="C81" s="73"/>
      <c r="D81" s="153"/>
      <c r="E81" s="153"/>
      <c r="F81" s="153"/>
      <c r="G81" s="140"/>
    </row>
    <row r="82" hidden="1" ht="45" customHeight="1">
      <c r="A82" s="125"/>
      <c r="B82" s="138"/>
      <c r="C82" s="73"/>
      <c r="D82" s="153"/>
      <c r="E82" s="153"/>
      <c r="F82" s="153"/>
      <c r="G82" s="140"/>
    </row>
    <row r="83" hidden="1" ht="45" customHeight="1">
      <c r="A83" s="125"/>
      <c r="B83" s="138"/>
      <c r="C83" s="156"/>
      <c r="D83" s="153"/>
      <c r="E83" s="153"/>
      <c r="F83" s="153"/>
      <c r="G83" s="140"/>
    </row>
    <row r="84" hidden="1" ht="45" customHeight="1">
      <c r="A84" s="125"/>
      <c r="B84" s="138"/>
      <c r="C84" s="73"/>
      <c r="D84" s="153"/>
      <c r="E84" s="153"/>
      <c r="F84" s="153"/>
      <c r="G84" s="140"/>
    </row>
    <row r="85" hidden="1" ht="45" customHeight="1">
      <c r="A85" s="125"/>
      <c r="B85" s="138"/>
      <c r="C85" s="73"/>
      <c r="D85" s="153"/>
      <c r="E85" s="153"/>
      <c r="F85" s="153"/>
      <c r="G85" s="140"/>
    </row>
    <row r="86" hidden="1" ht="45" customHeight="1">
      <c r="A86" s="125"/>
      <c r="B86" s="138"/>
      <c r="C86" s="73"/>
      <c r="D86" s="153"/>
      <c r="E86" s="153"/>
      <c r="F86" s="153"/>
      <c r="G86" s="140"/>
    </row>
    <row r="87" hidden="1" ht="45" customHeight="1">
      <c r="A87" s="125"/>
      <c r="B87" s="138"/>
      <c r="C87" s="73"/>
      <c r="D87" s="153"/>
      <c r="E87" s="153"/>
      <c r="F87" s="153"/>
      <c r="G87" s="140"/>
    </row>
    <row r="88" hidden="1" ht="45" customHeight="1">
      <c r="A88" s="125"/>
      <c r="B88" s="138"/>
      <c r="C88" s="73"/>
      <c r="D88" s="153"/>
      <c r="E88" s="153"/>
      <c r="F88" s="153"/>
      <c r="G88" s="140"/>
    </row>
    <row r="89" hidden="1" ht="45" customHeight="1">
      <c r="A89" s="125"/>
      <c r="B89" s="138"/>
      <c r="C89" s="73"/>
      <c r="D89" s="112"/>
      <c r="E89" s="112"/>
      <c r="F89" s="112"/>
      <c r="G89" s="140"/>
    </row>
    <row r="90" hidden="1" ht="45" customHeight="1">
      <c r="A90" s="125"/>
      <c r="B90" s="147"/>
      <c r="C90" s="150"/>
      <c r="D90" s="151"/>
      <c r="E90" s="152"/>
      <c r="F90" s="112"/>
      <c r="G90" s="140"/>
    </row>
    <row r="91" hidden="1" ht="45" customHeight="1">
      <c r="A91" s="125"/>
      <c r="B91" s="147"/>
      <c r="C91" s="157"/>
      <c r="D91" s="158"/>
      <c r="E91" s="158"/>
      <c r="F91" s="158"/>
      <c r="G91" s="140"/>
    </row>
    <row r="92" hidden="1" ht="45" customHeight="1">
      <c r="A92" s="125"/>
      <c r="B92" s="138"/>
      <c r="C92" s="159"/>
      <c r="D92" s="112"/>
      <c r="E92" s="112"/>
      <c r="F92" s="112"/>
      <c r="G92" s="140"/>
    </row>
    <row r="93" hidden="1" ht="45" customHeight="1">
      <c r="A93" s="125"/>
      <c r="B93" s="138"/>
      <c r="C93" s="73"/>
      <c r="D93" s="112"/>
      <c r="E93" s="112"/>
      <c r="F93" s="112"/>
      <c r="G93" s="140"/>
    </row>
    <row r="94" hidden="1" ht="45" customHeight="1">
      <c r="A94" s="125"/>
      <c r="B94" s="138"/>
      <c r="C94" s="73"/>
      <c r="D94" s="112"/>
      <c r="E94" s="112"/>
      <c r="F94" s="112"/>
      <c r="G94" s="140"/>
    </row>
    <row r="95" hidden="1" ht="45" customHeight="1">
      <c r="A95" s="125"/>
      <c r="B95" s="138"/>
      <c r="C95" s="73"/>
      <c r="D95" s="112"/>
      <c r="E95" s="112"/>
      <c r="F95" s="112"/>
      <c r="G95" s="140"/>
    </row>
    <row r="96" hidden="1" ht="45" customHeight="1">
      <c r="A96" s="125"/>
      <c r="B96" s="138"/>
      <c r="C96" s="73"/>
      <c r="D96" s="112"/>
      <c r="E96" s="112"/>
      <c r="F96" s="112"/>
      <c r="G96" s="140"/>
    </row>
    <row r="97" hidden="1" ht="45" customHeight="1">
      <c r="A97" s="125"/>
      <c r="B97" s="138"/>
      <c r="C97" s="73"/>
      <c r="D97" s="112"/>
      <c r="E97" s="112"/>
      <c r="F97" s="112"/>
      <c r="G97" s="140"/>
    </row>
    <row r="98" hidden="1" ht="45" customHeight="1">
      <c r="A98" s="125"/>
      <c r="B98" s="138"/>
      <c r="C98" s="73"/>
      <c r="D98" s="112"/>
      <c r="E98" s="112"/>
      <c r="F98" s="112"/>
      <c r="G98" s="140"/>
    </row>
    <row r="99" hidden="1" ht="45" customHeight="1">
      <c r="A99" s="125"/>
      <c r="B99" s="138"/>
      <c r="C99" s="73"/>
      <c r="D99" s="112"/>
      <c r="E99" s="112"/>
      <c r="F99" s="112"/>
      <c r="G99" s="140"/>
    </row>
    <row r="100" hidden="1" ht="45" customHeight="1">
      <c r="A100" s="125"/>
      <c r="B100" s="138"/>
      <c r="C100" s="73"/>
      <c r="D100" s="112"/>
      <c r="E100" s="112"/>
      <c r="F100" s="112"/>
      <c r="G100" s="140"/>
    </row>
    <row r="101" hidden="1" ht="45" customHeight="1">
      <c r="A101" s="125"/>
      <c r="B101" s="138"/>
      <c r="C101" s="73"/>
      <c r="D101" s="112"/>
      <c r="E101" s="112"/>
      <c r="F101" s="112"/>
      <c r="G101" s="160"/>
    </row>
    <row r="102" hidden="1" ht="45" customHeight="1">
      <c r="A102" s="125"/>
      <c r="B102" s="147"/>
      <c r="C102" s="150"/>
      <c r="D102" s="151"/>
      <c r="E102" s="152"/>
      <c r="F102" s="112"/>
      <c r="G102" s="160"/>
    </row>
    <row r="103" hidden="1" ht="45" customHeight="1">
      <c r="A103" s="125"/>
      <c r="B103" s="147"/>
      <c r="C103" s="157"/>
      <c r="D103" s="158"/>
      <c r="E103" s="158"/>
      <c r="F103" s="158"/>
      <c r="G103" s="160"/>
    </row>
    <row r="104" hidden="1" ht="45" customHeight="1">
      <c r="A104" s="125"/>
      <c r="B104" s="138"/>
      <c r="C104" s="159"/>
      <c r="D104" s="112"/>
      <c r="E104" s="112"/>
      <c r="F104" s="112"/>
      <c r="G104" s="160"/>
    </row>
    <row r="105" hidden="1" ht="45" customHeight="1">
      <c r="A105" s="125"/>
      <c r="B105" s="138"/>
      <c r="C105" s="73"/>
      <c r="D105" s="112"/>
      <c r="E105" s="112"/>
      <c r="F105" s="112"/>
      <c r="G105" s="160"/>
    </row>
    <row r="106" hidden="1" ht="45" customHeight="1">
      <c r="A106" s="125"/>
      <c r="B106" s="138"/>
      <c r="C106" s="73"/>
      <c r="D106" s="112"/>
      <c r="E106" s="112"/>
      <c r="F106" s="112"/>
      <c r="G106" s="160"/>
    </row>
    <row r="107" hidden="1" ht="45" customHeight="1">
      <c r="A107" s="125"/>
      <c r="B107" s="138"/>
      <c r="C107" s="73"/>
      <c r="D107" s="112"/>
      <c r="E107" s="112"/>
      <c r="F107" s="112"/>
      <c r="G107" s="160"/>
    </row>
    <row r="108" hidden="1" ht="45" customHeight="1">
      <c r="A108" s="125"/>
      <c r="B108" s="138"/>
      <c r="C108" s="73"/>
      <c r="D108" s="112"/>
      <c r="E108" s="112"/>
      <c r="F108" s="112"/>
      <c r="G108" s="160"/>
    </row>
    <row r="109" hidden="1" ht="45" customHeight="1">
      <c r="A109" s="125"/>
      <c r="B109" s="138"/>
      <c r="C109" s="73"/>
      <c r="D109" s="112"/>
      <c r="E109" s="112"/>
      <c r="F109" s="112"/>
      <c r="G109" s="160"/>
    </row>
    <row r="110" hidden="1" ht="45" customHeight="1">
      <c r="A110" s="125"/>
      <c r="B110" s="138"/>
      <c r="C110" s="73"/>
      <c r="D110" s="112"/>
      <c r="E110" s="112"/>
      <c r="F110" s="112"/>
      <c r="G110" s="160"/>
    </row>
    <row r="111" hidden="1" ht="45" customHeight="1">
      <c r="A111" s="125"/>
      <c r="B111" s="138"/>
      <c r="C111" s="73"/>
      <c r="D111" s="112"/>
      <c r="E111" s="112"/>
      <c r="F111" s="112"/>
      <c r="G111" s="160"/>
    </row>
    <row r="112" hidden="1" ht="45" customHeight="1">
      <c r="A112" s="125"/>
      <c r="B112" s="138"/>
      <c r="C112" s="73"/>
      <c r="D112" s="112"/>
      <c r="E112" s="112"/>
      <c r="F112" s="112"/>
      <c r="G112" s="160"/>
    </row>
    <row r="113" hidden="1" ht="45" customHeight="1">
      <c r="A113" s="125"/>
      <c r="B113" s="138"/>
      <c r="C113" s="73"/>
      <c r="D113" s="112"/>
      <c r="E113" s="112"/>
      <c r="F113" s="112"/>
      <c r="G113" s="160"/>
    </row>
    <row r="114" hidden="1" ht="45" customHeight="1">
      <c r="A114" s="125"/>
      <c r="B114" s="147"/>
      <c r="C114" s="150"/>
      <c r="D114" s="151"/>
      <c r="E114" s="152"/>
      <c r="F114" s="112"/>
      <c r="G114" s="160"/>
    </row>
    <row r="115" hidden="1" ht="45" customHeight="1">
      <c r="A115" s="125"/>
      <c r="B115" s="147"/>
      <c r="C115" s="157"/>
      <c r="D115" s="158"/>
      <c r="E115" s="158"/>
      <c r="F115" s="158"/>
      <c r="G115" s="160"/>
    </row>
    <row r="116" hidden="1" ht="45" customHeight="1">
      <c r="A116" s="125"/>
      <c r="B116" s="138"/>
      <c r="C116" s="73"/>
      <c r="D116" s="112"/>
      <c r="E116" s="112"/>
      <c r="F116" s="112"/>
      <c r="G116" s="160"/>
    </row>
    <row r="117" hidden="1" ht="45" customHeight="1">
      <c r="A117" s="125"/>
      <c r="B117" s="138"/>
      <c r="C117" s="73"/>
      <c r="D117" s="112"/>
      <c r="E117" s="112"/>
      <c r="F117" s="112"/>
      <c r="G117" s="160"/>
    </row>
    <row r="118" hidden="1" ht="45" customHeight="1">
      <c r="A118" s="125"/>
      <c r="B118" s="138"/>
      <c r="C118" s="73"/>
      <c r="D118" s="112"/>
      <c r="E118" s="112"/>
      <c r="F118" s="112"/>
      <c r="G118" s="160"/>
    </row>
    <row r="119" hidden="1" ht="45" customHeight="1">
      <c r="A119" s="125"/>
      <c r="B119" s="138"/>
      <c r="C119" s="73"/>
      <c r="D119" s="112"/>
      <c r="E119" s="112"/>
      <c r="F119" s="112"/>
      <c r="G119" s="160"/>
    </row>
    <row r="120" hidden="1" ht="45" customHeight="1">
      <c r="A120" s="125"/>
      <c r="B120" s="138"/>
      <c r="C120" s="73"/>
      <c r="D120" s="112"/>
      <c r="E120" s="112"/>
      <c r="F120" s="112"/>
      <c r="G120" s="160"/>
    </row>
    <row r="121" hidden="1" ht="45" customHeight="1">
      <c r="A121" s="125"/>
      <c r="B121" s="138"/>
      <c r="C121" s="73"/>
      <c r="D121" s="112"/>
      <c r="E121" s="112"/>
      <c r="F121" s="112"/>
      <c r="G121" s="160"/>
    </row>
    <row r="122" hidden="1" ht="45" customHeight="1">
      <c r="A122" s="125"/>
      <c r="B122" s="138"/>
      <c r="C122" s="73"/>
      <c r="D122" s="112"/>
      <c r="E122" s="112"/>
      <c r="F122" s="112"/>
      <c r="G122" s="160"/>
    </row>
    <row r="123" hidden="1" ht="45" customHeight="1">
      <c r="A123" s="125"/>
      <c r="B123" s="138"/>
      <c r="C123" s="73"/>
      <c r="D123" s="112"/>
      <c r="E123" s="112"/>
      <c r="F123" s="112"/>
      <c r="G123" s="160"/>
    </row>
    <row r="124" hidden="1" ht="45" customHeight="1">
      <c r="A124" s="125"/>
      <c r="B124" s="138"/>
      <c r="C124" s="73"/>
      <c r="D124" s="112"/>
      <c r="E124" s="112"/>
      <c r="F124" s="112"/>
      <c r="G124" s="160"/>
    </row>
    <row r="125" hidden="1" ht="45" customHeight="1">
      <c r="A125" s="125"/>
      <c r="B125" s="138"/>
      <c r="C125" s="73"/>
      <c r="D125" s="112"/>
      <c r="E125" s="112"/>
      <c r="F125" s="112"/>
      <c r="G125" s="160"/>
    </row>
    <row r="126" hidden="1" ht="45" customHeight="1">
      <c r="A126" s="125"/>
      <c r="B126" s="138"/>
      <c r="C126" s="73"/>
      <c r="D126" s="112"/>
      <c r="E126" s="112"/>
      <c r="F126" s="112"/>
      <c r="G126" s="160"/>
    </row>
    <row r="127" hidden="1" ht="45" customHeight="1">
      <c r="A127" s="125"/>
      <c r="B127" s="138"/>
      <c r="C127" s="73"/>
      <c r="D127" s="112"/>
      <c r="E127" s="112"/>
      <c r="F127" s="112"/>
      <c r="G127" s="160"/>
    </row>
    <row r="128" hidden="1" ht="45" customHeight="1">
      <c r="A128" s="125"/>
      <c r="B128" s="147"/>
      <c r="C128" s="150"/>
      <c r="D128" s="151"/>
      <c r="E128" s="152"/>
      <c r="F128" s="112"/>
      <c r="G128" s="77"/>
    </row>
    <row r="129" hidden="1" ht="45" customHeight="1">
      <c r="A129" s="125"/>
      <c r="B129" s="138"/>
      <c r="C129" s="157"/>
      <c r="D129" s="158"/>
      <c r="E129" s="158"/>
      <c r="F129" s="158"/>
      <c r="G129" s="77"/>
    </row>
    <row r="130" hidden="1" ht="45" customHeight="1">
      <c r="A130" s="125"/>
      <c r="B130" s="138"/>
      <c r="C130" s="73"/>
      <c r="D130" s="112"/>
      <c r="E130" s="112"/>
      <c r="F130" s="112"/>
      <c r="G130" s="77"/>
    </row>
    <row r="131" hidden="1" ht="45" customHeight="1">
      <c r="A131" s="125"/>
      <c r="B131" s="138"/>
      <c r="C131" s="73"/>
      <c r="D131" s="112"/>
      <c r="E131" s="112"/>
      <c r="F131" s="112"/>
      <c r="G131" s="77"/>
    </row>
    <row r="132" hidden="1" ht="45" customHeight="1">
      <c r="A132" s="125"/>
      <c r="B132" s="138"/>
      <c r="C132" s="73"/>
      <c r="D132" s="112"/>
      <c r="E132" s="112"/>
      <c r="F132" s="112"/>
      <c r="G132" s="77"/>
    </row>
    <row r="133" hidden="1" ht="45" customHeight="1">
      <c r="A133" s="125"/>
      <c r="B133" s="138"/>
      <c r="C133" s="73"/>
      <c r="D133" s="112"/>
      <c r="E133" s="112"/>
      <c r="F133" s="112"/>
      <c r="G133" s="77"/>
    </row>
    <row r="134" hidden="1" ht="45" customHeight="1">
      <c r="A134" s="125"/>
      <c r="B134" s="138"/>
      <c r="C134" s="73"/>
      <c r="D134" s="112"/>
      <c r="E134" s="112"/>
      <c r="F134" s="112"/>
      <c r="G134" s="77"/>
    </row>
    <row r="135" hidden="1" ht="45" customHeight="1">
      <c r="A135" s="125"/>
      <c r="B135" s="138"/>
      <c r="C135" s="73"/>
      <c r="D135" s="112"/>
      <c r="E135" s="112"/>
      <c r="F135" s="112"/>
      <c r="G135" s="77"/>
    </row>
    <row r="136" hidden="1" ht="45" customHeight="1">
      <c r="A136" s="125"/>
      <c r="B136" s="138"/>
      <c r="C136" s="73"/>
      <c r="D136" s="112"/>
      <c r="E136" s="112"/>
      <c r="F136" s="112"/>
      <c r="G136" s="77"/>
    </row>
    <row r="137" hidden="1" ht="45" customHeight="1">
      <c r="A137" s="125"/>
      <c r="B137" s="138"/>
      <c r="C137" s="73"/>
      <c r="D137" s="112"/>
      <c r="E137" s="112"/>
      <c r="F137" s="112"/>
      <c r="G137" s="77"/>
    </row>
    <row r="138" hidden="1" ht="45" customHeight="1">
      <c r="A138" s="125"/>
      <c r="B138" s="138"/>
      <c r="C138" s="73"/>
      <c r="D138" s="112"/>
      <c r="E138" s="112"/>
      <c r="F138" s="112"/>
      <c r="G138" s="77"/>
    </row>
    <row r="139" hidden="1" ht="45" customHeight="1">
      <c r="A139" s="125"/>
      <c r="B139" s="138"/>
      <c r="C139" s="73"/>
      <c r="D139" s="112"/>
      <c r="E139" s="112"/>
      <c r="F139" s="112"/>
      <c r="G139" s="77"/>
    </row>
  </sheetData>
  <sheetProtection algorithmName="SHA-512" hashValue="5x1Dc1n7sV1011GFIi7+ueN14bIllHtAZDRfmfkTSGI7zz4nKqB4OREtvF3kx+6UdG0/fIM8BbpjpNoeDDSIqA==" saltValue="jSefnM8LhwCEwQeIIqOwTA==" spinCount="100000" sheet="1" objects="1" scenarios="1" selectLockedCells="1"/>
  <autoFilter ref="A1:G139">
    <filterColumn colId="6">
      <filters>
        <filter val="HTS_TST"/>
      </filters>
    </filterColumn>
  </autoFilter>
  <mergeCells>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tabSelected="1" view="pageBreakPreview" zoomScale="70" zoomScaleNormal="100" zoomScaleSheetLayoutView="70" workbookViewId="0">
      <selection activeCell="K9" sqref="K9"/>
    </sheetView>
  </sheetViews>
  <sheetFormatPr defaultRowHeight="15" x14ac:dyDescent="0.25"/>
  <cols>
    <col min="1" max="1" width="53.140625" customWidth="1"/>
    <col min="2" max="2" width="11.28515625" customWidth="1"/>
    <col min="4" max="4" width="14.140625" customWidth="1"/>
    <col min="5" max="5" width="15.42578125" customWidth="1"/>
    <col min="6" max="6" width="16.42578125" customWidth="1"/>
    <col min="7" max="7" width="33.42578125" customWidth="1"/>
    <col min="8" max="8" width="14.140625" customWidth="1" style="204"/>
    <col min="9" max="9" hidden="1" width="8.85546875" customWidth="1" style="83"/>
    <col min="10" max="10" width="18.42578125" customWidth="1"/>
    <col min="11" max="11" width="20.7109375" customWidth="1"/>
    <col min="12" max="12" hidden="1" width="8.85546875" customWidth="1"/>
    <col min="13" max="13" width="31.85546875" customWidth="1"/>
    <col min="14" max="14" width="28" customWidth="1"/>
    <col min="15" max="15" width="17.7109375" customWidth="1"/>
    <col min="16" max="16" hidden="1" width="8.85546875" customWidth="1"/>
    <col min="17" max="17" width="17.5703125" customWidth="1"/>
    <col min="18" max="18" width="30.42578125" customWidth="1"/>
    <col min="19" max="19" width="17.85546875" customWidth="1"/>
    <col min="20" max="20" hidden="1" width="8.85546875" customWidth="1"/>
    <col min="21" max="21" width="18.28515625" customWidth="1"/>
    <col min="22" max="22" width="17.28515625" customWidth="1"/>
    <col min="23" max="23" width="17.7109375" customWidth="1"/>
    <col min="24" max="24" width="17.85546875" customWidth="1"/>
    <col min="25" max="25" width="28.140625" customWidth="1"/>
    <col min="26" max="26" width="20" customWidth="1"/>
    <col min="27" max="27" hidden="1" width="14" customWidth="1"/>
    <col min="28" max="28" hidden="1" width="8.7109375" customWidth="1"/>
    <col min="29" max="33" hidden="1" width="8.85546875" customWidth="1"/>
  </cols>
  <sheetData>
    <row r="1" ht="45">
      <c r="A1" s="212" t="s">
        <v>0</v>
      </c>
      <c r="B1" s="212" t="s">
        <v>1</v>
      </c>
      <c r="C1" s="212" t="s">
        <v>2</v>
      </c>
      <c r="D1" s="212" t="s">
        <v>3</v>
      </c>
      <c r="E1" s="212" t="s">
        <v>4</v>
      </c>
      <c r="F1" s="213" t="s">
        <v>5</v>
      </c>
      <c r="G1" s="213" t="s">
        <v>6</v>
      </c>
      <c r="H1" s="213" t="s">
        <v>7</v>
      </c>
      <c r="I1" s="213"/>
      <c r="J1" s="212" t="s">
        <v>8</v>
      </c>
      <c r="K1" s="212" t="s">
        <v>9</v>
      </c>
      <c r="L1" s="212"/>
      <c r="M1" s="212" t="s">
        <v>10</v>
      </c>
      <c r="N1" s="212" t="s">
        <v>11</v>
      </c>
      <c r="O1" s="212" t="s">
        <v>12</v>
      </c>
      <c r="P1" s="212"/>
      <c r="Q1" s="212" t="s">
        <v>13</v>
      </c>
      <c r="R1" s="212" t="s">
        <v>14</v>
      </c>
      <c r="S1" s="212" t="s">
        <v>15</v>
      </c>
      <c r="T1" s="212"/>
      <c r="U1" s="212" t="s">
        <v>16</v>
      </c>
      <c r="V1" s="212" t="s">
        <v>17</v>
      </c>
      <c r="W1" s="212" t="s">
        <v>18</v>
      </c>
      <c r="X1" s="212" t="s">
        <v>19</v>
      </c>
      <c r="Y1" s="212" t="s">
        <v>20</v>
      </c>
      <c r="Z1" s="212" t="s">
        <v>21</v>
      </c>
      <c r="AA1" s="130"/>
      <c r="AC1" s="203"/>
      <c r="AD1" s="203"/>
      <c r="AE1" s="203"/>
      <c r="AF1" s="203"/>
      <c r="AG1" s="203"/>
    </row>
    <row r="2">
      <c r="A2" s="214"/>
      <c r="B2" s="214"/>
      <c r="C2" s="214"/>
      <c r="D2" s="214"/>
      <c r="E2" s="214"/>
      <c r="F2" s="214"/>
      <c r="G2" s="214"/>
      <c r="H2" s="216"/>
      <c r="I2" s="215" t="str">
        <f>IF(H2&lt;&gt;"",G2=H2,"")</f>
      </c>
      <c r="J2" s="214"/>
      <c r="K2" s="217"/>
      <c r="L2" s="215" t="str">
        <f>IF(K2&lt;&gt;"",J2=K2,"")</f>
      </c>
      <c r="M2" s="214"/>
      <c r="N2" s="214"/>
      <c r="O2" s="217"/>
      <c r="P2" s="215" t="str">
        <f>IF(O2&lt;&gt;"",N2=O2,"")</f>
      </c>
      <c r="Q2" s="214"/>
      <c r="R2" s="214"/>
      <c r="S2" s="217"/>
      <c r="T2" s="215" t="str">
        <f>IF(S2&lt;&gt;"",R2=S2,"")</f>
      </c>
      <c r="U2" s="214"/>
      <c r="V2" s="214"/>
      <c r="W2" s="214"/>
      <c r="X2" s="214"/>
      <c r="Y2" s="214"/>
      <c r="Z2" s="217"/>
      <c r="AA2" s="130" t="str">
        <f>IF(Z2&lt;&gt;"",Y2=Z2,"")</f>
      </c>
      <c r="AB2" s="0" t="str">
        <f ref="AB2:AB2" t="array">IF(AND(AA2 &lt;&gt;"", I2&lt;&gt;"",L2&lt;&gt;"",P2&lt;&gt;"",T2&lt;&gt;""), AND(EXACT(AC2:AG2,AC2)),"")</f>
      </c>
      <c r="AC2" s="203" t="str">
        <f>I2</f>
      </c>
      <c r="AD2" s="203" t="str">
        <f>L2</f>
      </c>
      <c r="AE2" s="203" t="str">
        <f>P2</f>
      </c>
      <c r="AF2" s="203" t="str">
        <f>T2</f>
      </c>
      <c r="AG2" s="203" t="str">
        <f>AA2</f>
      </c>
    </row>
    <row r="3">
      <c r="A3" s="214"/>
      <c r="B3" s="214"/>
      <c r="C3" s="214"/>
      <c r="D3" s="214"/>
      <c r="E3" s="214"/>
      <c r="F3" s="214"/>
      <c r="G3" s="214"/>
      <c r="H3" s="216"/>
      <c r="I3" s="215" t="str">
        <f ref="I3:I66" t="shared" si="0">IF(H3&lt;&gt;"",G3=H3,"")</f>
      </c>
      <c r="J3" s="214"/>
      <c r="K3" s="217"/>
      <c r="L3" s="215" t="str">
        <f ref="L3:L66" t="shared" si="1">IF(K3&lt;&gt;"",J3=K3,"")</f>
      </c>
      <c r="M3" s="214"/>
      <c r="N3" s="214"/>
      <c r="O3" s="217"/>
      <c r="P3" s="215" t="str">
        <f ref="P3:P66" t="shared" si="2">IF(O3&lt;&gt;"",N3=O3,"")</f>
      </c>
      <c r="Q3" s="214"/>
      <c r="R3" s="214"/>
      <c r="S3" s="217"/>
      <c r="T3" s="215" t="str">
        <f ref="T3:T66" t="shared" si="3">IF(S3&lt;&gt;"",R3=S3,"")</f>
      </c>
      <c r="U3" s="214"/>
      <c r="V3" s="214"/>
      <c r="W3" s="214"/>
      <c r="X3" s="214"/>
      <c r="Y3" s="214"/>
      <c r="Z3" s="217"/>
      <c r="AA3" s="130" t="str">
        <f ref="AA3:AA66" t="shared" si="4">IF(Z3&lt;&gt;"",Y3=Z3,"")</f>
      </c>
      <c r="AB3" s="0" t="str">
        <f ref="AB3:AB3" t="array">IF(OR(AA3 &lt;&gt;"", I3&lt;&gt;"",L3&lt;&gt;"",P3&lt;&gt;"",T3&lt;&gt;""), AND(EXACT(AC3:AG3,AC3)),"")</f>
      </c>
      <c r="AC3" s="203" t="str">
        <f>I3</f>
      </c>
      <c r="AD3" s="203" t="str">
        <f>L3</f>
      </c>
      <c r="AE3" s="203" t="str">
        <f>P3</f>
      </c>
      <c r="AF3" s="203" t="str">
        <f>T3</f>
      </c>
      <c r="AG3" s="203" t="str">
        <f>AA3</f>
      </c>
    </row>
    <row r="4">
      <c r="A4" s="214"/>
      <c r="B4" s="214"/>
      <c r="C4" s="214"/>
      <c r="D4" s="214"/>
      <c r="E4" s="214"/>
      <c r="F4" s="214"/>
      <c r="G4" s="214"/>
      <c r="H4" s="216"/>
      <c r="I4" s="215" t="str">
        <f t="shared" si="0"/>
      </c>
      <c r="J4" s="214"/>
      <c r="K4" s="217"/>
      <c r="L4" s="215" t="str">
        <f t="shared" si="1"/>
      </c>
      <c r="M4" s="214"/>
      <c r="N4" s="214"/>
      <c r="O4" s="217"/>
      <c r="P4" s="215" t="str">
        <f t="shared" si="2"/>
      </c>
      <c r="Q4" s="214"/>
      <c r="R4" s="214"/>
      <c r="S4" s="217"/>
      <c r="T4" s="215" t="str">
        <f t="shared" si="3"/>
      </c>
      <c r="U4" s="214"/>
      <c r="V4" s="214"/>
      <c r="W4" s="214"/>
      <c r="X4" s="214"/>
      <c r="Y4" s="214"/>
      <c r="Z4" s="217"/>
      <c r="AA4" s="130" t="str">
        <f t="shared" si="4"/>
      </c>
      <c r="AB4" s="0" t="str">
        <f ref="AB4:AB4" t="array">IF(OR(AA4 &lt;&gt;"", I4&lt;&gt;"",L4&lt;&gt;"",P4&lt;&gt;"",T4&lt;&gt;""), AND(EXACT(AC4:AG4,AC4)),"")</f>
      </c>
      <c r="AC4" s="203" t="str">
        <f ref="AC4:AC67" t="shared" si="10">I4</f>
      </c>
      <c r="AD4" s="203" t="str">
        <f ref="AD4:AD67" t="shared" si="11">L4</f>
      </c>
      <c r="AE4" s="203" t="str">
        <f ref="AE4:AE67" t="shared" si="12">P4</f>
      </c>
      <c r="AF4" s="203" t="str">
        <f ref="AF4:AF67" t="shared" si="13">T4</f>
      </c>
      <c r="AG4" s="203" t="str">
        <f ref="AG4:AG67" t="shared" si="14">AA4</f>
      </c>
    </row>
    <row r="5">
      <c r="A5" s="214"/>
      <c r="B5" s="214"/>
      <c r="C5" s="214"/>
      <c r="D5" s="214"/>
      <c r="E5" s="214"/>
      <c r="F5" s="214"/>
      <c r="G5" s="214"/>
      <c r="H5" s="216"/>
      <c r="I5" s="215" t="str">
        <f t="shared" si="0"/>
      </c>
      <c r="J5" s="214"/>
      <c r="K5" s="217"/>
      <c r="L5" s="215" t="str">
        <f t="shared" si="1"/>
      </c>
      <c r="M5" s="214"/>
      <c r="N5" s="214"/>
      <c r="O5" s="217"/>
      <c r="P5" s="215" t="str">
        <f t="shared" si="2"/>
      </c>
      <c r="Q5" s="214"/>
      <c r="R5" s="214"/>
      <c r="S5" s="217"/>
      <c r="T5" s="215" t="str">
        <f t="shared" si="3"/>
      </c>
      <c r="U5" s="214"/>
      <c r="V5" s="214"/>
      <c r="W5" s="214"/>
      <c r="X5" s="214"/>
      <c r="Y5" s="214"/>
      <c r="Z5" s="217"/>
      <c r="AA5" s="130" t="str">
        <f t="shared" si="4"/>
      </c>
      <c r="AB5" s="0" t="str">
        <f ref="AB5:AB5" t="array">IF(OR(AA5 &lt;&gt;"", I5&lt;&gt;"",L5&lt;&gt;"",P5&lt;&gt;"",T5&lt;&gt;""), AND(EXACT(AC5:AG5,AC5)),"")</f>
      </c>
      <c r="AC5" s="203" t="str">
        <f t="shared" si="10"/>
      </c>
      <c r="AD5" s="203" t="str">
        <f t="shared" si="11"/>
      </c>
      <c r="AE5" s="203" t="str">
        <f t="shared" si="12"/>
      </c>
      <c r="AF5" s="203" t="str">
        <f t="shared" si="13"/>
      </c>
      <c r="AG5" s="203" t="str">
        <f t="shared" si="14"/>
      </c>
    </row>
    <row r="6">
      <c r="A6" s="214"/>
      <c r="B6" s="214"/>
      <c r="C6" s="214"/>
      <c r="D6" s="214"/>
      <c r="E6" s="214"/>
      <c r="F6" s="214"/>
      <c r="G6" s="214"/>
      <c r="H6" s="216"/>
      <c r="I6" s="215" t="str">
        <f t="shared" si="0"/>
      </c>
      <c r="J6" s="214"/>
      <c r="K6" s="217"/>
      <c r="L6" s="215" t="str">
        <f t="shared" si="1"/>
      </c>
      <c r="M6" s="214"/>
      <c r="N6" s="214"/>
      <c r="O6" s="217"/>
      <c r="P6" s="215" t="str">
        <f t="shared" si="2"/>
      </c>
      <c r="Q6" s="214"/>
      <c r="R6" s="214"/>
      <c r="S6" s="217"/>
      <c r="T6" s="215" t="str">
        <f t="shared" si="3"/>
      </c>
      <c r="U6" s="214"/>
      <c r="V6" s="214"/>
      <c r="W6" s="214"/>
      <c r="X6" s="214"/>
      <c r="Y6" s="214"/>
      <c r="Z6" s="217"/>
      <c r="AA6" s="130" t="str">
        <f t="shared" si="4"/>
      </c>
      <c r="AB6" s="0" t="str">
        <f ref="AB6:AB6" t="array">IF(OR(AA6 &lt;&gt;"", I6&lt;&gt;"",L6&lt;&gt;"",P6&lt;&gt;"",T6&lt;&gt;""), AND(EXACT(AC6:AG6,AC6)),"")</f>
      </c>
      <c r="AC6" s="203" t="str">
        <f t="shared" si="10"/>
      </c>
      <c r="AD6" s="203" t="str">
        <f t="shared" si="11"/>
      </c>
      <c r="AE6" s="203" t="str">
        <f t="shared" si="12"/>
      </c>
      <c r="AF6" s="203" t="str">
        <f t="shared" si="13"/>
      </c>
      <c r="AG6" s="203" t="str">
        <f t="shared" si="14"/>
      </c>
    </row>
    <row r="7">
      <c r="A7" s="214"/>
      <c r="B7" s="214"/>
      <c r="C7" s="214"/>
      <c r="D7" s="214"/>
      <c r="E7" s="214"/>
      <c r="F7" s="214"/>
      <c r="G7" s="214"/>
      <c r="H7" s="216"/>
      <c r="I7" s="215" t="str">
        <f t="shared" si="0"/>
      </c>
      <c r="J7" s="214"/>
      <c r="K7" s="217"/>
      <c r="L7" s="215" t="str">
        <f t="shared" si="1"/>
      </c>
      <c r="M7" s="214"/>
      <c r="N7" s="214"/>
      <c r="O7" s="217"/>
      <c r="P7" s="215" t="str">
        <f t="shared" si="2"/>
      </c>
      <c r="Q7" s="214"/>
      <c r="R7" s="214"/>
      <c r="S7" s="217"/>
      <c r="T7" s="215" t="str">
        <f t="shared" si="3"/>
      </c>
      <c r="U7" s="214"/>
      <c r="V7" s="214"/>
      <c r="W7" s="214"/>
      <c r="X7" s="214"/>
      <c r="Y7" s="214"/>
      <c r="Z7" s="217"/>
      <c r="AA7" s="130" t="str">
        <f t="shared" si="4"/>
      </c>
      <c r="AB7" s="0" t="str">
        <f ref="AB7:AB7" t="array">IF(OR(AA7 &lt;&gt;"", I7&lt;&gt;"",L7&lt;&gt;"",P7&lt;&gt;"",T7&lt;&gt;""), AND(EXACT(AC7:AG7,AC7)),"")</f>
      </c>
      <c r="AC7" s="203" t="str">
        <f t="shared" si="10"/>
      </c>
      <c r="AD7" s="203" t="str">
        <f t="shared" si="11"/>
      </c>
      <c r="AE7" s="203" t="str">
        <f t="shared" si="12"/>
      </c>
      <c r="AF7" s="203" t="str">
        <f t="shared" si="13"/>
      </c>
      <c r="AG7" s="203" t="str">
        <f t="shared" si="14"/>
      </c>
    </row>
    <row r="8">
      <c r="A8" s="214"/>
      <c r="B8" s="214"/>
      <c r="C8" s="214"/>
      <c r="D8" s="214"/>
      <c r="E8" s="214"/>
      <c r="F8" s="214"/>
      <c r="G8" s="214"/>
      <c r="H8" s="216"/>
      <c r="I8" s="215" t="str">
        <f t="shared" si="0"/>
      </c>
      <c r="J8" s="214"/>
      <c r="K8" s="217"/>
      <c r="L8" s="215" t="str">
        <f t="shared" si="1"/>
      </c>
      <c r="M8" s="214"/>
      <c r="N8" s="214"/>
      <c r="O8" s="217"/>
      <c r="P8" s="215" t="str">
        <f t="shared" si="2"/>
      </c>
      <c r="Q8" s="214"/>
      <c r="R8" s="214"/>
      <c r="S8" s="217"/>
      <c r="T8" s="215" t="str">
        <f t="shared" si="3"/>
      </c>
      <c r="U8" s="214"/>
      <c r="V8" s="214"/>
      <c r="W8" s="214"/>
      <c r="X8" s="214"/>
      <c r="Y8" s="214"/>
      <c r="Z8" s="217"/>
      <c r="AA8" s="130" t="str">
        <f t="shared" si="4"/>
      </c>
      <c r="AB8" s="0" t="str">
        <f ref="AB8:AB8" t="array">IF(OR(AA8 &lt;&gt;"", I8&lt;&gt;"",L8&lt;&gt;"",P8&lt;&gt;"",T8&lt;&gt;""), AND(EXACT(AC8:AG8,AC8)),"")</f>
      </c>
      <c r="AC8" s="203" t="str">
        <f t="shared" si="10"/>
      </c>
      <c r="AD8" s="203" t="str">
        <f t="shared" si="11"/>
      </c>
      <c r="AE8" s="203" t="str">
        <f t="shared" si="12"/>
      </c>
      <c r="AF8" s="203" t="str">
        <f t="shared" si="13"/>
      </c>
      <c r="AG8" s="203" t="str">
        <f t="shared" si="14"/>
      </c>
    </row>
    <row r="9">
      <c r="A9" s="214"/>
      <c r="B9" s="214"/>
      <c r="C9" s="214"/>
      <c r="D9" s="214"/>
      <c r="E9" s="214"/>
      <c r="F9" s="214"/>
      <c r="G9" s="214"/>
      <c r="H9" s="216"/>
      <c r="I9" s="215" t="str">
        <f t="shared" si="0"/>
      </c>
      <c r="J9" s="214"/>
      <c r="K9" s="217"/>
      <c r="L9" s="215" t="str">
        <f t="shared" si="1"/>
      </c>
      <c r="M9" s="214"/>
      <c r="N9" s="214"/>
      <c r="O9" s="217"/>
      <c r="P9" s="215" t="str">
        <f t="shared" si="2"/>
      </c>
      <c r="Q9" s="214"/>
      <c r="R9" s="214"/>
      <c r="S9" s="217"/>
      <c r="T9" s="215" t="str">
        <f t="shared" si="3"/>
      </c>
      <c r="U9" s="214"/>
      <c r="V9" s="214"/>
      <c r="W9" s="214"/>
      <c r="X9" s="214"/>
      <c r="Y9" s="214"/>
      <c r="Z9" s="217"/>
      <c r="AA9" s="130" t="str">
        <f t="shared" si="4"/>
      </c>
      <c r="AB9" s="0" t="str">
        <f ref="AB9:AB9" t="array">IF(OR(AA9 &lt;&gt;"", I9&lt;&gt;"",L9&lt;&gt;"",P9&lt;&gt;"",T9&lt;&gt;""), AND(EXACT(AC9:AG9,AC9)),"")</f>
      </c>
      <c r="AC9" s="203" t="str">
        <f t="shared" si="10"/>
      </c>
      <c r="AD9" s="203" t="str">
        <f t="shared" si="11"/>
      </c>
      <c r="AE9" s="203" t="str">
        <f t="shared" si="12"/>
      </c>
      <c r="AF9" s="203" t="str">
        <f t="shared" si="13"/>
      </c>
      <c r="AG9" s="203" t="str">
        <f t="shared" si="14"/>
      </c>
    </row>
    <row r="10">
      <c r="A10" s="214"/>
      <c r="B10" s="214"/>
      <c r="C10" s="214"/>
      <c r="D10" s="214"/>
      <c r="E10" s="214"/>
      <c r="F10" s="214"/>
      <c r="G10" s="214"/>
      <c r="H10" s="216"/>
      <c r="I10" s="215" t="str">
        <f t="shared" si="0"/>
      </c>
      <c r="J10" s="214"/>
      <c r="K10" s="217"/>
      <c r="L10" s="215" t="str">
        <f t="shared" si="1"/>
      </c>
      <c r="M10" s="214"/>
      <c r="N10" s="214"/>
      <c r="O10" s="217"/>
      <c r="P10" s="215" t="str">
        <f t="shared" si="2"/>
      </c>
      <c r="Q10" s="214"/>
      <c r="R10" s="214"/>
      <c r="S10" s="217"/>
      <c r="T10" s="215" t="str">
        <f t="shared" si="3"/>
      </c>
      <c r="U10" s="214"/>
      <c r="V10" s="214"/>
      <c r="W10" s="214"/>
      <c r="X10" s="214"/>
      <c r="Y10" s="214"/>
      <c r="Z10" s="217"/>
      <c r="AA10" s="130" t="str">
        <f t="shared" si="4"/>
      </c>
      <c r="AB10" s="0" t="str">
        <f ref="AB10:AB10" t="array">IF(OR(AA10 &lt;&gt;"", I10&lt;&gt;"",L10&lt;&gt;"",P10&lt;&gt;"",T10&lt;&gt;""), AND(EXACT(AC10:AG10,AC10)),"")</f>
      </c>
      <c r="AC10" s="203" t="str">
        <f t="shared" si="10"/>
      </c>
      <c r="AD10" s="203" t="str">
        <f t="shared" si="11"/>
      </c>
      <c r="AE10" s="203" t="str">
        <f t="shared" si="12"/>
      </c>
      <c r="AF10" s="203" t="str">
        <f t="shared" si="13"/>
      </c>
      <c r="AG10" s="203" t="str">
        <f t="shared" si="14"/>
      </c>
    </row>
    <row r="11">
      <c r="A11" s="214"/>
      <c r="B11" s="214"/>
      <c r="C11" s="214"/>
      <c r="D11" s="214"/>
      <c r="E11" s="214"/>
      <c r="F11" s="214"/>
      <c r="G11" s="214"/>
      <c r="H11" s="216"/>
      <c r="I11" s="215" t="str">
        <f t="shared" si="0"/>
      </c>
      <c r="J11" s="214"/>
      <c r="K11" s="217"/>
      <c r="L11" s="215" t="str">
        <f t="shared" si="1"/>
      </c>
      <c r="M11" s="214"/>
      <c r="N11" s="214"/>
      <c r="O11" s="217"/>
      <c r="P11" s="215" t="str">
        <f t="shared" si="2"/>
      </c>
      <c r="Q11" s="214"/>
      <c r="R11" s="214"/>
      <c r="S11" s="217"/>
      <c r="T11" s="215" t="str">
        <f t="shared" si="3"/>
      </c>
      <c r="U11" s="214"/>
      <c r="V11" s="214"/>
      <c r="W11" s="214"/>
      <c r="X11" s="214"/>
      <c r="Y11" s="214"/>
      <c r="Z11" s="217"/>
      <c r="AA11" s="130" t="str">
        <f t="shared" si="4"/>
      </c>
      <c r="AB11" s="0" t="str">
        <f ref="AB11:AB11" t="array">IF(OR(AA11 &lt;&gt;"", I11&lt;&gt;"",L11&lt;&gt;"",P11&lt;&gt;"",T11&lt;&gt;""), AND(EXACT(AC11:AG11,AC11)),"")</f>
      </c>
      <c r="AC11" s="203" t="str">
        <f t="shared" si="10"/>
      </c>
      <c r="AD11" s="203" t="str">
        <f t="shared" si="11"/>
      </c>
      <c r="AE11" s="203" t="str">
        <f t="shared" si="12"/>
      </c>
      <c r="AF11" s="203" t="str">
        <f t="shared" si="13"/>
      </c>
      <c r="AG11" s="203" t="str">
        <f t="shared" si="14"/>
      </c>
    </row>
    <row r="12">
      <c r="A12" s="214"/>
      <c r="B12" s="214"/>
      <c r="C12" s="214"/>
      <c r="D12" s="214"/>
      <c r="E12" s="214"/>
      <c r="F12" s="214"/>
      <c r="G12" s="214"/>
      <c r="H12" s="216"/>
      <c r="I12" s="215" t="str">
        <f t="shared" si="0"/>
      </c>
      <c r="J12" s="214"/>
      <c r="K12" s="217"/>
      <c r="L12" s="215" t="str">
        <f t="shared" si="1"/>
      </c>
      <c r="M12" s="214"/>
      <c r="N12" s="214"/>
      <c r="O12" s="217"/>
      <c r="P12" s="215" t="str">
        <f t="shared" si="2"/>
      </c>
      <c r="Q12" s="214"/>
      <c r="R12" s="214"/>
      <c r="S12" s="217"/>
      <c r="T12" s="215" t="str">
        <f t="shared" si="3"/>
      </c>
      <c r="U12" s="214"/>
      <c r="V12" s="214"/>
      <c r="W12" s="214"/>
      <c r="X12" s="214"/>
      <c r="Y12" s="214"/>
      <c r="Z12" s="217"/>
      <c r="AA12" s="130" t="str">
        <f t="shared" si="4"/>
      </c>
      <c r="AB12" s="0" t="str">
        <f ref="AB12:AB12" t="array">IF(OR(AA12 &lt;&gt;"", I12&lt;&gt;"",L12&lt;&gt;"",P12&lt;&gt;"",T12&lt;&gt;""), AND(EXACT(AC12:AG12,AC12)),"")</f>
      </c>
      <c r="AC12" s="203" t="str">
        <f t="shared" si="10"/>
      </c>
      <c r="AD12" s="203" t="str">
        <f t="shared" si="11"/>
      </c>
      <c r="AE12" s="203" t="str">
        <f t="shared" si="12"/>
      </c>
      <c r="AF12" s="203" t="str">
        <f t="shared" si="13"/>
      </c>
      <c r="AG12" s="203" t="str">
        <f t="shared" si="14"/>
      </c>
    </row>
    <row r="13">
      <c r="A13" s="214"/>
      <c r="B13" s="214"/>
      <c r="C13" s="214"/>
      <c r="D13" s="214"/>
      <c r="E13" s="214"/>
      <c r="F13" s="214"/>
      <c r="G13" s="214"/>
      <c r="H13" s="216"/>
      <c r="I13" s="215" t="str">
        <f t="shared" si="0"/>
      </c>
      <c r="J13" s="214"/>
      <c r="K13" s="217"/>
      <c r="L13" s="215" t="str">
        <f t="shared" si="1"/>
      </c>
      <c r="M13" s="214"/>
      <c r="N13" s="214"/>
      <c r="O13" s="217"/>
      <c r="P13" s="215" t="str">
        <f t="shared" si="2"/>
      </c>
      <c r="Q13" s="214"/>
      <c r="R13" s="214"/>
      <c r="S13" s="217"/>
      <c r="T13" s="215" t="str">
        <f t="shared" si="3"/>
      </c>
      <c r="U13" s="214"/>
      <c r="V13" s="214"/>
      <c r="W13" s="214"/>
      <c r="X13" s="214"/>
      <c r="Y13" s="214"/>
      <c r="Z13" s="217"/>
      <c r="AA13" s="130" t="str">
        <f t="shared" si="4"/>
      </c>
      <c r="AB13" s="0" t="str">
        <f ref="AB13:AB13" t="array">IF(OR(AA13 &lt;&gt;"", I13&lt;&gt;"",L13&lt;&gt;"",P13&lt;&gt;"",T13&lt;&gt;""), AND(EXACT(AC13:AG13,AC13)),"")</f>
      </c>
      <c r="AC13" s="203" t="str">
        <f t="shared" si="10"/>
      </c>
      <c r="AD13" s="203" t="str">
        <f t="shared" si="11"/>
      </c>
      <c r="AE13" s="203" t="str">
        <f t="shared" si="12"/>
      </c>
      <c r="AF13" s="203" t="str">
        <f t="shared" si="13"/>
      </c>
      <c r="AG13" s="203" t="str">
        <f t="shared" si="14"/>
      </c>
    </row>
    <row r="14">
      <c r="A14" s="214"/>
      <c r="B14" s="214"/>
      <c r="C14" s="214"/>
      <c r="D14" s="214"/>
      <c r="E14" s="214"/>
      <c r="F14" s="214"/>
      <c r="G14" s="214"/>
      <c r="H14" s="216"/>
      <c r="I14" s="215" t="str">
        <f t="shared" si="0"/>
      </c>
      <c r="J14" s="214"/>
      <c r="K14" s="217"/>
      <c r="L14" s="215" t="str">
        <f t="shared" si="1"/>
      </c>
      <c r="M14" s="214"/>
      <c r="N14" s="214"/>
      <c r="O14" s="217"/>
      <c r="P14" s="215" t="str">
        <f t="shared" si="2"/>
      </c>
      <c r="Q14" s="214"/>
      <c r="R14" s="214"/>
      <c r="S14" s="217"/>
      <c r="T14" s="215" t="str">
        <f t="shared" si="3"/>
      </c>
      <c r="U14" s="214"/>
      <c r="V14" s="214"/>
      <c r="W14" s="214"/>
      <c r="X14" s="214"/>
      <c r="Y14" s="214"/>
      <c r="Z14" s="217"/>
      <c r="AA14" s="130" t="str">
        <f t="shared" si="4"/>
      </c>
      <c r="AB14" s="0" t="str">
        <f ref="AB14:AB14" t="array">IF(OR(AA14 &lt;&gt;"", I14&lt;&gt;"",L14&lt;&gt;"",P14&lt;&gt;"",T14&lt;&gt;""), AND(EXACT(AC14:AG14,AC14)),"")</f>
      </c>
      <c r="AC14" s="203" t="str">
        <f t="shared" si="10"/>
      </c>
      <c r="AD14" s="203" t="str">
        <f t="shared" si="11"/>
      </c>
      <c r="AE14" s="203" t="str">
        <f t="shared" si="12"/>
      </c>
      <c r="AF14" s="203" t="str">
        <f t="shared" si="13"/>
      </c>
      <c r="AG14" s="203" t="str">
        <f t="shared" si="14"/>
      </c>
    </row>
    <row r="15">
      <c r="A15" s="214"/>
      <c r="B15" s="214"/>
      <c r="C15" s="214"/>
      <c r="D15" s="214"/>
      <c r="E15" s="214"/>
      <c r="F15" s="214"/>
      <c r="G15" s="214"/>
      <c r="H15" s="216"/>
      <c r="I15" s="215" t="str">
        <f t="shared" si="0"/>
      </c>
      <c r="J15" s="214"/>
      <c r="K15" s="217"/>
      <c r="L15" s="215" t="str">
        <f t="shared" si="1"/>
      </c>
      <c r="M15" s="214"/>
      <c r="N15" s="214"/>
      <c r="O15" s="217"/>
      <c r="P15" s="215" t="str">
        <f t="shared" si="2"/>
      </c>
      <c r="Q15" s="214"/>
      <c r="R15" s="214"/>
      <c r="S15" s="217"/>
      <c r="T15" s="215" t="str">
        <f t="shared" si="3"/>
      </c>
      <c r="U15" s="214"/>
      <c r="V15" s="214"/>
      <c r="W15" s="214"/>
      <c r="X15" s="214"/>
      <c r="Y15" s="214"/>
      <c r="Z15" s="217"/>
      <c r="AA15" s="130" t="str">
        <f t="shared" si="4"/>
      </c>
      <c r="AB15" s="0" t="str">
        <f ref="AB15:AB15" t="array">IF(OR(AA15 &lt;&gt;"", I15&lt;&gt;"",L15&lt;&gt;"",P15&lt;&gt;"",T15&lt;&gt;""), AND(EXACT(AC15:AG15,AC15)),"")</f>
      </c>
      <c r="AC15" s="203" t="str">
        <f t="shared" si="10"/>
      </c>
      <c r="AD15" s="203" t="str">
        <f t="shared" si="11"/>
      </c>
      <c r="AE15" s="203" t="str">
        <f t="shared" si="12"/>
      </c>
      <c r="AF15" s="203" t="str">
        <f t="shared" si="13"/>
      </c>
      <c r="AG15" s="203" t="str">
        <f t="shared" si="14"/>
      </c>
    </row>
    <row r="16">
      <c r="A16" s="214"/>
      <c r="B16" s="214"/>
      <c r="C16" s="214"/>
      <c r="D16" s="214"/>
      <c r="E16" s="214"/>
      <c r="F16" s="214"/>
      <c r="G16" s="214"/>
      <c r="H16" s="216"/>
      <c r="I16" s="215" t="str">
        <f t="shared" si="0"/>
      </c>
      <c r="J16" s="214"/>
      <c r="K16" s="217"/>
      <c r="L16" s="215" t="str">
        <f t="shared" si="1"/>
      </c>
      <c r="M16" s="214"/>
      <c r="N16" s="214"/>
      <c r="O16" s="217"/>
      <c r="P16" s="215" t="str">
        <f t="shared" si="2"/>
      </c>
      <c r="Q16" s="214"/>
      <c r="R16" s="214"/>
      <c r="S16" s="217"/>
      <c r="T16" s="215" t="str">
        <f t="shared" si="3"/>
      </c>
      <c r="U16" s="214"/>
      <c r="V16" s="214"/>
      <c r="W16" s="214"/>
      <c r="X16" s="214"/>
      <c r="Y16" s="214"/>
      <c r="Z16" s="217"/>
      <c r="AA16" s="130" t="str">
        <f t="shared" si="4"/>
      </c>
      <c r="AB16" s="0" t="str">
        <f ref="AB16:AB16" t="array">IF(OR(AA16 &lt;&gt;"", I16&lt;&gt;"",L16&lt;&gt;"",P16&lt;&gt;"",T16&lt;&gt;""), AND(EXACT(AC16:AG16,AC16)),"")</f>
      </c>
      <c r="AC16" s="203" t="str">
        <f t="shared" si="10"/>
      </c>
      <c r="AD16" s="203" t="str">
        <f t="shared" si="11"/>
      </c>
      <c r="AE16" s="203" t="str">
        <f t="shared" si="12"/>
      </c>
      <c r="AF16" s="203" t="str">
        <f t="shared" si="13"/>
      </c>
      <c r="AG16" s="203" t="str">
        <f t="shared" si="14"/>
      </c>
    </row>
    <row r="17">
      <c r="A17" s="214"/>
      <c r="B17" s="214"/>
      <c r="C17" s="214"/>
      <c r="D17" s="214"/>
      <c r="E17" s="214"/>
      <c r="F17" s="214"/>
      <c r="G17" s="214"/>
      <c r="H17" s="216"/>
      <c r="I17" s="215" t="str">
        <f t="shared" si="0"/>
      </c>
      <c r="J17" s="214"/>
      <c r="K17" s="217"/>
      <c r="L17" s="215" t="str">
        <f t="shared" si="1"/>
      </c>
      <c r="M17" s="214"/>
      <c r="N17" s="214"/>
      <c r="O17" s="217"/>
      <c r="P17" s="215" t="str">
        <f t="shared" si="2"/>
      </c>
      <c r="Q17" s="214"/>
      <c r="R17" s="214"/>
      <c r="S17" s="217"/>
      <c r="T17" s="215" t="str">
        <f t="shared" si="3"/>
      </c>
      <c r="U17" s="214"/>
      <c r="V17" s="214"/>
      <c r="W17" s="214"/>
      <c r="X17" s="214"/>
      <c r="Y17" s="214"/>
      <c r="Z17" s="217"/>
      <c r="AA17" s="130" t="str">
        <f t="shared" si="4"/>
      </c>
      <c r="AB17" s="0" t="str">
        <f ref="AB17:AB17" t="array">IF(OR(AA17 &lt;&gt;"", I17&lt;&gt;"",L17&lt;&gt;"",P17&lt;&gt;"",T17&lt;&gt;""), AND(EXACT(AC17:AG17,AC17)),"")</f>
      </c>
      <c r="AC17" s="203" t="str">
        <f t="shared" si="10"/>
      </c>
      <c r="AD17" s="203" t="str">
        <f t="shared" si="11"/>
      </c>
      <c r="AE17" s="203" t="str">
        <f t="shared" si="12"/>
      </c>
      <c r="AF17" s="203" t="str">
        <f t="shared" si="13"/>
      </c>
      <c r="AG17" s="203" t="str">
        <f t="shared" si="14"/>
      </c>
    </row>
    <row r="18">
      <c r="A18" s="214"/>
      <c r="B18" s="214"/>
      <c r="C18" s="214"/>
      <c r="D18" s="214"/>
      <c r="E18" s="214"/>
      <c r="F18" s="214"/>
      <c r="G18" s="214"/>
      <c r="H18" s="216"/>
      <c r="I18" s="215" t="str">
        <f t="shared" si="0"/>
      </c>
      <c r="J18" s="214"/>
      <c r="K18" s="217"/>
      <c r="L18" s="215" t="str">
        <f t="shared" si="1"/>
      </c>
      <c r="M18" s="214"/>
      <c r="N18" s="214"/>
      <c r="O18" s="217"/>
      <c r="P18" s="215" t="str">
        <f t="shared" si="2"/>
      </c>
      <c r="Q18" s="214"/>
      <c r="R18" s="214"/>
      <c r="S18" s="217"/>
      <c r="T18" s="215" t="str">
        <f t="shared" si="3"/>
      </c>
      <c r="U18" s="214"/>
      <c r="V18" s="214"/>
      <c r="W18" s="214"/>
      <c r="X18" s="214"/>
      <c r="Y18" s="214"/>
      <c r="Z18" s="217"/>
      <c r="AA18" s="130" t="str">
        <f t="shared" si="4"/>
      </c>
      <c r="AB18" s="0" t="str">
        <f ref="AB18:AB18" t="array">IF(OR(AA18 &lt;&gt;"", I18&lt;&gt;"",L18&lt;&gt;"",P18&lt;&gt;"",T18&lt;&gt;""), AND(EXACT(AC18:AG18,AC18)),"")</f>
      </c>
      <c r="AC18" s="203" t="str">
        <f t="shared" si="10"/>
      </c>
      <c r="AD18" s="203" t="str">
        <f t="shared" si="11"/>
      </c>
      <c r="AE18" s="203" t="str">
        <f t="shared" si="12"/>
      </c>
      <c r="AF18" s="203" t="str">
        <f t="shared" si="13"/>
      </c>
      <c r="AG18" s="203" t="str">
        <f t="shared" si="14"/>
      </c>
    </row>
    <row r="19">
      <c r="A19" s="214"/>
      <c r="B19" s="214"/>
      <c r="C19" s="214"/>
      <c r="D19" s="214"/>
      <c r="E19" s="214"/>
      <c r="F19" s="214"/>
      <c r="G19" s="214"/>
      <c r="H19" s="216"/>
      <c r="I19" s="215" t="str">
        <f t="shared" si="0"/>
      </c>
      <c r="J19" s="214"/>
      <c r="K19" s="217"/>
      <c r="L19" s="215" t="str">
        <f t="shared" si="1"/>
      </c>
      <c r="M19" s="214"/>
      <c r="N19" s="214"/>
      <c r="O19" s="217"/>
      <c r="P19" s="215" t="str">
        <f t="shared" si="2"/>
      </c>
      <c r="Q19" s="214"/>
      <c r="R19" s="214"/>
      <c r="S19" s="217"/>
      <c r="T19" s="215" t="str">
        <f t="shared" si="3"/>
      </c>
      <c r="U19" s="214"/>
      <c r="V19" s="214"/>
      <c r="W19" s="214"/>
      <c r="X19" s="214"/>
      <c r="Y19" s="214"/>
      <c r="Z19" s="217"/>
      <c r="AA19" s="130" t="str">
        <f t="shared" si="4"/>
      </c>
      <c r="AB19" s="0" t="str">
        <f ref="AB19:AB19" t="array">IF(OR(AA19 &lt;&gt;"", I19&lt;&gt;"",L19&lt;&gt;"",P19&lt;&gt;"",T19&lt;&gt;""), AND(EXACT(AC19:AG19,AC19)),"")</f>
      </c>
      <c r="AC19" s="203" t="str">
        <f t="shared" si="10"/>
      </c>
      <c r="AD19" s="203" t="str">
        <f t="shared" si="11"/>
      </c>
      <c r="AE19" s="203" t="str">
        <f t="shared" si="12"/>
      </c>
      <c r="AF19" s="203" t="str">
        <f t="shared" si="13"/>
      </c>
      <c r="AG19" s="203" t="str">
        <f t="shared" si="14"/>
      </c>
    </row>
    <row r="20">
      <c r="A20" s="214"/>
      <c r="B20" s="214"/>
      <c r="C20" s="214"/>
      <c r="D20" s="214"/>
      <c r="E20" s="214"/>
      <c r="F20" s="214"/>
      <c r="G20" s="214"/>
      <c r="H20" s="216"/>
      <c r="I20" s="215" t="str">
        <f t="shared" si="0"/>
      </c>
      <c r="J20" s="214"/>
      <c r="K20" s="217"/>
      <c r="L20" s="215" t="str">
        <f t="shared" si="1"/>
      </c>
      <c r="M20" s="214"/>
      <c r="N20" s="214"/>
      <c r="O20" s="217"/>
      <c r="P20" s="215" t="str">
        <f t="shared" si="2"/>
      </c>
      <c r="Q20" s="214"/>
      <c r="R20" s="214"/>
      <c r="S20" s="217"/>
      <c r="T20" s="215" t="str">
        <f t="shared" si="3"/>
      </c>
      <c r="U20" s="214"/>
      <c r="V20" s="214"/>
      <c r="W20" s="214"/>
      <c r="X20" s="214"/>
      <c r="Y20" s="214"/>
      <c r="Z20" s="217"/>
      <c r="AA20" s="130" t="str">
        <f t="shared" si="4"/>
      </c>
      <c r="AB20" s="0" t="str">
        <f ref="AB20:AB20" t="array">IF(OR(AA20 &lt;&gt;"", I20&lt;&gt;"",L20&lt;&gt;"",P20&lt;&gt;"",T20&lt;&gt;""), AND(EXACT(AC20:AG20,AC20)),"")</f>
      </c>
      <c r="AC20" s="203" t="str">
        <f t="shared" si="10"/>
      </c>
      <c r="AD20" s="203" t="str">
        <f t="shared" si="11"/>
      </c>
      <c r="AE20" s="203" t="str">
        <f t="shared" si="12"/>
      </c>
      <c r="AF20" s="203" t="str">
        <f t="shared" si="13"/>
      </c>
      <c r="AG20" s="203" t="str">
        <f t="shared" si="14"/>
      </c>
    </row>
    <row r="21">
      <c r="A21" s="214"/>
      <c r="B21" s="214"/>
      <c r="C21" s="214"/>
      <c r="D21" s="214"/>
      <c r="E21" s="214"/>
      <c r="F21" s="214"/>
      <c r="G21" s="214"/>
      <c r="H21" s="216"/>
      <c r="I21" s="215" t="str">
        <f t="shared" si="0"/>
      </c>
      <c r="J21" s="214"/>
      <c r="K21" s="217"/>
      <c r="L21" s="215" t="str">
        <f t="shared" si="1"/>
      </c>
      <c r="M21" s="214"/>
      <c r="N21" s="214"/>
      <c r="O21" s="217"/>
      <c r="P21" s="215" t="str">
        <f t="shared" si="2"/>
      </c>
      <c r="Q21" s="214"/>
      <c r="R21" s="214"/>
      <c r="S21" s="217"/>
      <c r="T21" s="215" t="str">
        <f t="shared" si="3"/>
      </c>
      <c r="U21" s="214"/>
      <c r="V21" s="214"/>
      <c r="W21" s="214"/>
      <c r="X21" s="214"/>
      <c r="Y21" s="214"/>
      <c r="Z21" s="217"/>
      <c r="AA21" s="130" t="str">
        <f t="shared" si="4"/>
      </c>
      <c r="AB21" s="0" t="str">
        <f ref="AB21:AB21" t="array">IF(OR(AA21 &lt;&gt;"", I21&lt;&gt;"",L21&lt;&gt;"",P21&lt;&gt;"",T21&lt;&gt;""), AND(EXACT(AC21:AG21,AC21)),"")</f>
      </c>
      <c r="AC21" s="203" t="str">
        <f t="shared" si="10"/>
      </c>
      <c r="AD21" s="203" t="str">
        <f t="shared" si="11"/>
      </c>
      <c r="AE21" s="203" t="str">
        <f t="shared" si="12"/>
      </c>
      <c r="AF21" s="203" t="str">
        <f t="shared" si="13"/>
      </c>
      <c r="AG21" s="203" t="str">
        <f t="shared" si="14"/>
      </c>
    </row>
    <row r="22">
      <c r="A22" s="214"/>
      <c r="B22" s="214"/>
      <c r="C22" s="214"/>
      <c r="D22" s="214"/>
      <c r="E22" s="214"/>
      <c r="F22" s="214"/>
      <c r="G22" s="214"/>
      <c r="H22" s="216"/>
      <c r="I22" s="215" t="str">
        <f t="shared" si="0"/>
      </c>
      <c r="J22" s="214"/>
      <c r="K22" s="217"/>
      <c r="L22" s="215" t="str">
        <f t="shared" si="1"/>
      </c>
      <c r="M22" s="214"/>
      <c r="N22" s="214"/>
      <c r="O22" s="217"/>
      <c r="P22" s="215" t="str">
        <f t="shared" si="2"/>
      </c>
      <c r="Q22" s="214"/>
      <c r="R22" s="214"/>
      <c r="S22" s="217"/>
      <c r="T22" s="215" t="str">
        <f t="shared" si="3"/>
      </c>
      <c r="U22" s="214"/>
      <c r="V22" s="214"/>
      <c r="W22" s="214"/>
      <c r="X22" s="214"/>
      <c r="Y22" s="214"/>
      <c r="Z22" s="217"/>
      <c r="AA22" s="130" t="str">
        <f t="shared" si="4"/>
      </c>
      <c r="AB22" s="0" t="str">
        <f ref="AB22:AB22" t="array">IF(OR(AA22 &lt;&gt;"", I22&lt;&gt;"",L22&lt;&gt;"",P22&lt;&gt;"",T22&lt;&gt;""), AND(EXACT(AC22:AG22,AC22)),"")</f>
      </c>
      <c r="AC22" s="203" t="str">
        <f t="shared" si="10"/>
      </c>
      <c r="AD22" s="203" t="str">
        <f t="shared" si="11"/>
      </c>
      <c r="AE22" s="203" t="str">
        <f t="shared" si="12"/>
      </c>
      <c r="AF22" s="203" t="str">
        <f t="shared" si="13"/>
      </c>
      <c r="AG22" s="203" t="str">
        <f t="shared" si="14"/>
      </c>
    </row>
    <row r="23">
      <c r="A23" s="214"/>
      <c r="B23" s="214"/>
      <c r="C23" s="214"/>
      <c r="D23" s="214"/>
      <c r="E23" s="214"/>
      <c r="F23" s="214"/>
      <c r="G23" s="214"/>
      <c r="H23" s="216"/>
      <c r="I23" s="215" t="str">
        <f t="shared" si="0"/>
      </c>
      <c r="J23" s="214"/>
      <c r="K23" s="217"/>
      <c r="L23" s="215" t="str">
        <f t="shared" si="1"/>
      </c>
      <c r="M23" s="214"/>
      <c r="N23" s="214"/>
      <c r="O23" s="217"/>
      <c r="P23" s="215" t="str">
        <f t="shared" si="2"/>
      </c>
      <c r="Q23" s="214"/>
      <c r="R23" s="214"/>
      <c r="S23" s="217"/>
      <c r="T23" s="215" t="str">
        <f t="shared" si="3"/>
      </c>
      <c r="U23" s="214"/>
      <c r="V23" s="214"/>
      <c r="W23" s="214"/>
      <c r="X23" s="214"/>
      <c r="Y23" s="214"/>
      <c r="Z23" s="217"/>
      <c r="AA23" s="130" t="str">
        <f t="shared" si="4"/>
      </c>
      <c r="AB23" s="0" t="str">
        <f ref="AB23:AB23" t="array">IF(OR(AA23 &lt;&gt;"", I23&lt;&gt;"",L23&lt;&gt;"",P23&lt;&gt;"",T23&lt;&gt;""), AND(EXACT(AC23:AG23,AC23)),"")</f>
      </c>
      <c r="AC23" s="203" t="str">
        <f t="shared" si="10"/>
      </c>
      <c r="AD23" s="203" t="str">
        <f t="shared" si="11"/>
      </c>
      <c r="AE23" s="203" t="str">
        <f t="shared" si="12"/>
      </c>
      <c r="AF23" s="203" t="str">
        <f t="shared" si="13"/>
      </c>
      <c r="AG23" s="203" t="str">
        <f t="shared" si="14"/>
      </c>
    </row>
    <row r="24">
      <c r="A24" s="214"/>
      <c r="B24" s="214"/>
      <c r="C24" s="214"/>
      <c r="D24" s="214"/>
      <c r="E24" s="214"/>
      <c r="F24" s="214"/>
      <c r="G24" s="214"/>
      <c r="H24" s="216"/>
      <c r="I24" s="215" t="str">
        <f t="shared" si="0"/>
      </c>
      <c r="J24" s="214"/>
      <c r="K24" s="217"/>
      <c r="L24" s="215" t="str">
        <f t="shared" si="1"/>
      </c>
      <c r="M24" s="214"/>
      <c r="N24" s="214"/>
      <c r="O24" s="217"/>
      <c r="P24" s="215" t="str">
        <f t="shared" si="2"/>
      </c>
      <c r="Q24" s="214"/>
      <c r="R24" s="214"/>
      <c r="S24" s="217"/>
      <c r="T24" s="215" t="str">
        <f t="shared" si="3"/>
      </c>
      <c r="U24" s="214"/>
      <c r="V24" s="214"/>
      <c r="W24" s="214"/>
      <c r="X24" s="214"/>
      <c r="Y24" s="214"/>
      <c r="Z24" s="217"/>
      <c r="AA24" s="130" t="str">
        <f t="shared" si="4"/>
      </c>
      <c r="AB24" s="0" t="str">
        <f ref="AB24:AB24" t="array">IF(OR(AA24 &lt;&gt;"", I24&lt;&gt;"",L24&lt;&gt;"",P24&lt;&gt;"",T24&lt;&gt;""), AND(EXACT(AC24:AG24,AC24)),"")</f>
      </c>
      <c r="AC24" s="203" t="str">
        <f t="shared" si="10"/>
      </c>
      <c r="AD24" s="203" t="str">
        <f t="shared" si="11"/>
      </c>
      <c r="AE24" s="203" t="str">
        <f t="shared" si="12"/>
      </c>
      <c r="AF24" s="203" t="str">
        <f t="shared" si="13"/>
      </c>
      <c r="AG24" s="203" t="str">
        <f t="shared" si="14"/>
      </c>
    </row>
    <row r="25">
      <c r="A25" s="214"/>
      <c r="B25" s="214"/>
      <c r="C25" s="214"/>
      <c r="D25" s="214"/>
      <c r="E25" s="214"/>
      <c r="F25" s="214"/>
      <c r="G25" s="214"/>
      <c r="H25" s="216"/>
      <c r="I25" s="215" t="str">
        <f t="shared" si="0"/>
      </c>
      <c r="J25" s="214"/>
      <c r="K25" s="217"/>
      <c r="L25" s="215" t="str">
        <f t="shared" si="1"/>
      </c>
      <c r="M25" s="214"/>
      <c r="N25" s="214"/>
      <c r="O25" s="217"/>
      <c r="P25" s="215" t="str">
        <f t="shared" si="2"/>
      </c>
      <c r="Q25" s="214"/>
      <c r="R25" s="214"/>
      <c r="S25" s="217"/>
      <c r="T25" s="215" t="str">
        <f t="shared" si="3"/>
      </c>
      <c r="U25" s="214"/>
      <c r="V25" s="214"/>
      <c r="W25" s="214"/>
      <c r="X25" s="214"/>
      <c r="Y25" s="214"/>
      <c r="Z25" s="217"/>
      <c r="AA25" s="130" t="str">
        <f t="shared" si="4"/>
      </c>
      <c r="AB25" s="0" t="str">
        <f ref="AB25:AB25" t="array">IF(OR(AA25 &lt;&gt;"", I25&lt;&gt;"",L25&lt;&gt;"",P25&lt;&gt;"",T25&lt;&gt;""), AND(EXACT(AC25:AG25,AC25)),"")</f>
      </c>
      <c r="AC25" s="203" t="str">
        <f t="shared" si="10"/>
      </c>
      <c r="AD25" s="203" t="str">
        <f t="shared" si="11"/>
      </c>
      <c r="AE25" s="203" t="str">
        <f t="shared" si="12"/>
      </c>
      <c r="AF25" s="203" t="str">
        <f t="shared" si="13"/>
      </c>
      <c r="AG25" s="203" t="str">
        <f t="shared" si="14"/>
      </c>
    </row>
    <row r="26">
      <c r="A26" s="214"/>
      <c r="B26" s="214"/>
      <c r="C26" s="214"/>
      <c r="D26" s="214"/>
      <c r="E26" s="214"/>
      <c r="F26" s="214"/>
      <c r="G26" s="214"/>
      <c r="H26" s="216"/>
      <c r="I26" s="215" t="str">
        <f t="shared" si="0"/>
      </c>
      <c r="J26" s="214"/>
      <c r="K26" s="217"/>
      <c r="L26" s="215" t="str">
        <f t="shared" si="1"/>
      </c>
      <c r="M26" s="214"/>
      <c r="N26" s="214"/>
      <c r="O26" s="217"/>
      <c r="P26" s="215" t="str">
        <f t="shared" si="2"/>
      </c>
      <c r="Q26" s="214"/>
      <c r="R26" s="214"/>
      <c r="S26" s="217"/>
      <c r="T26" s="215" t="str">
        <f t="shared" si="3"/>
      </c>
      <c r="U26" s="214"/>
      <c r="V26" s="214"/>
      <c r="W26" s="214"/>
      <c r="X26" s="214"/>
      <c r="Y26" s="214"/>
      <c r="Z26" s="217"/>
      <c r="AA26" s="130" t="str">
        <f t="shared" si="4"/>
      </c>
      <c r="AB26" s="0" t="str">
        <f ref="AB26:AB26" t="array">IF(OR(AA26 &lt;&gt;"", I26&lt;&gt;"",L26&lt;&gt;"",P26&lt;&gt;"",T26&lt;&gt;""), AND(EXACT(AC26:AG26,AC26)),"")</f>
      </c>
      <c r="AC26" s="203" t="str">
        <f t="shared" si="10"/>
      </c>
      <c r="AD26" s="203" t="str">
        <f t="shared" si="11"/>
      </c>
      <c r="AE26" s="203" t="str">
        <f t="shared" si="12"/>
      </c>
      <c r="AF26" s="203" t="str">
        <f t="shared" si="13"/>
      </c>
      <c r="AG26" s="203" t="str">
        <f t="shared" si="14"/>
      </c>
    </row>
    <row r="27">
      <c r="A27" s="214"/>
      <c r="B27" s="214"/>
      <c r="C27" s="214"/>
      <c r="D27" s="214"/>
      <c r="E27" s="214"/>
      <c r="F27" s="214"/>
      <c r="G27" s="214"/>
      <c r="H27" s="216"/>
      <c r="I27" s="215" t="str">
        <f t="shared" si="0"/>
      </c>
      <c r="J27" s="214"/>
      <c r="K27" s="217"/>
      <c r="L27" s="215" t="str">
        <f t="shared" si="1"/>
      </c>
      <c r="M27" s="214"/>
      <c r="N27" s="214"/>
      <c r="O27" s="217"/>
      <c r="P27" s="215" t="str">
        <f t="shared" si="2"/>
      </c>
      <c r="Q27" s="214"/>
      <c r="R27" s="214"/>
      <c r="S27" s="217"/>
      <c r="T27" s="215" t="str">
        <f t="shared" si="3"/>
      </c>
      <c r="U27" s="214"/>
      <c r="V27" s="214"/>
      <c r="W27" s="214"/>
      <c r="X27" s="214"/>
      <c r="Y27" s="214"/>
      <c r="Z27" s="217"/>
      <c r="AA27" s="130" t="str">
        <f t="shared" si="4"/>
      </c>
      <c r="AB27" s="0" t="str">
        <f ref="AB27:AB27" t="array">IF(OR(AA27 &lt;&gt;"", I27&lt;&gt;"",L27&lt;&gt;"",P27&lt;&gt;"",T27&lt;&gt;""), AND(EXACT(AC27:AG27,AC27)),"")</f>
      </c>
      <c r="AC27" s="203" t="str">
        <f t="shared" si="10"/>
      </c>
      <c r="AD27" s="203" t="str">
        <f t="shared" si="11"/>
      </c>
      <c r="AE27" s="203" t="str">
        <f t="shared" si="12"/>
      </c>
      <c r="AF27" s="203" t="str">
        <f t="shared" si="13"/>
      </c>
      <c r="AG27" s="203" t="str">
        <f t="shared" si="14"/>
      </c>
    </row>
    <row r="28">
      <c r="A28" s="214"/>
      <c r="B28" s="214"/>
      <c r="C28" s="214"/>
      <c r="D28" s="214"/>
      <c r="E28" s="214"/>
      <c r="F28" s="214"/>
      <c r="G28" s="214"/>
      <c r="H28" s="216"/>
      <c r="I28" s="215" t="str">
        <f t="shared" si="0"/>
      </c>
      <c r="J28" s="214"/>
      <c r="K28" s="217"/>
      <c r="L28" s="215" t="str">
        <f t="shared" si="1"/>
      </c>
      <c r="M28" s="214"/>
      <c r="N28" s="214"/>
      <c r="O28" s="217"/>
      <c r="P28" s="215" t="str">
        <f t="shared" si="2"/>
      </c>
      <c r="Q28" s="214"/>
      <c r="R28" s="214"/>
      <c r="S28" s="217"/>
      <c r="T28" s="215" t="str">
        <f t="shared" si="3"/>
      </c>
      <c r="U28" s="214"/>
      <c r="V28" s="214"/>
      <c r="W28" s="214"/>
      <c r="X28" s="214"/>
      <c r="Y28" s="214"/>
      <c r="Z28" s="217"/>
      <c r="AA28" s="130" t="str">
        <f t="shared" si="4"/>
      </c>
      <c r="AB28" s="0" t="str">
        <f ref="AB28:AB28" t="array">IF(OR(AA28 &lt;&gt;"", I28&lt;&gt;"",L28&lt;&gt;"",P28&lt;&gt;"",T28&lt;&gt;""), AND(EXACT(AC28:AG28,AC28)),"")</f>
      </c>
      <c r="AC28" s="203" t="str">
        <f t="shared" si="10"/>
      </c>
      <c r="AD28" s="203" t="str">
        <f t="shared" si="11"/>
      </c>
      <c r="AE28" s="203" t="str">
        <f t="shared" si="12"/>
      </c>
      <c r="AF28" s="203" t="str">
        <f t="shared" si="13"/>
      </c>
      <c r="AG28" s="203" t="str">
        <f t="shared" si="14"/>
      </c>
    </row>
    <row r="29">
      <c r="A29" s="214"/>
      <c r="B29" s="214"/>
      <c r="C29" s="214"/>
      <c r="D29" s="214"/>
      <c r="E29" s="214"/>
      <c r="F29" s="214"/>
      <c r="G29" s="214"/>
      <c r="H29" s="216"/>
      <c r="I29" s="215" t="str">
        <f t="shared" si="0"/>
      </c>
      <c r="J29" s="214"/>
      <c r="K29" s="217"/>
      <c r="L29" s="215" t="str">
        <f t="shared" si="1"/>
      </c>
      <c r="M29" s="214"/>
      <c r="N29" s="214"/>
      <c r="O29" s="217"/>
      <c r="P29" s="215" t="str">
        <f t="shared" si="2"/>
      </c>
      <c r="Q29" s="214"/>
      <c r="R29" s="214"/>
      <c r="S29" s="217"/>
      <c r="T29" s="215" t="str">
        <f t="shared" si="3"/>
      </c>
      <c r="U29" s="214"/>
      <c r="V29" s="214"/>
      <c r="W29" s="214"/>
      <c r="X29" s="214"/>
      <c r="Y29" s="214"/>
      <c r="Z29" s="217"/>
      <c r="AA29" s="130" t="str">
        <f t="shared" si="4"/>
      </c>
      <c r="AB29" s="0" t="str">
        <f ref="AB29:AB29" t="array">IF(OR(AA29 &lt;&gt;"", I29&lt;&gt;"",L29&lt;&gt;"",P29&lt;&gt;"",T29&lt;&gt;""), AND(EXACT(AC29:AG29,AC29)),"")</f>
      </c>
      <c r="AC29" s="203" t="str">
        <f t="shared" si="10"/>
      </c>
      <c r="AD29" s="203" t="str">
        <f t="shared" si="11"/>
      </c>
      <c r="AE29" s="203" t="str">
        <f t="shared" si="12"/>
      </c>
      <c r="AF29" s="203" t="str">
        <f t="shared" si="13"/>
      </c>
      <c r="AG29" s="203" t="str">
        <f t="shared" si="14"/>
      </c>
    </row>
    <row r="30">
      <c r="A30" s="214"/>
      <c r="B30" s="214"/>
      <c r="C30" s="214"/>
      <c r="D30" s="214"/>
      <c r="E30" s="214"/>
      <c r="F30" s="214"/>
      <c r="G30" s="214"/>
      <c r="H30" s="216"/>
      <c r="I30" s="215" t="str">
        <f t="shared" si="0"/>
      </c>
      <c r="J30" s="214"/>
      <c r="K30" s="217"/>
      <c r="L30" s="215" t="str">
        <f t="shared" si="1"/>
      </c>
      <c r="M30" s="214"/>
      <c r="N30" s="214"/>
      <c r="O30" s="217"/>
      <c r="P30" s="215" t="str">
        <f t="shared" si="2"/>
      </c>
      <c r="Q30" s="214"/>
      <c r="R30" s="214"/>
      <c r="S30" s="217"/>
      <c r="T30" s="215" t="str">
        <f t="shared" si="3"/>
      </c>
      <c r="U30" s="214"/>
      <c r="V30" s="214"/>
      <c r="W30" s="214"/>
      <c r="X30" s="214"/>
      <c r="Y30" s="214"/>
      <c r="Z30" s="217"/>
      <c r="AA30" s="130" t="str">
        <f t="shared" si="4"/>
      </c>
      <c r="AB30" s="0" t="str">
        <f ref="AB30:AB30" t="array">IF(OR(AA30 &lt;&gt;"", I30&lt;&gt;"",L30&lt;&gt;"",P30&lt;&gt;"",T30&lt;&gt;""), AND(EXACT(AC30:AG30,AC30)),"")</f>
      </c>
      <c r="AC30" s="203" t="str">
        <f t="shared" si="10"/>
      </c>
      <c r="AD30" s="203" t="str">
        <f t="shared" si="11"/>
      </c>
      <c r="AE30" s="203" t="str">
        <f t="shared" si="12"/>
      </c>
      <c r="AF30" s="203" t="str">
        <f t="shared" si="13"/>
      </c>
      <c r="AG30" s="203" t="str">
        <f t="shared" si="14"/>
      </c>
    </row>
    <row r="31">
      <c r="A31" s="214"/>
      <c r="B31" s="214"/>
      <c r="C31" s="214"/>
      <c r="D31" s="214"/>
      <c r="E31" s="214"/>
      <c r="F31" s="214"/>
      <c r="G31" s="214"/>
      <c r="H31" s="216"/>
      <c r="I31" s="215" t="str">
        <f t="shared" si="0"/>
      </c>
      <c r="J31" s="214"/>
      <c r="K31" s="217"/>
      <c r="L31" s="215" t="str">
        <f t="shared" si="1"/>
      </c>
      <c r="M31" s="214"/>
      <c r="N31" s="214"/>
      <c r="O31" s="217"/>
      <c r="P31" s="215" t="str">
        <f t="shared" si="2"/>
      </c>
      <c r="Q31" s="214"/>
      <c r="R31" s="214"/>
      <c r="S31" s="217"/>
      <c r="T31" s="215" t="str">
        <f t="shared" si="3"/>
      </c>
      <c r="U31" s="214"/>
      <c r="V31" s="214"/>
      <c r="W31" s="214"/>
      <c r="X31" s="214"/>
      <c r="Y31" s="214"/>
      <c r="Z31" s="217"/>
      <c r="AA31" s="130" t="str">
        <f t="shared" si="4"/>
      </c>
      <c r="AB31" s="0" t="str">
        <f ref="AB31:AB31" t="array">IF(OR(AA31 &lt;&gt;"", I31&lt;&gt;"",L31&lt;&gt;"",P31&lt;&gt;"",T31&lt;&gt;""), AND(EXACT(AC31:AG31,AC31)),"")</f>
      </c>
      <c r="AC31" s="203" t="str">
        <f t="shared" si="10"/>
      </c>
      <c r="AD31" s="203" t="str">
        <f t="shared" si="11"/>
      </c>
      <c r="AE31" s="203" t="str">
        <f t="shared" si="12"/>
      </c>
      <c r="AF31" s="203" t="str">
        <f t="shared" si="13"/>
      </c>
      <c r="AG31" s="203" t="str">
        <f t="shared" si="14"/>
      </c>
    </row>
    <row r="32">
      <c r="A32" s="214"/>
      <c r="B32" s="214"/>
      <c r="C32" s="214"/>
      <c r="D32" s="214"/>
      <c r="E32" s="214"/>
      <c r="F32" s="214"/>
      <c r="G32" s="214"/>
      <c r="H32" s="216"/>
      <c r="I32" s="215" t="str">
        <f t="shared" si="0"/>
      </c>
      <c r="J32" s="214"/>
      <c r="K32" s="217"/>
      <c r="L32" s="215" t="str">
        <f t="shared" si="1"/>
      </c>
      <c r="M32" s="214"/>
      <c r="N32" s="214"/>
      <c r="O32" s="217"/>
      <c r="P32" s="215" t="str">
        <f t="shared" si="2"/>
      </c>
      <c r="Q32" s="214"/>
      <c r="R32" s="214"/>
      <c r="S32" s="217"/>
      <c r="T32" s="215" t="str">
        <f t="shared" si="3"/>
      </c>
      <c r="U32" s="214"/>
      <c r="V32" s="214"/>
      <c r="W32" s="214"/>
      <c r="X32" s="214"/>
      <c r="Y32" s="214"/>
      <c r="Z32" s="217"/>
      <c r="AA32" s="130" t="str">
        <f t="shared" si="4"/>
      </c>
      <c r="AB32" s="0" t="str">
        <f ref="AB32:AB32" t="array">IF(OR(AA32 &lt;&gt;"", I32&lt;&gt;"",L32&lt;&gt;"",P32&lt;&gt;"",T32&lt;&gt;""), AND(EXACT(AC32:AG32,AC32)),"")</f>
      </c>
      <c r="AC32" s="203" t="str">
        <f t="shared" si="10"/>
      </c>
      <c r="AD32" s="203" t="str">
        <f t="shared" si="11"/>
      </c>
      <c r="AE32" s="203" t="str">
        <f t="shared" si="12"/>
      </c>
      <c r="AF32" s="203" t="str">
        <f t="shared" si="13"/>
      </c>
      <c r="AG32" s="203" t="str">
        <f t="shared" si="14"/>
      </c>
    </row>
    <row r="33">
      <c r="A33" s="214"/>
      <c r="B33" s="214"/>
      <c r="C33" s="214"/>
      <c r="D33" s="214"/>
      <c r="E33" s="214"/>
      <c r="F33" s="214"/>
      <c r="G33" s="214"/>
      <c r="H33" s="216"/>
      <c r="I33" s="215" t="str">
        <f t="shared" si="0"/>
      </c>
      <c r="J33" s="214"/>
      <c r="K33" s="217"/>
      <c r="L33" s="215" t="str">
        <f t="shared" si="1"/>
      </c>
      <c r="M33" s="214"/>
      <c r="N33" s="214"/>
      <c r="O33" s="217"/>
      <c r="P33" s="215" t="str">
        <f t="shared" si="2"/>
      </c>
      <c r="Q33" s="214"/>
      <c r="R33" s="214"/>
      <c r="S33" s="217"/>
      <c r="T33" s="215" t="str">
        <f t="shared" si="3"/>
      </c>
      <c r="U33" s="214"/>
      <c r="V33" s="214"/>
      <c r="W33" s="214"/>
      <c r="X33" s="214"/>
      <c r="Y33" s="214"/>
      <c r="Z33" s="217"/>
      <c r="AA33" s="130" t="str">
        <f t="shared" si="4"/>
      </c>
      <c r="AB33" s="0" t="str">
        <f ref="AB33:AB33" t="array">IF(OR(AA33 &lt;&gt;"", I33&lt;&gt;"",L33&lt;&gt;"",P33&lt;&gt;"",T33&lt;&gt;""), AND(EXACT(AC33:AG33,AC33)),"")</f>
      </c>
      <c r="AC33" s="203" t="str">
        <f t="shared" si="10"/>
      </c>
      <c r="AD33" s="203" t="str">
        <f t="shared" si="11"/>
      </c>
      <c r="AE33" s="203" t="str">
        <f t="shared" si="12"/>
      </c>
      <c r="AF33" s="203" t="str">
        <f t="shared" si="13"/>
      </c>
      <c r="AG33" s="203" t="str">
        <f t="shared" si="14"/>
      </c>
    </row>
    <row r="34">
      <c r="A34" s="214"/>
      <c r="B34" s="214"/>
      <c r="C34" s="214"/>
      <c r="D34" s="214"/>
      <c r="E34" s="214"/>
      <c r="F34" s="214"/>
      <c r="G34" s="214"/>
      <c r="H34" s="216"/>
      <c r="I34" s="215" t="str">
        <f t="shared" si="0"/>
      </c>
      <c r="J34" s="214"/>
      <c r="K34" s="217"/>
      <c r="L34" s="215" t="str">
        <f t="shared" si="1"/>
      </c>
      <c r="M34" s="214"/>
      <c r="N34" s="214"/>
      <c r="O34" s="217"/>
      <c r="P34" s="215" t="str">
        <f t="shared" si="2"/>
      </c>
      <c r="Q34" s="214"/>
      <c r="R34" s="214"/>
      <c r="S34" s="217"/>
      <c r="T34" s="215" t="str">
        <f t="shared" si="3"/>
      </c>
      <c r="U34" s="214"/>
      <c r="V34" s="214"/>
      <c r="W34" s="214"/>
      <c r="X34" s="214"/>
      <c r="Y34" s="214"/>
      <c r="Z34" s="217"/>
      <c r="AA34" s="130" t="str">
        <f t="shared" si="4"/>
      </c>
      <c r="AB34" s="0" t="str">
        <f ref="AB34:AB34" t="array">IF(OR(AA34 &lt;&gt;"", I34&lt;&gt;"",L34&lt;&gt;"",P34&lt;&gt;"",T34&lt;&gt;""), AND(EXACT(AC34:AG34,AC34)),"")</f>
      </c>
      <c r="AC34" s="203" t="str">
        <f t="shared" si="10"/>
      </c>
      <c r="AD34" s="203" t="str">
        <f t="shared" si="11"/>
      </c>
      <c r="AE34" s="203" t="str">
        <f t="shared" si="12"/>
      </c>
      <c r="AF34" s="203" t="str">
        <f t="shared" si="13"/>
      </c>
      <c r="AG34" s="203" t="str">
        <f t="shared" si="14"/>
      </c>
    </row>
    <row r="35">
      <c r="A35" s="214"/>
      <c r="B35" s="214"/>
      <c r="C35" s="214"/>
      <c r="D35" s="214"/>
      <c r="E35" s="214"/>
      <c r="F35" s="214"/>
      <c r="G35" s="214"/>
      <c r="H35" s="216"/>
      <c r="I35" s="215" t="str">
        <f t="shared" si="0"/>
      </c>
      <c r="J35" s="214"/>
      <c r="K35" s="217"/>
      <c r="L35" s="215" t="str">
        <f t="shared" si="1"/>
      </c>
      <c r="M35" s="214"/>
      <c r="N35" s="214"/>
      <c r="O35" s="217"/>
      <c r="P35" s="215" t="str">
        <f t="shared" si="2"/>
      </c>
      <c r="Q35" s="214"/>
      <c r="R35" s="214"/>
      <c r="S35" s="217"/>
      <c r="T35" s="215" t="str">
        <f t="shared" si="3"/>
      </c>
      <c r="U35" s="214"/>
      <c r="V35" s="214"/>
      <c r="W35" s="214"/>
      <c r="X35" s="214"/>
      <c r="Y35" s="214"/>
      <c r="Z35" s="217"/>
      <c r="AA35" s="130" t="str">
        <f t="shared" si="4"/>
      </c>
      <c r="AB35" s="0" t="str">
        <f ref="AB35:AB35" t="array">IF(OR(AA35 &lt;&gt;"", I35&lt;&gt;"",L35&lt;&gt;"",P35&lt;&gt;"",T35&lt;&gt;""), AND(EXACT(AC35:AG35,AC35)),"")</f>
      </c>
      <c r="AC35" s="203" t="str">
        <f t="shared" si="10"/>
      </c>
      <c r="AD35" s="203" t="str">
        <f t="shared" si="11"/>
      </c>
      <c r="AE35" s="203" t="str">
        <f t="shared" si="12"/>
      </c>
      <c r="AF35" s="203" t="str">
        <f t="shared" si="13"/>
      </c>
      <c r="AG35" s="203" t="str">
        <f t="shared" si="14"/>
      </c>
    </row>
    <row r="36">
      <c r="A36" s="214"/>
      <c r="B36" s="214"/>
      <c r="C36" s="214"/>
      <c r="D36" s="214"/>
      <c r="E36" s="214"/>
      <c r="F36" s="214"/>
      <c r="G36" s="214"/>
      <c r="H36" s="216"/>
      <c r="I36" s="215" t="str">
        <f t="shared" si="0"/>
      </c>
      <c r="J36" s="214"/>
      <c r="K36" s="217"/>
      <c r="L36" s="215" t="str">
        <f t="shared" si="1"/>
      </c>
      <c r="M36" s="214"/>
      <c r="N36" s="214"/>
      <c r="O36" s="217"/>
      <c r="P36" s="215" t="str">
        <f t="shared" si="2"/>
      </c>
      <c r="Q36" s="214"/>
      <c r="R36" s="214"/>
      <c r="S36" s="217"/>
      <c r="T36" s="215" t="str">
        <f t="shared" si="3"/>
      </c>
      <c r="U36" s="214"/>
      <c r="V36" s="214"/>
      <c r="W36" s="214"/>
      <c r="X36" s="214"/>
      <c r="Y36" s="214"/>
      <c r="Z36" s="217"/>
      <c r="AA36" s="130" t="str">
        <f t="shared" si="4"/>
      </c>
      <c r="AB36" s="0" t="str">
        <f ref="AB36:AB36" t="array">IF(OR(AA36 &lt;&gt;"", I36&lt;&gt;"",L36&lt;&gt;"",P36&lt;&gt;"",T36&lt;&gt;""), AND(EXACT(AC36:AG36,AC36)),"")</f>
      </c>
      <c r="AC36" s="203" t="str">
        <f t="shared" si="10"/>
      </c>
      <c r="AD36" s="203" t="str">
        <f t="shared" si="11"/>
      </c>
      <c r="AE36" s="203" t="str">
        <f t="shared" si="12"/>
      </c>
      <c r="AF36" s="203" t="str">
        <f t="shared" si="13"/>
      </c>
      <c r="AG36" s="203" t="str">
        <f t="shared" si="14"/>
      </c>
    </row>
    <row r="37">
      <c r="A37" s="214"/>
      <c r="B37" s="214"/>
      <c r="C37" s="214"/>
      <c r="D37" s="214"/>
      <c r="E37" s="214"/>
      <c r="F37" s="214"/>
      <c r="G37" s="214"/>
      <c r="H37" s="216"/>
      <c r="I37" s="215" t="str">
        <f t="shared" si="0"/>
      </c>
      <c r="J37" s="214"/>
      <c r="K37" s="217"/>
      <c r="L37" s="215" t="str">
        <f t="shared" si="1"/>
      </c>
      <c r="M37" s="214"/>
      <c r="N37" s="214"/>
      <c r="O37" s="217"/>
      <c r="P37" s="215" t="str">
        <f t="shared" si="2"/>
      </c>
      <c r="Q37" s="214"/>
      <c r="R37" s="214"/>
      <c r="S37" s="217"/>
      <c r="T37" s="215" t="str">
        <f t="shared" si="3"/>
      </c>
      <c r="U37" s="214"/>
      <c r="V37" s="214"/>
      <c r="W37" s="214"/>
      <c r="X37" s="214"/>
      <c r="Y37" s="214"/>
      <c r="Z37" s="217"/>
      <c r="AA37" s="130" t="str">
        <f t="shared" si="4"/>
      </c>
      <c r="AB37" s="0" t="str">
        <f ref="AB37:AB37" t="array">IF(OR(AA37 &lt;&gt;"", I37&lt;&gt;"",L37&lt;&gt;"",P37&lt;&gt;"",T37&lt;&gt;""), AND(EXACT(AC37:AG37,AC37)),"")</f>
      </c>
      <c r="AC37" s="203" t="str">
        <f t="shared" si="10"/>
      </c>
      <c r="AD37" s="203" t="str">
        <f t="shared" si="11"/>
      </c>
      <c r="AE37" s="203" t="str">
        <f t="shared" si="12"/>
      </c>
      <c r="AF37" s="203" t="str">
        <f t="shared" si="13"/>
      </c>
      <c r="AG37" s="203" t="str">
        <f t="shared" si="14"/>
      </c>
    </row>
    <row r="38">
      <c r="A38" s="214"/>
      <c r="B38" s="214"/>
      <c r="C38" s="214"/>
      <c r="D38" s="214"/>
      <c r="E38" s="214"/>
      <c r="F38" s="214"/>
      <c r="G38" s="214"/>
      <c r="H38" s="216"/>
      <c r="I38" s="215" t="str">
        <f t="shared" si="0"/>
      </c>
      <c r="J38" s="214"/>
      <c r="K38" s="217"/>
      <c r="L38" s="215" t="str">
        <f t="shared" si="1"/>
      </c>
      <c r="M38" s="214"/>
      <c r="N38" s="214"/>
      <c r="O38" s="217"/>
      <c r="P38" s="215" t="str">
        <f t="shared" si="2"/>
      </c>
      <c r="Q38" s="214"/>
      <c r="R38" s="214"/>
      <c r="S38" s="217"/>
      <c r="T38" s="215" t="str">
        <f t="shared" si="3"/>
      </c>
      <c r="U38" s="214"/>
      <c r="V38" s="214"/>
      <c r="W38" s="214"/>
      <c r="X38" s="214"/>
      <c r="Y38" s="214"/>
      <c r="Z38" s="217"/>
      <c r="AA38" s="130" t="str">
        <f t="shared" si="4"/>
      </c>
      <c r="AB38" s="0" t="str">
        <f ref="AB38:AB38" t="array">IF(OR(AA38 &lt;&gt;"", I38&lt;&gt;"",L38&lt;&gt;"",P38&lt;&gt;"",T38&lt;&gt;""), AND(EXACT(AC38:AG38,AC38)),"")</f>
      </c>
      <c r="AC38" s="203" t="str">
        <f t="shared" si="10"/>
      </c>
      <c r="AD38" s="203" t="str">
        <f t="shared" si="11"/>
      </c>
      <c r="AE38" s="203" t="str">
        <f t="shared" si="12"/>
      </c>
      <c r="AF38" s="203" t="str">
        <f t="shared" si="13"/>
      </c>
      <c r="AG38" s="203" t="str">
        <f t="shared" si="14"/>
      </c>
    </row>
    <row r="39">
      <c r="A39" s="214"/>
      <c r="B39" s="214"/>
      <c r="C39" s="214"/>
      <c r="D39" s="214"/>
      <c r="E39" s="214"/>
      <c r="F39" s="214"/>
      <c r="G39" s="214"/>
      <c r="H39" s="216"/>
      <c r="I39" s="215" t="str">
        <f t="shared" si="0"/>
      </c>
      <c r="J39" s="214"/>
      <c r="K39" s="217"/>
      <c r="L39" s="215" t="str">
        <f t="shared" si="1"/>
      </c>
      <c r="M39" s="214"/>
      <c r="N39" s="214"/>
      <c r="O39" s="217"/>
      <c r="P39" s="215" t="str">
        <f t="shared" si="2"/>
      </c>
      <c r="Q39" s="214"/>
      <c r="R39" s="214"/>
      <c r="S39" s="217"/>
      <c r="T39" s="215" t="str">
        <f t="shared" si="3"/>
      </c>
      <c r="U39" s="214"/>
      <c r="V39" s="214"/>
      <c r="W39" s="214"/>
      <c r="X39" s="214"/>
      <c r="Y39" s="214"/>
      <c r="Z39" s="217"/>
      <c r="AA39" s="130" t="str">
        <f t="shared" si="4"/>
      </c>
      <c r="AB39" s="0" t="str">
        <f ref="AB39:AB39" t="array">IF(OR(AA39 &lt;&gt;"", I39&lt;&gt;"",L39&lt;&gt;"",P39&lt;&gt;"",T39&lt;&gt;""), AND(EXACT(AC39:AG39,AC39)),"")</f>
      </c>
      <c r="AC39" s="203" t="str">
        <f t="shared" si="10"/>
      </c>
      <c r="AD39" s="203" t="str">
        <f t="shared" si="11"/>
      </c>
      <c r="AE39" s="203" t="str">
        <f t="shared" si="12"/>
      </c>
      <c r="AF39" s="203" t="str">
        <f t="shared" si="13"/>
      </c>
      <c r="AG39" s="203" t="str">
        <f t="shared" si="14"/>
      </c>
    </row>
    <row r="40">
      <c r="A40" s="214"/>
      <c r="B40" s="214"/>
      <c r="C40" s="214"/>
      <c r="D40" s="214"/>
      <c r="E40" s="214"/>
      <c r="F40" s="214"/>
      <c r="G40" s="214"/>
      <c r="H40" s="216"/>
      <c r="I40" s="215" t="str">
        <f t="shared" si="0"/>
      </c>
      <c r="J40" s="214"/>
      <c r="K40" s="217"/>
      <c r="L40" s="215" t="str">
        <f t="shared" si="1"/>
      </c>
      <c r="M40" s="214"/>
      <c r="N40" s="214"/>
      <c r="O40" s="217"/>
      <c r="P40" s="215" t="str">
        <f t="shared" si="2"/>
      </c>
      <c r="Q40" s="214"/>
      <c r="R40" s="214"/>
      <c r="S40" s="217"/>
      <c r="T40" s="215" t="str">
        <f t="shared" si="3"/>
      </c>
      <c r="U40" s="214"/>
      <c r="V40" s="214"/>
      <c r="W40" s="214"/>
      <c r="X40" s="214"/>
      <c r="Y40" s="214"/>
      <c r="Z40" s="217"/>
      <c r="AA40" s="130" t="str">
        <f t="shared" si="4"/>
      </c>
      <c r="AB40" s="0" t="str">
        <f ref="AB40:AB40" t="array">IF(OR(AA40 &lt;&gt;"", I40&lt;&gt;"",L40&lt;&gt;"",P40&lt;&gt;"",T40&lt;&gt;""), AND(EXACT(AC40:AG40,AC40)),"")</f>
      </c>
      <c r="AC40" s="203" t="str">
        <f t="shared" si="10"/>
      </c>
      <c r="AD40" s="203" t="str">
        <f t="shared" si="11"/>
      </c>
      <c r="AE40" s="203" t="str">
        <f t="shared" si="12"/>
      </c>
      <c r="AF40" s="203" t="str">
        <f t="shared" si="13"/>
      </c>
      <c r="AG40" s="203" t="str">
        <f t="shared" si="14"/>
      </c>
    </row>
    <row r="41">
      <c r="A41" s="214"/>
      <c r="B41" s="214"/>
      <c r="C41" s="214"/>
      <c r="D41" s="214"/>
      <c r="E41" s="214"/>
      <c r="F41" s="214"/>
      <c r="G41" s="214"/>
      <c r="H41" s="216"/>
      <c r="I41" s="215" t="str">
        <f t="shared" si="0"/>
      </c>
      <c r="J41" s="214"/>
      <c r="K41" s="217"/>
      <c r="L41" s="215" t="str">
        <f t="shared" si="1"/>
      </c>
      <c r="M41" s="214"/>
      <c r="N41" s="214"/>
      <c r="O41" s="217"/>
      <c r="P41" s="215" t="str">
        <f t="shared" si="2"/>
      </c>
      <c r="Q41" s="214"/>
      <c r="R41" s="214"/>
      <c r="S41" s="217"/>
      <c r="T41" s="215" t="str">
        <f t="shared" si="3"/>
      </c>
      <c r="U41" s="214"/>
      <c r="V41" s="214"/>
      <c r="W41" s="214"/>
      <c r="X41" s="214"/>
      <c r="Y41" s="214"/>
      <c r="Z41" s="217"/>
      <c r="AA41" s="130" t="str">
        <f t="shared" si="4"/>
      </c>
      <c r="AB41" s="0" t="str">
        <f ref="AB41:AB41" t="array">IF(OR(AA41 &lt;&gt;"", I41&lt;&gt;"",L41&lt;&gt;"",P41&lt;&gt;"",T41&lt;&gt;""), AND(EXACT(AC41:AG41,AC41)),"")</f>
      </c>
      <c r="AC41" s="203" t="str">
        <f t="shared" si="10"/>
      </c>
      <c r="AD41" s="203" t="str">
        <f t="shared" si="11"/>
      </c>
      <c r="AE41" s="203" t="str">
        <f t="shared" si="12"/>
      </c>
      <c r="AF41" s="203" t="str">
        <f t="shared" si="13"/>
      </c>
      <c r="AG41" s="203" t="str">
        <f t="shared" si="14"/>
      </c>
    </row>
    <row r="42">
      <c r="A42" s="214"/>
      <c r="B42" s="214"/>
      <c r="C42" s="214"/>
      <c r="D42" s="214"/>
      <c r="E42" s="214"/>
      <c r="F42" s="214"/>
      <c r="G42" s="214"/>
      <c r="H42" s="216"/>
      <c r="I42" s="215" t="str">
        <f t="shared" si="0"/>
      </c>
      <c r="J42" s="214"/>
      <c r="K42" s="217"/>
      <c r="L42" s="215" t="str">
        <f t="shared" si="1"/>
      </c>
      <c r="M42" s="214"/>
      <c r="N42" s="214"/>
      <c r="O42" s="217"/>
      <c r="P42" s="215" t="str">
        <f t="shared" si="2"/>
      </c>
      <c r="Q42" s="214"/>
      <c r="R42" s="214"/>
      <c r="S42" s="217"/>
      <c r="T42" s="215" t="str">
        <f t="shared" si="3"/>
      </c>
      <c r="U42" s="214"/>
      <c r="V42" s="214"/>
      <c r="W42" s="214"/>
      <c r="X42" s="214"/>
      <c r="Y42" s="214"/>
      <c r="Z42" s="217"/>
      <c r="AA42" s="130" t="str">
        <f t="shared" si="4"/>
      </c>
      <c r="AB42" s="0" t="str">
        <f ref="AB42:AB42" t="array">IF(OR(AA42 &lt;&gt;"", I42&lt;&gt;"",L42&lt;&gt;"",P42&lt;&gt;"",T42&lt;&gt;""), AND(EXACT(AC42:AG42,AC42)),"")</f>
      </c>
      <c r="AC42" s="203" t="str">
        <f t="shared" si="10"/>
      </c>
      <c r="AD42" s="203" t="str">
        <f t="shared" si="11"/>
      </c>
      <c r="AE42" s="203" t="str">
        <f t="shared" si="12"/>
      </c>
      <c r="AF42" s="203" t="str">
        <f t="shared" si="13"/>
      </c>
      <c r="AG42" s="203" t="str">
        <f t="shared" si="14"/>
      </c>
    </row>
    <row r="43">
      <c r="A43" s="214"/>
      <c r="B43" s="214"/>
      <c r="C43" s="214"/>
      <c r="D43" s="214"/>
      <c r="E43" s="214"/>
      <c r="F43" s="214"/>
      <c r="G43" s="214"/>
      <c r="H43" s="216"/>
      <c r="I43" s="215" t="str">
        <f t="shared" si="0"/>
      </c>
      <c r="J43" s="214"/>
      <c r="K43" s="217"/>
      <c r="L43" s="215" t="str">
        <f t="shared" si="1"/>
      </c>
      <c r="M43" s="214"/>
      <c r="N43" s="214"/>
      <c r="O43" s="217"/>
      <c r="P43" s="215" t="str">
        <f t="shared" si="2"/>
      </c>
      <c r="Q43" s="214"/>
      <c r="R43" s="214"/>
      <c r="S43" s="217"/>
      <c r="T43" s="215" t="str">
        <f t="shared" si="3"/>
      </c>
      <c r="U43" s="214"/>
      <c r="V43" s="214"/>
      <c r="W43" s="214"/>
      <c r="X43" s="214"/>
      <c r="Y43" s="214"/>
      <c r="Z43" s="217"/>
      <c r="AA43" s="130" t="str">
        <f t="shared" si="4"/>
      </c>
      <c r="AB43" s="0" t="str">
        <f ref="AB43:AB43" t="array">IF(OR(AA43 &lt;&gt;"", I43&lt;&gt;"",L43&lt;&gt;"",P43&lt;&gt;"",T43&lt;&gt;""), AND(EXACT(AC43:AG43,AC43)),"")</f>
      </c>
      <c r="AC43" s="203" t="str">
        <f t="shared" si="10"/>
      </c>
      <c r="AD43" s="203" t="str">
        <f t="shared" si="11"/>
      </c>
      <c r="AE43" s="203" t="str">
        <f t="shared" si="12"/>
      </c>
      <c r="AF43" s="203" t="str">
        <f t="shared" si="13"/>
      </c>
      <c r="AG43" s="203" t="str">
        <f t="shared" si="14"/>
      </c>
    </row>
    <row r="44">
      <c r="A44" s="214"/>
      <c r="B44" s="214"/>
      <c r="C44" s="214"/>
      <c r="D44" s="214"/>
      <c r="E44" s="214"/>
      <c r="F44" s="214"/>
      <c r="G44" s="214"/>
      <c r="H44" s="216"/>
      <c r="I44" s="215" t="str">
        <f t="shared" si="0"/>
      </c>
      <c r="J44" s="214"/>
      <c r="K44" s="217"/>
      <c r="L44" s="215" t="str">
        <f t="shared" si="1"/>
      </c>
      <c r="M44" s="214"/>
      <c r="N44" s="214"/>
      <c r="O44" s="217"/>
      <c r="P44" s="215" t="str">
        <f t="shared" si="2"/>
      </c>
      <c r="Q44" s="214"/>
      <c r="R44" s="214"/>
      <c r="S44" s="217"/>
      <c r="T44" s="215" t="str">
        <f t="shared" si="3"/>
      </c>
      <c r="U44" s="214"/>
      <c r="V44" s="214"/>
      <c r="W44" s="214"/>
      <c r="X44" s="214"/>
      <c r="Y44" s="214"/>
      <c r="Z44" s="217"/>
      <c r="AA44" s="130" t="str">
        <f t="shared" si="4"/>
      </c>
      <c r="AB44" s="0" t="str">
        <f ref="AB44:AB44" t="array">IF(OR(AA44 &lt;&gt;"", I44&lt;&gt;"",L44&lt;&gt;"",P44&lt;&gt;"",T44&lt;&gt;""), AND(EXACT(AC44:AG44,AC44)),"")</f>
      </c>
      <c r="AC44" s="203" t="str">
        <f t="shared" si="10"/>
      </c>
      <c r="AD44" s="203" t="str">
        <f t="shared" si="11"/>
      </c>
      <c r="AE44" s="203" t="str">
        <f t="shared" si="12"/>
      </c>
      <c r="AF44" s="203" t="str">
        <f t="shared" si="13"/>
      </c>
      <c r="AG44" s="203" t="str">
        <f t="shared" si="14"/>
      </c>
    </row>
    <row r="45">
      <c r="A45" s="214"/>
      <c r="B45" s="214"/>
      <c r="C45" s="214"/>
      <c r="D45" s="214"/>
      <c r="E45" s="214"/>
      <c r="F45" s="214"/>
      <c r="G45" s="214"/>
      <c r="H45" s="216"/>
      <c r="I45" s="215" t="str">
        <f t="shared" si="0"/>
      </c>
      <c r="J45" s="214"/>
      <c r="K45" s="217"/>
      <c r="L45" s="215" t="str">
        <f t="shared" si="1"/>
      </c>
      <c r="M45" s="214"/>
      <c r="N45" s="214"/>
      <c r="O45" s="217"/>
      <c r="P45" s="215" t="str">
        <f t="shared" si="2"/>
      </c>
      <c r="Q45" s="214"/>
      <c r="R45" s="214"/>
      <c r="S45" s="217"/>
      <c r="T45" s="215" t="str">
        <f t="shared" si="3"/>
      </c>
      <c r="U45" s="214"/>
      <c r="V45" s="214"/>
      <c r="W45" s="214"/>
      <c r="X45" s="214"/>
      <c r="Y45" s="214"/>
      <c r="Z45" s="217"/>
      <c r="AA45" s="130" t="str">
        <f t="shared" si="4"/>
      </c>
      <c r="AB45" s="0" t="str">
        <f ref="AB45:AB45" t="array">IF(OR(AA45 &lt;&gt;"", I45&lt;&gt;"",L45&lt;&gt;"",P45&lt;&gt;"",T45&lt;&gt;""), AND(EXACT(AC45:AG45,AC45)),"")</f>
      </c>
      <c r="AC45" s="203" t="str">
        <f t="shared" si="10"/>
      </c>
      <c r="AD45" s="203" t="str">
        <f t="shared" si="11"/>
      </c>
      <c r="AE45" s="203" t="str">
        <f t="shared" si="12"/>
      </c>
      <c r="AF45" s="203" t="str">
        <f t="shared" si="13"/>
      </c>
      <c r="AG45" s="203" t="str">
        <f t="shared" si="14"/>
      </c>
    </row>
    <row r="46">
      <c r="A46" s="214"/>
      <c r="B46" s="214"/>
      <c r="C46" s="214"/>
      <c r="D46" s="214"/>
      <c r="E46" s="214"/>
      <c r="F46" s="214"/>
      <c r="G46" s="214"/>
      <c r="H46" s="216"/>
      <c r="I46" s="215" t="str">
        <f t="shared" si="0"/>
      </c>
      <c r="J46" s="214"/>
      <c r="K46" s="217"/>
      <c r="L46" s="215" t="str">
        <f t="shared" si="1"/>
      </c>
      <c r="M46" s="214"/>
      <c r="N46" s="214"/>
      <c r="O46" s="217"/>
      <c r="P46" s="215" t="str">
        <f t="shared" si="2"/>
      </c>
      <c r="Q46" s="214"/>
      <c r="R46" s="214"/>
      <c r="S46" s="217"/>
      <c r="T46" s="215" t="str">
        <f t="shared" si="3"/>
      </c>
      <c r="U46" s="214"/>
      <c r="V46" s="214"/>
      <c r="W46" s="214"/>
      <c r="X46" s="214"/>
      <c r="Y46" s="214"/>
      <c r="Z46" s="217"/>
      <c r="AA46" s="130" t="str">
        <f t="shared" si="4"/>
      </c>
      <c r="AB46" s="0" t="str">
        <f ref="AB46:AB46" t="array">IF(OR(AA46 &lt;&gt;"", I46&lt;&gt;"",L46&lt;&gt;"",P46&lt;&gt;"",T46&lt;&gt;""), AND(EXACT(AC46:AG46,AC46)),"")</f>
      </c>
      <c r="AC46" s="203" t="str">
        <f t="shared" si="10"/>
      </c>
      <c r="AD46" s="203" t="str">
        <f t="shared" si="11"/>
      </c>
      <c r="AE46" s="203" t="str">
        <f t="shared" si="12"/>
      </c>
      <c r="AF46" s="203" t="str">
        <f t="shared" si="13"/>
      </c>
      <c r="AG46" s="203" t="str">
        <f t="shared" si="14"/>
      </c>
    </row>
    <row r="47">
      <c r="A47" s="214"/>
      <c r="B47" s="214"/>
      <c r="C47" s="214"/>
      <c r="D47" s="214"/>
      <c r="E47" s="214"/>
      <c r="F47" s="214"/>
      <c r="G47" s="214"/>
      <c r="H47" s="216"/>
      <c r="I47" s="215" t="str">
        <f t="shared" si="0"/>
      </c>
      <c r="J47" s="214"/>
      <c r="K47" s="217"/>
      <c r="L47" s="215" t="str">
        <f t="shared" si="1"/>
      </c>
      <c r="M47" s="214"/>
      <c r="N47" s="214"/>
      <c r="O47" s="217"/>
      <c r="P47" s="215" t="str">
        <f t="shared" si="2"/>
      </c>
      <c r="Q47" s="214"/>
      <c r="R47" s="214"/>
      <c r="S47" s="217"/>
      <c r="T47" s="215" t="str">
        <f t="shared" si="3"/>
      </c>
      <c r="U47" s="214"/>
      <c r="V47" s="214"/>
      <c r="W47" s="214"/>
      <c r="X47" s="214"/>
      <c r="Y47" s="214"/>
      <c r="Z47" s="217"/>
      <c r="AA47" s="130" t="str">
        <f t="shared" si="4"/>
      </c>
      <c r="AB47" s="0" t="str">
        <f ref="AB47:AB47" t="array">IF(OR(AA47 &lt;&gt;"", I47&lt;&gt;"",L47&lt;&gt;"",P47&lt;&gt;"",T47&lt;&gt;""), AND(EXACT(AC47:AG47,AC47)),"")</f>
      </c>
      <c r="AC47" s="203" t="str">
        <f t="shared" si="10"/>
      </c>
      <c r="AD47" s="203" t="str">
        <f t="shared" si="11"/>
      </c>
      <c r="AE47" s="203" t="str">
        <f t="shared" si="12"/>
      </c>
      <c r="AF47" s="203" t="str">
        <f t="shared" si="13"/>
      </c>
      <c r="AG47" s="203" t="str">
        <f t="shared" si="14"/>
      </c>
    </row>
    <row r="48">
      <c r="A48" s="214"/>
      <c r="B48" s="214"/>
      <c r="C48" s="214"/>
      <c r="D48" s="214"/>
      <c r="E48" s="214"/>
      <c r="F48" s="214"/>
      <c r="G48" s="214"/>
      <c r="H48" s="216"/>
      <c r="I48" s="215" t="str">
        <f t="shared" si="0"/>
      </c>
      <c r="J48" s="214"/>
      <c r="K48" s="217"/>
      <c r="L48" s="215" t="str">
        <f t="shared" si="1"/>
      </c>
      <c r="M48" s="214"/>
      <c r="N48" s="214"/>
      <c r="O48" s="217"/>
      <c r="P48" s="215" t="str">
        <f t="shared" si="2"/>
      </c>
      <c r="Q48" s="214"/>
      <c r="R48" s="214"/>
      <c r="S48" s="217"/>
      <c r="T48" s="215" t="str">
        <f t="shared" si="3"/>
      </c>
      <c r="U48" s="214"/>
      <c r="V48" s="214"/>
      <c r="W48" s="214"/>
      <c r="X48" s="214"/>
      <c r="Y48" s="214"/>
      <c r="Z48" s="217"/>
      <c r="AA48" s="130" t="str">
        <f t="shared" si="4"/>
      </c>
      <c r="AB48" s="0" t="str">
        <f ref="AB48:AB48" t="array">IF(OR(AA48 &lt;&gt;"", I48&lt;&gt;"",L48&lt;&gt;"",P48&lt;&gt;"",T48&lt;&gt;""), AND(EXACT(AC48:AG48,AC48)),"")</f>
      </c>
      <c r="AC48" s="203" t="str">
        <f t="shared" si="10"/>
      </c>
      <c r="AD48" s="203" t="str">
        <f t="shared" si="11"/>
      </c>
      <c r="AE48" s="203" t="str">
        <f t="shared" si="12"/>
      </c>
      <c r="AF48" s="203" t="str">
        <f t="shared" si="13"/>
      </c>
      <c r="AG48" s="203" t="str">
        <f t="shared" si="14"/>
      </c>
    </row>
    <row r="49">
      <c r="A49" s="214"/>
      <c r="B49" s="214"/>
      <c r="C49" s="214"/>
      <c r="D49" s="214"/>
      <c r="E49" s="214"/>
      <c r="F49" s="214"/>
      <c r="G49" s="214"/>
      <c r="H49" s="216"/>
      <c r="I49" s="215" t="str">
        <f t="shared" si="0"/>
      </c>
      <c r="J49" s="214"/>
      <c r="K49" s="217"/>
      <c r="L49" s="215" t="str">
        <f t="shared" si="1"/>
      </c>
      <c r="M49" s="214"/>
      <c r="N49" s="214"/>
      <c r="O49" s="217"/>
      <c r="P49" s="215" t="str">
        <f t="shared" si="2"/>
      </c>
      <c r="Q49" s="214"/>
      <c r="R49" s="214"/>
      <c r="S49" s="217"/>
      <c r="T49" s="215" t="str">
        <f t="shared" si="3"/>
      </c>
      <c r="U49" s="214"/>
      <c r="V49" s="214"/>
      <c r="W49" s="214"/>
      <c r="X49" s="214"/>
      <c r="Y49" s="214"/>
      <c r="Z49" s="217"/>
      <c r="AA49" s="130" t="str">
        <f t="shared" si="4"/>
      </c>
      <c r="AB49" s="0" t="str">
        <f ref="AB49:AB49" t="array">IF(OR(AA49 &lt;&gt;"", I49&lt;&gt;"",L49&lt;&gt;"",P49&lt;&gt;"",T49&lt;&gt;""), AND(EXACT(AC49:AG49,AC49)),"")</f>
      </c>
      <c r="AC49" s="203" t="str">
        <f t="shared" si="10"/>
      </c>
      <c r="AD49" s="203" t="str">
        <f t="shared" si="11"/>
      </c>
      <c r="AE49" s="203" t="str">
        <f t="shared" si="12"/>
      </c>
      <c r="AF49" s="203" t="str">
        <f t="shared" si="13"/>
      </c>
      <c r="AG49" s="203" t="str">
        <f t="shared" si="14"/>
      </c>
    </row>
    <row r="50">
      <c r="A50" s="214"/>
      <c r="B50" s="214"/>
      <c r="C50" s="214"/>
      <c r="D50" s="214"/>
      <c r="E50" s="214"/>
      <c r="F50" s="214"/>
      <c r="G50" s="214"/>
      <c r="H50" s="216"/>
      <c r="I50" s="215" t="str">
        <f t="shared" si="0"/>
      </c>
      <c r="J50" s="214"/>
      <c r="K50" s="217"/>
      <c r="L50" s="215" t="str">
        <f t="shared" si="1"/>
      </c>
      <c r="M50" s="214"/>
      <c r="N50" s="214"/>
      <c r="O50" s="217"/>
      <c r="P50" s="215" t="str">
        <f t="shared" si="2"/>
      </c>
      <c r="Q50" s="214"/>
      <c r="R50" s="214"/>
      <c r="S50" s="217"/>
      <c r="T50" s="215" t="str">
        <f t="shared" si="3"/>
      </c>
      <c r="U50" s="214"/>
      <c r="V50" s="214"/>
      <c r="W50" s="214"/>
      <c r="X50" s="214"/>
      <c r="Y50" s="214"/>
      <c r="Z50" s="217"/>
      <c r="AA50" s="130" t="str">
        <f t="shared" si="4"/>
      </c>
      <c r="AB50" s="0" t="str">
        <f ref="AB50:AB50" t="array">IF(OR(AA50 &lt;&gt;"", I50&lt;&gt;"",L50&lt;&gt;"",P50&lt;&gt;"",T50&lt;&gt;""), AND(EXACT(AC50:AG50,AC50)),"")</f>
      </c>
      <c r="AC50" s="203" t="str">
        <f t="shared" si="10"/>
      </c>
      <c r="AD50" s="203" t="str">
        <f t="shared" si="11"/>
      </c>
      <c r="AE50" s="203" t="str">
        <f t="shared" si="12"/>
      </c>
      <c r="AF50" s="203" t="str">
        <f t="shared" si="13"/>
      </c>
      <c r="AG50" s="203" t="str">
        <f t="shared" si="14"/>
      </c>
    </row>
    <row r="51">
      <c r="A51" s="214"/>
      <c r="B51" s="214"/>
      <c r="C51" s="214"/>
      <c r="D51" s="214"/>
      <c r="E51" s="214"/>
      <c r="F51" s="214"/>
      <c r="G51" s="214"/>
      <c r="H51" s="216"/>
      <c r="I51" s="215" t="str">
        <f t="shared" si="0"/>
      </c>
      <c r="J51" s="214"/>
      <c r="K51" s="217"/>
      <c r="L51" s="215" t="str">
        <f t="shared" si="1"/>
      </c>
      <c r="M51" s="214"/>
      <c r="N51" s="214"/>
      <c r="O51" s="217"/>
      <c r="P51" s="215" t="str">
        <f t="shared" si="2"/>
      </c>
      <c r="Q51" s="214"/>
      <c r="R51" s="214"/>
      <c r="S51" s="217"/>
      <c r="T51" s="215" t="str">
        <f t="shared" si="3"/>
      </c>
      <c r="U51" s="214"/>
      <c r="V51" s="214"/>
      <c r="W51" s="214"/>
      <c r="X51" s="214"/>
      <c r="Y51" s="214"/>
      <c r="Z51" s="217"/>
      <c r="AA51" s="130" t="str">
        <f t="shared" si="4"/>
      </c>
      <c r="AB51" s="0" t="str">
        <f ref="AB51:AB51" t="array">IF(OR(AA51 &lt;&gt;"", I51&lt;&gt;"",L51&lt;&gt;"",P51&lt;&gt;"",T51&lt;&gt;""), AND(EXACT(AC51:AG51,AC51)),"")</f>
      </c>
      <c r="AC51" s="203" t="str">
        <f t="shared" si="10"/>
      </c>
      <c r="AD51" s="203" t="str">
        <f t="shared" si="11"/>
      </c>
      <c r="AE51" s="203" t="str">
        <f t="shared" si="12"/>
      </c>
      <c r="AF51" s="203" t="str">
        <f t="shared" si="13"/>
      </c>
      <c r="AG51" s="203" t="str">
        <f t="shared" si="14"/>
      </c>
    </row>
    <row r="52">
      <c r="A52" s="214"/>
      <c r="B52" s="214"/>
      <c r="C52" s="214"/>
      <c r="D52" s="214"/>
      <c r="E52" s="214"/>
      <c r="F52" s="214"/>
      <c r="G52" s="214"/>
      <c r="H52" s="216"/>
      <c r="I52" s="215" t="str">
        <f t="shared" si="0"/>
      </c>
      <c r="J52" s="214"/>
      <c r="K52" s="217"/>
      <c r="L52" s="215" t="str">
        <f t="shared" si="1"/>
      </c>
      <c r="M52" s="214"/>
      <c r="N52" s="214"/>
      <c r="O52" s="217"/>
      <c r="P52" s="215" t="str">
        <f t="shared" si="2"/>
      </c>
      <c r="Q52" s="214"/>
      <c r="R52" s="214"/>
      <c r="S52" s="217"/>
      <c r="T52" s="215" t="str">
        <f t="shared" si="3"/>
      </c>
      <c r="U52" s="214"/>
      <c r="V52" s="214"/>
      <c r="W52" s="214"/>
      <c r="X52" s="214"/>
      <c r="Y52" s="214"/>
      <c r="Z52" s="217"/>
      <c r="AA52" s="130" t="str">
        <f t="shared" si="4"/>
      </c>
      <c r="AB52" s="0" t="str">
        <f ref="AB52:AB52" t="array">IF(OR(AA52 &lt;&gt;"", I52&lt;&gt;"",L52&lt;&gt;"",P52&lt;&gt;"",T52&lt;&gt;""), AND(EXACT(AC52:AG52,AC52)),"")</f>
      </c>
      <c r="AC52" s="203" t="str">
        <f t="shared" si="10"/>
      </c>
      <c r="AD52" s="203" t="str">
        <f t="shared" si="11"/>
      </c>
      <c r="AE52" s="203" t="str">
        <f t="shared" si="12"/>
      </c>
      <c r="AF52" s="203" t="str">
        <f t="shared" si="13"/>
      </c>
      <c r="AG52" s="203" t="str">
        <f t="shared" si="14"/>
      </c>
    </row>
    <row r="53">
      <c r="A53" s="214"/>
      <c r="B53" s="214"/>
      <c r="C53" s="214"/>
      <c r="D53" s="214"/>
      <c r="E53" s="214"/>
      <c r="F53" s="214"/>
      <c r="G53" s="214"/>
      <c r="H53" s="216"/>
      <c r="I53" s="215" t="str">
        <f t="shared" si="0"/>
      </c>
      <c r="J53" s="214"/>
      <c r="K53" s="217"/>
      <c r="L53" s="215" t="str">
        <f t="shared" si="1"/>
      </c>
      <c r="M53" s="214"/>
      <c r="N53" s="214"/>
      <c r="O53" s="217"/>
      <c r="P53" s="215" t="str">
        <f t="shared" si="2"/>
      </c>
      <c r="Q53" s="214"/>
      <c r="R53" s="214"/>
      <c r="S53" s="217"/>
      <c r="T53" s="215" t="str">
        <f t="shared" si="3"/>
      </c>
      <c r="U53" s="214"/>
      <c r="V53" s="214"/>
      <c r="W53" s="214"/>
      <c r="X53" s="214"/>
      <c r="Y53" s="214"/>
      <c r="Z53" s="217"/>
      <c r="AA53" s="130" t="str">
        <f t="shared" si="4"/>
      </c>
      <c r="AB53" s="0" t="str">
        <f ref="AB53:AB53" t="array">IF(OR(AA53 &lt;&gt;"", I53&lt;&gt;"",L53&lt;&gt;"",P53&lt;&gt;"",T53&lt;&gt;""), AND(EXACT(AC53:AG53,AC53)),"")</f>
      </c>
      <c r="AC53" s="203" t="str">
        <f t="shared" si="10"/>
      </c>
      <c r="AD53" s="203" t="str">
        <f t="shared" si="11"/>
      </c>
      <c r="AE53" s="203" t="str">
        <f t="shared" si="12"/>
      </c>
      <c r="AF53" s="203" t="str">
        <f t="shared" si="13"/>
      </c>
      <c r="AG53" s="203" t="str">
        <f t="shared" si="14"/>
      </c>
    </row>
    <row r="54">
      <c r="A54" s="214"/>
      <c r="B54" s="214"/>
      <c r="C54" s="214"/>
      <c r="D54" s="214"/>
      <c r="E54" s="214"/>
      <c r="F54" s="214"/>
      <c r="G54" s="214"/>
      <c r="H54" s="216"/>
      <c r="I54" s="215" t="str">
        <f t="shared" si="0"/>
      </c>
      <c r="J54" s="214"/>
      <c r="K54" s="217"/>
      <c r="L54" s="215" t="str">
        <f t="shared" si="1"/>
      </c>
      <c r="M54" s="214"/>
      <c r="N54" s="214"/>
      <c r="O54" s="217"/>
      <c r="P54" s="215" t="str">
        <f t="shared" si="2"/>
      </c>
      <c r="Q54" s="214"/>
      <c r="R54" s="214"/>
      <c r="S54" s="217"/>
      <c r="T54" s="215" t="str">
        <f t="shared" si="3"/>
      </c>
      <c r="U54" s="214"/>
      <c r="V54" s="214"/>
      <c r="W54" s="214"/>
      <c r="X54" s="214"/>
      <c r="Y54" s="214"/>
      <c r="Z54" s="217"/>
      <c r="AA54" s="130" t="str">
        <f t="shared" si="4"/>
      </c>
      <c r="AB54" s="0" t="str">
        <f ref="AB54:AB54" t="array">IF(OR(AA54 &lt;&gt;"", I54&lt;&gt;"",L54&lt;&gt;"",P54&lt;&gt;"",T54&lt;&gt;""), AND(EXACT(AC54:AG54,AC54)),"")</f>
      </c>
      <c r="AC54" s="203" t="str">
        <f t="shared" si="10"/>
      </c>
      <c r="AD54" s="203" t="str">
        <f t="shared" si="11"/>
      </c>
      <c r="AE54" s="203" t="str">
        <f t="shared" si="12"/>
      </c>
      <c r="AF54" s="203" t="str">
        <f t="shared" si="13"/>
      </c>
      <c r="AG54" s="203" t="str">
        <f t="shared" si="14"/>
      </c>
    </row>
    <row r="55">
      <c r="A55" s="214"/>
      <c r="B55" s="214"/>
      <c r="C55" s="214"/>
      <c r="D55" s="214"/>
      <c r="E55" s="214"/>
      <c r="F55" s="214"/>
      <c r="G55" s="214"/>
      <c r="H55" s="216"/>
      <c r="I55" s="215" t="str">
        <f t="shared" si="0"/>
      </c>
      <c r="J55" s="214"/>
      <c r="K55" s="217"/>
      <c r="L55" s="215" t="str">
        <f t="shared" si="1"/>
      </c>
      <c r="M55" s="214"/>
      <c r="N55" s="214"/>
      <c r="O55" s="217"/>
      <c r="P55" s="215" t="str">
        <f t="shared" si="2"/>
      </c>
      <c r="Q55" s="214"/>
      <c r="R55" s="214"/>
      <c r="S55" s="217"/>
      <c r="T55" s="215" t="str">
        <f t="shared" si="3"/>
      </c>
      <c r="U55" s="214"/>
      <c r="V55" s="214"/>
      <c r="W55" s="214"/>
      <c r="X55" s="214"/>
      <c r="Y55" s="214"/>
      <c r="Z55" s="217"/>
      <c r="AA55" s="130" t="str">
        <f t="shared" si="4"/>
      </c>
      <c r="AB55" s="0" t="str">
        <f ref="AB55:AB55" t="array">IF(OR(AA55 &lt;&gt;"", I55&lt;&gt;"",L55&lt;&gt;"",P55&lt;&gt;"",T55&lt;&gt;""), AND(EXACT(AC55:AG55,AC55)),"")</f>
      </c>
      <c r="AC55" s="203" t="str">
        <f t="shared" si="10"/>
      </c>
      <c r="AD55" s="203" t="str">
        <f t="shared" si="11"/>
      </c>
      <c r="AE55" s="203" t="str">
        <f t="shared" si="12"/>
      </c>
      <c r="AF55" s="203" t="str">
        <f t="shared" si="13"/>
      </c>
      <c r="AG55" s="203" t="str">
        <f t="shared" si="14"/>
      </c>
    </row>
    <row r="56">
      <c r="A56" s="214"/>
      <c r="B56" s="214"/>
      <c r="C56" s="214"/>
      <c r="D56" s="214"/>
      <c r="E56" s="214"/>
      <c r="F56" s="214"/>
      <c r="G56" s="214"/>
      <c r="H56" s="216"/>
      <c r="I56" s="215" t="str">
        <f t="shared" si="0"/>
      </c>
      <c r="J56" s="214"/>
      <c r="K56" s="217"/>
      <c r="L56" s="215" t="str">
        <f t="shared" si="1"/>
      </c>
      <c r="M56" s="214"/>
      <c r="N56" s="214"/>
      <c r="O56" s="217"/>
      <c r="P56" s="215" t="str">
        <f t="shared" si="2"/>
      </c>
      <c r="Q56" s="214"/>
      <c r="R56" s="214"/>
      <c r="S56" s="217"/>
      <c r="T56" s="215" t="str">
        <f t="shared" si="3"/>
      </c>
      <c r="U56" s="214"/>
      <c r="V56" s="214"/>
      <c r="W56" s="214"/>
      <c r="X56" s="214"/>
      <c r="Y56" s="214"/>
      <c r="Z56" s="217"/>
      <c r="AA56" s="130" t="str">
        <f t="shared" si="4"/>
      </c>
      <c r="AB56" s="0" t="str">
        <f ref="AB56:AB56" t="array">IF(OR(AA56 &lt;&gt;"", I56&lt;&gt;"",L56&lt;&gt;"",P56&lt;&gt;"",T56&lt;&gt;""), AND(EXACT(AC56:AG56,AC56)),"")</f>
      </c>
      <c r="AC56" s="203" t="str">
        <f t="shared" si="10"/>
      </c>
      <c r="AD56" s="203" t="str">
        <f t="shared" si="11"/>
      </c>
      <c r="AE56" s="203" t="str">
        <f t="shared" si="12"/>
      </c>
      <c r="AF56" s="203" t="str">
        <f t="shared" si="13"/>
      </c>
      <c r="AG56" s="203" t="str">
        <f t="shared" si="14"/>
      </c>
    </row>
    <row r="57">
      <c r="A57" s="214"/>
      <c r="B57" s="214"/>
      <c r="C57" s="214"/>
      <c r="D57" s="214"/>
      <c r="E57" s="214"/>
      <c r="F57" s="214"/>
      <c r="G57" s="214"/>
      <c r="H57" s="216"/>
      <c r="I57" s="215" t="str">
        <f t="shared" si="0"/>
      </c>
      <c r="J57" s="214"/>
      <c r="K57" s="217"/>
      <c r="L57" s="215" t="str">
        <f t="shared" si="1"/>
      </c>
      <c r="M57" s="214"/>
      <c r="N57" s="214"/>
      <c r="O57" s="217"/>
      <c r="P57" s="215" t="str">
        <f t="shared" si="2"/>
      </c>
      <c r="Q57" s="214"/>
      <c r="R57" s="214"/>
      <c r="S57" s="217"/>
      <c r="T57" s="215" t="str">
        <f t="shared" si="3"/>
      </c>
      <c r="U57" s="214"/>
      <c r="V57" s="214"/>
      <c r="W57" s="214"/>
      <c r="X57" s="214"/>
      <c r="Y57" s="214"/>
      <c r="Z57" s="217"/>
      <c r="AA57" s="130" t="str">
        <f t="shared" si="4"/>
      </c>
      <c r="AB57" s="0" t="str">
        <f ref="AB57:AB57" t="array">IF(OR(AA57 &lt;&gt;"", I57&lt;&gt;"",L57&lt;&gt;"",P57&lt;&gt;"",T57&lt;&gt;""), AND(EXACT(AC57:AG57,AC57)),"")</f>
      </c>
      <c r="AC57" s="203" t="str">
        <f t="shared" si="10"/>
      </c>
      <c r="AD57" s="203" t="str">
        <f t="shared" si="11"/>
      </c>
      <c r="AE57" s="203" t="str">
        <f t="shared" si="12"/>
      </c>
      <c r="AF57" s="203" t="str">
        <f t="shared" si="13"/>
      </c>
      <c r="AG57" s="203" t="str">
        <f t="shared" si="14"/>
      </c>
    </row>
    <row r="58">
      <c r="A58" s="214"/>
      <c r="B58" s="214"/>
      <c r="C58" s="214"/>
      <c r="D58" s="214"/>
      <c r="E58" s="214"/>
      <c r="F58" s="214"/>
      <c r="G58" s="214"/>
      <c r="H58" s="216"/>
      <c r="I58" s="215" t="str">
        <f t="shared" si="0"/>
      </c>
      <c r="J58" s="214"/>
      <c r="K58" s="217"/>
      <c r="L58" s="215" t="str">
        <f t="shared" si="1"/>
      </c>
      <c r="M58" s="214"/>
      <c r="N58" s="214"/>
      <c r="O58" s="217"/>
      <c r="P58" s="215" t="str">
        <f t="shared" si="2"/>
      </c>
      <c r="Q58" s="214"/>
      <c r="R58" s="214"/>
      <c r="S58" s="217"/>
      <c r="T58" s="215" t="str">
        <f t="shared" si="3"/>
      </c>
      <c r="U58" s="214"/>
      <c r="V58" s="214"/>
      <c r="W58" s="214"/>
      <c r="X58" s="214"/>
      <c r="Y58" s="214"/>
      <c r="Z58" s="217"/>
      <c r="AA58" s="130" t="str">
        <f t="shared" si="4"/>
      </c>
      <c r="AB58" s="0" t="str">
        <f ref="AB58:AB58" t="array">IF(OR(AA58 &lt;&gt;"", I58&lt;&gt;"",L58&lt;&gt;"",P58&lt;&gt;"",T58&lt;&gt;""), AND(EXACT(AC58:AG58,AC58)),"")</f>
      </c>
      <c r="AC58" s="203" t="str">
        <f t="shared" si="10"/>
      </c>
      <c r="AD58" s="203" t="str">
        <f t="shared" si="11"/>
      </c>
      <c r="AE58" s="203" t="str">
        <f t="shared" si="12"/>
      </c>
      <c r="AF58" s="203" t="str">
        <f t="shared" si="13"/>
      </c>
      <c r="AG58" s="203" t="str">
        <f t="shared" si="14"/>
      </c>
    </row>
    <row r="59">
      <c r="A59" s="214"/>
      <c r="B59" s="214"/>
      <c r="C59" s="214"/>
      <c r="D59" s="214"/>
      <c r="E59" s="214"/>
      <c r="F59" s="214"/>
      <c r="G59" s="214"/>
      <c r="H59" s="216"/>
      <c r="I59" s="215" t="str">
        <f t="shared" si="0"/>
      </c>
      <c r="J59" s="214"/>
      <c r="K59" s="217"/>
      <c r="L59" s="215" t="str">
        <f t="shared" si="1"/>
      </c>
      <c r="M59" s="214"/>
      <c r="N59" s="214"/>
      <c r="O59" s="217"/>
      <c r="P59" s="215" t="str">
        <f t="shared" si="2"/>
      </c>
      <c r="Q59" s="214"/>
      <c r="R59" s="214"/>
      <c r="S59" s="217"/>
      <c r="T59" s="215" t="str">
        <f t="shared" si="3"/>
      </c>
      <c r="U59" s="214"/>
      <c r="V59" s="214"/>
      <c r="W59" s="214"/>
      <c r="X59" s="214"/>
      <c r="Y59" s="214"/>
      <c r="Z59" s="217"/>
      <c r="AA59" s="130" t="str">
        <f t="shared" si="4"/>
      </c>
      <c r="AB59" s="0" t="str">
        <f ref="AB59:AB59" t="array">IF(OR(AA59 &lt;&gt;"", I59&lt;&gt;"",L59&lt;&gt;"",P59&lt;&gt;"",T59&lt;&gt;""), AND(EXACT(AC59:AG59,AC59)),"")</f>
      </c>
      <c r="AC59" s="203" t="str">
        <f t="shared" si="10"/>
      </c>
      <c r="AD59" s="203" t="str">
        <f t="shared" si="11"/>
      </c>
      <c r="AE59" s="203" t="str">
        <f t="shared" si="12"/>
      </c>
      <c r="AF59" s="203" t="str">
        <f t="shared" si="13"/>
      </c>
      <c r="AG59" s="203" t="str">
        <f t="shared" si="14"/>
      </c>
    </row>
    <row r="60">
      <c r="A60" s="214"/>
      <c r="B60" s="214"/>
      <c r="C60" s="214"/>
      <c r="D60" s="214"/>
      <c r="E60" s="214"/>
      <c r="F60" s="214"/>
      <c r="G60" s="214"/>
      <c r="H60" s="216"/>
      <c r="I60" s="215" t="str">
        <f t="shared" si="0"/>
      </c>
      <c r="J60" s="214"/>
      <c r="K60" s="217"/>
      <c r="L60" s="215" t="str">
        <f t="shared" si="1"/>
      </c>
      <c r="M60" s="214"/>
      <c r="N60" s="214"/>
      <c r="O60" s="217"/>
      <c r="P60" s="215" t="str">
        <f t="shared" si="2"/>
      </c>
      <c r="Q60" s="214"/>
      <c r="R60" s="214"/>
      <c r="S60" s="217"/>
      <c r="T60" s="215" t="str">
        <f t="shared" si="3"/>
      </c>
      <c r="U60" s="214"/>
      <c r="V60" s="214"/>
      <c r="W60" s="214"/>
      <c r="X60" s="214"/>
      <c r="Y60" s="214"/>
      <c r="Z60" s="217"/>
      <c r="AA60" s="130" t="str">
        <f t="shared" si="4"/>
      </c>
      <c r="AB60" s="0" t="str">
        <f ref="AB60:AB60" t="array">IF(OR(AA60 &lt;&gt;"", I60&lt;&gt;"",L60&lt;&gt;"",P60&lt;&gt;"",T60&lt;&gt;""), AND(EXACT(AC60:AG60,AC60)),"")</f>
      </c>
      <c r="AC60" s="203" t="str">
        <f t="shared" si="10"/>
      </c>
      <c r="AD60" s="203" t="str">
        <f t="shared" si="11"/>
      </c>
      <c r="AE60" s="203" t="str">
        <f t="shared" si="12"/>
      </c>
      <c r="AF60" s="203" t="str">
        <f t="shared" si="13"/>
      </c>
      <c r="AG60" s="203" t="str">
        <f t="shared" si="14"/>
      </c>
    </row>
    <row r="61">
      <c r="A61" s="214"/>
      <c r="B61" s="214"/>
      <c r="C61" s="214"/>
      <c r="D61" s="214"/>
      <c r="E61" s="214"/>
      <c r="F61" s="214"/>
      <c r="G61" s="214"/>
      <c r="H61" s="216"/>
      <c r="I61" s="215" t="str">
        <f t="shared" si="0"/>
      </c>
      <c r="J61" s="214"/>
      <c r="K61" s="217"/>
      <c r="L61" s="215" t="str">
        <f t="shared" si="1"/>
      </c>
      <c r="M61" s="214"/>
      <c r="N61" s="214"/>
      <c r="O61" s="217"/>
      <c r="P61" s="215" t="str">
        <f t="shared" si="2"/>
      </c>
      <c r="Q61" s="214"/>
      <c r="R61" s="214"/>
      <c r="S61" s="217"/>
      <c r="T61" s="215" t="str">
        <f t="shared" si="3"/>
      </c>
      <c r="U61" s="214"/>
      <c r="V61" s="214"/>
      <c r="W61" s="214"/>
      <c r="X61" s="214"/>
      <c r="Y61" s="214"/>
      <c r="Z61" s="217"/>
      <c r="AA61" s="130" t="str">
        <f t="shared" si="4"/>
      </c>
      <c r="AB61" s="0" t="str">
        <f ref="AB61:AB61" t="array">IF(OR(AA61 &lt;&gt;"", I61&lt;&gt;"",L61&lt;&gt;"",P61&lt;&gt;"",T61&lt;&gt;""), AND(EXACT(AC61:AG61,AC61)),"")</f>
      </c>
      <c r="AC61" s="203" t="str">
        <f t="shared" si="10"/>
      </c>
      <c r="AD61" s="203" t="str">
        <f t="shared" si="11"/>
      </c>
      <c r="AE61" s="203" t="str">
        <f t="shared" si="12"/>
      </c>
      <c r="AF61" s="203" t="str">
        <f t="shared" si="13"/>
      </c>
      <c r="AG61" s="203" t="str">
        <f t="shared" si="14"/>
      </c>
    </row>
    <row r="62">
      <c r="A62" s="214"/>
      <c r="B62" s="214"/>
      <c r="C62" s="214"/>
      <c r="D62" s="214"/>
      <c r="E62" s="214"/>
      <c r="F62" s="214"/>
      <c r="G62" s="214"/>
      <c r="H62" s="216"/>
      <c r="I62" s="215" t="str">
        <f t="shared" si="0"/>
      </c>
      <c r="J62" s="214"/>
      <c r="K62" s="217"/>
      <c r="L62" s="215" t="str">
        <f t="shared" si="1"/>
      </c>
      <c r="M62" s="214"/>
      <c r="N62" s="214"/>
      <c r="O62" s="217"/>
      <c r="P62" s="215" t="str">
        <f t="shared" si="2"/>
      </c>
      <c r="Q62" s="214"/>
      <c r="R62" s="214"/>
      <c r="S62" s="217"/>
      <c r="T62" s="215" t="str">
        <f t="shared" si="3"/>
      </c>
      <c r="U62" s="214"/>
      <c r="V62" s="214"/>
      <c r="W62" s="214"/>
      <c r="X62" s="214"/>
      <c r="Y62" s="214"/>
      <c r="Z62" s="217"/>
      <c r="AA62" s="130" t="str">
        <f t="shared" si="4"/>
      </c>
      <c r="AB62" s="0" t="str">
        <f ref="AB62:AB62" t="array">IF(OR(AA62 &lt;&gt;"", I62&lt;&gt;"",L62&lt;&gt;"",P62&lt;&gt;"",T62&lt;&gt;""), AND(EXACT(AC62:AG62,AC62)),"")</f>
      </c>
      <c r="AC62" s="203" t="str">
        <f t="shared" si="10"/>
      </c>
      <c r="AD62" s="203" t="str">
        <f t="shared" si="11"/>
      </c>
      <c r="AE62" s="203" t="str">
        <f t="shared" si="12"/>
      </c>
      <c r="AF62" s="203" t="str">
        <f t="shared" si="13"/>
      </c>
      <c r="AG62" s="203" t="str">
        <f t="shared" si="14"/>
      </c>
    </row>
    <row r="63">
      <c r="A63" s="214"/>
      <c r="B63" s="214"/>
      <c r="C63" s="214"/>
      <c r="D63" s="214"/>
      <c r="E63" s="214"/>
      <c r="F63" s="214"/>
      <c r="G63" s="214"/>
      <c r="H63" s="216"/>
      <c r="I63" s="215" t="str">
        <f t="shared" si="0"/>
      </c>
      <c r="J63" s="214"/>
      <c r="K63" s="217"/>
      <c r="L63" s="215" t="str">
        <f t="shared" si="1"/>
      </c>
      <c r="M63" s="214"/>
      <c r="N63" s="214"/>
      <c r="O63" s="217"/>
      <c r="P63" s="215" t="str">
        <f t="shared" si="2"/>
      </c>
      <c r="Q63" s="214"/>
      <c r="R63" s="214"/>
      <c r="S63" s="217"/>
      <c r="T63" s="215" t="str">
        <f t="shared" si="3"/>
      </c>
      <c r="U63" s="214"/>
      <c r="V63" s="214"/>
      <c r="W63" s="214"/>
      <c r="X63" s="214"/>
      <c r="Y63" s="214"/>
      <c r="Z63" s="217"/>
      <c r="AA63" s="130" t="str">
        <f t="shared" si="4"/>
      </c>
      <c r="AB63" s="0" t="str">
        <f ref="AB63:AB63" t="array">IF(OR(AA63 &lt;&gt;"", I63&lt;&gt;"",L63&lt;&gt;"",P63&lt;&gt;"",T63&lt;&gt;""), AND(EXACT(AC63:AG63,AC63)),"")</f>
      </c>
      <c r="AC63" s="203" t="str">
        <f t="shared" si="10"/>
      </c>
      <c r="AD63" s="203" t="str">
        <f t="shared" si="11"/>
      </c>
      <c r="AE63" s="203" t="str">
        <f t="shared" si="12"/>
      </c>
      <c r="AF63" s="203" t="str">
        <f t="shared" si="13"/>
      </c>
      <c r="AG63" s="203" t="str">
        <f t="shared" si="14"/>
      </c>
    </row>
    <row r="64">
      <c r="A64" s="214"/>
      <c r="B64" s="214"/>
      <c r="C64" s="214"/>
      <c r="D64" s="214"/>
      <c r="E64" s="214"/>
      <c r="F64" s="214"/>
      <c r="G64" s="214"/>
      <c r="H64" s="216"/>
      <c r="I64" s="215" t="str">
        <f t="shared" si="0"/>
      </c>
      <c r="J64" s="214"/>
      <c r="K64" s="217"/>
      <c r="L64" s="215" t="str">
        <f t="shared" si="1"/>
      </c>
      <c r="M64" s="214"/>
      <c r="N64" s="214"/>
      <c r="O64" s="217"/>
      <c r="P64" s="215" t="str">
        <f t="shared" si="2"/>
      </c>
      <c r="Q64" s="214"/>
      <c r="R64" s="214"/>
      <c r="S64" s="217"/>
      <c r="T64" s="215" t="str">
        <f t="shared" si="3"/>
      </c>
      <c r="U64" s="214"/>
      <c r="V64" s="214"/>
      <c r="W64" s="214"/>
      <c r="X64" s="214"/>
      <c r="Y64" s="214"/>
      <c r="Z64" s="217"/>
      <c r="AA64" s="130" t="str">
        <f t="shared" si="4"/>
      </c>
      <c r="AB64" s="0" t="str">
        <f ref="AB64:AB64" t="array">IF(OR(AA64 &lt;&gt;"", I64&lt;&gt;"",L64&lt;&gt;"",P64&lt;&gt;"",T64&lt;&gt;""), AND(EXACT(AC64:AG64,AC64)),"")</f>
      </c>
      <c r="AC64" s="203" t="str">
        <f t="shared" si="10"/>
      </c>
      <c r="AD64" s="203" t="str">
        <f t="shared" si="11"/>
      </c>
      <c r="AE64" s="203" t="str">
        <f t="shared" si="12"/>
      </c>
      <c r="AF64" s="203" t="str">
        <f t="shared" si="13"/>
      </c>
      <c r="AG64" s="203" t="str">
        <f t="shared" si="14"/>
      </c>
    </row>
    <row r="65">
      <c r="A65" s="214"/>
      <c r="B65" s="214"/>
      <c r="C65" s="214"/>
      <c r="D65" s="214"/>
      <c r="E65" s="214"/>
      <c r="F65" s="214"/>
      <c r="G65" s="214"/>
      <c r="H65" s="216"/>
      <c r="I65" s="215" t="str">
        <f t="shared" si="0"/>
      </c>
      <c r="J65" s="214"/>
      <c r="K65" s="217"/>
      <c r="L65" s="215" t="str">
        <f t="shared" si="1"/>
      </c>
      <c r="M65" s="214"/>
      <c r="N65" s="214"/>
      <c r="O65" s="217"/>
      <c r="P65" s="215" t="str">
        <f t="shared" si="2"/>
      </c>
      <c r="Q65" s="214"/>
      <c r="R65" s="214"/>
      <c r="S65" s="217"/>
      <c r="T65" s="215" t="str">
        <f t="shared" si="3"/>
      </c>
      <c r="U65" s="214"/>
      <c r="V65" s="214"/>
      <c r="W65" s="214"/>
      <c r="X65" s="214"/>
      <c r="Y65" s="214"/>
      <c r="Z65" s="217"/>
      <c r="AA65" s="130" t="str">
        <f t="shared" si="4"/>
      </c>
      <c r="AB65" s="0" t="str">
        <f ref="AB65:AB65" t="array">IF(OR(AA65 &lt;&gt;"", I65&lt;&gt;"",L65&lt;&gt;"",P65&lt;&gt;"",T65&lt;&gt;""), AND(EXACT(AC65:AG65,AC65)),"")</f>
      </c>
      <c r="AC65" s="203" t="str">
        <f t="shared" si="10"/>
      </c>
      <c r="AD65" s="203" t="str">
        <f t="shared" si="11"/>
      </c>
      <c r="AE65" s="203" t="str">
        <f t="shared" si="12"/>
      </c>
      <c r="AF65" s="203" t="str">
        <f t="shared" si="13"/>
      </c>
      <c r="AG65" s="203" t="str">
        <f t="shared" si="14"/>
      </c>
    </row>
    <row r="66">
      <c r="A66" s="214"/>
      <c r="B66" s="214"/>
      <c r="C66" s="214"/>
      <c r="D66" s="214"/>
      <c r="E66" s="214"/>
      <c r="F66" s="214"/>
      <c r="G66" s="214"/>
      <c r="H66" s="216"/>
      <c r="I66" s="215" t="str">
        <f t="shared" si="0"/>
      </c>
      <c r="J66" s="214"/>
      <c r="K66" s="217"/>
      <c r="L66" s="215" t="str">
        <f t="shared" si="1"/>
      </c>
      <c r="M66" s="214"/>
      <c r="N66" s="214"/>
      <c r="O66" s="217"/>
      <c r="P66" s="215" t="str">
        <f t="shared" si="2"/>
      </c>
      <c r="Q66" s="214"/>
      <c r="R66" s="214"/>
      <c r="S66" s="217"/>
      <c r="T66" s="215" t="str">
        <f t="shared" si="3"/>
      </c>
      <c r="U66" s="214"/>
      <c r="V66" s="214"/>
      <c r="W66" s="214"/>
      <c r="X66" s="214"/>
      <c r="Y66" s="214"/>
      <c r="Z66" s="217"/>
      <c r="AA66" s="130" t="str">
        <f t="shared" si="4"/>
      </c>
      <c r="AB66" s="0" t="str">
        <f ref="AB66:AB66" t="array">IF(OR(AA66 &lt;&gt;"", I66&lt;&gt;"",L66&lt;&gt;"",P66&lt;&gt;"",T66&lt;&gt;""), AND(EXACT(AC66:AG66,AC66)),"")</f>
      </c>
      <c r="AC66" s="203" t="str">
        <f t="shared" si="10"/>
      </c>
      <c r="AD66" s="203" t="str">
        <f t="shared" si="11"/>
      </c>
      <c r="AE66" s="203" t="str">
        <f t="shared" si="12"/>
      </c>
      <c r="AF66" s="203" t="str">
        <f t="shared" si="13"/>
      </c>
      <c r="AG66" s="203" t="str">
        <f t="shared" si="14"/>
      </c>
    </row>
    <row r="67">
      <c r="A67" s="214"/>
      <c r="B67" s="214"/>
      <c r="C67" s="214"/>
      <c r="D67" s="214"/>
      <c r="E67" s="214"/>
      <c r="F67" s="214"/>
      <c r="G67" s="214"/>
      <c r="H67" s="216"/>
      <c r="I67" s="215" t="str">
        <f ref="I67:I107" t="shared" si="15">IF(H67&lt;&gt;"",G67=H67,"")</f>
      </c>
      <c r="J67" s="214"/>
      <c r="K67" s="217"/>
      <c r="L67" s="215" t="str">
        <f ref="L67:L107" t="shared" si="16">IF(K67&lt;&gt;"",J67=K67,"")</f>
      </c>
      <c r="M67" s="214"/>
      <c r="N67" s="214"/>
      <c r="O67" s="217"/>
      <c r="P67" s="215" t="str">
        <f ref="P67:P107" t="shared" si="17">IF(O67&lt;&gt;"",N67=O67,"")</f>
      </c>
      <c r="Q67" s="214"/>
      <c r="R67" s="214"/>
      <c r="S67" s="217"/>
      <c r="T67" s="215" t="str">
        <f ref="T67:T107" t="shared" si="18">IF(S67&lt;&gt;"",R67=S67,"")</f>
      </c>
      <c r="U67" s="214"/>
      <c r="V67" s="214"/>
      <c r="W67" s="214"/>
      <c r="X67" s="214"/>
      <c r="Y67" s="214"/>
      <c r="Z67" s="217"/>
      <c r="AA67" s="130" t="str">
        <f ref="AA67:AA107" t="shared" si="19">IF(Z67&lt;&gt;"",Y67=Z67,"")</f>
      </c>
      <c r="AB67" s="0" t="str">
        <f ref="AB67:AB67" t="array">IF(OR(AA67 &lt;&gt;"", I67&lt;&gt;"",L67&lt;&gt;"",P67&lt;&gt;"",T67&lt;&gt;""), AND(EXACT(AC67:AG67,AC67)),"")</f>
      </c>
      <c r="AC67" s="203" t="str">
        <f t="shared" si="10"/>
      </c>
      <c r="AD67" s="203" t="str">
        <f t="shared" si="11"/>
      </c>
      <c r="AE67" s="203" t="str">
        <f t="shared" si="12"/>
      </c>
      <c r="AF67" s="203" t="str">
        <f t="shared" si="13"/>
      </c>
      <c r="AG67" s="203" t="str">
        <f t="shared" si="14"/>
      </c>
    </row>
    <row r="68">
      <c r="A68" s="214"/>
      <c r="B68" s="214"/>
      <c r="C68" s="214"/>
      <c r="D68" s="214"/>
      <c r="E68" s="214"/>
      <c r="F68" s="214"/>
      <c r="G68" s="214"/>
      <c r="H68" s="216"/>
      <c r="I68" s="215" t="str">
        <f t="shared" si="15"/>
      </c>
      <c r="J68" s="214"/>
      <c r="K68" s="217"/>
      <c r="L68" s="215" t="str">
        <f t="shared" si="16"/>
      </c>
      <c r="M68" s="214"/>
      <c r="N68" s="214"/>
      <c r="O68" s="217"/>
      <c r="P68" s="215" t="str">
        <f t="shared" si="17"/>
      </c>
      <c r="Q68" s="214"/>
      <c r="R68" s="214"/>
      <c r="S68" s="217"/>
      <c r="T68" s="215" t="str">
        <f t="shared" si="18"/>
      </c>
      <c r="U68" s="214"/>
      <c r="V68" s="214"/>
      <c r="W68" s="214"/>
      <c r="X68" s="214"/>
      <c r="Y68" s="214"/>
      <c r="Z68" s="217"/>
      <c r="AA68" s="130" t="str">
        <f t="shared" si="19"/>
      </c>
      <c r="AB68" s="0" t="str">
        <f ref="AB68:AB68" t="array">IF(OR(AA68 &lt;&gt;"", I68&lt;&gt;"",L68&lt;&gt;"",P68&lt;&gt;"",T68&lt;&gt;""), AND(EXACT(AC68:AG68,AC68)),"")</f>
      </c>
      <c r="AC68" s="203" t="str">
        <f ref="AC68:AC107" t="shared" si="20">I68</f>
      </c>
      <c r="AD68" s="203" t="str">
        <f ref="AD68:AD107" t="shared" si="21">L68</f>
      </c>
      <c r="AE68" s="203" t="str">
        <f ref="AE68:AE107" t="shared" si="22">P68</f>
      </c>
      <c r="AF68" s="203" t="str">
        <f ref="AF68:AF107" t="shared" si="23">T68</f>
      </c>
      <c r="AG68" s="203" t="str">
        <f ref="AG68:AG107" t="shared" si="24">AA68</f>
      </c>
    </row>
    <row r="69">
      <c r="A69" s="214"/>
      <c r="B69" s="214"/>
      <c r="C69" s="214"/>
      <c r="D69" s="214"/>
      <c r="E69" s="214"/>
      <c r="F69" s="214"/>
      <c r="G69" s="214"/>
      <c r="H69" s="216"/>
      <c r="I69" s="215" t="str">
        <f t="shared" si="15"/>
      </c>
      <c r="J69" s="214"/>
      <c r="K69" s="217"/>
      <c r="L69" s="215" t="str">
        <f t="shared" si="16"/>
      </c>
      <c r="M69" s="214"/>
      <c r="N69" s="214"/>
      <c r="O69" s="217"/>
      <c r="P69" s="215" t="str">
        <f t="shared" si="17"/>
      </c>
      <c r="Q69" s="214"/>
      <c r="R69" s="214"/>
      <c r="S69" s="217"/>
      <c r="T69" s="215" t="str">
        <f t="shared" si="18"/>
      </c>
      <c r="U69" s="214"/>
      <c r="V69" s="214"/>
      <c r="W69" s="214"/>
      <c r="X69" s="214"/>
      <c r="Y69" s="214"/>
      <c r="Z69" s="217"/>
      <c r="AA69" s="130" t="str">
        <f t="shared" si="19"/>
      </c>
      <c r="AB69" s="0" t="str">
        <f ref="AB69:AB69" t="array">IF(OR(AA69 &lt;&gt;"", I69&lt;&gt;"",L69&lt;&gt;"",P69&lt;&gt;"",T69&lt;&gt;""), AND(EXACT(AC69:AG69,AC69)),"")</f>
      </c>
      <c r="AC69" s="203" t="str">
        <f t="shared" si="20"/>
      </c>
      <c r="AD69" s="203" t="str">
        <f t="shared" si="21"/>
      </c>
      <c r="AE69" s="203" t="str">
        <f t="shared" si="22"/>
      </c>
      <c r="AF69" s="203" t="str">
        <f t="shared" si="23"/>
      </c>
      <c r="AG69" s="203" t="str">
        <f t="shared" si="24"/>
      </c>
    </row>
    <row r="70">
      <c r="A70" s="214"/>
      <c r="B70" s="214"/>
      <c r="C70" s="214"/>
      <c r="D70" s="214"/>
      <c r="E70" s="214"/>
      <c r="F70" s="214"/>
      <c r="G70" s="214"/>
      <c r="H70" s="216"/>
      <c r="I70" s="215" t="str">
        <f t="shared" si="15"/>
      </c>
      <c r="J70" s="214"/>
      <c r="K70" s="217"/>
      <c r="L70" s="215" t="str">
        <f t="shared" si="16"/>
      </c>
      <c r="M70" s="214"/>
      <c r="N70" s="214"/>
      <c r="O70" s="217"/>
      <c r="P70" s="215" t="str">
        <f t="shared" si="17"/>
      </c>
      <c r="Q70" s="214"/>
      <c r="R70" s="214"/>
      <c r="S70" s="217"/>
      <c r="T70" s="215" t="str">
        <f t="shared" si="18"/>
      </c>
      <c r="U70" s="214"/>
      <c r="V70" s="214"/>
      <c r="W70" s="214"/>
      <c r="X70" s="214"/>
      <c r="Y70" s="214"/>
      <c r="Z70" s="217"/>
      <c r="AA70" s="130" t="str">
        <f t="shared" si="19"/>
      </c>
      <c r="AB70" s="0" t="str">
        <f ref="AB70:AB70" t="array">IF(OR(AA70 &lt;&gt;"", I70&lt;&gt;"",L70&lt;&gt;"",P70&lt;&gt;"",T70&lt;&gt;""), AND(EXACT(AC70:AG70,AC70)),"")</f>
      </c>
      <c r="AC70" s="203" t="str">
        <f t="shared" si="20"/>
      </c>
      <c r="AD70" s="203" t="str">
        <f t="shared" si="21"/>
      </c>
      <c r="AE70" s="203" t="str">
        <f t="shared" si="22"/>
      </c>
      <c r="AF70" s="203" t="str">
        <f t="shared" si="23"/>
      </c>
      <c r="AG70" s="203" t="str">
        <f t="shared" si="24"/>
      </c>
    </row>
    <row r="71">
      <c r="A71" s="214"/>
      <c r="B71" s="214"/>
      <c r="C71" s="214"/>
      <c r="D71" s="214"/>
      <c r="E71" s="214"/>
      <c r="F71" s="214"/>
      <c r="G71" s="214"/>
      <c r="H71" s="216"/>
      <c r="I71" s="215" t="str">
        <f t="shared" si="15"/>
      </c>
      <c r="J71" s="214"/>
      <c r="K71" s="217"/>
      <c r="L71" s="215" t="str">
        <f t="shared" si="16"/>
      </c>
      <c r="M71" s="214"/>
      <c r="N71" s="214"/>
      <c r="O71" s="217"/>
      <c r="P71" s="215" t="str">
        <f t="shared" si="17"/>
      </c>
      <c r="Q71" s="214"/>
      <c r="R71" s="214"/>
      <c r="S71" s="217"/>
      <c r="T71" s="215" t="str">
        <f t="shared" si="18"/>
      </c>
      <c r="U71" s="214"/>
      <c r="V71" s="214"/>
      <c r="W71" s="214"/>
      <c r="X71" s="214"/>
      <c r="Y71" s="214"/>
      <c r="Z71" s="217"/>
      <c r="AA71" s="130" t="str">
        <f t="shared" si="19"/>
      </c>
      <c r="AB71" s="0" t="str">
        <f ref="AB71:AB71" t="array">IF(OR(AA71 &lt;&gt;"", I71&lt;&gt;"",L71&lt;&gt;"",P71&lt;&gt;"",T71&lt;&gt;""), AND(EXACT(AC71:AG71,AC71)),"")</f>
      </c>
      <c r="AC71" s="203" t="str">
        <f t="shared" si="20"/>
      </c>
      <c r="AD71" s="203" t="str">
        <f t="shared" si="21"/>
      </c>
      <c r="AE71" s="203" t="str">
        <f t="shared" si="22"/>
      </c>
      <c r="AF71" s="203" t="str">
        <f t="shared" si="23"/>
      </c>
      <c r="AG71" s="203" t="str">
        <f t="shared" si="24"/>
      </c>
    </row>
    <row r="72">
      <c r="A72" s="214"/>
      <c r="B72" s="214"/>
      <c r="C72" s="214"/>
      <c r="D72" s="214"/>
      <c r="E72" s="214"/>
      <c r="F72" s="214"/>
      <c r="G72" s="214"/>
      <c r="H72" s="216"/>
      <c r="I72" s="215" t="str">
        <f t="shared" si="15"/>
      </c>
      <c r="J72" s="214"/>
      <c r="K72" s="217"/>
      <c r="L72" s="215" t="str">
        <f t="shared" si="16"/>
      </c>
      <c r="M72" s="214"/>
      <c r="N72" s="214"/>
      <c r="O72" s="217"/>
      <c r="P72" s="215" t="str">
        <f t="shared" si="17"/>
      </c>
      <c r="Q72" s="214"/>
      <c r="R72" s="214"/>
      <c r="S72" s="217"/>
      <c r="T72" s="215" t="str">
        <f t="shared" si="18"/>
      </c>
      <c r="U72" s="214"/>
      <c r="V72" s="214"/>
      <c r="W72" s="214"/>
      <c r="X72" s="214"/>
      <c r="Y72" s="214"/>
      <c r="Z72" s="217"/>
      <c r="AA72" s="130" t="str">
        <f t="shared" si="19"/>
      </c>
      <c r="AB72" s="0" t="str">
        <f ref="AB72:AB72" t="array">IF(OR(AA72 &lt;&gt;"", I72&lt;&gt;"",L72&lt;&gt;"",P72&lt;&gt;"",T72&lt;&gt;""), AND(EXACT(AC72:AG72,AC72)),"")</f>
      </c>
      <c r="AC72" s="203" t="str">
        <f t="shared" si="20"/>
      </c>
      <c r="AD72" s="203" t="str">
        <f t="shared" si="21"/>
      </c>
      <c r="AE72" s="203" t="str">
        <f t="shared" si="22"/>
      </c>
      <c r="AF72" s="203" t="str">
        <f t="shared" si="23"/>
      </c>
      <c r="AG72" s="203" t="str">
        <f t="shared" si="24"/>
      </c>
    </row>
    <row r="73">
      <c r="A73" s="214"/>
      <c r="B73" s="214"/>
      <c r="C73" s="214"/>
      <c r="D73" s="214"/>
      <c r="E73" s="214"/>
      <c r="F73" s="214"/>
      <c r="G73" s="214"/>
      <c r="H73" s="216"/>
      <c r="I73" s="215" t="str">
        <f t="shared" si="15"/>
      </c>
      <c r="J73" s="214"/>
      <c r="K73" s="217"/>
      <c r="L73" s="215" t="str">
        <f t="shared" si="16"/>
      </c>
      <c r="M73" s="214"/>
      <c r="N73" s="214"/>
      <c r="O73" s="217"/>
      <c r="P73" s="215" t="str">
        <f t="shared" si="17"/>
      </c>
      <c r="Q73" s="214"/>
      <c r="R73" s="214"/>
      <c r="S73" s="217"/>
      <c r="T73" s="215" t="str">
        <f t="shared" si="18"/>
      </c>
      <c r="U73" s="214"/>
      <c r="V73" s="214"/>
      <c r="W73" s="214"/>
      <c r="X73" s="214"/>
      <c r="Y73" s="214"/>
      <c r="Z73" s="217"/>
      <c r="AA73" s="130" t="str">
        <f t="shared" si="19"/>
      </c>
      <c r="AB73" s="0" t="str">
        <f ref="AB73:AB73" t="array">IF(OR(AA73 &lt;&gt;"", I73&lt;&gt;"",L73&lt;&gt;"",P73&lt;&gt;"",T73&lt;&gt;""), AND(EXACT(AC73:AG73,AC73)),"")</f>
      </c>
      <c r="AC73" s="203" t="str">
        <f t="shared" si="20"/>
      </c>
      <c r="AD73" s="203" t="str">
        <f t="shared" si="21"/>
      </c>
      <c r="AE73" s="203" t="str">
        <f t="shared" si="22"/>
      </c>
      <c r="AF73" s="203" t="str">
        <f t="shared" si="23"/>
      </c>
      <c r="AG73" s="203" t="str">
        <f t="shared" si="24"/>
      </c>
    </row>
    <row r="74">
      <c r="A74" s="214"/>
      <c r="B74" s="214"/>
      <c r="C74" s="214"/>
      <c r="D74" s="214"/>
      <c r="E74" s="214"/>
      <c r="F74" s="214"/>
      <c r="G74" s="214"/>
      <c r="H74" s="216"/>
      <c r="I74" s="215" t="str">
        <f t="shared" si="15"/>
      </c>
      <c r="J74" s="214"/>
      <c r="K74" s="217"/>
      <c r="L74" s="215" t="str">
        <f t="shared" si="16"/>
      </c>
      <c r="M74" s="214"/>
      <c r="N74" s="214"/>
      <c r="O74" s="217"/>
      <c r="P74" s="215" t="str">
        <f t="shared" si="17"/>
      </c>
      <c r="Q74" s="214"/>
      <c r="R74" s="214"/>
      <c r="S74" s="217"/>
      <c r="T74" s="215" t="str">
        <f t="shared" si="18"/>
      </c>
      <c r="U74" s="214"/>
      <c r="V74" s="214"/>
      <c r="W74" s="214"/>
      <c r="X74" s="214"/>
      <c r="Y74" s="214"/>
      <c r="Z74" s="217"/>
      <c r="AA74" s="130" t="str">
        <f t="shared" si="19"/>
      </c>
      <c r="AB74" s="0" t="str">
        <f ref="AB74:AB74" t="array">IF(OR(AA74 &lt;&gt;"", I74&lt;&gt;"",L74&lt;&gt;"",P74&lt;&gt;"",T74&lt;&gt;""), AND(EXACT(AC74:AG74,AC74)),"")</f>
      </c>
      <c r="AC74" s="203" t="str">
        <f t="shared" si="20"/>
      </c>
      <c r="AD74" s="203" t="str">
        <f t="shared" si="21"/>
      </c>
      <c r="AE74" s="203" t="str">
        <f t="shared" si="22"/>
      </c>
      <c r="AF74" s="203" t="str">
        <f t="shared" si="23"/>
      </c>
      <c r="AG74" s="203" t="str">
        <f t="shared" si="24"/>
      </c>
    </row>
    <row r="75">
      <c r="A75" s="214"/>
      <c r="B75" s="214"/>
      <c r="C75" s="214"/>
      <c r="D75" s="214"/>
      <c r="E75" s="214"/>
      <c r="F75" s="214"/>
      <c r="G75" s="214"/>
      <c r="H75" s="216"/>
      <c r="I75" s="215" t="str">
        <f t="shared" si="15"/>
      </c>
      <c r="J75" s="214"/>
      <c r="K75" s="217"/>
      <c r="L75" s="215" t="str">
        <f t="shared" si="16"/>
      </c>
      <c r="M75" s="214"/>
      <c r="N75" s="214"/>
      <c r="O75" s="217"/>
      <c r="P75" s="215" t="str">
        <f t="shared" si="17"/>
      </c>
      <c r="Q75" s="214"/>
      <c r="R75" s="214"/>
      <c r="S75" s="217"/>
      <c r="T75" s="215" t="str">
        <f t="shared" si="18"/>
      </c>
      <c r="U75" s="214"/>
      <c r="V75" s="214"/>
      <c r="W75" s="214"/>
      <c r="X75" s="214"/>
      <c r="Y75" s="214"/>
      <c r="Z75" s="217"/>
      <c r="AA75" s="130" t="str">
        <f t="shared" si="19"/>
      </c>
      <c r="AB75" s="0" t="str">
        <f ref="AB75:AB75" t="array">IF(OR(AA75 &lt;&gt;"", I75&lt;&gt;"",L75&lt;&gt;"",P75&lt;&gt;"",T75&lt;&gt;""), AND(EXACT(AC75:AG75,AC75)),"")</f>
      </c>
      <c r="AC75" s="203" t="str">
        <f t="shared" si="20"/>
      </c>
      <c r="AD75" s="203" t="str">
        <f t="shared" si="21"/>
      </c>
      <c r="AE75" s="203" t="str">
        <f t="shared" si="22"/>
      </c>
      <c r="AF75" s="203" t="str">
        <f t="shared" si="23"/>
      </c>
      <c r="AG75" s="203" t="str">
        <f t="shared" si="24"/>
      </c>
    </row>
    <row r="76">
      <c r="A76" s="214"/>
      <c r="B76" s="214"/>
      <c r="C76" s="214"/>
      <c r="D76" s="214"/>
      <c r="E76" s="214"/>
      <c r="F76" s="214"/>
      <c r="G76" s="214"/>
      <c r="H76" s="216"/>
      <c r="I76" s="215" t="str">
        <f t="shared" si="15"/>
      </c>
      <c r="J76" s="214"/>
      <c r="K76" s="217"/>
      <c r="L76" s="215" t="str">
        <f t="shared" si="16"/>
      </c>
      <c r="M76" s="214"/>
      <c r="N76" s="214"/>
      <c r="O76" s="217"/>
      <c r="P76" s="215" t="str">
        <f t="shared" si="17"/>
      </c>
      <c r="Q76" s="214"/>
      <c r="R76" s="214"/>
      <c r="S76" s="217"/>
      <c r="T76" s="215" t="str">
        <f t="shared" si="18"/>
      </c>
      <c r="U76" s="214"/>
      <c r="V76" s="214"/>
      <c r="W76" s="214"/>
      <c r="X76" s="214"/>
      <c r="Y76" s="214"/>
      <c r="Z76" s="217"/>
      <c r="AA76" s="130" t="str">
        <f t="shared" si="19"/>
      </c>
      <c r="AB76" s="0" t="str">
        <f ref="AB76:AB76" t="array">IF(OR(AA76 &lt;&gt;"", I76&lt;&gt;"",L76&lt;&gt;"",P76&lt;&gt;"",T76&lt;&gt;""), AND(EXACT(AC76:AG76,AC76)),"")</f>
      </c>
      <c r="AC76" s="203" t="str">
        <f t="shared" si="20"/>
      </c>
      <c r="AD76" s="203" t="str">
        <f t="shared" si="21"/>
      </c>
      <c r="AE76" s="203" t="str">
        <f t="shared" si="22"/>
      </c>
      <c r="AF76" s="203" t="str">
        <f t="shared" si="23"/>
      </c>
      <c r="AG76" s="203" t="str">
        <f t="shared" si="24"/>
      </c>
    </row>
    <row r="77">
      <c r="A77" s="214"/>
      <c r="B77" s="214"/>
      <c r="C77" s="214"/>
      <c r="D77" s="214"/>
      <c r="E77" s="214"/>
      <c r="F77" s="214"/>
      <c r="G77" s="214"/>
      <c r="H77" s="216"/>
      <c r="I77" s="215" t="str">
        <f t="shared" si="15"/>
      </c>
      <c r="J77" s="214"/>
      <c r="K77" s="217"/>
      <c r="L77" s="215" t="str">
        <f t="shared" si="16"/>
      </c>
      <c r="M77" s="214"/>
      <c r="N77" s="214"/>
      <c r="O77" s="217"/>
      <c r="P77" s="215" t="str">
        <f t="shared" si="17"/>
      </c>
      <c r="Q77" s="214"/>
      <c r="R77" s="214"/>
      <c r="S77" s="217"/>
      <c r="T77" s="215" t="str">
        <f t="shared" si="18"/>
      </c>
      <c r="U77" s="214"/>
      <c r="V77" s="214"/>
      <c r="W77" s="214"/>
      <c r="X77" s="214"/>
      <c r="Y77" s="214"/>
      <c r="Z77" s="217"/>
      <c r="AA77" s="130" t="str">
        <f t="shared" si="19"/>
      </c>
      <c r="AB77" s="0" t="str">
        <f ref="AB77:AB77" t="array">IF(OR(AA77 &lt;&gt;"", I77&lt;&gt;"",L77&lt;&gt;"",P77&lt;&gt;"",T77&lt;&gt;""), AND(EXACT(AC77:AG77,AC77)),"")</f>
      </c>
      <c r="AC77" s="203" t="str">
        <f t="shared" si="20"/>
      </c>
      <c r="AD77" s="203" t="str">
        <f t="shared" si="21"/>
      </c>
      <c r="AE77" s="203" t="str">
        <f t="shared" si="22"/>
      </c>
      <c r="AF77" s="203" t="str">
        <f t="shared" si="23"/>
      </c>
      <c r="AG77" s="203" t="str">
        <f t="shared" si="24"/>
      </c>
    </row>
    <row r="78">
      <c r="A78" s="214"/>
      <c r="B78" s="214"/>
      <c r="C78" s="214"/>
      <c r="D78" s="214"/>
      <c r="E78" s="214"/>
      <c r="F78" s="214"/>
      <c r="G78" s="214"/>
      <c r="H78" s="216"/>
      <c r="I78" s="215" t="str">
        <f t="shared" si="15"/>
      </c>
      <c r="J78" s="214"/>
      <c r="K78" s="217"/>
      <c r="L78" s="215" t="str">
        <f t="shared" si="16"/>
      </c>
      <c r="M78" s="214"/>
      <c r="N78" s="214"/>
      <c r="O78" s="217"/>
      <c r="P78" s="215" t="str">
        <f t="shared" si="17"/>
      </c>
      <c r="Q78" s="214"/>
      <c r="R78" s="214"/>
      <c r="S78" s="217"/>
      <c r="T78" s="215" t="str">
        <f t="shared" si="18"/>
      </c>
      <c r="U78" s="214"/>
      <c r="V78" s="214"/>
      <c r="W78" s="214"/>
      <c r="X78" s="214"/>
      <c r="Y78" s="214"/>
      <c r="Z78" s="217"/>
      <c r="AA78" s="130" t="str">
        <f t="shared" si="19"/>
      </c>
      <c r="AB78" s="0" t="str">
        <f ref="AB78:AB78" t="array">IF(OR(AA78 &lt;&gt;"", I78&lt;&gt;"",L78&lt;&gt;"",P78&lt;&gt;"",T78&lt;&gt;""), AND(EXACT(AC78:AG78,AC78)),"")</f>
      </c>
      <c r="AC78" s="203" t="str">
        <f t="shared" si="20"/>
      </c>
      <c r="AD78" s="203" t="str">
        <f t="shared" si="21"/>
      </c>
      <c r="AE78" s="203" t="str">
        <f t="shared" si="22"/>
      </c>
      <c r="AF78" s="203" t="str">
        <f t="shared" si="23"/>
      </c>
      <c r="AG78" s="203" t="str">
        <f t="shared" si="24"/>
      </c>
    </row>
    <row r="79">
      <c r="A79" s="214"/>
      <c r="B79" s="214"/>
      <c r="C79" s="214"/>
      <c r="D79" s="214"/>
      <c r="E79" s="214"/>
      <c r="F79" s="214"/>
      <c r="G79" s="214"/>
      <c r="H79" s="216"/>
      <c r="I79" s="215" t="str">
        <f t="shared" si="15"/>
      </c>
      <c r="J79" s="214"/>
      <c r="K79" s="217"/>
      <c r="L79" s="215" t="str">
        <f t="shared" si="16"/>
      </c>
      <c r="M79" s="214"/>
      <c r="N79" s="214"/>
      <c r="O79" s="217"/>
      <c r="P79" s="215" t="str">
        <f t="shared" si="17"/>
      </c>
      <c r="Q79" s="214"/>
      <c r="R79" s="214"/>
      <c r="S79" s="217"/>
      <c r="T79" s="215" t="str">
        <f t="shared" si="18"/>
      </c>
      <c r="U79" s="214"/>
      <c r="V79" s="214"/>
      <c r="W79" s="214"/>
      <c r="X79" s="214"/>
      <c r="Y79" s="214"/>
      <c r="Z79" s="217"/>
      <c r="AA79" s="130" t="str">
        <f t="shared" si="19"/>
      </c>
      <c r="AB79" s="0" t="str">
        <f ref="AB79:AB79" t="array">IF(OR(AA79 &lt;&gt;"", I79&lt;&gt;"",L79&lt;&gt;"",P79&lt;&gt;"",T79&lt;&gt;""), AND(EXACT(AC79:AG79,AC79)),"")</f>
      </c>
      <c r="AC79" s="203" t="str">
        <f t="shared" si="20"/>
      </c>
      <c r="AD79" s="203" t="str">
        <f t="shared" si="21"/>
      </c>
      <c r="AE79" s="203" t="str">
        <f t="shared" si="22"/>
      </c>
      <c r="AF79" s="203" t="str">
        <f t="shared" si="23"/>
      </c>
      <c r="AG79" s="203" t="str">
        <f t="shared" si="24"/>
      </c>
    </row>
    <row r="80">
      <c r="A80" s="214"/>
      <c r="B80" s="214"/>
      <c r="C80" s="214"/>
      <c r="D80" s="214"/>
      <c r="E80" s="214"/>
      <c r="F80" s="214"/>
      <c r="G80" s="214"/>
      <c r="H80" s="216"/>
      <c r="I80" s="215" t="str">
        <f t="shared" si="15"/>
      </c>
      <c r="J80" s="214"/>
      <c r="K80" s="217"/>
      <c r="L80" s="215" t="str">
        <f t="shared" si="16"/>
      </c>
      <c r="M80" s="214"/>
      <c r="N80" s="214"/>
      <c r="O80" s="217"/>
      <c r="P80" s="215" t="str">
        <f t="shared" si="17"/>
      </c>
      <c r="Q80" s="214"/>
      <c r="R80" s="214"/>
      <c r="S80" s="217"/>
      <c r="T80" s="215" t="str">
        <f t="shared" si="18"/>
      </c>
      <c r="U80" s="214"/>
      <c r="V80" s="214"/>
      <c r="W80" s="214"/>
      <c r="X80" s="214"/>
      <c r="Y80" s="214"/>
      <c r="Z80" s="217"/>
      <c r="AA80" s="130" t="str">
        <f t="shared" si="19"/>
      </c>
      <c r="AB80" s="0" t="str">
        <f ref="AB80:AB80" t="array">IF(OR(AA80 &lt;&gt;"", I80&lt;&gt;"",L80&lt;&gt;"",P80&lt;&gt;"",T80&lt;&gt;""), AND(EXACT(AC80:AG80,AC80)),"")</f>
      </c>
      <c r="AC80" s="203" t="str">
        <f t="shared" si="20"/>
      </c>
      <c r="AD80" s="203" t="str">
        <f t="shared" si="21"/>
      </c>
      <c r="AE80" s="203" t="str">
        <f t="shared" si="22"/>
      </c>
      <c r="AF80" s="203" t="str">
        <f t="shared" si="23"/>
      </c>
      <c r="AG80" s="203" t="str">
        <f t="shared" si="24"/>
      </c>
    </row>
    <row r="81">
      <c r="A81" s="214"/>
      <c r="B81" s="214"/>
      <c r="C81" s="214"/>
      <c r="D81" s="214"/>
      <c r="E81" s="214"/>
      <c r="F81" s="214"/>
      <c r="G81" s="214"/>
      <c r="H81" s="216"/>
      <c r="I81" s="215" t="str">
        <f t="shared" si="15"/>
      </c>
      <c r="J81" s="214"/>
      <c r="K81" s="217"/>
      <c r="L81" s="215" t="str">
        <f t="shared" si="16"/>
      </c>
      <c r="M81" s="214"/>
      <c r="N81" s="214"/>
      <c r="O81" s="217"/>
      <c r="P81" s="215" t="str">
        <f t="shared" si="17"/>
      </c>
      <c r="Q81" s="214"/>
      <c r="R81" s="214"/>
      <c r="S81" s="217"/>
      <c r="T81" s="215" t="str">
        <f t="shared" si="18"/>
      </c>
      <c r="U81" s="214"/>
      <c r="V81" s="214"/>
      <c r="W81" s="214"/>
      <c r="X81" s="214"/>
      <c r="Y81" s="214"/>
      <c r="Z81" s="217"/>
      <c r="AA81" s="130" t="str">
        <f t="shared" si="19"/>
      </c>
      <c r="AB81" s="0" t="str">
        <f ref="AB81:AB81" t="array">IF(OR(AA81 &lt;&gt;"", I81&lt;&gt;"",L81&lt;&gt;"",P81&lt;&gt;"",T81&lt;&gt;""), AND(EXACT(AC81:AG81,AC81)),"")</f>
      </c>
      <c r="AC81" s="203" t="str">
        <f t="shared" si="20"/>
      </c>
      <c r="AD81" s="203" t="str">
        <f t="shared" si="21"/>
      </c>
      <c r="AE81" s="203" t="str">
        <f t="shared" si="22"/>
      </c>
      <c r="AF81" s="203" t="str">
        <f t="shared" si="23"/>
      </c>
      <c r="AG81" s="203" t="str">
        <f t="shared" si="24"/>
      </c>
    </row>
    <row r="82">
      <c r="A82" s="214"/>
      <c r="B82" s="214"/>
      <c r="C82" s="214"/>
      <c r="D82" s="214"/>
      <c r="E82" s="214"/>
      <c r="F82" s="214"/>
      <c r="G82" s="214"/>
      <c r="H82" s="216"/>
      <c r="I82" s="215" t="str">
        <f t="shared" si="15"/>
      </c>
      <c r="J82" s="214"/>
      <c r="K82" s="217"/>
      <c r="L82" s="215" t="str">
        <f t="shared" si="16"/>
      </c>
      <c r="M82" s="214"/>
      <c r="N82" s="214"/>
      <c r="O82" s="217"/>
      <c r="P82" s="215" t="str">
        <f t="shared" si="17"/>
      </c>
      <c r="Q82" s="214"/>
      <c r="R82" s="214"/>
      <c r="S82" s="217"/>
      <c r="T82" s="215" t="str">
        <f t="shared" si="18"/>
      </c>
      <c r="U82" s="214"/>
      <c r="V82" s="214"/>
      <c r="W82" s="214"/>
      <c r="X82" s="214"/>
      <c r="Y82" s="214"/>
      <c r="Z82" s="217"/>
      <c r="AA82" s="130" t="str">
        <f t="shared" si="19"/>
      </c>
      <c r="AB82" s="0" t="str">
        <f ref="AB82:AB82" t="array">IF(OR(AA82 &lt;&gt;"", I82&lt;&gt;"",L82&lt;&gt;"",P82&lt;&gt;"",T82&lt;&gt;""), AND(EXACT(AC82:AG82,AC82)),"")</f>
      </c>
      <c r="AC82" s="203" t="str">
        <f t="shared" si="20"/>
      </c>
      <c r="AD82" s="203" t="str">
        <f t="shared" si="21"/>
      </c>
      <c r="AE82" s="203" t="str">
        <f t="shared" si="22"/>
      </c>
      <c r="AF82" s="203" t="str">
        <f t="shared" si="23"/>
      </c>
      <c r="AG82" s="203" t="str">
        <f t="shared" si="24"/>
      </c>
    </row>
    <row r="83">
      <c r="A83" s="214"/>
      <c r="B83" s="214"/>
      <c r="C83" s="214"/>
      <c r="D83" s="214"/>
      <c r="E83" s="214"/>
      <c r="F83" s="214"/>
      <c r="G83" s="214"/>
      <c r="H83" s="216"/>
      <c r="I83" s="215" t="str">
        <f t="shared" si="15"/>
      </c>
      <c r="J83" s="214"/>
      <c r="K83" s="217"/>
      <c r="L83" s="215" t="str">
        <f t="shared" si="16"/>
      </c>
      <c r="M83" s="214"/>
      <c r="N83" s="214"/>
      <c r="O83" s="217"/>
      <c r="P83" s="215" t="str">
        <f t="shared" si="17"/>
      </c>
      <c r="Q83" s="214"/>
      <c r="R83" s="214"/>
      <c r="S83" s="217"/>
      <c r="T83" s="215" t="str">
        <f t="shared" si="18"/>
      </c>
      <c r="U83" s="214"/>
      <c r="V83" s="214"/>
      <c r="W83" s="214"/>
      <c r="X83" s="214"/>
      <c r="Y83" s="214"/>
      <c r="Z83" s="217"/>
      <c r="AA83" s="130" t="str">
        <f t="shared" si="19"/>
      </c>
      <c r="AB83" s="0" t="str">
        <f ref="AB83:AB83" t="array">IF(OR(AA83 &lt;&gt;"", I83&lt;&gt;"",L83&lt;&gt;"",P83&lt;&gt;"",T83&lt;&gt;""), AND(EXACT(AC83:AG83,AC83)),"")</f>
      </c>
      <c r="AC83" s="203" t="str">
        <f t="shared" si="20"/>
      </c>
      <c r="AD83" s="203" t="str">
        <f t="shared" si="21"/>
      </c>
      <c r="AE83" s="203" t="str">
        <f t="shared" si="22"/>
      </c>
      <c r="AF83" s="203" t="str">
        <f t="shared" si="23"/>
      </c>
      <c r="AG83" s="203" t="str">
        <f t="shared" si="24"/>
      </c>
    </row>
    <row r="84">
      <c r="A84" s="214"/>
      <c r="B84" s="214"/>
      <c r="C84" s="214"/>
      <c r="D84" s="214"/>
      <c r="E84" s="214"/>
      <c r="F84" s="214"/>
      <c r="G84" s="214"/>
      <c r="H84" s="216"/>
      <c r="I84" s="215" t="str">
        <f t="shared" si="15"/>
      </c>
      <c r="J84" s="214"/>
      <c r="K84" s="217"/>
      <c r="L84" s="215" t="str">
        <f t="shared" si="16"/>
      </c>
      <c r="M84" s="214"/>
      <c r="N84" s="214"/>
      <c r="O84" s="217"/>
      <c r="P84" s="215" t="str">
        <f t="shared" si="17"/>
      </c>
      <c r="Q84" s="214"/>
      <c r="R84" s="214"/>
      <c r="S84" s="217"/>
      <c r="T84" s="215" t="str">
        <f t="shared" si="18"/>
      </c>
      <c r="U84" s="214"/>
      <c r="V84" s="214"/>
      <c r="W84" s="214"/>
      <c r="X84" s="214"/>
      <c r="Y84" s="214"/>
      <c r="Z84" s="217"/>
      <c r="AA84" s="130" t="str">
        <f t="shared" si="19"/>
      </c>
      <c r="AB84" s="0" t="str">
        <f ref="AB84:AB84" t="array">IF(OR(AA84 &lt;&gt;"", I84&lt;&gt;"",L84&lt;&gt;"",P84&lt;&gt;"",T84&lt;&gt;""), AND(EXACT(AC84:AG84,AC84)),"")</f>
      </c>
      <c r="AC84" s="203" t="str">
        <f t="shared" si="20"/>
      </c>
      <c r="AD84" s="203" t="str">
        <f t="shared" si="21"/>
      </c>
      <c r="AE84" s="203" t="str">
        <f t="shared" si="22"/>
      </c>
      <c r="AF84" s="203" t="str">
        <f t="shared" si="23"/>
      </c>
      <c r="AG84" s="203" t="str">
        <f t="shared" si="24"/>
      </c>
    </row>
    <row r="85">
      <c r="A85" s="214"/>
      <c r="B85" s="214"/>
      <c r="C85" s="214"/>
      <c r="D85" s="214"/>
      <c r="E85" s="214"/>
      <c r="F85" s="214"/>
      <c r="G85" s="214"/>
      <c r="H85" s="216"/>
      <c r="I85" s="215" t="str">
        <f t="shared" si="15"/>
      </c>
      <c r="J85" s="214"/>
      <c r="K85" s="217"/>
      <c r="L85" s="215" t="str">
        <f t="shared" si="16"/>
      </c>
      <c r="M85" s="214"/>
      <c r="N85" s="214"/>
      <c r="O85" s="217"/>
      <c r="P85" s="215" t="str">
        <f t="shared" si="17"/>
      </c>
      <c r="Q85" s="214"/>
      <c r="R85" s="214"/>
      <c r="S85" s="217"/>
      <c r="T85" s="215" t="str">
        <f t="shared" si="18"/>
      </c>
      <c r="U85" s="214"/>
      <c r="V85" s="214"/>
      <c r="W85" s="214"/>
      <c r="X85" s="214"/>
      <c r="Y85" s="214"/>
      <c r="Z85" s="217"/>
      <c r="AA85" s="130" t="str">
        <f t="shared" si="19"/>
      </c>
      <c r="AB85" s="0" t="str">
        <f ref="AB85:AB85" t="array">IF(OR(AA85 &lt;&gt;"", I85&lt;&gt;"",L85&lt;&gt;"",P85&lt;&gt;"",T85&lt;&gt;""), AND(EXACT(AC85:AG85,AC85)),"")</f>
      </c>
      <c r="AC85" s="203" t="str">
        <f t="shared" si="20"/>
      </c>
      <c r="AD85" s="203" t="str">
        <f t="shared" si="21"/>
      </c>
      <c r="AE85" s="203" t="str">
        <f t="shared" si="22"/>
      </c>
      <c r="AF85" s="203" t="str">
        <f t="shared" si="23"/>
      </c>
      <c r="AG85" s="203" t="str">
        <f t="shared" si="24"/>
      </c>
    </row>
    <row r="86">
      <c r="A86" s="214"/>
      <c r="B86" s="214"/>
      <c r="C86" s="214"/>
      <c r="D86" s="214"/>
      <c r="E86" s="214"/>
      <c r="F86" s="214"/>
      <c r="G86" s="214"/>
      <c r="H86" s="216"/>
      <c r="I86" s="215" t="str">
        <f t="shared" si="15"/>
      </c>
      <c r="J86" s="214"/>
      <c r="K86" s="217"/>
      <c r="L86" s="215" t="str">
        <f t="shared" si="16"/>
      </c>
      <c r="M86" s="214"/>
      <c r="N86" s="214"/>
      <c r="O86" s="217"/>
      <c r="P86" s="215" t="str">
        <f t="shared" si="17"/>
      </c>
      <c r="Q86" s="214"/>
      <c r="R86" s="214"/>
      <c r="S86" s="217"/>
      <c r="T86" s="215" t="str">
        <f t="shared" si="18"/>
      </c>
      <c r="U86" s="214"/>
      <c r="V86" s="214"/>
      <c r="W86" s="214"/>
      <c r="X86" s="214"/>
      <c r="Y86" s="214"/>
      <c r="Z86" s="217"/>
      <c r="AA86" s="130" t="str">
        <f t="shared" si="19"/>
      </c>
      <c r="AB86" s="0" t="str">
        <f ref="AB86:AB86" t="array">IF(OR(AA86 &lt;&gt;"", I86&lt;&gt;"",L86&lt;&gt;"",P86&lt;&gt;"",T86&lt;&gt;""), AND(EXACT(AC86:AG86,AC86)),"")</f>
      </c>
      <c r="AC86" s="203" t="str">
        <f t="shared" si="20"/>
      </c>
      <c r="AD86" s="203" t="str">
        <f t="shared" si="21"/>
      </c>
      <c r="AE86" s="203" t="str">
        <f t="shared" si="22"/>
      </c>
      <c r="AF86" s="203" t="str">
        <f t="shared" si="23"/>
      </c>
      <c r="AG86" s="203" t="str">
        <f t="shared" si="24"/>
      </c>
    </row>
    <row r="87">
      <c r="A87" s="214"/>
      <c r="B87" s="214"/>
      <c r="C87" s="214"/>
      <c r="D87" s="214"/>
      <c r="E87" s="214"/>
      <c r="F87" s="214"/>
      <c r="G87" s="214"/>
      <c r="H87" s="216"/>
      <c r="I87" s="215" t="str">
        <f t="shared" si="15"/>
      </c>
      <c r="J87" s="214"/>
      <c r="K87" s="217"/>
      <c r="L87" s="215" t="str">
        <f t="shared" si="16"/>
      </c>
      <c r="M87" s="214"/>
      <c r="N87" s="214"/>
      <c r="O87" s="217"/>
      <c r="P87" s="215" t="str">
        <f t="shared" si="17"/>
      </c>
      <c r="Q87" s="214"/>
      <c r="R87" s="214"/>
      <c r="S87" s="217"/>
      <c r="T87" s="215" t="str">
        <f t="shared" si="18"/>
      </c>
      <c r="U87" s="214"/>
      <c r="V87" s="214"/>
      <c r="W87" s="214"/>
      <c r="X87" s="214"/>
      <c r="Y87" s="214"/>
      <c r="Z87" s="217"/>
      <c r="AA87" s="130" t="str">
        <f t="shared" si="19"/>
      </c>
      <c r="AB87" s="0" t="str">
        <f ref="AB87:AB87" t="array">IF(OR(AA87 &lt;&gt;"", I87&lt;&gt;"",L87&lt;&gt;"",P87&lt;&gt;"",T87&lt;&gt;""), AND(EXACT(AC87:AG87,AC87)),"")</f>
      </c>
      <c r="AC87" s="203" t="str">
        <f t="shared" si="20"/>
      </c>
      <c r="AD87" s="203" t="str">
        <f t="shared" si="21"/>
      </c>
      <c r="AE87" s="203" t="str">
        <f t="shared" si="22"/>
      </c>
      <c r="AF87" s="203" t="str">
        <f t="shared" si="23"/>
      </c>
      <c r="AG87" s="203" t="str">
        <f t="shared" si="24"/>
      </c>
    </row>
    <row r="88">
      <c r="A88" s="214"/>
      <c r="B88" s="214"/>
      <c r="C88" s="214"/>
      <c r="D88" s="214"/>
      <c r="E88" s="214"/>
      <c r="F88" s="214"/>
      <c r="G88" s="214"/>
      <c r="H88" s="216"/>
      <c r="I88" s="215" t="str">
        <f t="shared" si="15"/>
      </c>
      <c r="J88" s="214"/>
      <c r="K88" s="217"/>
      <c r="L88" s="215" t="str">
        <f t="shared" si="16"/>
      </c>
      <c r="M88" s="214"/>
      <c r="N88" s="214"/>
      <c r="O88" s="217"/>
      <c r="P88" s="215" t="str">
        <f t="shared" si="17"/>
      </c>
      <c r="Q88" s="214"/>
      <c r="R88" s="214"/>
      <c r="S88" s="217"/>
      <c r="T88" s="215" t="str">
        <f t="shared" si="18"/>
      </c>
      <c r="U88" s="214"/>
      <c r="V88" s="214"/>
      <c r="W88" s="214"/>
      <c r="X88" s="214"/>
      <c r="Y88" s="214"/>
      <c r="Z88" s="217"/>
      <c r="AA88" s="130" t="str">
        <f t="shared" si="19"/>
      </c>
      <c r="AB88" s="0" t="str">
        <f ref="AB88:AB88" t="array">IF(OR(AA88 &lt;&gt;"", I88&lt;&gt;"",L88&lt;&gt;"",P88&lt;&gt;"",T88&lt;&gt;""), AND(EXACT(AC88:AG88,AC88)),"")</f>
      </c>
      <c r="AC88" s="203" t="str">
        <f t="shared" si="20"/>
      </c>
      <c r="AD88" s="203" t="str">
        <f t="shared" si="21"/>
      </c>
      <c r="AE88" s="203" t="str">
        <f t="shared" si="22"/>
      </c>
      <c r="AF88" s="203" t="str">
        <f t="shared" si="23"/>
      </c>
      <c r="AG88" s="203" t="str">
        <f t="shared" si="24"/>
      </c>
    </row>
    <row r="89">
      <c r="A89" s="214"/>
      <c r="B89" s="214"/>
      <c r="C89" s="214"/>
      <c r="D89" s="214"/>
      <c r="E89" s="214"/>
      <c r="F89" s="214"/>
      <c r="G89" s="214"/>
      <c r="H89" s="216"/>
      <c r="I89" s="215" t="str">
        <f t="shared" si="15"/>
      </c>
      <c r="J89" s="214"/>
      <c r="K89" s="217"/>
      <c r="L89" s="215" t="str">
        <f t="shared" si="16"/>
      </c>
      <c r="M89" s="214"/>
      <c r="N89" s="214"/>
      <c r="O89" s="217"/>
      <c r="P89" s="215" t="str">
        <f t="shared" si="17"/>
      </c>
      <c r="Q89" s="214"/>
      <c r="R89" s="214"/>
      <c r="S89" s="217"/>
      <c r="T89" s="215" t="str">
        <f t="shared" si="18"/>
      </c>
      <c r="U89" s="214"/>
      <c r="V89" s="214"/>
      <c r="W89" s="214"/>
      <c r="X89" s="214"/>
      <c r="Y89" s="214"/>
      <c r="Z89" s="217"/>
      <c r="AA89" s="130" t="str">
        <f t="shared" si="19"/>
      </c>
      <c r="AB89" s="0" t="str">
        <f ref="AB89:AB89" t="array">IF(OR(AA89 &lt;&gt;"", I89&lt;&gt;"",L89&lt;&gt;"",P89&lt;&gt;"",T89&lt;&gt;""), AND(EXACT(AC89:AG89,AC89)),"")</f>
      </c>
      <c r="AC89" s="203" t="str">
        <f t="shared" si="20"/>
      </c>
      <c r="AD89" s="203" t="str">
        <f t="shared" si="21"/>
      </c>
      <c r="AE89" s="203" t="str">
        <f t="shared" si="22"/>
      </c>
      <c r="AF89" s="203" t="str">
        <f t="shared" si="23"/>
      </c>
      <c r="AG89" s="203" t="str">
        <f t="shared" si="24"/>
      </c>
    </row>
    <row r="90">
      <c r="A90" s="214"/>
      <c r="B90" s="214"/>
      <c r="C90" s="214"/>
      <c r="D90" s="214"/>
      <c r="E90" s="214"/>
      <c r="F90" s="214"/>
      <c r="G90" s="214"/>
      <c r="H90" s="216"/>
      <c r="I90" s="215" t="str">
        <f t="shared" si="15"/>
      </c>
      <c r="J90" s="214"/>
      <c r="K90" s="217"/>
      <c r="L90" s="215" t="str">
        <f t="shared" si="16"/>
      </c>
      <c r="M90" s="214"/>
      <c r="N90" s="214"/>
      <c r="O90" s="217"/>
      <c r="P90" s="215" t="str">
        <f t="shared" si="17"/>
      </c>
      <c r="Q90" s="214"/>
      <c r="R90" s="214"/>
      <c r="S90" s="217"/>
      <c r="T90" s="215" t="str">
        <f t="shared" si="18"/>
      </c>
      <c r="U90" s="214"/>
      <c r="V90" s="214"/>
      <c r="W90" s="214"/>
      <c r="X90" s="214"/>
      <c r="Y90" s="214"/>
      <c r="Z90" s="217"/>
      <c r="AA90" s="130" t="str">
        <f t="shared" si="19"/>
      </c>
      <c r="AB90" s="0" t="str">
        <f ref="AB90:AB90" t="array">IF(OR(AA90 &lt;&gt;"", I90&lt;&gt;"",L90&lt;&gt;"",P90&lt;&gt;"",T90&lt;&gt;""), AND(EXACT(AC90:AG90,AC90)),"")</f>
      </c>
      <c r="AC90" s="203" t="str">
        <f t="shared" si="20"/>
      </c>
      <c r="AD90" s="203" t="str">
        <f t="shared" si="21"/>
      </c>
      <c r="AE90" s="203" t="str">
        <f t="shared" si="22"/>
      </c>
      <c r="AF90" s="203" t="str">
        <f t="shared" si="23"/>
      </c>
      <c r="AG90" s="203" t="str">
        <f t="shared" si="24"/>
      </c>
    </row>
    <row r="91">
      <c r="A91" s="214"/>
      <c r="B91" s="214"/>
      <c r="C91" s="214"/>
      <c r="D91" s="214"/>
      <c r="E91" s="214"/>
      <c r="F91" s="214"/>
      <c r="G91" s="214"/>
      <c r="H91" s="216"/>
      <c r="I91" s="215" t="str">
        <f t="shared" si="15"/>
      </c>
      <c r="J91" s="214"/>
      <c r="K91" s="217"/>
      <c r="L91" s="215" t="str">
        <f t="shared" si="16"/>
      </c>
      <c r="M91" s="214"/>
      <c r="N91" s="214"/>
      <c r="O91" s="217"/>
      <c r="P91" s="215" t="str">
        <f t="shared" si="17"/>
      </c>
      <c r="Q91" s="214"/>
      <c r="R91" s="214"/>
      <c r="S91" s="217"/>
      <c r="T91" s="215" t="str">
        <f t="shared" si="18"/>
      </c>
      <c r="U91" s="214"/>
      <c r="V91" s="214"/>
      <c r="W91" s="214"/>
      <c r="X91" s="214"/>
      <c r="Y91" s="214"/>
      <c r="Z91" s="217"/>
      <c r="AA91" s="130" t="str">
        <f t="shared" si="19"/>
      </c>
      <c r="AB91" s="0" t="str">
        <f ref="AB91:AB91" t="array">IF(OR(AA91 &lt;&gt;"", I91&lt;&gt;"",L91&lt;&gt;"",P91&lt;&gt;"",T91&lt;&gt;""), AND(EXACT(AC91:AG91,AC91)),"")</f>
      </c>
      <c r="AC91" s="203" t="str">
        <f t="shared" si="20"/>
      </c>
      <c r="AD91" s="203" t="str">
        <f t="shared" si="21"/>
      </c>
      <c r="AE91" s="203" t="str">
        <f t="shared" si="22"/>
      </c>
      <c r="AF91" s="203" t="str">
        <f t="shared" si="23"/>
      </c>
      <c r="AG91" s="203" t="str">
        <f t="shared" si="24"/>
      </c>
    </row>
    <row r="92">
      <c r="A92" s="214"/>
      <c r="B92" s="214"/>
      <c r="C92" s="214"/>
      <c r="D92" s="214"/>
      <c r="E92" s="214"/>
      <c r="F92" s="214"/>
      <c r="G92" s="214"/>
      <c r="H92" s="216"/>
      <c r="I92" s="215" t="str">
        <f t="shared" si="15"/>
      </c>
      <c r="J92" s="214"/>
      <c r="K92" s="217"/>
      <c r="L92" s="215" t="str">
        <f t="shared" si="16"/>
      </c>
      <c r="M92" s="214"/>
      <c r="N92" s="214"/>
      <c r="O92" s="217"/>
      <c r="P92" s="215" t="str">
        <f t="shared" si="17"/>
      </c>
      <c r="Q92" s="214"/>
      <c r="R92" s="214"/>
      <c r="S92" s="217"/>
      <c r="T92" s="215" t="str">
        <f t="shared" si="18"/>
      </c>
      <c r="U92" s="214"/>
      <c r="V92" s="214"/>
      <c r="W92" s="214"/>
      <c r="X92" s="214"/>
      <c r="Y92" s="214"/>
      <c r="Z92" s="217"/>
      <c r="AA92" s="130" t="str">
        <f t="shared" si="19"/>
      </c>
      <c r="AB92" s="0" t="str">
        <f ref="AB92:AB92" t="array">IF(OR(AA92 &lt;&gt;"", I92&lt;&gt;"",L92&lt;&gt;"",P92&lt;&gt;"",T92&lt;&gt;""), AND(EXACT(AC92:AG92,AC92)),"")</f>
      </c>
      <c r="AC92" s="203" t="str">
        <f t="shared" si="20"/>
      </c>
      <c r="AD92" s="203" t="str">
        <f t="shared" si="21"/>
      </c>
      <c r="AE92" s="203" t="str">
        <f t="shared" si="22"/>
      </c>
      <c r="AF92" s="203" t="str">
        <f t="shared" si="23"/>
      </c>
      <c r="AG92" s="203" t="str">
        <f t="shared" si="24"/>
      </c>
    </row>
    <row r="93">
      <c r="A93" s="214"/>
      <c r="B93" s="214"/>
      <c r="C93" s="214"/>
      <c r="D93" s="214"/>
      <c r="E93" s="214"/>
      <c r="F93" s="214"/>
      <c r="G93" s="214"/>
      <c r="H93" s="216"/>
      <c r="I93" s="215" t="str">
        <f t="shared" si="15"/>
      </c>
      <c r="J93" s="214"/>
      <c r="K93" s="217"/>
      <c r="L93" s="215" t="str">
        <f t="shared" si="16"/>
      </c>
      <c r="M93" s="214"/>
      <c r="N93" s="214"/>
      <c r="O93" s="217"/>
      <c r="P93" s="215" t="str">
        <f t="shared" si="17"/>
      </c>
      <c r="Q93" s="214"/>
      <c r="R93" s="214"/>
      <c r="S93" s="217"/>
      <c r="T93" s="215" t="str">
        <f t="shared" si="18"/>
      </c>
      <c r="U93" s="214"/>
      <c r="V93" s="214"/>
      <c r="W93" s="214"/>
      <c r="X93" s="214"/>
      <c r="Y93" s="214"/>
      <c r="Z93" s="217"/>
      <c r="AA93" s="130" t="str">
        <f t="shared" si="19"/>
      </c>
      <c r="AB93" s="0" t="str">
        <f ref="AB93:AB93" t="array">IF(OR(AA93 &lt;&gt;"", I93&lt;&gt;"",L93&lt;&gt;"",P93&lt;&gt;"",T93&lt;&gt;""), AND(EXACT(AC93:AG93,AC93)),"")</f>
      </c>
      <c r="AC93" s="203" t="str">
        <f t="shared" si="20"/>
      </c>
      <c r="AD93" s="203" t="str">
        <f t="shared" si="21"/>
      </c>
      <c r="AE93" s="203" t="str">
        <f t="shared" si="22"/>
      </c>
      <c r="AF93" s="203" t="str">
        <f t="shared" si="23"/>
      </c>
      <c r="AG93" s="203" t="str">
        <f t="shared" si="24"/>
      </c>
    </row>
    <row r="94">
      <c r="A94" s="214"/>
      <c r="B94" s="214"/>
      <c r="C94" s="214"/>
      <c r="D94" s="214"/>
      <c r="E94" s="214"/>
      <c r="F94" s="214"/>
      <c r="G94" s="214"/>
      <c r="H94" s="216"/>
      <c r="I94" s="215" t="str">
        <f t="shared" si="15"/>
      </c>
      <c r="J94" s="214"/>
      <c r="K94" s="217"/>
      <c r="L94" s="215" t="str">
        <f t="shared" si="16"/>
      </c>
      <c r="M94" s="214"/>
      <c r="N94" s="214"/>
      <c r="O94" s="217"/>
      <c r="P94" s="215" t="str">
        <f t="shared" si="17"/>
      </c>
      <c r="Q94" s="214"/>
      <c r="R94" s="214"/>
      <c r="S94" s="217"/>
      <c r="T94" s="215" t="str">
        <f t="shared" si="18"/>
      </c>
      <c r="U94" s="214"/>
      <c r="V94" s="214"/>
      <c r="W94" s="214"/>
      <c r="X94" s="214"/>
      <c r="Y94" s="214"/>
      <c r="Z94" s="217"/>
      <c r="AA94" s="130" t="str">
        <f t="shared" si="19"/>
      </c>
      <c r="AB94" s="0" t="str">
        <f ref="AB94:AB94" t="array">IF(OR(AA94 &lt;&gt;"", I94&lt;&gt;"",L94&lt;&gt;"",P94&lt;&gt;"",T94&lt;&gt;""), AND(EXACT(AC94:AG94,AC94)),"")</f>
      </c>
      <c r="AC94" s="203" t="str">
        <f t="shared" si="20"/>
      </c>
      <c r="AD94" s="203" t="str">
        <f t="shared" si="21"/>
      </c>
      <c r="AE94" s="203" t="str">
        <f t="shared" si="22"/>
      </c>
      <c r="AF94" s="203" t="str">
        <f t="shared" si="23"/>
      </c>
      <c r="AG94" s="203" t="str">
        <f t="shared" si="24"/>
      </c>
    </row>
    <row r="95">
      <c r="A95" s="214"/>
      <c r="B95" s="214"/>
      <c r="C95" s="214"/>
      <c r="D95" s="214"/>
      <c r="E95" s="214"/>
      <c r="F95" s="214"/>
      <c r="G95" s="214"/>
      <c r="H95" s="216"/>
      <c r="I95" s="215" t="str">
        <f t="shared" si="15"/>
      </c>
      <c r="J95" s="214"/>
      <c r="K95" s="217"/>
      <c r="L95" s="215" t="str">
        <f t="shared" si="16"/>
      </c>
      <c r="M95" s="214"/>
      <c r="N95" s="214"/>
      <c r="O95" s="217"/>
      <c r="P95" s="215" t="str">
        <f t="shared" si="17"/>
      </c>
      <c r="Q95" s="214"/>
      <c r="R95" s="214"/>
      <c r="S95" s="217"/>
      <c r="T95" s="215" t="str">
        <f t="shared" si="18"/>
      </c>
      <c r="U95" s="214"/>
      <c r="V95" s="214"/>
      <c r="W95" s="214"/>
      <c r="X95" s="214"/>
      <c r="Y95" s="214"/>
      <c r="Z95" s="217"/>
      <c r="AA95" s="130" t="str">
        <f t="shared" si="19"/>
      </c>
      <c r="AB95" s="0" t="str">
        <f ref="AB95:AB95" t="array">IF(OR(AA95 &lt;&gt;"", I95&lt;&gt;"",L95&lt;&gt;"",P95&lt;&gt;"",T95&lt;&gt;""), AND(EXACT(AC95:AG95,AC95)),"")</f>
      </c>
      <c r="AC95" s="203" t="str">
        <f t="shared" si="20"/>
      </c>
      <c r="AD95" s="203" t="str">
        <f t="shared" si="21"/>
      </c>
      <c r="AE95" s="203" t="str">
        <f t="shared" si="22"/>
      </c>
      <c r="AF95" s="203" t="str">
        <f t="shared" si="23"/>
      </c>
      <c r="AG95" s="203" t="str">
        <f t="shared" si="24"/>
      </c>
    </row>
    <row r="96">
      <c r="A96" s="214"/>
      <c r="B96" s="214"/>
      <c r="C96" s="214"/>
      <c r="D96" s="214"/>
      <c r="E96" s="214"/>
      <c r="F96" s="214"/>
      <c r="G96" s="214"/>
      <c r="H96" s="216"/>
      <c r="I96" s="215" t="str">
        <f t="shared" si="15"/>
      </c>
      <c r="J96" s="214"/>
      <c r="K96" s="217"/>
      <c r="L96" s="215" t="str">
        <f t="shared" si="16"/>
      </c>
      <c r="M96" s="214"/>
      <c r="N96" s="214"/>
      <c r="O96" s="217"/>
      <c r="P96" s="215" t="str">
        <f t="shared" si="17"/>
      </c>
      <c r="Q96" s="214"/>
      <c r="R96" s="214"/>
      <c r="S96" s="217"/>
      <c r="T96" s="215" t="str">
        <f t="shared" si="18"/>
      </c>
      <c r="U96" s="214"/>
      <c r="V96" s="214"/>
      <c r="W96" s="214"/>
      <c r="X96" s="214"/>
      <c r="Y96" s="214"/>
      <c r="Z96" s="217"/>
      <c r="AA96" s="130" t="str">
        <f t="shared" si="19"/>
      </c>
      <c r="AB96" s="0" t="str">
        <f ref="AB96:AB96" t="array">IF(OR(AA96 &lt;&gt;"", I96&lt;&gt;"",L96&lt;&gt;"",P96&lt;&gt;"",T96&lt;&gt;""), AND(EXACT(AC96:AG96,AC96)),"")</f>
      </c>
      <c r="AC96" s="203" t="str">
        <f t="shared" si="20"/>
      </c>
      <c r="AD96" s="203" t="str">
        <f t="shared" si="21"/>
      </c>
      <c r="AE96" s="203" t="str">
        <f t="shared" si="22"/>
      </c>
      <c r="AF96" s="203" t="str">
        <f t="shared" si="23"/>
      </c>
      <c r="AG96" s="203" t="str">
        <f t="shared" si="24"/>
      </c>
    </row>
    <row r="97">
      <c r="A97" s="214"/>
      <c r="B97" s="214"/>
      <c r="C97" s="214"/>
      <c r="D97" s="214"/>
      <c r="E97" s="214"/>
      <c r="F97" s="214"/>
      <c r="G97" s="214"/>
      <c r="H97" s="216"/>
      <c r="I97" s="215" t="str">
        <f t="shared" si="15"/>
      </c>
      <c r="J97" s="214"/>
      <c r="K97" s="217"/>
      <c r="L97" s="215" t="str">
        <f t="shared" si="16"/>
      </c>
      <c r="M97" s="214"/>
      <c r="N97" s="214"/>
      <c r="O97" s="217"/>
      <c r="P97" s="215" t="str">
        <f t="shared" si="17"/>
      </c>
      <c r="Q97" s="214"/>
      <c r="R97" s="214"/>
      <c r="S97" s="217"/>
      <c r="T97" s="215" t="str">
        <f t="shared" si="18"/>
      </c>
      <c r="U97" s="214"/>
      <c r="V97" s="214"/>
      <c r="W97" s="214"/>
      <c r="X97" s="214"/>
      <c r="Y97" s="214"/>
      <c r="Z97" s="217"/>
      <c r="AA97" s="130" t="str">
        <f t="shared" si="19"/>
      </c>
      <c r="AB97" s="0" t="str">
        <f ref="AB97:AB97" t="array">IF(OR(AA97 &lt;&gt;"", I97&lt;&gt;"",L97&lt;&gt;"",P97&lt;&gt;"",T97&lt;&gt;""), AND(EXACT(AC97:AG97,AC97)),"")</f>
      </c>
      <c r="AC97" s="203" t="str">
        <f t="shared" si="20"/>
      </c>
      <c r="AD97" s="203" t="str">
        <f t="shared" si="21"/>
      </c>
      <c r="AE97" s="203" t="str">
        <f t="shared" si="22"/>
      </c>
      <c r="AF97" s="203" t="str">
        <f t="shared" si="23"/>
      </c>
      <c r="AG97" s="203" t="str">
        <f t="shared" si="24"/>
      </c>
    </row>
    <row r="98">
      <c r="A98" s="214"/>
      <c r="B98" s="214"/>
      <c r="C98" s="214"/>
      <c r="D98" s="214"/>
      <c r="E98" s="214"/>
      <c r="F98" s="214"/>
      <c r="G98" s="214"/>
      <c r="H98" s="216"/>
      <c r="I98" s="215" t="str">
        <f t="shared" si="15"/>
      </c>
      <c r="J98" s="214"/>
      <c r="K98" s="217"/>
      <c r="L98" s="215" t="str">
        <f t="shared" si="16"/>
      </c>
      <c r="M98" s="214"/>
      <c r="N98" s="214"/>
      <c r="O98" s="217"/>
      <c r="P98" s="215" t="str">
        <f t="shared" si="17"/>
      </c>
      <c r="Q98" s="214"/>
      <c r="R98" s="214"/>
      <c r="S98" s="217"/>
      <c r="T98" s="215" t="str">
        <f t="shared" si="18"/>
      </c>
      <c r="U98" s="214"/>
      <c r="V98" s="214"/>
      <c r="W98" s="214"/>
      <c r="X98" s="214"/>
      <c r="Y98" s="214"/>
      <c r="Z98" s="217"/>
      <c r="AA98" s="130" t="str">
        <f t="shared" si="19"/>
      </c>
      <c r="AB98" s="0" t="str">
        <f ref="AB98:AB98" t="array">IF(OR(AA98 &lt;&gt;"", I98&lt;&gt;"",L98&lt;&gt;"",P98&lt;&gt;"",T98&lt;&gt;""), AND(EXACT(AC98:AG98,AC98)),"")</f>
      </c>
      <c r="AC98" s="203" t="str">
        <f t="shared" si="20"/>
      </c>
      <c r="AD98" s="203" t="str">
        <f t="shared" si="21"/>
      </c>
      <c r="AE98" s="203" t="str">
        <f t="shared" si="22"/>
      </c>
      <c r="AF98" s="203" t="str">
        <f t="shared" si="23"/>
      </c>
      <c r="AG98" s="203" t="str">
        <f t="shared" si="24"/>
      </c>
    </row>
    <row r="99">
      <c r="A99" s="214"/>
      <c r="B99" s="214"/>
      <c r="C99" s="214"/>
      <c r="D99" s="214"/>
      <c r="E99" s="214"/>
      <c r="F99" s="214"/>
      <c r="G99" s="214"/>
      <c r="H99" s="216"/>
      <c r="I99" s="215" t="str">
        <f t="shared" si="15"/>
      </c>
      <c r="J99" s="214"/>
      <c r="K99" s="217"/>
      <c r="L99" s="215" t="str">
        <f t="shared" si="16"/>
      </c>
      <c r="M99" s="214"/>
      <c r="N99" s="214"/>
      <c r="O99" s="217"/>
      <c r="P99" s="215" t="str">
        <f t="shared" si="17"/>
      </c>
      <c r="Q99" s="214"/>
      <c r="R99" s="214"/>
      <c r="S99" s="217"/>
      <c r="T99" s="215" t="str">
        <f t="shared" si="18"/>
      </c>
      <c r="U99" s="214"/>
      <c r="V99" s="214"/>
      <c r="W99" s="214"/>
      <c r="X99" s="214"/>
      <c r="Y99" s="214"/>
      <c r="Z99" s="217"/>
      <c r="AA99" s="130" t="str">
        <f t="shared" si="19"/>
      </c>
      <c r="AB99" s="0" t="str">
        <f ref="AB99:AB99" t="array">IF(OR(AA99 &lt;&gt;"", I99&lt;&gt;"",L99&lt;&gt;"",P99&lt;&gt;"",T99&lt;&gt;""), AND(EXACT(AC99:AG99,AC99)),"")</f>
      </c>
      <c r="AC99" s="203" t="str">
        <f t="shared" si="20"/>
      </c>
      <c r="AD99" s="203" t="str">
        <f t="shared" si="21"/>
      </c>
      <c r="AE99" s="203" t="str">
        <f t="shared" si="22"/>
      </c>
      <c r="AF99" s="203" t="str">
        <f t="shared" si="23"/>
      </c>
      <c r="AG99" s="203" t="str">
        <f t="shared" si="24"/>
      </c>
    </row>
    <row r="100">
      <c r="A100" s="214"/>
      <c r="B100" s="214"/>
      <c r="C100" s="214"/>
      <c r="D100" s="214"/>
      <c r="E100" s="214"/>
      <c r="F100" s="214"/>
      <c r="G100" s="214"/>
      <c r="H100" s="216"/>
      <c r="I100" s="215" t="str">
        <f t="shared" si="15"/>
      </c>
      <c r="J100" s="214"/>
      <c r="K100" s="217"/>
      <c r="L100" s="215" t="str">
        <f t="shared" si="16"/>
      </c>
      <c r="M100" s="214"/>
      <c r="N100" s="214"/>
      <c r="O100" s="217"/>
      <c r="P100" s="215" t="str">
        <f t="shared" si="17"/>
      </c>
      <c r="Q100" s="214"/>
      <c r="R100" s="214"/>
      <c r="S100" s="217"/>
      <c r="T100" s="215" t="str">
        <f t="shared" si="18"/>
      </c>
      <c r="U100" s="214"/>
      <c r="V100" s="214"/>
      <c r="W100" s="214"/>
      <c r="X100" s="214"/>
      <c r="Y100" s="214"/>
      <c r="Z100" s="217"/>
      <c r="AA100" s="130" t="str">
        <f t="shared" si="19"/>
      </c>
      <c r="AB100" s="0" t="str">
        <f ref="AB100:AB100" t="array">IF(OR(AA100 &lt;&gt;"", I100&lt;&gt;"",L100&lt;&gt;"",P100&lt;&gt;"",T100&lt;&gt;""), AND(EXACT(AC100:AG100,AC100)),"")</f>
      </c>
      <c r="AC100" s="203" t="str">
        <f t="shared" si="20"/>
      </c>
      <c r="AD100" s="203" t="str">
        <f t="shared" si="21"/>
      </c>
      <c r="AE100" s="203" t="str">
        <f t="shared" si="22"/>
      </c>
      <c r="AF100" s="203" t="str">
        <f t="shared" si="23"/>
      </c>
      <c r="AG100" s="203" t="str">
        <f t="shared" si="24"/>
      </c>
    </row>
    <row r="101">
      <c r="A101" s="214"/>
      <c r="B101" s="214"/>
      <c r="C101" s="214"/>
      <c r="D101" s="214"/>
      <c r="E101" s="214"/>
      <c r="F101" s="214"/>
      <c r="G101" s="214"/>
      <c r="H101" s="216"/>
      <c r="I101" s="215" t="str">
        <f t="shared" si="15"/>
      </c>
      <c r="J101" s="214"/>
      <c r="K101" s="217"/>
      <c r="L101" s="215" t="str">
        <f t="shared" si="16"/>
      </c>
      <c r="M101" s="214"/>
      <c r="N101" s="214"/>
      <c r="O101" s="217"/>
      <c r="P101" s="215" t="str">
        <f t="shared" si="17"/>
      </c>
      <c r="Q101" s="214"/>
      <c r="R101" s="214"/>
      <c r="S101" s="217"/>
      <c r="T101" s="215" t="str">
        <f t="shared" si="18"/>
      </c>
      <c r="U101" s="214"/>
      <c r="V101" s="214"/>
      <c r="W101" s="214"/>
      <c r="X101" s="214"/>
      <c r="Y101" s="214"/>
      <c r="Z101" s="217"/>
      <c r="AA101" s="130" t="str">
        <f t="shared" si="19"/>
      </c>
      <c r="AB101" s="0" t="str">
        <f ref="AB101:AB101" t="array">IF(OR(AA101 &lt;&gt;"", I101&lt;&gt;"",L101&lt;&gt;"",P101&lt;&gt;"",T101&lt;&gt;""), AND(EXACT(AC101:AG101,AC101)),"")</f>
      </c>
      <c r="AC101" s="203" t="str">
        <f t="shared" si="20"/>
      </c>
      <c r="AD101" s="203" t="str">
        <f t="shared" si="21"/>
      </c>
      <c r="AE101" s="203" t="str">
        <f t="shared" si="22"/>
      </c>
      <c r="AF101" s="203" t="str">
        <f t="shared" si="23"/>
      </c>
      <c r="AG101" s="203" t="str">
        <f t="shared" si="24"/>
      </c>
    </row>
    <row r="102">
      <c r="A102" s="214"/>
      <c r="B102" s="214"/>
      <c r="C102" s="214"/>
      <c r="D102" s="214"/>
      <c r="E102" s="214"/>
      <c r="F102" s="214"/>
      <c r="G102" s="214"/>
      <c r="H102" s="216"/>
      <c r="I102" s="215" t="str">
        <f t="shared" si="15"/>
      </c>
      <c r="J102" s="214"/>
      <c r="K102" s="217"/>
      <c r="L102" s="215" t="str">
        <f t="shared" si="16"/>
      </c>
      <c r="M102" s="214"/>
      <c r="N102" s="214"/>
      <c r="O102" s="217"/>
      <c r="P102" s="215" t="str">
        <f t="shared" si="17"/>
      </c>
      <c r="Q102" s="214"/>
      <c r="R102" s="214"/>
      <c r="S102" s="217"/>
      <c r="T102" s="215" t="str">
        <f t="shared" si="18"/>
      </c>
      <c r="U102" s="214"/>
      <c r="V102" s="214"/>
      <c r="W102" s="214"/>
      <c r="X102" s="214"/>
      <c r="Y102" s="214"/>
      <c r="Z102" s="217"/>
      <c r="AA102" s="130" t="str">
        <f t="shared" si="19"/>
      </c>
      <c r="AB102" s="0" t="str">
        <f ref="AB102:AB102" t="array">IF(OR(AA102 &lt;&gt;"", I102&lt;&gt;"",L102&lt;&gt;"",P102&lt;&gt;"",T102&lt;&gt;""), AND(EXACT(AC102:AG102,AC102)),"")</f>
      </c>
      <c r="AC102" s="203" t="str">
        <f t="shared" si="20"/>
      </c>
      <c r="AD102" s="203" t="str">
        <f t="shared" si="21"/>
      </c>
      <c r="AE102" s="203" t="str">
        <f t="shared" si="22"/>
      </c>
      <c r="AF102" s="203" t="str">
        <f t="shared" si="23"/>
      </c>
      <c r="AG102" s="203" t="str">
        <f t="shared" si="24"/>
      </c>
    </row>
    <row r="103">
      <c r="A103" s="214"/>
      <c r="B103" s="214"/>
      <c r="C103" s="214"/>
      <c r="D103" s="214"/>
      <c r="E103" s="214"/>
      <c r="F103" s="214"/>
      <c r="G103" s="214"/>
      <c r="H103" s="216"/>
      <c r="I103" s="215" t="str">
        <f t="shared" si="15"/>
      </c>
      <c r="J103" s="214"/>
      <c r="K103" s="217"/>
      <c r="L103" s="215" t="str">
        <f t="shared" si="16"/>
      </c>
      <c r="M103" s="214"/>
      <c r="N103" s="214"/>
      <c r="O103" s="217"/>
      <c r="P103" s="215" t="str">
        <f t="shared" si="17"/>
      </c>
      <c r="Q103" s="214"/>
      <c r="R103" s="214"/>
      <c r="S103" s="217"/>
      <c r="T103" s="215" t="str">
        <f t="shared" si="18"/>
      </c>
      <c r="U103" s="214"/>
      <c r="V103" s="214"/>
      <c r="W103" s="214"/>
      <c r="X103" s="214"/>
      <c r="Y103" s="214"/>
      <c r="Z103" s="217"/>
      <c r="AA103" s="130" t="str">
        <f t="shared" si="19"/>
      </c>
      <c r="AB103" s="0" t="str">
        <f ref="AB103:AB103" t="array">IF(OR(AA103 &lt;&gt;"", I103&lt;&gt;"",L103&lt;&gt;"",P103&lt;&gt;"",T103&lt;&gt;""), AND(EXACT(AC103:AG103,AC103)),"")</f>
      </c>
      <c r="AC103" s="203" t="str">
        <f t="shared" si="20"/>
      </c>
      <c r="AD103" s="203" t="str">
        <f t="shared" si="21"/>
      </c>
      <c r="AE103" s="203" t="str">
        <f t="shared" si="22"/>
      </c>
      <c r="AF103" s="203" t="str">
        <f t="shared" si="23"/>
      </c>
      <c r="AG103" s="203" t="str">
        <f t="shared" si="24"/>
      </c>
    </row>
    <row r="104">
      <c r="A104" s="214"/>
      <c r="B104" s="214"/>
      <c r="C104" s="214"/>
      <c r="D104" s="214"/>
      <c r="E104" s="214"/>
      <c r="F104" s="214"/>
      <c r="G104" s="214"/>
      <c r="H104" s="216"/>
      <c r="I104" s="215" t="str">
        <f t="shared" si="15"/>
      </c>
      <c r="J104" s="214"/>
      <c r="K104" s="217"/>
      <c r="L104" s="215" t="str">
        <f t="shared" si="16"/>
      </c>
      <c r="M104" s="214"/>
      <c r="N104" s="214"/>
      <c r="O104" s="217"/>
      <c r="P104" s="215" t="str">
        <f t="shared" si="17"/>
      </c>
      <c r="Q104" s="214"/>
      <c r="R104" s="214"/>
      <c r="S104" s="217"/>
      <c r="T104" s="215" t="str">
        <f t="shared" si="18"/>
      </c>
      <c r="U104" s="214"/>
      <c r="V104" s="214"/>
      <c r="W104" s="214"/>
      <c r="X104" s="214"/>
      <c r="Y104" s="214"/>
      <c r="Z104" s="217"/>
      <c r="AA104" s="130" t="str">
        <f t="shared" si="19"/>
      </c>
      <c r="AB104" s="0" t="str">
        <f ref="AB104:AB104" t="array">IF(OR(AA104 &lt;&gt;"", I104&lt;&gt;"",L104&lt;&gt;"",P104&lt;&gt;"",T104&lt;&gt;""), AND(EXACT(AC104:AG104,AC104)),"")</f>
      </c>
      <c r="AC104" s="203" t="str">
        <f t="shared" si="20"/>
      </c>
      <c r="AD104" s="203" t="str">
        <f t="shared" si="21"/>
      </c>
      <c r="AE104" s="203" t="str">
        <f t="shared" si="22"/>
      </c>
      <c r="AF104" s="203" t="str">
        <f t="shared" si="23"/>
      </c>
      <c r="AG104" s="203" t="str">
        <f t="shared" si="24"/>
      </c>
    </row>
    <row r="105">
      <c r="A105" s="214"/>
      <c r="B105" s="214"/>
      <c r="C105" s="214"/>
      <c r="D105" s="214"/>
      <c r="E105" s="214"/>
      <c r="F105" s="214"/>
      <c r="G105" s="214"/>
      <c r="H105" s="216"/>
      <c r="I105" s="215" t="str">
        <f t="shared" si="15"/>
      </c>
      <c r="J105" s="214"/>
      <c r="K105" s="217"/>
      <c r="L105" s="215" t="str">
        <f t="shared" si="16"/>
      </c>
      <c r="M105" s="214"/>
      <c r="N105" s="214"/>
      <c r="O105" s="217"/>
      <c r="P105" s="215" t="str">
        <f t="shared" si="17"/>
      </c>
      <c r="Q105" s="214"/>
      <c r="R105" s="214"/>
      <c r="S105" s="217"/>
      <c r="T105" s="215" t="str">
        <f t="shared" si="18"/>
      </c>
      <c r="U105" s="214"/>
      <c r="V105" s="214"/>
      <c r="W105" s="214"/>
      <c r="X105" s="214"/>
      <c r="Y105" s="214"/>
      <c r="Z105" s="217"/>
      <c r="AA105" s="130" t="str">
        <f t="shared" si="19"/>
      </c>
      <c r="AB105" s="0" t="str">
        <f ref="AB105:AB105" t="array">IF(OR(AA105 &lt;&gt;"", I105&lt;&gt;"",L105&lt;&gt;"",P105&lt;&gt;"",T105&lt;&gt;""), AND(EXACT(AC105:AG105,AC105)),"")</f>
      </c>
      <c r="AC105" s="203" t="str">
        <f t="shared" si="20"/>
      </c>
      <c r="AD105" s="203" t="str">
        <f t="shared" si="21"/>
      </c>
      <c r="AE105" s="203" t="str">
        <f t="shared" si="22"/>
      </c>
      <c r="AF105" s="203" t="str">
        <f t="shared" si="23"/>
      </c>
      <c r="AG105" s="203" t="str">
        <f t="shared" si="24"/>
      </c>
    </row>
    <row r="106">
      <c r="A106" s="214"/>
      <c r="B106" s="214"/>
      <c r="C106" s="214"/>
      <c r="D106" s="214"/>
      <c r="E106" s="214"/>
      <c r="F106" s="214"/>
      <c r="G106" s="214"/>
      <c r="H106" s="216"/>
      <c r="I106" s="215" t="str">
        <f t="shared" si="15"/>
      </c>
      <c r="J106" s="214"/>
      <c r="K106" s="217"/>
      <c r="L106" s="215" t="str">
        <f t="shared" si="16"/>
      </c>
      <c r="M106" s="214"/>
      <c r="N106" s="214"/>
      <c r="O106" s="217"/>
      <c r="P106" s="215" t="str">
        <f t="shared" si="17"/>
      </c>
      <c r="Q106" s="214"/>
      <c r="R106" s="214"/>
      <c r="S106" s="217"/>
      <c r="T106" s="215" t="str">
        <f t="shared" si="18"/>
      </c>
      <c r="U106" s="214"/>
      <c r="V106" s="214"/>
      <c r="W106" s="214"/>
      <c r="X106" s="214"/>
      <c r="Y106" s="214"/>
      <c r="Z106" s="217"/>
      <c r="AA106" s="130" t="str">
        <f t="shared" si="19"/>
      </c>
      <c r="AB106" s="0" t="str">
        <f ref="AB106:AB106" t="array">IF(OR(AA106 &lt;&gt;"", I106&lt;&gt;"",L106&lt;&gt;"",P106&lt;&gt;"",T106&lt;&gt;""), AND(EXACT(AC106:AG106,AC106)),"")</f>
      </c>
      <c r="AC106" s="203" t="str">
        <f t="shared" si="20"/>
      </c>
      <c r="AD106" s="203" t="str">
        <f t="shared" si="21"/>
      </c>
      <c r="AE106" s="203" t="str">
        <f t="shared" si="22"/>
      </c>
      <c r="AF106" s="203" t="str">
        <f t="shared" si="23"/>
      </c>
      <c r="AG106" s="203" t="str">
        <f t="shared" si="24"/>
      </c>
    </row>
    <row r="107">
      <c r="A107" s="214"/>
      <c r="B107" s="214"/>
      <c r="C107" s="214"/>
      <c r="D107" s="214"/>
      <c r="E107" s="214"/>
      <c r="F107" s="214"/>
      <c r="G107" s="214"/>
      <c r="H107" s="216"/>
      <c r="I107" s="215" t="str">
        <f t="shared" si="15"/>
      </c>
      <c r="J107" s="214"/>
      <c r="K107" s="217"/>
      <c r="L107" s="215" t="str">
        <f t="shared" si="16"/>
      </c>
      <c r="M107" s="214"/>
      <c r="N107" s="214"/>
      <c r="O107" s="217"/>
      <c r="P107" s="215" t="str">
        <f t="shared" si="17"/>
      </c>
      <c r="Q107" s="214"/>
      <c r="R107" s="214"/>
      <c r="S107" s="217"/>
      <c r="T107" s="215" t="str">
        <f t="shared" si="18"/>
      </c>
      <c r="U107" s="214"/>
      <c r="V107" s="214"/>
      <c r="W107" s="214"/>
      <c r="X107" s="214"/>
      <c r="Y107" s="214"/>
      <c r="Z107" s="217"/>
      <c r="AA107" s="130" t="str">
        <f t="shared" si="19"/>
      </c>
      <c r="AB107" s="0" t="str">
        <f ref="AB107:AB107" t="array">IF(OR(AA107 &lt;&gt;"", I107&lt;&gt;"",L107&lt;&gt;"",P107&lt;&gt;"",T107&lt;&gt;""), AND(EXACT(AC107:AG107,AC107)),"")</f>
      </c>
      <c r="AC107" s="203" t="str">
        <f t="shared" si="20"/>
      </c>
      <c r="AD107" s="203" t="str">
        <f t="shared" si="21"/>
      </c>
      <c r="AE107" s="203" t="str">
        <f t="shared" si="22"/>
      </c>
      <c r="AF107" s="203" t="str">
        <f t="shared" si="23"/>
      </c>
      <c r="AG107" s="203" t="str">
        <f t="shared" si="24"/>
      </c>
    </row>
    <row r="108">
      <c r="A108" s="214"/>
      <c r="B108" s="214"/>
      <c r="C108" s="214"/>
      <c r="D108" s="214"/>
      <c r="E108" s="214"/>
      <c r="F108" s="214"/>
      <c r="G108" s="214"/>
      <c r="H108" s="216"/>
      <c r="I108" s="215" t="str">
        <f>IF(H108&lt;&gt;"",G108=H108,"")</f>
      </c>
      <c r="J108" s="214"/>
      <c r="K108" s="217"/>
      <c r="L108" s="215" t="str">
        <f>IF(K108&lt;&gt;"",J108=K108,"")</f>
      </c>
      <c r="M108" s="214"/>
      <c r="N108" s="214"/>
      <c r="O108" s="217"/>
      <c r="P108" s="215" t="str">
        <f>IF(O108&lt;&gt;"",N108=O108,"")</f>
      </c>
      <c r="Q108" s="214"/>
      <c r="R108" s="214"/>
      <c r="S108" s="217"/>
      <c r="T108" s="215" t="str">
        <f>IF(S108&lt;&gt;"",R108=S108,"")</f>
      </c>
      <c r="U108" s="214"/>
      <c r="V108" s="214"/>
      <c r="W108" s="214"/>
      <c r="X108" s="214"/>
      <c r="Y108" s="214"/>
      <c r="Z108" s="217"/>
      <c r="AA108" s="130" t="str">
        <f>IF(Z108&lt;&gt;"",Y108=Z108,"")</f>
      </c>
      <c r="AB108" s="0" t="str">
        <f ref="AB108:AB108" t="array">IF(OR(AA108 &lt;&gt;"", I108&lt;&gt;"",L108&lt;&gt;"",P108&lt;&gt;"",T108&lt;&gt;""), AND(EXACT(AC108:AG108,AC108)),"")</f>
      </c>
      <c r="AC108" s="203" t="str">
        <f>I108</f>
      </c>
      <c r="AD108" s="203" t="str">
        <f>L108</f>
      </c>
      <c r="AE108" s="203" t="str">
        <f>P108</f>
      </c>
      <c r="AF108" s="203" t="str">
        <f>T108</f>
      </c>
      <c r="AG108" s="203" t="str">
        <f>AA108</f>
      </c>
    </row>
    <row r="109">
      <c r="I109" s="167"/>
      <c r="J109" s="83"/>
      <c r="K109" s="83"/>
      <c r="L109" s="167"/>
      <c r="M109" s="83"/>
      <c r="N109" s="83"/>
      <c r="O109" s="83"/>
      <c r="P109" s="167"/>
      <c r="Q109" s="83"/>
      <c r="R109" s="83"/>
      <c r="S109" s="83"/>
      <c r="T109" s="167"/>
      <c r="U109" s="83"/>
      <c r="V109" s="83"/>
      <c r="W109" s="83"/>
      <c r="X109" s="83"/>
      <c r="Y109" s="83"/>
      <c r="Z109" s="83"/>
      <c r="AA109" s="167" t="s">
        <v>22</v>
      </c>
      <c r="AB109" s="131">
        <f>COUNTIF(AB2:AB108,TRUE)</f>
        <v>0</v>
      </c>
    </row>
    <row r="110">
      <c r="I110" s="132"/>
      <c r="J110" s="83"/>
      <c r="K110" s="83"/>
      <c r="L110" s="132"/>
      <c r="M110" s="83"/>
      <c r="N110" s="83"/>
      <c r="O110" s="83"/>
      <c r="P110" s="132"/>
      <c r="Q110" s="83"/>
      <c r="R110" s="83"/>
      <c r="S110" s="83"/>
      <c r="T110" s="132"/>
      <c r="U110" s="83"/>
      <c r="V110" s="83"/>
      <c r="W110" s="83"/>
      <c r="X110" s="83"/>
      <c r="Y110" s="83"/>
      <c r="Z110" s="83"/>
      <c r="AA110" s="167" t="s">
        <v>23</v>
      </c>
      <c r="AB110" s="131">
        <f>COUNTIF(AB2:AB108,FALSE)</f>
        <v>0</v>
      </c>
    </row>
    <row r="111">
      <c r="AA111" s="132" t="s">
        <v>24</v>
      </c>
      <c r="AB111" s="188" t="e">
        <f>(AB109/(AB109+AB110))</f>
        <v>#DIV/0!</v>
      </c>
    </row>
    <row r="112">
      <c r="AA112" s="0" t="s">
        <v>25</v>
      </c>
      <c r="AB112" s="189">
        <f>SUM(AB109:AB110)</f>
        <v>0</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5" x14ac:dyDescent="0.25"/>
  <cols>
    <col min="1" max="1" width="13.7109375" customWidth="1"/>
    <col min="2" max="2" width="16.28515625" customWidth="1"/>
    <col min="3" max="3" width="18" customWidth="1"/>
    <col min="4" max="4" width="25.7109375" customWidth="1"/>
  </cols>
  <sheetData>
    <row r="1" ht="37.15" customHeight="1">
      <c r="A1" s="225" t="s">
        <v>0</v>
      </c>
      <c r="B1" s="225" t="s">
        <v>3567</v>
      </c>
      <c r="C1" s="225" t="s">
        <v>3568</v>
      </c>
      <c r="D1" s="225" t="s">
        <v>3569</v>
      </c>
    </row>
    <row r="2">
      <c r="A2" s="224"/>
      <c r="B2" s="224"/>
      <c r="C2" s="224"/>
      <c r="D2" s="226"/>
    </row>
    <row r="3">
      <c r="A3" s="224"/>
      <c r="B3" s="224"/>
      <c r="C3" s="224"/>
      <c r="D3" s="226"/>
    </row>
    <row r="4">
      <c r="A4" s="224"/>
      <c r="B4" s="224"/>
      <c r="C4" s="224"/>
      <c r="D4" s="226"/>
    </row>
    <row r="5">
      <c r="A5" s="224"/>
      <c r="B5" s="224"/>
      <c r="C5" s="224"/>
      <c r="D5" s="226"/>
    </row>
    <row r="6">
      <c r="A6" s="224"/>
      <c r="B6" s="224"/>
      <c r="C6" s="224"/>
      <c r="D6" s="226"/>
    </row>
    <row r="7">
      <c r="A7" s="224"/>
      <c r="B7" s="224"/>
      <c r="C7" s="224"/>
      <c r="D7" s="226"/>
    </row>
    <row r="8">
      <c r="A8" s="224"/>
      <c r="B8" s="224"/>
      <c r="C8" s="224"/>
      <c r="D8" s="226"/>
    </row>
    <row r="9">
      <c r="A9" s="224"/>
      <c r="B9" s="224"/>
      <c r="C9" s="224"/>
      <c r="D9" s="226"/>
    </row>
    <row r="10">
      <c r="A10" s="224"/>
      <c r="B10" s="224"/>
      <c r="C10" s="224"/>
      <c r="D10" s="226"/>
    </row>
    <row r="11">
      <c r="A11" s="224"/>
      <c r="B11" s="224"/>
      <c r="C11" s="224"/>
      <c r="D11" s="226"/>
    </row>
    <row r="12">
      <c r="A12" s="224"/>
      <c r="B12" s="224"/>
      <c r="C12" s="224"/>
      <c r="D12" s="226"/>
    </row>
    <row r="13">
      <c r="A13" s="224"/>
      <c r="B13" s="224"/>
      <c r="C13" s="224"/>
      <c r="D13" s="226"/>
    </row>
    <row r="14">
      <c r="A14" s="224"/>
      <c r="B14" s="224"/>
      <c r="C14" s="224"/>
      <c r="D14" s="226"/>
    </row>
    <row r="15">
      <c r="A15" s="224"/>
      <c r="B15" s="224"/>
      <c r="C15" s="224"/>
      <c r="D15" s="226"/>
    </row>
    <row r="16">
      <c r="A16" s="224"/>
      <c r="B16" s="224"/>
      <c r="C16" s="224"/>
      <c r="D16" s="226"/>
    </row>
    <row r="17">
      <c r="A17" s="224"/>
      <c r="B17" s="224"/>
      <c r="C17" s="224"/>
      <c r="D17" s="226"/>
    </row>
    <row r="18">
      <c r="A18" s="224"/>
      <c r="B18" s="224"/>
      <c r="C18" s="224"/>
      <c r="D18" s="226"/>
    </row>
    <row r="19">
      <c r="A19" s="224"/>
      <c r="B19" s="224"/>
      <c r="C19" s="224"/>
      <c r="D19" s="226"/>
    </row>
    <row r="20">
      <c r="A20" s="224"/>
      <c r="B20" s="224"/>
      <c r="C20" s="224"/>
      <c r="D20" s="226"/>
    </row>
    <row r="21">
      <c r="A21" s="224"/>
      <c r="B21" s="224"/>
      <c r="C21" s="224"/>
      <c r="D21" s="226"/>
    </row>
    <row r="22">
      <c r="A22" s="224"/>
      <c r="B22" s="224"/>
      <c r="C22" s="224"/>
      <c r="D22" s="226"/>
    </row>
    <row r="23">
      <c r="A23" s="224"/>
      <c r="B23" s="224"/>
      <c r="C23" s="224"/>
      <c r="D23" s="226"/>
    </row>
    <row r="24">
      <c r="A24" s="224"/>
      <c r="B24" s="224"/>
      <c r="C24" s="224"/>
      <c r="D24" s="226"/>
    </row>
    <row r="25">
      <c r="A25" s="224"/>
      <c r="B25" s="224"/>
      <c r="C25" s="224"/>
      <c r="D25" s="226"/>
    </row>
    <row r="26">
      <c r="A26" s="224"/>
      <c r="B26" s="224"/>
      <c r="C26" s="224"/>
      <c r="D26" s="226"/>
    </row>
    <row r="27">
      <c r="A27" s="224"/>
      <c r="B27" s="224"/>
      <c r="C27" s="224"/>
      <c r="D27" s="226"/>
    </row>
    <row r="28">
      <c r="A28" s="224"/>
      <c r="B28" s="224"/>
      <c r="C28" s="224"/>
      <c r="D28" s="226"/>
    </row>
    <row r="29">
      <c r="A29" s="224"/>
      <c r="B29" s="224"/>
      <c r="C29" s="224"/>
      <c r="D29" s="226"/>
    </row>
    <row r="30">
      <c r="A30" s="224"/>
      <c r="B30" s="224"/>
      <c r="C30" s="224"/>
      <c r="D30" s="226"/>
    </row>
    <row r="31">
      <c r="A31" s="224"/>
      <c r="B31" s="224"/>
      <c r="C31" s="224"/>
      <c r="D31" s="226"/>
    </row>
    <row r="32">
      <c r="A32" s="224"/>
      <c r="B32" s="224"/>
      <c r="C32" s="224"/>
      <c r="D32" s="226"/>
    </row>
    <row r="33">
      <c r="A33" s="224"/>
      <c r="B33" s="224"/>
      <c r="C33" s="224"/>
      <c r="D33" s="226"/>
    </row>
    <row r="34">
      <c r="A34" s="224"/>
      <c r="B34" s="224"/>
      <c r="C34" s="224"/>
      <c r="D34" s="226"/>
    </row>
    <row r="35">
      <c r="A35" s="224"/>
      <c r="B35" s="224"/>
      <c r="C35" s="224"/>
      <c r="D35" s="226"/>
    </row>
    <row r="36">
      <c r="A36" s="224"/>
      <c r="B36" s="224"/>
      <c r="C36" s="224"/>
      <c r="D36" s="226"/>
    </row>
    <row r="37">
      <c r="A37" s="224"/>
      <c r="B37" s="224"/>
      <c r="C37" s="224"/>
      <c r="D37" s="226"/>
    </row>
    <row r="38">
      <c r="A38" s="224"/>
      <c r="B38" s="224"/>
      <c r="C38" s="224"/>
      <c r="D38" s="226"/>
    </row>
    <row r="39">
      <c r="A39" s="224"/>
      <c r="B39" s="224"/>
      <c r="C39" s="224"/>
      <c r="D39" s="226"/>
    </row>
    <row r="40">
      <c r="A40" s="224"/>
      <c r="B40" s="224"/>
      <c r="C40" s="224"/>
      <c r="D40" s="226"/>
    </row>
    <row r="41">
      <c r="A41" s="224"/>
      <c r="B41" s="224"/>
      <c r="C41" s="224"/>
      <c r="D41" s="226"/>
    </row>
    <row r="42">
      <c r="A42" s="224"/>
      <c r="B42" s="224"/>
      <c r="C42" s="224"/>
      <c r="D42" s="226"/>
    </row>
    <row r="43">
      <c r="A43" s="224"/>
      <c r="B43" s="224"/>
      <c r="C43" s="224"/>
      <c r="D43" s="226"/>
    </row>
    <row r="44">
      <c r="A44" s="224"/>
      <c r="B44" s="224"/>
      <c r="C44" s="224"/>
      <c r="D44" s="226"/>
    </row>
    <row r="45">
      <c r="A45" s="224"/>
      <c r="B45" s="224"/>
      <c r="C45" s="224"/>
      <c r="D45" s="226"/>
    </row>
    <row r="46">
      <c r="A46" s="224"/>
      <c r="B46" s="224"/>
      <c r="C46" s="224"/>
      <c r="D46" s="226"/>
    </row>
    <row r="47">
      <c r="A47" s="224"/>
      <c r="B47" s="224"/>
      <c r="C47" s="224"/>
      <c r="D47" s="226"/>
    </row>
    <row r="48">
      <c r="A48" s="224"/>
      <c r="B48" s="224"/>
      <c r="C48" s="224"/>
      <c r="D48" s="226"/>
    </row>
    <row r="49">
      <c r="A49" s="224"/>
      <c r="B49" s="224"/>
      <c r="C49" s="224"/>
      <c r="D49" s="226"/>
    </row>
    <row r="50">
      <c r="A50" s="224"/>
      <c r="B50" s="224"/>
      <c r="C50" s="224"/>
      <c r="D50" s="226"/>
    </row>
    <row r="51">
      <c r="A51" s="224"/>
      <c r="B51" s="224"/>
      <c r="C51" s="224"/>
      <c r="D51" s="226"/>
    </row>
    <row r="52">
      <c r="A52" s="224"/>
      <c r="B52" s="224"/>
      <c r="C52" s="224"/>
      <c r="D52" s="226"/>
    </row>
    <row r="53">
      <c r="A53" s="224"/>
      <c r="B53" s="224"/>
      <c r="C53" s="224"/>
      <c r="D53" s="226"/>
    </row>
    <row r="54">
      <c r="A54" s="224"/>
      <c r="B54" s="224"/>
      <c r="C54" s="224"/>
      <c r="D54" s="226"/>
    </row>
    <row r="55">
      <c r="A55" s="224"/>
      <c r="B55" s="224"/>
      <c r="C55" s="224"/>
      <c r="D55" s="226"/>
    </row>
    <row r="56">
      <c r="A56" s="224"/>
      <c r="B56" s="224"/>
      <c r="C56" s="224"/>
      <c r="D56" s="226"/>
    </row>
    <row r="57">
      <c r="A57" s="224"/>
      <c r="B57" s="224"/>
      <c r="C57" s="224"/>
      <c r="D57" s="226"/>
    </row>
    <row r="58">
      <c r="A58" s="224"/>
      <c r="B58" s="224"/>
      <c r="C58" s="224"/>
      <c r="D58" s="226"/>
    </row>
    <row r="59">
      <c r="A59" s="224"/>
      <c r="B59" s="224"/>
      <c r="C59" s="224"/>
      <c r="D59" s="226"/>
    </row>
    <row r="60">
      <c r="A60" s="224"/>
      <c r="B60" s="224"/>
      <c r="C60" s="224"/>
      <c r="D60" s="226"/>
    </row>
    <row r="61">
      <c r="A61" s="224"/>
      <c r="B61" s="224"/>
      <c r="C61" s="224"/>
      <c r="D61" s="226"/>
    </row>
    <row r="62">
      <c r="A62" s="224"/>
      <c r="B62" s="224"/>
      <c r="C62" s="224"/>
      <c r="D62" s="226"/>
    </row>
    <row r="63">
      <c r="A63" s="224"/>
      <c r="B63" s="224"/>
      <c r="C63" s="224"/>
      <c r="D63" s="226"/>
    </row>
    <row r="64">
      <c r="A64" s="224"/>
      <c r="B64" s="224"/>
      <c r="C64" s="224"/>
      <c r="D64" s="226"/>
    </row>
    <row r="65">
      <c r="A65" s="224"/>
      <c r="B65" s="224"/>
      <c r="C65" s="224"/>
      <c r="D65" s="226"/>
    </row>
    <row r="66">
      <c r="A66" s="224"/>
      <c r="B66" s="224"/>
      <c r="C66" s="224"/>
      <c r="D66" s="226"/>
    </row>
    <row r="67">
      <c r="A67" s="224"/>
      <c r="B67" s="224"/>
      <c r="C67" s="224"/>
      <c r="D67" s="226"/>
    </row>
    <row r="68">
      <c r="A68" s="224"/>
      <c r="B68" s="224"/>
      <c r="C68" s="224"/>
      <c r="D68" s="226"/>
    </row>
    <row r="69">
      <c r="A69" s="224"/>
      <c r="B69" s="224"/>
      <c r="C69" s="224"/>
      <c r="D69" s="226"/>
    </row>
    <row r="70">
      <c r="A70" s="224"/>
      <c r="B70" s="224"/>
      <c r="C70" s="224"/>
      <c r="D70" s="226"/>
    </row>
    <row r="71">
      <c r="A71" s="224"/>
      <c r="B71" s="224"/>
      <c r="C71" s="224"/>
      <c r="D71" s="226"/>
    </row>
    <row r="72">
      <c r="A72" s="224"/>
      <c r="B72" s="224"/>
      <c r="C72" s="224"/>
      <c r="D72" s="226"/>
    </row>
    <row r="73">
      <c r="A73" s="224"/>
      <c r="B73" s="224"/>
      <c r="C73" s="224"/>
      <c r="D73" s="226"/>
    </row>
    <row r="74">
      <c r="A74" s="224"/>
      <c r="B74" s="224"/>
      <c r="C74" s="224"/>
      <c r="D74" s="226"/>
    </row>
    <row r="75">
      <c r="A75" s="224"/>
      <c r="B75" s="224"/>
      <c r="C75" s="224"/>
      <c r="D75" s="226"/>
    </row>
    <row r="76">
      <c r="A76" s="224"/>
      <c r="B76" s="224"/>
      <c r="C76" s="224"/>
      <c r="D76" s="226"/>
    </row>
    <row r="77">
      <c r="A77" s="224"/>
      <c r="B77" s="224"/>
      <c r="C77" s="224"/>
      <c r="D77" s="226"/>
    </row>
    <row r="78">
      <c r="A78" s="224"/>
      <c r="B78" s="224"/>
      <c r="C78" s="224"/>
      <c r="D78" s="226"/>
    </row>
    <row r="79">
      <c r="A79" s="224"/>
      <c r="B79" s="224"/>
      <c r="C79" s="224"/>
      <c r="D79" s="226"/>
    </row>
    <row r="80">
      <c r="A80" s="224"/>
      <c r="B80" s="224"/>
      <c r="C80" s="224"/>
      <c r="D80" s="226"/>
    </row>
    <row r="81">
      <c r="A81" s="224"/>
      <c r="B81" s="224"/>
      <c r="C81" s="224"/>
      <c r="D81" s="226"/>
    </row>
    <row r="82">
      <c r="A82" s="224"/>
      <c r="B82" s="224"/>
      <c r="C82" s="224"/>
      <c r="D82" s="226"/>
    </row>
    <row r="83">
      <c r="A83" s="224"/>
      <c r="B83" s="224"/>
      <c r="C83" s="224"/>
      <c r="D83" s="226"/>
    </row>
    <row r="84">
      <c r="A84" s="224"/>
      <c r="B84" s="224"/>
      <c r="C84" s="224"/>
      <c r="D84" s="226"/>
    </row>
    <row r="85">
      <c r="A85" s="224"/>
      <c r="B85" s="224"/>
      <c r="C85" s="224"/>
      <c r="D85" s="226"/>
    </row>
    <row r="86">
      <c r="A86" s="224"/>
      <c r="B86" s="224"/>
      <c r="C86" s="224"/>
      <c r="D86" s="226"/>
    </row>
    <row r="87">
      <c r="A87" s="224"/>
      <c r="B87" s="224"/>
      <c r="C87" s="224"/>
      <c r="D87" s="226"/>
    </row>
    <row r="88">
      <c r="A88" s="224"/>
      <c r="B88" s="224"/>
      <c r="C88" s="224"/>
      <c r="D88" s="226"/>
    </row>
    <row r="89">
      <c r="A89" s="224"/>
      <c r="B89" s="224"/>
      <c r="C89" s="224"/>
      <c r="D89" s="226"/>
    </row>
    <row r="90">
      <c r="A90" s="224"/>
      <c r="B90" s="224"/>
      <c r="C90" s="224"/>
      <c r="D90" s="226"/>
    </row>
    <row r="91">
      <c r="A91" s="224"/>
      <c r="B91" s="224"/>
      <c r="C91" s="224"/>
      <c r="D91" s="226"/>
    </row>
    <row r="92">
      <c r="A92" s="224"/>
      <c r="B92" s="224"/>
      <c r="C92" s="224"/>
      <c r="D92" s="226"/>
    </row>
    <row r="93">
      <c r="A93" s="224"/>
      <c r="B93" s="224"/>
      <c r="C93" s="224"/>
      <c r="D93" s="226"/>
    </row>
    <row r="94">
      <c r="A94" s="224"/>
      <c r="B94" s="224"/>
      <c r="C94" s="224"/>
      <c r="D94" s="226"/>
    </row>
    <row r="95">
      <c r="A95" s="224"/>
      <c r="B95" s="224"/>
      <c r="C95" s="224"/>
      <c r="D95" s="226"/>
    </row>
    <row r="96">
      <c r="A96" s="224"/>
      <c r="B96" s="224"/>
      <c r="C96" s="224"/>
      <c r="D96" s="226"/>
    </row>
    <row r="97">
      <c r="A97" s="224"/>
      <c r="B97" s="224"/>
      <c r="C97" s="224"/>
      <c r="D97" s="226"/>
    </row>
    <row r="98">
      <c r="A98" s="224"/>
      <c r="B98" s="224"/>
      <c r="C98" s="224"/>
      <c r="D98" s="226"/>
    </row>
    <row r="99">
      <c r="A99" s="224"/>
      <c r="B99" s="224"/>
      <c r="C99" s="224"/>
      <c r="D99" s="226"/>
    </row>
    <row r="100">
      <c r="A100" s="224"/>
      <c r="B100" s="224"/>
      <c r="C100" s="224"/>
      <c r="D100" s="226"/>
    </row>
    <row r="101">
      <c r="A101" s="224"/>
      <c r="B101" s="224"/>
      <c r="C101" s="224"/>
      <c r="D101" s="226"/>
    </row>
    <row r="102">
      <c r="A102" s="224"/>
      <c r="B102" s="224"/>
      <c r="C102" s="224"/>
      <c r="D102" s="226"/>
    </row>
    <row r="103">
      <c r="A103" s="224"/>
      <c r="B103" s="224"/>
      <c r="C103" s="224"/>
      <c r="D103" s="226"/>
    </row>
    <row r="104">
      <c r="A104" s="224"/>
      <c r="B104" s="224"/>
      <c r="C104" s="224"/>
      <c r="D104" s="226"/>
    </row>
    <row r="105">
      <c r="A105" s="224"/>
      <c r="B105" s="224"/>
      <c r="C105" s="224"/>
      <c r="D105" s="226"/>
    </row>
    <row r="106">
      <c r="A106" s="224"/>
      <c r="B106" s="224"/>
      <c r="C106" s="224"/>
      <c r="D106" s="226"/>
    </row>
    <row r="107">
      <c r="A107" s="224"/>
      <c r="B107" s="224"/>
      <c r="C107" s="224"/>
      <c r="D107" s="226"/>
    </row>
    <row r="108">
      <c r="A108" s="224"/>
      <c r="B108" s="224"/>
      <c r="C108" s="224"/>
      <c r="D108" s="226"/>
    </row>
    <row r="109" hidden="1">
      <c r="C109" s="0" t="s">
        <v>3570</v>
      </c>
      <c r="D109" s="0">
        <f>COUNTIF(D2:D108, "Active")</f>
        <v>0</v>
      </c>
    </row>
    <row r="110" hidden="1">
      <c r="C110" s="0" t="s">
        <v>25</v>
      </c>
      <c r="D110" s="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5546875" defaultRowHeight="40.15" customHeight="1" x14ac:dyDescent="0.25"/>
  <cols>
    <col min="1" max="1" width="11.42578125" customWidth="1" style="61"/>
    <col min="2" max="2" width="17.42578125" customWidth="1" style="68"/>
    <col min="3" max="3" width="10.140625" customWidth="1" style="69"/>
    <col min="4" max="4" width="20.42578125" customWidth="1" style="68"/>
    <col min="5" max="5" width="17.85546875" customWidth="1" style="68"/>
    <col min="6" max="6" width="29.5703125" customWidth="1" style="68"/>
    <col min="7" max="7" width="14.28515625" customWidth="1" style="61"/>
    <col min="8" max="8" width="14" customWidth="1" style="61"/>
    <col min="9" max="9" width="16.7109375" customWidth="1" style="61"/>
    <col min="10" max="10" width="11.85546875" customWidth="1" style="61"/>
    <col min="11" max="11" width="23.42578125" customWidth="1" style="61"/>
    <col min="12" max="12" width="17.85546875" customWidth="1" style="61"/>
    <col min="13" max="13" width="16.7109375" customWidth="1" style="61"/>
    <col min="14" max="14" width="17.28515625" customWidth="1" style="61"/>
    <col min="15" max="16" width="16" customWidth="1" style="61"/>
    <col min="17" max="17" width="22.28515625" customWidth="1" style="61"/>
    <col min="18" max="23" width="16" customWidth="1" style="61"/>
    <col min="24" max="24" width="16.42578125" customWidth="1" style="61"/>
    <col min="25" max="16384" width="8.85546875" customWidth="1" style="61"/>
  </cols>
  <sheetData>
    <row r="1" ht="40.15" customHeight="1">
      <c r="A1" s="97"/>
      <c r="B1" s="105"/>
      <c r="C1" s="104"/>
      <c r="D1" s="105"/>
      <c r="E1" s="105"/>
      <c r="F1" s="105"/>
      <c r="G1" s="97"/>
      <c r="H1" s="97"/>
      <c r="I1" s="97"/>
      <c r="J1" s="97"/>
      <c r="K1" s="97"/>
      <c r="L1" s="97"/>
      <c r="M1" s="193"/>
    </row>
    <row r="2" ht="25.15" customHeight="1">
      <c r="A2" s="97"/>
      <c r="B2" s="338" t="s">
        <v>35</v>
      </c>
      <c r="C2" s="339"/>
      <c r="D2" s="340" t="s">
        <v>244</v>
      </c>
      <c r="E2" s="341"/>
      <c r="F2" s="341"/>
      <c r="G2" s="97"/>
      <c r="H2" s="97"/>
      <c r="I2" s="97"/>
      <c r="J2" s="97"/>
      <c r="K2" s="97"/>
      <c r="L2" s="97"/>
      <c r="M2" s="193"/>
    </row>
    <row r="3" ht="24" customHeight="1">
      <c r="A3" s="97"/>
      <c r="B3" s="342" t="s">
        <v>37</v>
      </c>
      <c r="C3" s="343"/>
      <c r="D3" s="336" t="s">
        <v>273</v>
      </c>
      <c r="E3" s="337"/>
      <c r="F3" s="337"/>
      <c r="G3" s="97"/>
      <c r="H3" s="97"/>
      <c r="I3" s="97"/>
      <c r="J3" s="97"/>
      <c r="K3" s="97"/>
      <c r="L3" s="97"/>
      <c r="M3" s="193"/>
    </row>
    <row r="4" ht="23.45" customHeight="1">
      <c r="A4" s="97"/>
      <c r="B4" s="342" t="s">
        <v>39</v>
      </c>
      <c r="C4" s="343"/>
      <c r="D4" s="336" t="s">
        <v>595</v>
      </c>
      <c r="E4" s="337"/>
      <c r="F4" s="337"/>
      <c r="G4" s="97"/>
      <c r="H4" s="97"/>
      <c r="I4" s="97"/>
      <c r="J4" s="97"/>
      <c r="K4" s="97"/>
      <c r="L4" s="97"/>
      <c r="M4" s="193"/>
    </row>
    <row r="5" ht="22.15" customHeight="1">
      <c r="A5" s="97"/>
      <c r="B5" s="334" t="s">
        <v>43</v>
      </c>
      <c r="C5" s="335"/>
      <c r="D5" s="336" t="s">
        <v>232</v>
      </c>
      <c r="E5" s="337"/>
      <c r="F5" s="337"/>
      <c r="G5" s="97"/>
      <c r="H5" s="97"/>
      <c r="I5" s="97"/>
      <c r="J5" s="97"/>
      <c r="K5" s="97"/>
      <c r="L5" s="97"/>
      <c r="M5" s="193"/>
    </row>
    <row r="6" ht="40.15" customHeight="1">
      <c r="A6" s="97"/>
      <c r="B6" s="103" t="s">
        <v>26</v>
      </c>
      <c r="C6" s="104"/>
      <c r="D6" s="105"/>
      <c r="E6" s="97"/>
      <c r="F6" s="97"/>
      <c r="G6" s="97"/>
      <c r="H6" s="97"/>
      <c r="I6" s="97"/>
      <c r="J6" s="97"/>
      <c r="K6" s="97"/>
      <c r="L6" s="97"/>
      <c r="M6" s="193"/>
      <c r="X6" s="97"/>
      <c r="Y6" s="97"/>
    </row>
    <row r="7" ht="40.15" customHeight="1">
      <c r="A7" s="97"/>
      <c r="B7" s="84" t="s">
        <v>30</v>
      </c>
      <c r="C7" s="347" t="s">
        <v>31</v>
      </c>
      <c r="D7" s="348"/>
      <c r="E7" s="348"/>
      <c r="F7" s="348"/>
      <c r="G7" s="348"/>
      <c r="H7" s="349"/>
      <c r="I7" s="85" t="s">
        <v>32</v>
      </c>
      <c r="J7" s="97"/>
      <c r="K7" s="355" t="s">
        <v>3559</v>
      </c>
      <c r="L7" s="356"/>
      <c r="M7" s="193"/>
      <c r="N7" s="193"/>
      <c r="O7" s="193"/>
      <c r="P7" s="193"/>
      <c r="Q7" s="97"/>
      <c r="R7" s="97"/>
      <c r="S7" s="97"/>
      <c r="T7" s="97"/>
      <c r="U7" s="97"/>
    </row>
    <row r="8" ht="40.15" customHeight="1">
      <c r="A8" s="97"/>
      <c r="B8" s="194"/>
      <c r="C8" s="354" t="s">
        <v>3560</v>
      </c>
      <c r="D8" s="354"/>
      <c r="E8" s="354"/>
      <c r="F8" s="354"/>
      <c r="G8" s="354"/>
      <c r="H8" s="354"/>
      <c r="I8" s="202"/>
      <c r="J8" s="97"/>
      <c r="K8" s="166" t="s">
        <v>3561</v>
      </c>
      <c r="L8" s="200">
        <f>I8</f>
        <v>0</v>
      </c>
      <c r="M8" s="97"/>
      <c r="N8" s="97"/>
      <c r="O8" s="97"/>
      <c r="P8" s="97"/>
      <c r="Q8" s="97"/>
      <c r="R8" s="97"/>
      <c r="S8" s="97"/>
      <c r="T8" s="97"/>
      <c r="U8" s="97"/>
      <c r="V8" s="97"/>
    </row>
    <row r="9" ht="30" customHeight="1">
      <c r="A9" s="97"/>
      <c r="B9" s="194"/>
      <c r="C9" s="344" t="s">
        <v>3562</v>
      </c>
      <c r="D9" s="345"/>
      <c r="E9" s="345"/>
      <c r="F9" s="345"/>
      <c r="G9" s="345"/>
      <c r="H9" s="346"/>
      <c r="I9" s="211" t="s">
        <v>3563</v>
      </c>
      <c r="J9" s="97"/>
      <c r="K9" s="166" t="s">
        <v>69</v>
      </c>
      <c r="L9" s="200">
        <f>SUM(G10:I12)</f>
        <v>0</v>
      </c>
      <c r="M9" s="97"/>
      <c r="N9" s="97"/>
      <c r="O9" s="97"/>
      <c r="P9" s="97"/>
      <c r="Q9" s="97"/>
      <c r="R9" s="97"/>
      <c r="S9" s="97"/>
      <c r="T9" s="97"/>
      <c r="U9" s="97"/>
      <c r="V9" s="97"/>
    </row>
    <row r="10" ht="40.15" customHeight="1">
      <c r="A10" s="97"/>
      <c r="B10" s="87">
        <v>221</v>
      </c>
      <c r="C10" s="351" t="s">
        <v>3564</v>
      </c>
      <c r="D10" s="352"/>
      <c r="E10" s="352"/>
      <c r="F10" s="352"/>
      <c r="G10" s="352"/>
      <c r="H10" s="353"/>
      <c r="I10" s="195"/>
      <c r="J10" s="97"/>
      <c r="K10" s="166" t="s">
        <v>83</v>
      </c>
      <c r="L10" s="201">
        <f>IFERROR(L9/L8,0)</f>
        <v>0</v>
      </c>
      <c r="M10" s="97"/>
      <c r="N10" s="97"/>
      <c r="O10" s="97"/>
      <c r="P10" s="97"/>
      <c r="Q10" s="97"/>
      <c r="R10" s="97"/>
      <c r="S10" s="97"/>
      <c r="T10" s="97"/>
      <c r="U10" s="97"/>
      <c r="V10" s="97"/>
    </row>
    <row r="11" ht="49.15" customHeight="1">
      <c r="A11" s="97"/>
      <c r="B11" s="87">
        <v>222</v>
      </c>
      <c r="C11" s="351" t="s">
        <v>3565</v>
      </c>
      <c r="D11" s="352"/>
      <c r="E11" s="352"/>
      <c r="F11" s="352"/>
      <c r="G11" s="352"/>
      <c r="H11" s="353"/>
      <c r="I11" s="195"/>
      <c r="J11" s="97"/>
      <c r="K11" s="165"/>
      <c r="L11" s="165"/>
      <c r="M11" s="165"/>
      <c r="N11" s="165"/>
      <c r="O11" s="97"/>
      <c r="P11" s="97"/>
      <c r="Q11" s="97"/>
      <c r="R11" s="97"/>
      <c r="S11" s="97"/>
      <c r="T11" s="97"/>
      <c r="U11" s="97"/>
      <c r="V11" s="97"/>
      <c r="W11" s="97"/>
      <c r="X11" s="97"/>
      <c r="Y11" s="97"/>
      <c r="Z11" s="97"/>
    </row>
    <row r="12" ht="45.6" customHeight="1">
      <c r="A12" s="97"/>
      <c r="B12" s="87">
        <v>223</v>
      </c>
      <c r="C12" s="351" t="s">
        <v>3566</v>
      </c>
      <c r="D12" s="352"/>
      <c r="E12" s="352"/>
      <c r="F12" s="352"/>
      <c r="G12" s="352"/>
      <c r="H12" s="353"/>
      <c r="I12" s="195"/>
      <c r="J12" s="97"/>
      <c r="K12" s="196"/>
      <c r="L12" s="308"/>
      <c r="M12" s="308"/>
      <c r="N12" s="97"/>
      <c r="O12" s="97"/>
      <c r="P12" s="97"/>
      <c r="Q12" s="97"/>
      <c r="R12" s="97"/>
      <c r="S12" s="97"/>
      <c r="T12" s="97"/>
      <c r="U12" s="97"/>
      <c r="V12" s="97"/>
      <c r="W12" s="97"/>
      <c r="X12" s="97"/>
      <c r="Y12" s="97"/>
    </row>
    <row r="13" ht="21.6" customHeight="1">
      <c r="A13" s="97"/>
      <c r="B13" s="97"/>
      <c r="C13" s="350"/>
      <c r="D13" s="350"/>
      <c r="E13" s="350"/>
      <c r="F13" s="350"/>
      <c r="G13" s="198"/>
      <c r="H13" s="97"/>
      <c r="I13" s="97"/>
      <c r="J13" s="97"/>
      <c r="K13" s="197"/>
      <c r="L13" s="308"/>
      <c r="M13" s="308"/>
      <c r="N13" s="97"/>
      <c r="O13" s="97"/>
      <c r="P13" s="97"/>
      <c r="Q13" s="97"/>
      <c r="R13" s="97"/>
      <c r="S13" s="97"/>
      <c r="T13" s="97"/>
      <c r="U13" s="97"/>
      <c r="V13" s="97"/>
      <c r="W13" s="97"/>
      <c r="X13" s="97"/>
      <c r="Y13" s="97"/>
    </row>
    <row r="14" ht="50.45" customHeight="1">
      <c r="A14" s="97"/>
      <c r="B14" s="97"/>
      <c r="C14" s="350"/>
      <c r="D14" s="350"/>
      <c r="E14" s="350"/>
      <c r="F14" s="350"/>
      <c r="G14" s="198"/>
      <c r="H14" s="97"/>
      <c r="I14" s="97"/>
      <c r="J14" s="97"/>
      <c r="K14" s="97"/>
      <c r="L14" s="97"/>
      <c r="M14" s="97"/>
      <c r="N14" s="97"/>
      <c r="O14" s="97"/>
      <c r="P14" s="97"/>
      <c r="Q14" s="97"/>
      <c r="R14" s="97"/>
      <c r="S14" s="97"/>
      <c r="T14" s="97"/>
      <c r="U14" s="97"/>
      <c r="V14" s="97"/>
      <c r="W14" s="97"/>
      <c r="X14" s="97"/>
      <c r="Y14" s="97"/>
    </row>
    <row r="15" ht="48.6" customHeight="1">
      <c r="A15" s="97"/>
      <c r="B15" s="97"/>
      <c r="C15" s="97"/>
      <c r="D15" s="97"/>
      <c r="E15" s="97"/>
      <c r="F15" s="97"/>
      <c r="G15" s="199"/>
      <c r="H15" s="97"/>
      <c r="I15" s="97"/>
      <c r="J15" s="97"/>
      <c r="K15" s="97"/>
      <c r="L15" s="97"/>
      <c r="M15" s="97"/>
      <c r="N15" s="97"/>
      <c r="O15" s="97"/>
      <c r="P15" s="97"/>
      <c r="Q15" s="97"/>
      <c r="R15" s="97"/>
      <c r="S15" s="97"/>
      <c r="T15" s="97"/>
      <c r="U15" s="97"/>
      <c r="V15" s="97"/>
      <c r="W15" s="97"/>
      <c r="X15" s="97"/>
      <c r="Y15" s="97"/>
    </row>
    <row r="16" ht="48.6" customHeight="1">
      <c r="A16" s="97"/>
      <c r="B16" s="97"/>
      <c r="C16" s="97"/>
      <c r="D16" s="97"/>
      <c r="E16" s="97"/>
      <c r="F16" s="97"/>
      <c r="G16" s="199"/>
      <c r="H16" s="97"/>
      <c r="I16" s="97"/>
      <c r="J16" s="97"/>
      <c r="K16" s="97"/>
      <c r="L16" s="97"/>
      <c r="M16" s="97"/>
      <c r="N16" s="97"/>
      <c r="O16" s="97"/>
      <c r="P16" s="97"/>
      <c r="Q16" s="97"/>
      <c r="R16" s="97"/>
      <c r="S16" s="97"/>
      <c r="T16" s="97"/>
      <c r="U16" s="97"/>
      <c r="V16" s="97"/>
      <c r="W16" s="97"/>
      <c r="X16" s="97"/>
      <c r="Y16" s="97"/>
    </row>
    <row r="17" ht="40.15" customHeight="1">
      <c r="A17" s="97"/>
      <c r="B17" s="97"/>
      <c r="C17" s="97"/>
      <c r="D17" s="97"/>
      <c r="E17" s="97"/>
      <c r="F17" s="97"/>
      <c r="G17" s="199"/>
      <c r="H17" s="97"/>
      <c r="I17" s="97"/>
      <c r="J17" s="97"/>
      <c r="K17" s="97"/>
      <c r="L17" s="97"/>
      <c r="M17" s="97"/>
      <c r="N17" s="97"/>
      <c r="O17" s="97"/>
      <c r="P17" s="97"/>
      <c r="Q17" s="97"/>
      <c r="R17" s="97"/>
      <c r="S17" s="97"/>
      <c r="T17" s="97"/>
      <c r="U17" s="97"/>
      <c r="V17" s="97"/>
      <c r="W17" s="97"/>
      <c r="X17" s="97"/>
      <c r="Y17" s="97"/>
    </row>
    <row r="18" ht="47.45" customHeight="1">
      <c r="A18" s="97"/>
      <c r="B18" s="97"/>
      <c r="C18" s="97"/>
      <c r="D18" s="97"/>
      <c r="E18" s="97"/>
      <c r="F18" s="97"/>
      <c r="G18" s="199"/>
      <c r="H18" s="97"/>
      <c r="I18" s="97"/>
      <c r="J18" s="97"/>
      <c r="K18" s="97"/>
      <c r="L18" s="97"/>
      <c r="M18" s="97"/>
      <c r="N18" s="97"/>
      <c r="O18" s="97"/>
      <c r="P18" s="97"/>
      <c r="Q18" s="97"/>
      <c r="R18" s="97"/>
      <c r="S18" s="97"/>
      <c r="T18" s="97"/>
      <c r="U18" s="97"/>
      <c r="V18" s="97"/>
      <c r="W18" s="97"/>
      <c r="X18" s="97"/>
      <c r="Y18" s="97"/>
    </row>
    <row r="19" ht="40.15" customHeight="1">
      <c r="A19" s="97"/>
      <c r="B19" s="97"/>
      <c r="C19" s="97"/>
      <c r="D19" s="97"/>
      <c r="E19" s="97"/>
      <c r="F19" s="97"/>
      <c r="G19" s="199"/>
      <c r="H19" s="97"/>
      <c r="I19" s="97"/>
      <c r="J19" s="165"/>
      <c r="K19" s="97"/>
      <c r="L19" s="97"/>
      <c r="M19" s="97"/>
      <c r="N19" s="97"/>
      <c r="O19" s="97"/>
      <c r="P19" s="97"/>
      <c r="Q19" s="97"/>
      <c r="R19" s="97"/>
      <c r="S19" s="97"/>
      <c r="T19" s="97"/>
      <c r="U19" s="97"/>
      <c r="V19" s="97"/>
      <c r="W19" s="97"/>
      <c r="X19" s="97"/>
      <c r="Y19" s="97"/>
    </row>
    <row r="20" ht="40.15" customHeight="1">
      <c r="A20" s="102"/>
      <c r="B20" s="97"/>
      <c r="C20" s="97"/>
      <c r="D20" s="97"/>
      <c r="E20" s="97"/>
      <c r="F20" s="97"/>
      <c r="G20" s="199"/>
      <c r="H20" s="97"/>
      <c r="I20" s="97"/>
      <c r="J20" s="97"/>
      <c r="K20" s="97"/>
      <c r="L20" s="97"/>
      <c r="M20" s="97"/>
      <c r="N20" s="97"/>
      <c r="O20" s="97"/>
      <c r="P20" s="97"/>
      <c r="Q20" s="97"/>
      <c r="R20" s="97"/>
      <c r="S20" s="97"/>
      <c r="T20" s="97"/>
      <c r="U20" s="97"/>
      <c r="V20" s="97"/>
      <c r="W20" s="97"/>
      <c r="X20" s="97"/>
      <c r="Y20" s="97"/>
    </row>
    <row r="21" ht="40.15" customHeight="1">
      <c r="A21" s="102"/>
      <c r="B21" s="97"/>
      <c r="C21" s="97"/>
      <c r="D21" s="97"/>
      <c r="E21" s="97"/>
      <c r="F21" s="97"/>
      <c r="G21" s="199"/>
      <c r="H21" s="97"/>
      <c r="I21" s="97"/>
      <c r="J21" s="97"/>
      <c r="K21" s="97"/>
      <c r="L21" s="97"/>
      <c r="M21" s="97"/>
      <c r="N21" s="97"/>
      <c r="O21" s="97"/>
      <c r="P21" s="97"/>
      <c r="Q21" s="97"/>
      <c r="R21" s="97"/>
      <c r="S21" s="97"/>
      <c r="T21" s="97"/>
      <c r="U21" s="97"/>
      <c r="V21" s="97"/>
      <c r="W21" s="97"/>
      <c r="X21" s="97"/>
      <c r="Y21" s="97"/>
    </row>
    <row r="22" ht="40.15" customHeight="1">
      <c r="A22" s="102"/>
      <c r="B22" s="97"/>
      <c r="C22" s="97"/>
      <c r="D22" s="97"/>
      <c r="E22" s="97"/>
      <c r="F22" s="97"/>
      <c r="G22" s="199"/>
      <c r="H22" s="97"/>
      <c r="I22" s="97"/>
      <c r="J22" s="97"/>
      <c r="K22" s="97"/>
      <c r="L22" s="97"/>
      <c r="M22" s="97"/>
      <c r="N22" s="97"/>
      <c r="O22" s="97"/>
      <c r="P22" s="97"/>
      <c r="Q22" s="97"/>
      <c r="R22" s="97"/>
      <c r="S22" s="97"/>
      <c r="T22" s="97"/>
      <c r="U22" s="97"/>
      <c r="V22" s="97"/>
      <c r="W22" s="97"/>
      <c r="X22" s="97"/>
      <c r="Y22" s="97"/>
    </row>
    <row r="23" ht="40.15" customHeight="1">
      <c r="A23" s="97"/>
      <c r="B23" s="97"/>
      <c r="C23" s="97"/>
      <c r="D23" s="97"/>
      <c r="E23" s="97"/>
      <c r="F23" s="97"/>
      <c r="G23" s="199"/>
      <c r="H23" s="97"/>
      <c r="I23" s="97"/>
      <c r="J23" s="97"/>
      <c r="K23" s="97"/>
      <c r="L23" s="97"/>
      <c r="M23" s="97"/>
      <c r="N23" s="97"/>
      <c r="O23" s="97"/>
      <c r="P23" s="97"/>
      <c r="Q23" s="97"/>
      <c r="R23" s="97"/>
      <c r="S23" s="97"/>
      <c r="T23" s="97"/>
      <c r="U23" s="97"/>
      <c r="V23" s="97"/>
      <c r="W23" s="97"/>
      <c r="X23" s="97"/>
      <c r="Y23" s="97"/>
    </row>
    <row r="24" ht="40.15" customHeight="1">
      <c r="A24" s="97"/>
      <c r="B24" s="97"/>
      <c r="C24" s="97"/>
      <c r="D24" s="97"/>
      <c r="E24" s="97"/>
      <c r="F24" s="97"/>
      <c r="G24" s="199"/>
      <c r="H24" s="97"/>
      <c r="I24" s="97"/>
      <c r="J24" s="97"/>
      <c r="K24" s="97"/>
      <c r="L24" s="97"/>
      <c r="M24" s="97"/>
      <c r="N24" s="97"/>
      <c r="O24" s="97"/>
      <c r="P24" s="97"/>
      <c r="Q24" s="97"/>
      <c r="R24" s="97"/>
      <c r="S24" s="97"/>
      <c r="T24" s="97"/>
      <c r="U24" s="97"/>
      <c r="V24" s="97"/>
      <c r="W24" s="97"/>
      <c r="X24" s="97"/>
      <c r="Y24" s="97"/>
    </row>
    <row r="25" ht="40.15" customHeight="1">
      <c r="A25" s="97"/>
      <c r="B25" s="97"/>
      <c r="C25" s="97"/>
      <c r="D25" s="97"/>
      <c r="E25" s="97"/>
      <c r="F25" s="97"/>
      <c r="G25" s="199"/>
      <c r="H25" s="97"/>
      <c r="I25" s="97"/>
      <c r="J25" s="97"/>
      <c r="K25" s="97"/>
      <c r="L25" s="97"/>
      <c r="M25" s="97"/>
      <c r="N25" s="97"/>
      <c r="O25" s="97"/>
      <c r="P25" s="97"/>
      <c r="Q25" s="97"/>
      <c r="R25" s="97"/>
      <c r="S25" s="97"/>
      <c r="T25" s="97"/>
      <c r="U25" s="97"/>
      <c r="V25" s="97"/>
      <c r="W25" s="97"/>
      <c r="X25" s="97"/>
      <c r="Y25" s="97"/>
    </row>
    <row r="26" ht="40.15" customHeight="1">
      <c r="A26" s="97"/>
      <c r="B26" s="97"/>
      <c r="C26" s="97"/>
      <c r="D26" s="97"/>
      <c r="E26" s="97"/>
      <c r="F26" s="97"/>
      <c r="G26" s="199"/>
      <c r="H26" s="97"/>
      <c r="I26" s="97"/>
      <c r="J26" s="97"/>
      <c r="K26" s="97"/>
      <c r="L26" s="97"/>
      <c r="M26" s="97"/>
      <c r="N26" s="97"/>
      <c r="O26" s="97"/>
      <c r="P26" s="97"/>
      <c r="Q26" s="97"/>
      <c r="R26" s="97"/>
      <c r="S26" s="97"/>
      <c r="T26" s="97"/>
      <c r="U26" s="97"/>
      <c r="V26" s="97"/>
      <c r="W26" s="97"/>
      <c r="X26" s="97"/>
      <c r="Y26" s="97"/>
    </row>
    <row r="27" ht="40.15" customHeight="1">
      <c r="A27" s="97"/>
      <c r="B27" s="97"/>
      <c r="C27" s="97"/>
      <c r="D27" s="97"/>
      <c r="E27" s="97"/>
      <c r="F27" s="97"/>
      <c r="G27" s="199"/>
      <c r="H27" s="97"/>
      <c r="I27" s="97"/>
      <c r="J27" s="97"/>
      <c r="K27" s="97"/>
      <c r="L27" s="97"/>
      <c r="M27" s="97"/>
      <c r="N27" s="97"/>
      <c r="O27" s="97"/>
      <c r="P27" s="97"/>
      <c r="Q27" s="97"/>
      <c r="R27" s="97"/>
      <c r="S27" s="97"/>
      <c r="T27" s="97"/>
      <c r="U27" s="97"/>
      <c r="V27" s="97"/>
      <c r="W27" s="97"/>
      <c r="X27" s="97"/>
      <c r="Y27" s="97"/>
    </row>
    <row r="28" ht="40.15" customHeight="1">
      <c r="A28" s="97"/>
      <c r="B28" s="97"/>
      <c r="C28" s="97"/>
      <c r="D28" s="97"/>
      <c r="E28" s="97"/>
      <c r="F28" s="97"/>
      <c r="G28" s="199"/>
      <c r="H28" s="97"/>
      <c r="I28" s="97"/>
      <c r="J28" s="97"/>
      <c r="K28" s="97"/>
      <c r="L28" s="97"/>
      <c r="M28" s="97"/>
      <c r="N28" s="97"/>
      <c r="O28" s="97"/>
      <c r="P28" s="97"/>
      <c r="Q28" s="97"/>
      <c r="R28" s="97"/>
      <c r="S28" s="97"/>
      <c r="T28" s="97"/>
      <c r="U28" s="97"/>
      <c r="V28" s="97"/>
      <c r="W28" s="97"/>
      <c r="X28" s="97"/>
      <c r="Y28" s="97"/>
    </row>
    <row r="29" ht="40.15" customHeight="1">
      <c r="A29" s="97"/>
      <c r="B29" s="97"/>
      <c r="C29" s="97"/>
      <c r="D29" s="97"/>
      <c r="E29" s="97"/>
      <c r="F29" s="97"/>
      <c r="G29" s="199"/>
      <c r="H29" s="97"/>
      <c r="I29" s="97"/>
      <c r="J29" s="97"/>
      <c r="K29" s="97"/>
      <c r="L29" s="97"/>
      <c r="M29" s="97"/>
      <c r="N29" s="97"/>
      <c r="O29" s="97"/>
      <c r="P29" s="97"/>
      <c r="Q29" s="97"/>
      <c r="R29" s="97"/>
      <c r="S29" s="97"/>
      <c r="T29" s="97"/>
      <c r="U29" s="97"/>
      <c r="V29" s="97"/>
      <c r="W29" s="97"/>
      <c r="X29" s="97"/>
      <c r="Y29" s="97"/>
    </row>
    <row r="30" ht="40.15" customHeight="1">
      <c r="A30" s="97"/>
      <c r="B30" s="97"/>
      <c r="C30" s="97"/>
      <c r="D30" s="97"/>
      <c r="E30" s="97"/>
      <c r="F30" s="97"/>
      <c r="G30" s="199"/>
      <c r="H30" s="97"/>
      <c r="I30" s="97"/>
      <c r="J30" s="97"/>
      <c r="K30" s="97"/>
      <c r="L30" s="97"/>
      <c r="M30" s="97"/>
      <c r="N30" s="60"/>
      <c r="O30" s="97"/>
      <c r="P30" s="97"/>
      <c r="Q30" s="97"/>
      <c r="R30" s="97"/>
      <c r="S30" s="97"/>
      <c r="T30" s="97"/>
      <c r="U30" s="97"/>
      <c r="V30" s="97"/>
      <c r="W30" s="97"/>
      <c r="X30" s="97"/>
      <c r="Y30" s="97"/>
    </row>
    <row r="31" ht="40.15" customHeight="1">
      <c r="A31" s="97"/>
      <c r="B31" s="97"/>
      <c r="C31" s="97"/>
      <c r="D31" s="97"/>
      <c r="E31" s="97"/>
      <c r="F31" s="97"/>
      <c r="G31" s="199"/>
      <c r="H31" s="97"/>
      <c r="I31" s="97"/>
      <c r="J31" s="97"/>
      <c r="K31" s="97"/>
      <c r="L31" s="97"/>
      <c r="M31" s="97"/>
      <c r="N31" s="60"/>
      <c r="O31" s="97"/>
      <c r="P31" s="97"/>
      <c r="Q31" s="97"/>
      <c r="R31" s="97"/>
      <c r="S31" s="97"/>
      <c r="T31" s="97"/>
      <c r="U31" s="97"/>
      <c r="V31" s="97"/>
      <c r="W31" s="97"/>
      <c r="X31" s="97"/>
      <c r="Y31" s="97"/>
    </row>
    <row r="32" ht="40.15" customHeight="1">
      <c r="A32" s="97"/>
      <c r="B32" s="97"/>
      <c r="C32" s="97"/>
      <c r="D32" s="97"/>
      <c r="E32" s="97"/>
      <c r="F32" s="97"/>
      <c r="G32" s="199"/>
      <c r="H32" s="97"/>
      <c r="I32" s="97"/>
      <c r="J32" s="97"/>
      <c r="K32" s="97"/>
      <c r="L32" s="97"/>
      <c r="M32" s="97"/>
      <c r="N32" s="60"/>
      <c r="O32" s="97"/>
      <c r="P32" s="97"/>
      <c r="Q32" s="97"/>
      <c r="R32" s="97"/>
      <c r="S32" s="97"/>
      <c r="T32" s="97"/>
      <c r="U32" s="97"/>
      <c r="V32" s="97"/>
      <c r="W32" s="97"/>
      <c r="X32" s="97"/>
      <c r="Y32" s="97"/>
    </row>
    <row r="33" ht="40.15" customHeight="1">
      <c r="A33" s="97"/>
      <c r="B33" s="97"/>
      <c r="C33" s="97"/>
      <c r="D33" s="97"/>
      <c r="E33" s="97"/>
      <c r="F33" s="97"/>
      <c r="G33" s="199"/>
      <c r="H33" s="97"/>
      <c r="I33" s="97"/>
      <c r="J33" s="97"/>
      <c r="K33" s="97"/>
      <c r="L33" s="97"/>
      <c r="M33" s="97"/>
      <c r="N33" s="60"/>
      <c r="O33" s="97"/>
      <c r="P33" s="97"/>
      <c r="Q33" s="97"/>
      <c r="R33" s="97"/>
      <c r="S33" s="97"/>
      <c r="T33" s="97"/>
      <c r="U33" s="97"/>
      <c r="V33" s="97"/>
      <c r="W33" s="97"/>
      <c r="X33" s="97"/>
      <c r="Y33" s="97"/>
    </row>
    <row r="34" ht="40.15" customHeight="1">
      <c r="A34" s="97"/>
      <c r="B34" s="97"/>
      <c r="C34" s="97"/>
      <c r="D34" s="97"/>
      <c r="E34" s="97"/>
      <c r="F34" s="97"/>
      <c r="G34" s="199"/>
      <c r="H34" s="97"/>
      <c r="I34" s="97"/>
      <c r="J34" s="97"/>
      <c r="K34" s="97"/>
      <c r="L34" s="97"/>
      <c r="M34" s="97"/>
      <c r="N34" s="60"/>
      <c r="O34" s="97"/>
      <c r="P34" s="97"/>
      <c r="Q34" s="97"/>
      <c r="R34" s="97"/>
      <c r="S34" s="97"/>
      <c r="T34" s="97"/>
      <c r="U34" s="97"/>
      <c r="V34" s="97"/>
      <c r="W34" s="97"/>
      <c r="X34" s="97"/>
      <c r="Y34" s="97"/>
    </row>
    <row r="35" ht="40.15" customHeight="1">
      <c r="A35" s="97"/>
      <c r="B35" s="97"/>
      <c r="C35" s="97"/>
      <c r="D35" s="97"/>
      <c r="E35" s="97"/>
      <c r="F35" s="97"/>
      <c r="G35" s="199"/>
      <c r="H35" s="97"/>
      <c r="I35" s="97"/>
      <c r="J35" s="97"/>
      <c r="K35" s="97"/>
      <c r="L35" s="97"/>
      <c r="M35" s="97"/>
      <c r="N35" s="60"/>
      <c r="O35" s="60"/>
      <c r="P35" s="60"/>
      <c r="Q35" s="60"/>
      <c r="R35" s="60"/>
      <c r="S35" s="60"/>
      <c r="T35" s="60"/>
      <c r="U35" s="60"/>
      <c r="V35" s="60"/>
      <c r="W35" s="60"/>
      <c r="Y35" s="97"/>
    </row>
    <row r="36" ht="40.15" customHeight="1">
      <c r="A36" s="97"/>
      <c r="B36" s="97"/>
      <c r="C36" s="97"/>
      <c r="D36" s="97"/>
      <c r="E36" s="97"/>
      <c r="F36" s="97"/>
      <c r="G36" s="199"/>
      <c r="H36" s="97"/>
      <c r="I36" s="97"/>
      <c r="J36" s="97"/>
      <c r="K36" s="60"/>
      <c r="L36" s="60"/>
      <c r="M36" s="60"/>
      <c r="N36" s="60"/>
      <c r="O36" s="60"/>
      <c r="P36" s="60"/>
      <c r="Q36" s="60"/>
      <c r="R36" s="60"/>
      <c r="S36" s="60"/>
      <c r="T36" s="60"/>
      <c r="U36" s="60"/>
      <c r="V36" s="60"/>
      <c r="W36" s="60"/>
      <c r="Y36" s="97"/>
    </row>
    <row r="37" ht="40.15" customHeight="1">
      <c r="A37" s="97"/>
      <c r="B37" s="97"/>
      <c r="C37" s="97"/>
      <c r="D37" s="97"/>
      <c r="E37" s="97"/>
      <c r="F37" s="97"/>
      <c r="G37" s="199"/>
      <c r="H37" s="97"/>
      <c r="I37" s="97"/>
      <c r="J37" s="97"/>
      <c r="K37" s="60"/>
      <c r="L37" s="60"/>
      <c r="M37" s="60"/>
      <c r="N37" s="60"/>
      <c r="O37" s="60"/>
      <c r="P37" s="60"/>
      <c r="Q37" s="60"/>
      <c r="R37" s="60"/>
      <c r="S37" s="60"/>
      <c r="T37" s="60"/>
      <c r="U37" s="60"/>
      <c r="V37" s="60"/>
      <c r="W37" s="60"/>
      <c r="Y37" s="97"/>
    </row>
    <row r="38" ht="40.15" customHeight="1">
      <c r="A38" s="97"/>
      <c r="B38" s="61"/>
      <c r="C38" s="61"/>
      <c r="D38" s="61"/>
      <c r="E38" s="61"/>
      <c r="F38" s="61"/>
      <c r="G38" s="70"/>
      <c r="H38" s="97"/>
      <c r="I38" s="97"/>
      <c r="J38" s="97"/>
      <c r="K38" s="60"/>
      <c r="L38" s="60"/>
      <c r="M38" s="60"/>
      <c r="N38" s="60"/>
      <c r="O38" s="60"/>
      <c r="P38" s="60"/>
      <c r="Q38" s="60"/>
      <c r="R38" s="60"/>
      <c r="S38" s="60"/>
      <c r="T38" s="60"/>
      <c r="U38" s="60"/>
      <c r="V38" s="60"/>
      <c r="W38" s="60"/>
      <c r="Y38" s="97"/>
    </row>
    <row r="39" ht="40.15" customHeight="1">
      <c r="A39" s="97"/>
      <c r="B39" s="61"/>
      <c r="C39" s="61"/>
      <c r="D39" s="61"/>
      <c r="E39" s="61"/>
      <c r="F39" s="61"/>
      <c r="G39" s="70"/>
      <c r="H39" s="97"/>
      <c r="I39" s="97"/>
      <c r="J39" s="97"/>
      <c r="K39" s="60"/>
      <c r="L39" s="60"/>
      <c r="M39" s="60"/>
      <c r="N39" s="60"/>
      <c r="O39" s="60"/>
      <c r="P39" s="60"/>
      <c r="Q39" s="60"/>
      <c r="R39" s="60"/>
      <c r="S39" s="60"/>
      <c r="T39" s="60"/>
      <c r="U39" s="60"/>
      <c r="V39" s="60"/>
      <c r="W39" s="60"/>
      <c r="Y39" s="97"/>
    </row>
    <row r="40" ht="40.15" customHeight="1">
      <c r="A40" s="97"/>
      <c r="B40" s="61"/>
      <c r="C40" s="61"/>
      <c r="D40" s="61"/>
      <c r="E40" s="61"/>
      <c r="F40" s="61"/>
      <c r="G40" s="70"/>
      <c r="H40" s="97"/>
      <c r="I40" s="97"/>
      <c r="J40" s="97"/>
      <c r="K40" s="60"/>
      <c r="L40" s="60"/>
      <c r="M40" s="60"/>
      <c r="N40" s="60"/>
      <c r="O40" s="60"/>
      <c r="P40" s="60"/>
      <c r="Q40" s="60"/>
      <c r="R40" s="60"/>
      <c r="S40" s="60"/>
      <c r="T40" s="60"/>
      <c r="U40" s="60"/>
      <c r="V40" s="60"/>
      <c r="W40" s="60"/>
      <c r="Y40" s="97"/>
    </row>
    <row r="41" ht="40.15" customHeight="1">
      <c r="A41" s="97"/>
      <c r="B41" s="61"/>
      <c r="C41" s="61"/>
      <c r="D41" s="61"/>
      <c r="E41" s="61"/>
      <c r="F41" s="61"/>
      <c r="G41" s="70"/>
      <c r="H41" s="97"/>
      <c r="I41" s="97"/>
      <c r="J41" s="97"/>
      <c r="K41" s="60"/>
      <c r="L41" s="60"/>
      <c r="M41" s="60"/>
      <c r="N41" s="60"/>
      <c r="O41" s="60"/>
      <c r="P41" s="60"/>
      <c r="Q41" s="60"/>
      <c r="R41" s="60"/>
      <c r="S41" s="60"/>
      <c r="T41" s="60"/>
      <c r="U41" s="60"/>
      <c r="V41" s="60"/>
      <c r="W41" s="60"/>
      <c r="Y41" s="97"/>
    </row>
    <row r="42" ht="40.15" customHeight="1">
      <c r="A42" s="97"/>
      <c r="B42" s="61"/>
      <c r="C42" s="61"/>
      <c r="D42" s="61"/>
      <c r="E42" s="61"/>
      <c r="F42" s="61"/>
      <c r="G42" s="70"/>
      <c r="H42" s="97"/>
      <c r="I42" s="97"/>
      <c r="J42" s="97"/>
      <c r="K42" s="60"/>
      <c r="L42" s="60"/>
      <c r="M42" s="60"/>
      <c r="N42" s="60"/>
      <c r="O42" s="60"/>
      <c r="P42" s="60"/>
      <c r="Q42" s="60"/>
      <c r="R42" s="60"/>
      <c r="S42" s="60"/>
      <c r="T42" s="60"/>
      <c r="U42" s="60"/>
      <c r="V42" s="60"/>
      <c r="W42" s="60"/>
      <c r="Y42" s="97"/>
    </row>
    <row r="43" ht="40.15" customHeight="1">
      <c r="A43" s="97"/>
      <c r="B43" s="61"/>
      <c r="C43" s="61"/>
      <c r="D43" s="61"/>
      <c r="E43" s="61"/>
      <c r="F43" s="61"/>
      <c r="G43" s="70"/>
      <c r="H43" s="97"/>
      <c r="I43" s="97"/>
      <c r="J43" s="97"/>
      <c r="K43" s="60"/>
      <c r="L43" s="60"/>
      <c r="M43" s="60"/>
      <c r="N43" s="60"/>
      <c r="O43" s="60"/>
      <c r="P43" s="60"/>
      <c r="Q43" s="60"/>
      <c r="R43" s="60"/>
      <c r="S43" s="60"/>
      <c r="T43" s="60"/>
      <c r="U43" s="60"/>
      <c r="V43" s="60"/>
      <c r="W43" s="60"/>
      <c r="Y43" s="97"/>
    </row>
    <row r="44" ht="40.15" customHeight="1">
      <c r="A44" s="97"/>
      <c r="B44" s="61"/>
      <c r="C44" s="61"/>
      <c r="D44" s="61"/>
      <c r="E44" s="61"/>
      <c r="F44" s="61"/>
      <c r="G44" s="70"/>
      <c r="H44" s="97"/>
      <c r="I44" s="97"/>
      <c r="J44" s="97"/>
      <c r="K44" s="60"/>
      <c r="L44" s="60"/>
      <c r="M44" s="60"/>
      <c r="N44" s="60"/>
      <c r="O44" s="60"/>
      <c r="P44" s="60"/>
      <c r="Q44" s="60"/>
      <c r="R44" s="60"/>
      <c r="S44" s="60"/>
      <c r="T44" s="60"/>
      <c r="U44" s="60"/>
      <c r="V44" s="60"/>
      <c r="W44" s="60"/>
    </row>
    <row r="45" ht="40.15" customHeight="1">
      <c r="A45" s="97"/>
      <c r="B45" s="61"/>
      <c r="C45" s="61"/>
      <c r="D45" s="61"/>
      <c r="E45" s="61"/>
      <c r="F45" s="61"/>
      <c r="G45" s="70"/>
      <c r="H45" s="97"/>
      <c r="I45" s="97"/>
      <c r="J45" s="97"/>
      <c r="K45" s="60"/>
      <c r="L45" s="60"/>
      <c r="M45" s="60"/>
      <c r="N45" s="60"/>
      <c r="O45" s="60"/>
      <c r="P45" s="60"/>
      <c r="Q45" s="60"/>
      <c r="R45" s="60"/>
      <c r="S45" s="60"/>
      <c r="T45" s="60"/>
      <c r="U45" s="60"/>
      <c r="V45" s="60"/>
      <c r="W45" s="60"/>
    </row>
    <row r="46" ht="40.15" customHeight="1">
      <c r="A46" s="97"/>
      <c r="B46" s="61"/>
      <c r="C46" s="61"/>
      <c r="D46" s="61"/>
      <c r="E46" s="61"/>
      <c r="F46" s="61"/>
      <c r="G46" s="70"/>
      <c r="H46" s="97"/>
      <c r="I46" s="97"/>
      <c r="J46" s="97"/>
      <c r="K46" s="60"/>
      <c r="L46" s="60"/>
      <c r="M46" s="60"/>
      <c r="N46" s="60"/>
      <c r="O46" s="60"/>
      <c r="P46" s="60"/>
      <c r="Q46" s="60"/>
      <c r="R46" s="60"/>
      <c r="S46" s="60"/>
      <c r="T46" s="60"/>
      <c r="U46" s="60"/>
      <c r="V46" s="60"/>
      <c r="W46" s="60"/>
    </row>
    <row r="47" ht="40.15" customHeight="1">
      <c r="A47" s="97"/>
      <c r="B47" s="61"/>
      <c r="C47" s="61"/>
      <c r="D47" s="61"/>
      <c r="E47" s="61"/>
      <c r="F47" s="61"/>
      <c r="G47" s="70"/>
      <c r="H47" s="97"/>
      <c r="I47" s="97"/>
      <c r="J47" s="97"/>
      <c r="K47" s="60"/>
      <c r="L47" s="60"/>
      <c r="M47" s="60"/>
      <c r="N47" s="60"/>
      <c r="O47" s="60"/>
      <c r="P47" s="60"/>
      <c r="Q47" s="60"/>
      <c r="R47" s="60"/>
      <c r="S47" s="60"/>
      <c r="T47" s="60"/>
      <c r="U47" s="60"/>
      <c r="V47" s="60"/>
      <c r="W47" s="60"/>
    </row>
    <row r="48" ht="40.15" customHeight="1">
      <c r="A48" s="97"/>
      <c r="B48" s="61"/>
      <c r="C48" s="61"/>
      <c r="D48" s="61"/>
      <c r="E48" s="61"/>
      <c r="F48" s="61"/>
      <c r="G48" s="70"/>
      <c r="H48" s="97"/>
      <c r="I48" s="97"/>
      <c r="J48" s="97"/>
      <c r="K48" s="60"/>
      <c r="L48" s="60"/>
      <c r="M48" s="60"/>
      <c r="N48" s="60"/>
      <c r="O48" s="60"/>
      <c r="P48" s="60"/>
      <c r="Q48" s="60"/>
      <c r="R48" s="60"/>
      <c r="S48" s="60"/>
      <c r="T48" s="60"/>
      <c r="U48" s="60"/>
      <c r="V48" s="60"/>
      <c r="W48" s="60"/>
    </row>
    <row r="49" ht="40.15" customHeight="1">
      <c r="A49" s="97"/>
      <c r="B49" s="61"/>
      <c r="C49" s="61"/>
      <c r="D49" s="61"/>
      <c r="E49" s="61"/>
      <c r="F49" s="61"/>
      <c r="G49" s="70"/>
      <c r="H49" s="60"/>
      <c r="I49" s="60"/>
      <c r="J49" s="97"/>
      <c r="K49" s="60"/>
      <c r="L49" s="60"/>
      <c r="M49" s="60"/>
      <c r="N49" s="60"/>
      <c r="O49" s="60"/>
      <c r="P49" s="60"/>
      <c r="Q49" s="60"/>
      <c r="R49" s="60"/>
      <c r="S49" s="60"/>
      <c r="T49" s="60"/>
      <c r="U49" s="60"/>
      <c r="V49" s="60"/>
      <c r="W49" s="60"/>
    </row>
    <row r="50" ht="40.15" customHeight="1">
      <c r="A50" s="97"/>
      <c r="B50" s="61"/>
      <c r="C50" s="61"/>
      <c r="D50" s="61"/>
      <c r="E50" s="61"/>
      <c r="F50" s="61"/>
      <c r="G50" s="70"/>
      <c r="H50" s="60"/>
      <c r="I50" s="60"/>
      <c r="J50" s="97"/>
      <c r="K50" s="60"/>
      <c r="L50" s="60"/>
      <c r="M50" s="60"/>
      <c r="N50" s="60"/>
      <c r="O50" s="60"/>
      <c r="P50" s="60"/>
      <c r="Q50" s="60"/>
      <c r="R50" s="60"/>
      <c r="S50" s="60"/>
      <c r="T50" s="60"/>
      <c r="U50" s="60"/>
      <c r="V50" s="60"/>
      <c r="W50" s="60"/>
    </row>
    <row r="51" ht="40.15" customHeight="1">
      <c r="A51" s="97"/>
      <c r="B51" s="61"/>
      <c r="C51" s="61"/>
      <c r="D51" s="61"/>
      <c r="E51" s="61"/>
      <c r="F51" s="61"/>
      <c r="G51" s="70"/>
      <c r="H51" s="60"/>
      <c r="I51" s="60"/>
      <c r="J51" s="97"/>
      <c r="K51" s="60"/>
      <c r="L51" s="60"/>
      <c r="M51" s="60"/>
      <c r="N51" s="60"/>
      <c r="O51" s="60"/>
      <c r="P51" s="60"/>
      <c r="Q51" s="60"/>
      <c r="R51" s="60"/>
      <c r="S51" s="60"/>
      <c r="T51" s="60"/>
      <c r="U51" s="60"/>
      <c r="V51" s="60"/>
      <c r="W51" s="60"/>
    </row>
    <row r="52" ht="40.15" customHeight="1">
      <c r="A52" s="97"/>
      <c r="B52" s="61"/>
      <c r="C52" s="61"/>
      <c r="D52" s="61"/>
      <c r="E52" s="61"/>
      <c r="F52" s="61"/>
      <c r="G52" s="70"/>
      <c r="H52" s="60"/>
      <c r="I52" s="60"/>
      <c r="J52" s="97"/>
      <c r="K52" s="60"/>
      <c r="L52" s="60"/>
      <c r="M52" s="60"/>
      <c r="N52" s="60"/>
      <c r="O52" s="60"/>
      <c r="P52" s="60"/>
      <c r="Q52" s="60"/>
      <c r="R52" s="60"/>
      <c r="S52" s="60"/>
      <c r="T52" s="60"/>
      <c r="U52" s="60"/>
      <c r="V52" s="60"/>
      <c r="W52" s="60"/>
    </row>
    <row r="53" ht="40.15" customHeight="1">
      <c r="A53" s="97"/>
      <c r="B53" s="61"/>
      <c r="C53" s="61"/>
      <c r="D53" s="61"/>
      <c r="E53" s="61"/>
      <c r="F53" s="61"/>
      <c r="G53" s="70"/>
      <c r="H53" s="60"/>
      <c r="I53" s="60"/>
      <c r="J53" s="97"/>
      <c r="K53" s="60"/>
      <c r="L53" s="60"/>
      <c r="M53" s="60"/>
      <c r="N53" s="60"/>
      <c r="O53" s="60"/>
      <c r="P53" s="60"/>
      <c r="Q53" s="60"/>
      <c r="R53" s="60"/>
      <c r="S53" s="60"/>
      <c r="T53" s="60"/>
      <c r="U53" s="60"/>
      <c r="V53" s="60"/>
      <c r="W53" s="60"/>
    </row>
    <row r="54" ht="40.15" customHeight="1">
      <c r="A54" s="97"/>
      <c r="B54" s="61"/>
      <c r="C54" s="61"/>
      <c r="D54" s="61"/>
      <c r="E54" s="61"/>
      <c r="F54" s="61"/>
      <c r="G54" s="70"/>
      <c r="H54" s="60"/>
      <c r="I54" s="60"/>
      <c r="J54" s="97"/>
      <c r="K54" s="60"/>
      <c r="L54" s="60"/>
      <c r="M54" s="60"/>
      <c r="N54" s="60"/>
      <c r="O54" s="60"/>
      <c r="P54" s="60"/>
      <c r="Q54" s="60"/>
      <c r="R54" s="60"/>
      <c r="S54" s="60"/>
      <c r="T54" s="60"/>
      <c r="U54" s="60"/>
      <c r="V54" s="60"/>
      <c r="W54" s="60"/>
    </row>
    <row r="55" ht="40.15" customHeight="1">
      <c r="A55" s="60"/>
      <c r="B55" s="61"/>
      <c r="C55" s="61"/>
      <c r="D55" s="61"/>
      <c r="E55" s="61"/>
      <c r="F55" s="61"/>
      <c r="G55" s="70"/>
      <c r="H55" s="60"/>
      <c r="I55" s="60"/>
      <c r="J55" s="60"/>
      <c r="K55" s="60"/>
      <c r="L55" s="60"/>
      <c r="M55" s="60"/>
      <c r="N55" s="60"/>
      <c r="O55" s="60"/>
      <c r="P55" s="60"/>
      <c r="Q55" s="60"/>
      <c r="R55" s="60"/>
      <c r="S55" s="60"/>
      <c r="T55" s="60"/>
      <c r="U55" s="60"/>
      <c r="V55" s="60"/>
      <c r="W55" s="60"/>
    </row>
    <row r="56" ht="40.15" customHeight="1">
      <c r="A56" s="60"/>
      <c r="B56" s="61"/>
      <c r="C56" s="61"/>
      <c r="D56" s="61"/>
      <c r="E56" s="61"/>
      <c r="F56" s="61"/>
      <c r="G56" s="70"/>
      <c r="H56" s="60"/>
      <c r="I56" s="60"/>
      <c r="J56" s="60"/>
      <c r="K56" s="60"/>
      <c r="L56" s="60"/>
      <c r="M56" s="60"/>
      <c r="N56" s="60"/>
      <c r="O56" s="60"/>
      <c r="P56" s="60"/>
      <c r="Q56" s="60"/>
      <c r="R56" s="60"/>
      <c r="S56" s="60"/>
      <c r="T56" s="60"/>
      <c r="U56" s="60"/>
      <c r="V56" s="60"/>
      <c r="W56" s="60"/>
    </row>
    <row r="57" ht="40.15" customHeight="1">
      <c r="A57" s="60"/>
      <c r="B57" s="61"/>
      <c r="C57" s="61"/>
      <c r="D57" s="61"/>
      <c r="E57" s="61"/>
      <c r="F57" s="61"/>
      <c r="G57" s="70"/>
      <c r="H57" s="60"/>
      <c r="I57" s="60"/>
      <c r="J57" s="60"/>
      <c r="K57" s="60"/>
      <c r="L57" s="60"/>
      <c r="M57" s="60"/>
      <c r="N57" s="60"/>
      <c r="O57" s="60"/>
      <c r="P57" s="60"/>
      <c r="Q57" s="60"/>
      <c r="R57" s="60"/>
      <c r="S57" s="60"/>
      <c r="T57" s="60"/>
      <c r="U57" s="60"/>
      <c r="V57" s="60"/>
      <c r="W57" s="60"/>
    </row>
    <row r="58" ht="40.15" customHeight="1">
      <c r="A58" s="60"/>
      <c r="B58" s="61"/>
      <c r="C58" s="61"/>
      <c r="D58" s="61"/>
      <c r="E58" s="61"/>
      <c r="F58" s="61"/>
      <c r="G58" s="70"/>
      <c r="H58" s="60"/>
      <c r="I58" s="60"/>
      <c r="J58" s="60"/>
      <c r="K58" s="60"/>
      <c r="L58" s="60"/>
      <c r="M58" s="60"/>
      <c r="N58" s="60"/>
      <c r="O58" s="60"/>
      <c r="P58" s="60"/>
      <c r="Q58" s="60"/>
      <c r="R58" s="60"/>
      <c r="S58" s="60"/>
      <c r="T58" s="60"/>
      <c r="U58" s="60"/>
      <c r="V58" s="60"/>
      <c r="W58" s="60"/>
    </row>
    <row r="59" ht="40.15" customHeight="1">
      <c r="A59" s="60"/>
      <c r="B59" s="61"/>
      <c r="C59" s="61"/>
      <c r="D59" s="61"/>
      <c r="E59" s="61"/>
      <c r="F59" s="61"/>
      <c r="G59" s="70"/>
      <c r="H59" s="60"/>
      <c r="I59" s="60"/>
      <c r="J59" s="60"/>
      <c r="K59" s="60"/>
      <c r="L59" s="60"/>
      <c r="M59" s="60"/>
      <c r="N59" s="60"/>
      <c r="O59" s="60"/>
      <c r="P59" s="60"/>
      <c r="Q59" s="60"/>
      <c r="R59" s="60"/>
      <c r="S59" s="60"/>
      <c r="T59" s="60"/>
      <c r="U59" s="60"/>
      <c r="V59" s="60"/>
      <c r="W59" s="60"/>
    </row>
    <row r="60" ht="40.15" customHeight="1">
      <c r="A60" s="60"/>
      <c r="B60" s="61"/>
      <c r="C60" s="61"/>
      <c r="D60" s="61"/>
      <c r="E60" s="61"/>
      <c r="F60" s="61"/>
      <c r="G60" s="70"/>
      <c r="H60" s="60"/>
      <c r="I60" s="60"/>
      <c r="J60" s="60"/>
      <c r="K60" s="60"/>
      <c r="L60" s="60"/>
      <c r="M60" s="60"/>
      <c r="N60" s="60"/>
      <c r="O60" s="60"/>
      <c r="P60" s="60"/>
      <c r="Q60" s="60"/>
      <c r="R60" s="60"/>
      <c r="S60" s="60"/>
      <c r="T60" s="60"/>
      <c r="U60" s="60"/>
      <c r="V60" s="60"/>
      <c r="W60" s="60"/>
    </row>
    <row r="61" ht="40.15" customHeight="1">
      <c r="A61" s="60"/>
      <c r="B61" s="61"/>
      <c r="C61" s="61"/>
      <c r="D61" s="61"/>
      <c r="E61" s="61"/>
      <c r="F61" s="61"/>
      <c r="G61" s="70"/>
      <c r="H61" s="60"/>
      <c r="I61" s="60"/>
      <c r="J61" s="60"/>
      <c r="K61" s="60"/>
      <c r="L61" s="60"/>
      <c r="M61" s="60"/>
      <c r="N61" s="60"/>
      <c r="O61" s="60"/>
      <c r="P61" s="60"/>
      <c r="Q61" s="60"/>
      <c r="R61" s="60"/>
      <c r="S61" s="60"/>
      <c r="T61" s="60"/>
      <c r="U61" s="60"/>
      <c r="V61" s="60"/>
      <c r="W61" s="60"/>
    </row>
    <row r="62" ht="40.15" customHeight="1">
      <c r="A62" s="60"/>
      <c r="B62" s="61"/>
      <c r="C62" s="61"/>
      <c r="D62" s="61"/>
      <c r="E62" s="61"/>
      <c r="F62" s="61"/>
      <c r="G62" s="70"/>
      <c r="H62" s="60"/>
      <c r="I62" s="60"/>
      <c r="J62" s="60"/>
      <c r="K62" s="60"/>
      <c r="L62" s="60"/>
      <c r="M62" s="60"/>
      <c r="N62" s="60"/>
      <c r="O62" s="60"/>
      <c r="P62" s="60"/>
      <c r="Q62" s="60"/>
      <c r="R62" s="60"/>
      <c r="S62" s="60"/>
      <c r="T62" s="60"/>
      <c r="U62" s="60"/>
      <c r="V62" s="60"/>
      <c r="W62" s="60"/>
    </row>
    <row r="63" ht="40.15" customHeight="1">
      <c r="A63" s="60"/>
      <c r="B63" s="61"/>
      <c r="C63" s="61"/>
      <c r="D63" s="61"/>
      <c r="E63" s="61"/>
      <c r="F63" s="61"/>
      <c r="G63" s="70"/>
      <c r="H63" s="60"/>
      <c r="I63" s="60"/>
      <c r="J63" s="60"/>
      <c r="K63" s="60"/>
      <c r="L63" s="60"/>
      <c r="M63" s="60"/>
      <c r="N63" s="60"/>
      <c r="O63" s="60"/>
      <c r="P63" s="60"/>
      <c r="Q63" s="60"/>
      <c r="R63" s="60"/>
      <c r="S63" s="60"/>
      <c r="T63" s="60"/>
      <c r="U63" s="60"/>
      <c r="V63" s="60"/>
      <c r="W63" s="60"/>
    </row>
    <row r="64" ht="40.15" customHeight="1">
      <c r="A64" s="60"/>
      <c r="B64" s="61"/>
      <c r="C64" s="61"/>
      <c r="D64" s="61"/>
      <c r="E64" s="61"/>
      <c r="F64" s="61"/>
      <c r="G64" s="70"/>
      <c r="H64" s="60"/>
      <c r="I64" s="60"/>
      <c r="J64" s="60"/>
      <c r="K64" s="60"/>
      <c r="L64" s="60"/>
      <c r="M64" s="60"/>
      <c r="N64" s="60"/>
      <c r="O64" s="60"/>
      <c r="P64" s="60"/>
      <c r="Q64" s="60"/>
      <c r="R64" s="60"/>
      <c r="S64" s="60"/>
      <c r="T64" s="60"/>
      <c r="U64" s="60"/>
      <c r="V64" s="60"/>
      <c r="W64" s="60"/>
    </row>
    <row r="65" ht="40.15" customHeight="1">
      <c r="A65" s="60"/>
      <c r="B65" s="61"/>
      <c r="C65" s="61"/>
      <c r="D65" s="61"/>
      <c r="E65" s="61"/>
      <c r="F65" s="61"/>
      <c r="G65" s="70"/>
      <c r="H65" s="60"/>
      <c r="I65" s="60"/>
      <c r="J65" s="60"/>
      <c r="K65" s="60"/>
      <c r="L65" s="60"/>
      <c r="M65" s="60"/>
      <c r="N65" s="60"/>
      <c r="O65" s="60"/>
      <c r="P65" s="60"/>
      <c r="Q65" s="60"/>
      <c r="R65" s="60"/>
      <c r="S65" s="60"/>
      <c r="T65" s="60"/>
      <c r="U65" s="60"/>
      <c r="V65" s="60"/>
      <c r="W65" s="60"/>
    </row>
    <row r="66" ht="40.15" customHeight="1">
      <c r="A66" s="60"/>
      <c r="B66" s="61"/>
      <c r="C66" s="61"/>
      <c r="D66" s="61"/>
      <c r="E66" s="61"/>
      <c r="F66" s="61"/>
      <c r="G66" s="70"/>
      <c r="H66" s="60"/>
      <c r="I66" s="60"/>
      <c r="J66" s="60"/>
      <c r="K66" s="60"/>
      <c r="L66" s="60"/>
      <c r="M66" s="60"/>
      <c r="N66" s="60"/>
      <c r="O66" s="60"/>
      <c r="P66" s="60"/>
      <c r="Q66" s="60"/>
      <c r="R66" s="60"/>
      <c r="S66" s="60"/>
      <c r="T66" s="60"/>
      <c r="U66" s="60"/>
      <c r="V66" s="60"/>
      <c r="W66" s="60"/>
    </row>
    <row r="67" ht="40.15" customHeight="1">
      <c r="A67" s="60"/>
      <c r="B67" s="61"/>
      <c r="C67" s="61"/>
      <c r="D67" s="61"/>
      <c r="E67" s="61"/>
      <c r="F67" s="61"/>
      <c r="G67" s="70"/>
      <c r="H67" s="60"/>
      <c r="I67" s="60"/>
      <c r="J67" s="60"/>
      <c r="K67" s="60"/>
      <c r="L67" s="60"/>
      <c r="M67" s="60"/>
      <c r="N67" s="60"/>
      <c r="O67" s="60"/>
      <c r="P67" s="60"/>
      <c r="Q67" s="60"/>
      <c r="R67" s="60"/>
      <c r="S67" s="60"/>
      <c r="T67" s="60"/>
      <c r="U67" s="60"/>
      <c r="V67" s="60"/>
      <c r="W67" s="60"/>
    </row>
    <row r="68" ht="40.15" customHeight="1">
      <c r="A68" s="60"/>
      <c r="B68" s="61"/>
      <c r="C68" s="61"/>
      <c r="D68" s="61"/>
      <c r="E68" s="61"/>
      <c r="F68" s="61"/>
      <c r="G68" s="70"/>
      <c r="H68" s="60"/>
      <c r="I68" s="60"/>
      <c r="J68" s="60"/>
      <c r="K68" s="60"/>
      <c r="L68" s="60"/>
      <c r="M68" s="60"/>
      <c r="N68" s="60"/>
      <c r="O68" s="60"/>
      <c r="P68" s="60"/>
      <c r="Q68" s="60"/>
      <c r="R68" s="60"/>
      <c r="S68" s="60"/>
      <c r="T68" s="60"/>
      <c r="U68" s="60"/>
      <c r="V68" s="60"/>
      <c r="W68" s="60"/>
    </row>
    <row r="69" ht="40.15" customHeight="1">
      <c r="A69" s="60"/>
      <c r="B69" s="61"/>
      <c r="C69" s="61"/>
      <c r="D69" s="61"/>
      <c r="E69" s="61"/>
      <c r="F69" s="61"/>
      <c r="G69" s="70"/>
      <c r="H69" s="60"/>
      <c r="I69" s="60"/>
      <c r="J69" s="60"/>
      <c r="K69" s="60"/>
      <c r="L69" s="60"/>
      <c r="M69" s="60"/>
      <c r="N69" s="60"/>
      <c r="O69" s="60"/>
      <c r="P69" s="60"/>
      <c r="Q69" s="60"/>
      <c r="R69" s="60"/>
      <c r="S69" s="60"/>
      <c r="T69" s="60"/>
      <c r="U69" s="60"/>
      <c r="V69" s="60"/>
      <c r="W69" s="60"/>
    </row>
    <row r="70" ht="40.15" customHeight="1">
      <c r="A70" s="60"/>
      <c r="B70" s="61"/>
      <c r="C70" s="61"/>
      <c r="D70" s="61"/>
      <c r="E70" s="61"/>
      <c r="F70" s="61"/>
      <c r="G70" s="77"/>
      <c r="H70" s="60"/>
      <c r="I70" s="60"/>
      <c r="J70" s="60"/>
      <c r="K70" s="60"/>
      <c r="L70" s="60"/>
      <c r="M70" s="60"/>
      <c r="N70" s="60"/>
      <c r="O70" s="60"/>
      <c r="P70" s="60"/>
      <c r="Q70" s="60"/>
      <c r="R70" s="60"/>
      <c r="S70" s="60"/>
      <c r="T70" s="60"/>
      <c r="U70" s="60"/>
      <c r="V70" s="60"/>
      <c r="W70" s="60"/>
    </row>
    <row r="71" ht="40.15" customHeight="1">
      <c r="A71" s="60"/>
      <c r="B71" s="61"/>
      <c r="C71" s="61"/>
      <c r="D71" s="61"/>
      <c r="E71" s="61"/>
      <c r="F71" s="61"/>
      <c r="G71" s="77"/>
      <c r="H71" s="60"/>
      <c r="I71" s="60"/>
      <c r="J71" s="60"/>
      <c r="K71" s="60"/>
      <c r="L71" s="60"/>
      <c r="M71" s="60"/>
      <c r="N71" s="60"/>
      <c r="O71" s="60"/>
      <c r="P71" s="60"/>
      <c r="Q71" s="60"/>
      <c r="R71" s="60"/>
      <c r="S71" s="60"/>
      <c r="T71" s="60"/>
      <c r="U71" s="60"/>
      <c r="V71" s="60"/>
      <c r="W71" s="60"/>
    </row>
    <row r="72" ht="40.15" customHeight="1">
      <c r="A72" s="60"/>
      <c r="B72" s="61"/>
      <c r="C72" s="61"/>
      <c r="D72" s="61"/>
      <c r="E72" s="61"/>
      <c r="F72" s="61"/>
      <c r="G72" s="77"/>
      <c r="H72" s="60"/>
      <c r="I72" s="60"/>
      <c r="J72" s="60"/>
      <c r="K72" s="60"/>
      <c r="L72" s="60"/>
      <c r="M72" s="60"/>
      <c r="N72" s="60"/>
      <c r="O72" s="60"/>
      <c r="P72" s="60"/>
      <c r="Q72" s="60"/>
      <c r="R72" s="60"/>
      <c r="S72" s="60"/>
      <c r="T72" s="60"/>
      <c r="U72" s="60"/>
      <c r="V72" s="60"/>
      <c r="W72" s="60"/>
    </row>
    <row r="73" ht="40.15" customHeight="1">
      <c r="A73" s="60"/>
      <c r="B73" s="61"/>
      <c r="C73" s="61"/>
      <c r="D73" s="61"/>
      <c r="E73" s="61"/>
      <c r="F73" s="61"/>
      <c r="G73" s="77"/>
      <c r="H73" s="60"/>
      <c r="I73" s="60"/>
      <c r="J73" s="60"/>
      <c r="K73" s="60"/>
      <c r="L73" s="60"/>
      <c r="M73" s="60"/>
      <c r="N73" s="60"/>
      <c r="O73" s="60"/>
      <c r="P73" s="60"/>
      <c r="Q73" s="60"/>
      <c r="R73" s="60"/>
      <c r="S73" s="60"/>
      <c r="T73" s="60"/>
      <c r="U73" s="60"/>
      <c r="V73" s="60"/>
      <c r="W73" s="60"/>
    </row>
    <row r="74" ht="40.15" customHeight="1">
      <c r="A74" s="60"/>
      <c r="B74" s="61"/>
      <c r="C74" s="61"/>
      <c r="D74" s="61"/>
      <c r="E74" s="61"/>
      <c r="F74" s="61"/>
      <c r="G74" s="77"/>
      <c r="H74" s="60"/>
      <c r="I74" s="60"/>
      <c r="J74" s="60"/>
      <c r="K74" s="60"/>
      <c r="L74" s="60"/>
      <c r="M74" s="60"/>
      <c r="N74" s="60"/>
      <c r="O74" s="60"/>
      <c r="P74" s="60"/>
      <c r="Q74" s="60"/>
      <c r="R74" s="60"/>
      <c r="S74" s="60"/>
      <c r="T74" s="60"/>
      <c r="U74" s="60"/>
      <c r="V74" s="60"/>
      <c r="W74" s="60"/>
    </row>
    <row r="75" ht="40.15" customHeight="1">
      <c r="A75" s="60"/>
      <c r="B75" s="61"/>
      <c r="C75" s="61"/>
      <c r="D75" s="61"/>
      <c r="E75" s="61"/>
      <c r="F75" s="61"/>
      <c r="G75" s="77"/>
      <c r="H75" s="60"/>
      <c r="I75" s="60"/>
      <c r="J75" s="60"/>
      <c r="K75" s="60"/>
      <c r="L75" s="60"/>
      <c r="M75" s="60"/>
      <c r="N75" s="60"/>
      <c r="O75" s="60"/>
      <c r="P75" s="60"/>
      <c r="Q75" s="60"/>
      <c r="R75" s="60"/>
      <c r="S75" s="60"/>
      <c r="T75" s="60"/>
      <c r="U75" s="60"/>
      <c r="V75" s="60"/>
      <c r="W75" s="60"/>
    </row>
    <row r="76" ht="40.15" customHeight="1">
      <c r="A76" s="60"/>
      <c r="B76" s="61"/>
      <c r="C76" s="61"/>
      <c r="D76" s="61"/>
      <c r="E76" s="61"/>
      <c r="F76" s="61"/>
      <c r="G76" s="77"/>
      <c r="H76" s="60"/>
      <c r="I76" s="60"/>
      <c r="J76" s="60"/>
      <c r="K76" s="60"/>
      <c r="L76" s="60"/>
      <c r="M76" s="60"/>
      <c r="N76" s="60"/>
      <c r="O76" s="60"/>
      <c r="P76" s="60"/>
      <c r="Q76" s="60"/>
      <c r="R76" s="60"/>
      <c r="S76" s="60"/>
      <c r="T76" s="60"/>
      <c r="U76" s="60"/>
      <c r="V76" s="60"/>
      <c r="W76" s="60"/>
    </row>
    <row r="77" ht="40.15" customHeight="1">
      <c r="A77" s="60"/>
      <c r="B77" s="61"/>
      <c r="C77" s="61"/>
      <c r="D77" s="61"/>
      <c r="E77" s="61"/>
      <c r="F77" s="61"/>
      <c r="G77" s="77"/>
      <c r="H77" s="60"/>
      <c r="I77" s="60"/>
      <c r="J77" s="60"/>
      <c r="K77" s="60"/>
      <c r="L77" s="60"/>
      <c r="M77" s="60"/>
      <c r="N77" s="60"/>
      <c r="O77" s="60"/>
      <c r="P77" s="60"/>
      <c r="Q77" s="60"/>
      <c r="R77" s="60"/>
      <c r="S77" s="60"/>
      <c r="T77" s="60"/>
      <c r="U77" s="60"/>
      <c r="V77" s="60"/>
      <c r="W77" s="60"/>
    </row>
    <row r="78" ht="40.15" customHeight="1">
      <c r="A78" s="60"/>
      <c r="B78" s="61"/>
      <c r="C78" s="61"/>
      <c r="D78" s="61"/>
      <c r="E78" s="61"/>
      <c r="F78" s="61"/>
      <c r="G78" s="77"/>
      <c r="H78" s="60"/>
      <c r="I78" s="60"/>
      <c r="J78" s="60"/>
      <c r="K78" s="60"/>
      <c r="L78" s="60"/>
      <c r="M78" s="60"/>
      <c r="N78" s="60"/>
      <c r="O78" s="60"/>
      <c r="P78" s="60"/>
      <c r="Q78" s="60"/>
      <c r="R78" s="60"/>
      <c r="S78" s="60"/>
      <c r="T78" s="60"/>
      <c r="U78" s="60"/>
      <c r="V78" s="60"/>
      <c r="W78" s="60"/>
    </row>
    <row r="79" ht="40.15" customHeight="1">
      <c r="A79" s="60"/>
      <c r="B79" s="61"/>
      <c r="C79" s="61"/>
      <c r="D79" s="61"/>
      <c r="E79" s="61"/>
      <c r="F79" s="61"/>
      <c r="G79" s="77"/>
      <c r="H79" s="60"/>
      <c r="I79" s="60"/>
      <c r="J79" s="60"/>
      <c r="K79" s="60"/>
      <c r="L79" s="60"/>
      <c r="M79" s="60"/>
      <c r="N79" s="60"/>
      <c r="O79" s="60"/>
      <c r="P79" s="60"/>
      <c r="Q79" s="60"/>
      <c r="R79" s="60"/>
      <c r="S79" s="60"/>
      <c r="T79" s="60"/>
      <c r="U79" s="60"/>
      <c r="V79" s="60"/>
      <c r="W79" s="60"/>
    </row>
    <row r="80" ht="40.15" customHeight="1">
      <c r="A80" s="60"/>
      <c r="B80" s="61"/>
      <c r="C80" s="61"/>
      <c r="D80" s="61"/>
      <c r="E80" s="61"/>
      <c r="F80" s="61"/>
      <c r="G80" s="77"/>
      <c r="H80" s="60"/>
      <c r="I80" s="60"/>
      <c r="J80" s="60"/>
      <c r="K80" s="60"/>
      <c r="L80" s="60"/>
      <c r="M80" s="60"/>
      <c r="N80" s="60"/>
      <c r="O80" s="60"/>
      <c r="P80" s="60"/>
      <c r="Q80" s="60"/>
      <c r="R80" s="60"/>
      <c r="S80" s="60"/>
      <c r="T80" s="60"/>
      <c r="U80" s="60"/>
      <c r="V80" s="60"/>
      <c r="W80" s="60"/>
    </row>
    <row r="81" ht="40.15" customHeight="1">
      <c r="A81" s="60"/>
      <c r="B81" s="61"/>
      <c r="C81" s="61"/>
      <c r="D81" s="61"/>
      <c r="E81" s="61"/>
      <c r="F81" s="61"/>
      <c r="G81" s="77"/>
      <c r="H81" s="60"/>
      <c r="I81" s="60"/>
      <c r="J81" s="60"/>
      <c r="K81" s="60"/>
      <c r="L81" s="60"/>
      <c r="M81" s="60"/>
      <c r="N81" s="60"/>
      <c r="O81" s="60"/>
      <c r="P81" s="60"/>
      <c r="Q81" s="60"/>
      <c r="R81" s="60"/>
      <c r="S81" s="60"/>
      <c r="T81" s="60"/>
      <c r="U81" s="60"/>
      <c r="V81" s="60"/>
      <c r="W81" s="60"/>
    </row>
    <row r="82" ht="40.15" customHeight="1">
      <c r="A82" s="60"/>
      <c r="B82" s="61"/>
      <c r="C82" s="61"/>
      <c r="D82" s="61"/>
      <c r="E82" s="61"/>
      <c r="F82" s="61"/>
      <c r="G82" s="77"/>
      <c r="H82" s="60"/>
      <c r="I82" s="60"/>
      <c r="J82" s="60"/>
      <c r="K82" s="60"/>
      <c r="L82" s="60"/>
      <c r="M82" s="60"/>
      <c r="N82" s="60"/>
      <c r="O82" s="60"/>
      <c r="P82" s="60"/>
      <c r="Q82" s="60"/>
      <c r="R82" s="60"/>
      <c r="S82" s="60"/>
      <c r="T82" s="60"/>
      <c r="U82" s="60"/>
      <c r="V82" s="60"/>
      <c r="W82" s="60"/>
    </row>
    <row r="83" ht="40.15" customHeight="1">
      <c r="A83" s="60"/>
      <c r="B83" s="61"/>
      <c r="C83" s="61"/>
      <c r="D83" s="61"/>
      <c r="E83" s="61"/>
      <c r="F83" s="61"/>
      <c r="G83" s="77"/>
      <c r="H83" s="60"/>
      <c r="I83" s="60"/>
      <c r="J83" s="60"/>
      <c r="K83" s="60"/>
      <c r="L83" s="60"/>
      <c r="M83" s="60"/>
      <c r="N83" s="60"/>
      <c r="O83" s="60"/>
      <c r="P83" s="60"/>
      <c r="Q83" s="60"/>
      <c r="R83" s="60"/>
      <c r="S83" s="60"/>
      <c r="T83" s="60"/>
      <c r="U83" s="60"/>
      <c r="V83" s="60"/>
      <c r="W83" s="60"/>
    </row>
    <row r="84" ht="40.15" customHeight="1">
      <c r="A84" s="60"/>
      <c r="B84" s="61"/>
      <c r="C84" s="61"/>
      <c r="D84" s="61"/>
      <c r="E84" s="61"/>
      <c r="F84" s="61"/>
      <c r="G84" s="77"/>
      <c r="H84" s="60"/>
      <c r="I84" s="60"/>
      <c r="J84" s="60"/>
      <c r="K84" s="60"/>
      <c r="L84" s="60"/>
      <c r="M84" s="60"/>
      <c r="N84" s="60"/>
      <c r="O84" s="60"/>
      <c r="P84" s="60"/>
      <c r="Q84" s="60"/>
      <c r="R84" s="60"/>
      <c r="S84" s="60"/>
      <c r="T84" s="60"/>
      <c r="U84" s="60"/>
      <c r="V84" s="60"/>
      <c r="W84" s="60"/>
    </row>
    <row r="85" ht="40.15" customHeight="1">
      <c r="A85" s="60"/>
      <c r="B85" s="61"/>
      <c r="C85" s="61"/>
      <c r="D85" s="61"/>
      <c r="E85" s="61"/>
      <c r="F85" s="61"/>
      <c r="G85" s="77"/>
      <c r="H85" s="60"/>
      <c r="I85" s="60"/>
      <c r="J85" s="60"/>
      <c r="K85" s="60"/>
      <c r="L85" s="60"/>
      <c r="M85" s="60"/>
      <c r="N85" s="60"/>
      <c r="O85" s="60"/>
      <c r="P85" s="60"/>
      <c r="Q85" s="60"/>
      <c r="R85" s="60"/>
      <c r="S85" s="60"/>
      <c r="T85" s="60"/>
      <c r="U85" s="60"/>
      <c r="V85" s="60"/>
      <c r="W85" s="60"/>
    </row>
    <row r="86" ht="40.15" customHeight="1">
      <c r="A86" s="60"/>
      <c r="B86" s="61"/>
      <c r="C86" s="61"/>
      <c r="D86" s="61"/>
      <c r="E86" s="61"/>
      <c r="F86" s="61"/>
      <c r="G86" s="77"/>
      <c r="H86" s="60"/>
      <c r="I86" s="60"/>
      <c r="J86" s="60"/>
      <c r="K86" s="60"/>
      <c r="L86" s="60"/>
      <c r="M86" s="60"/>
      <c r="N86" s="60"/>
      <c r="O86" s="60"/>
      <c r="P86" s="60"/>
      <c r="Q86" s="60"/>
      <c r="R86" s="60"/>
      <c r="S86" s="60"/>
      <c r="T86" s="60"/>
      <c r="U86" s="60"/>
      <c r="V86" s="60"/>
      <c r="W86" s="60"/>
    </row>
    <row r="87" ht="40.15" customHeight="1">
      <c r="A87" s="60"/>
      <c r="B87" s="61"/>
      <c r="C87" s="61"/>
      <c r="D87" s="61"/>
      <c r="E87" s="61"/>
      <c r="F87" s="61"/>
      <c r="G87" s="77"/>
      <c r="H87" s="60"/>
      <c r="I87" s="60"/>
      <c r="J87" s="60"/>
      <c r="K87" s="60"/>
      <c r="L87" s="60"/>
      <c r="M87" s="60"/>
      <c r="N87" s="60"/>
      <c r="O87" s="60"/>
      <c r="P87" s="60"/>
      <c r="Q87" s="60"/>
      <c r="R87" s="60"/>
      <c r="S87" s="60"/>
      <c r="T87" s="60"/>
      <c r="U87" s="60"/>
      <c r="V87" s="60"/>
      <c r="W87" s="60"/>
    </row>
    <row r="88" ht="40.15" customHeight="1">
      <c r="A88" s="60"/>
      <c r="B88" s="61"/>
      <c r="C88" s="61"/>
      <c r="D88" s="61"/>
      <c r="E88" s="61"/>
      <c r="F88" s="61"/>
      <c r="G88" s="77"/>
      <c r="H88" s="60"/>
      <c r="I88" s="60"/>
      <c r="J88" s="60"/>
      <c r="K88" s="60"/>
      <c r="L88" s="60"/>
      <c r="M88" s="60"/>
      <c r="N88" s="60"/>
      <c r="O88" s="60"/>
      <c r="P88" s="60"/>
      <c r="Q88" s="60"/>
      <c r="R88" s="60"/>
      <c r="S88" s="60"/>
      <c r="T88" s="60"/>
      <c r="U88" s="60"/>
      <c r="V88" s="60"/>
      <c r="W88" s="60"/>
    </row>
    <row r="89" ht="40.15" customHeight="1">
      <c r="A89" s="60"/>
      <c r="B89" s="61"/>
      <c r="C89" s="61"/>
      <c r="D89" s="61"/>
      <c r="E89" s="61"/>
      <c r="F89" s="61"/>
      <c r="G89" s="77"/>
      <c r="H89" s="60"/>
      <c r="I89" s="60"/>
      <c r="J89" s="60"/>
      <c r="K89" s="60"/>
      <c r="L89" s="60"/>
      <c r="M89" s="60"/>
      <c r="N89" s="60"/>
      <c r="O89" s="60"/>
      <c r="P89" s="60"/>
      <c r="Q89" s="60"/>
      <c r="R89" s="60"/>
      <c r="S89" s="60"/>
      <c r="T89" s="60"/>
      <c r="U89" s="60"/>
      <c r="V89" s="60"/>
      <c r="W89" s="60"/>
    </row>
    <row r="90" ht="40.15" customHeight="1">
      <c r="A90" s="60"/>
      <c r="B90" s="61"/>
      <c r="C90" s="61"/>
      <c r="D90" s="61"/>
      <c r="E90" s="61"/>
      <c r="F90" s="61"/>
      <c r="G90" s="77"/>
      <c r="H90" s="60"/>
      <c r="I90" s="60"/>
      <c r="J90" s="60"/>
      <c r="K90" s="60"/>
      <c r="L90" s="60"/>
      <c r="M90" s="60"/>
      <c r="N90" s="60"/>
      <c r="O90" s="60"/>
      <c r="P90" s="60"/>
      <c r="Q90" s="60"/>
      <c r="R90" s="60"/>
      <c r="S90" s="60"/>
      <c r="T90" s="60"/>
      <c r="U90" s="60"/>
      <c r="V90" s="60"/>
      <c r="W90" s="60"/>
    </row>
    <row r="91" ht="40.15" customHeight="1">
      <c r="A91" s="60"/>
      <c r="B91" s="61"/>
      <c r="C91" s="61"/>
      <c r="D91" s="61"/>
      <c r="E91" s="61"/>
      <c r="F91" s="61"/>
      <c r="G91" s="77"/>
      <c r="H91" s="60"/>
      <c r="I91" s="60"/>
      <c r="J91" s="60"/>
      <c r="K91" s="60"/>
      <c r="L91" s="60"/>
      <c r="M91" s="60"/>
      <c r="N91" s="60"/>
      <c r="O91" s="60"/>
      <c r="P91" s="60"/>
      <c r="Q91" s="60"/>
      <c r="R91" s="60"/>
      <c r="S91" s="60"/>
      <c r="T91" s="60"/>
      <c r="U91" s="60"/>
      <c r="V91" s="60"/>
      <c r="W91" s="60"/>
    </row>
    <row r="92" ht="40.15" customHeight="1">
      <c r="A92" s="60"/>
      <c r="B92" s="61"/>
      <c r="C92" s="61"/>
      <c r="D92" s="61"/>
      <c r="E92" s="61"/>
      <c r="F92" s="61"/>
      <c r="G92" s="77"/>
      <c r="H92" s="60"/>
      <c r="I92" s="60"/>
      <c r="J92" s="60"/>
      <c r="K92" s="60"/>
      <c r="L92" s="60"/>
      <c r="M92" s="60"/>
      <c r="N92" s="60"/>
      <c r="O92" s="60"/>
      <c r="P92" s="60"/>
      <c r="Q92" s="60"/>
      <c r="R92" s="60"/>
      <c r="S92" s="60"/>
      <c r="T92" s="60"/>
      <c r="U92" s="60"/>
      <c r="V92" s="60"/>
      <c r="W92" s="60"/>
    </row>
    <row r="93" ht="40.15" customHeight="1">
      <c r="A93" s="60"/>
      <c r="B93" s="61"/>
      <c r="C93" s="61"/>
      <c r="D93" s="61"/>
      <c r="E93" s="61"/>
      <c r="F93" s="61"/>
      <c r="G93" s="77"/>
      <c r="H93" s="60"/>
      <c r="I93" s="60"/>
      <c r="J93" s="60"/>
      <c r="K93" s="60"/>
      <c r="L93" s="60"/>
      <c r="M93" s="60"/>
      <c r="N93" s="60"/>
      <c r="O93" s="60"/>
      <c r="P93" s="60"/>
      <c r="Q93" s="60"/>
      <c r="R93" s="60"/>
      <c r="S93" s="60"/>
      <c r="T93" s="60"/>
      <c r="U93" s="60"/>
      <c r="V93" s="60"/>
      <c r="W93" s="60"/>
    </row>
    <row r="94" ht="40.15" customHeight="1">
      <c r="A94" s="60"/>
      <c r="B94" s="61"/>
      <c r="C94" s="61"/>
      <c r="D94" s="61"/>
      <c r="E94" s="61"/>
      <c r="F94" s="61"/>
      <c r="G94" s="77"/>
      <c r="H94" s="60"/>
      <c r="I94" s="60"/>
      <c r="J94" s="60"/>
      <c r="K94" s="60"/>
      <c r="L94" s="60"/>
      <c r="M94" s="60"/>
      <c r="N94" s="60"/>
      <c r="O94" s="60"/>
      <c r="P94" s="60"/>
      <c r="Q94" s="60"/>
      <c r="R94" s="60"/>
      <c r="S94" s="60"/>
      <c r="T94" s="60"/>
      <c r="U94" s="60"/>
      <c r="V94" s="60"/>
      <c r="W94" s="60"/>
    </row>
    <row r="95" ht="40.15" customHeight="1">
      <c r="A95" s="60"/>
      <c r="B95" s="61"/>
      <c r="C95" s="61"/>
      <c r="D95" s="61"/>
      <c r="E95" s="61"/>
      <c r="F95" s="61"/>
      <c r="G95" s="77"/>
      <c r="H95" s="60"/>
      <c r="I95" s="60"/>
      <c r="J95" s="60"/>
      <c r="K95" s="60"/>
      <c r="L95" s="60"/>
      <c r="M95" s="60"/>
      <c r="N95" s="60"/>
      <c r="O95" s="60"/>
      <c r="P95" s="60"/>
      <c r="Q95" s="60"/>
      <c r="R95" s="60"/>
      <c r="S95" s="60"/>
      <c r="T95" s="60"/>
      <c r="U95" s="60"/>
      <c r="V95" s="60"/>
      <c r="W95" s="60"/>
    </row>
    <row r="96" ht="40.15" customHeight="1">
      <c r="A96" s="60"/>
      <c r="B96" s="61"/>
      <c r="C96" s="61"/>
      <c r="D96" s="61"/>
      <c r="E96" s="61"/>
      <c r="F96" s="61"/>
      <c r="G96" s="77"/>
      <c r="H96" s="60"/>
      <c r="I96" s="60"/>
      <c r="J96" s="60"/>
      <c r="K96" s="60"/>
      <c r="L96" s="60"/>
      <c r="M96" s="60"/>
      <c r="N96" s="60"/>
      <c r="O96" s="60"/>
      <c r="P96" s="60"/>
      <c r="Q96" s="60"/>
      <c r="R96" s="60"/>
      <c r="S96" s="60"/>
      <c r="T96" s="60"/>
      <c r="U96" s="60"/>
      <c r="V96" s="60"/>
      <c r="W96" s="60"/>
    </row>
    <row r="97" ht="40.15" customHeight="1">
      <c r="A97" s="60"/>
      <c r="B97" s="61"/>
      <c r="C97" s="61"/>
      <c r="D97" s="61"/>
      <c r="E97" s="61"/>
      <c r="F97" s="61"/>
      <c r="G97" s="77"/>
      <c r="H97" s="60"/>
      <c r="I97" s="60"/>
      <c r="J97" s="60"/>
      <c r="K97" s="60"/>
      <c r="L97" s="60"/>
      <c r="M97" s="60"/>
      <c r="N97" s="60"/>
      <c r="O97" s="60"/>
      <c r="P97" s="60"/>
      <c r="Q97" s="60"/>
      <c r="R97" s="60"/>
      <c r="S97" s="60"/>
      <c r="T97" s="60"/>
      <c r="U97" s="60"/>
      <c r="V97" s="60"/>
      <c r="W97" s="60"/>
    </row>
    <row r="98" ht="40.15" customHeight="1">
      <c r="A98" s="60"/>
      <c r="B98" s="61"/>
      <c r="C98" s="61"/>
      <c r="D98" s="61"/>
      <c r="E98" s="61"/>
      <c r="F98" s="61"/>
      <c r="G98" s="77"/>
      <c r="H98" s="60"/>
      <c r="I98" s="60"/>
      <c r="J98" s="60"/>
      <c r="K98" s="60"/>
      <c r="L98" s="60"/>
      <c r="M98" s="60"/>
      <c r="N98" s="60"/>
      <c r="O98" s="60"/>
      <c r="P98" s="60"/>
      <c r="Q98" s="60"/>
      <c r="R98" s="60"/>
      <c r="S98" s="60"/>
      <c r="T98" s="60"/>
      <c r="U98" s="60"/>
      <c r="V98" s="60"/>
      <c r="W98" s="60"/>
    </row>
    <row r="99" ht="40.15" customHeight="1">
      <c r="A99" s="60"/>
      <c r="B99" s="61"/>
      <c r="C99" s="61"/>
      <c r="D99" s="61"/>
      <c r="E99" s="61"/>
      <c r="F99" s="61"/>
      <c r="G99" s="77"/>
      <c r="H99" s="60"/>
      <c r="I99" s="60"/>
      <c r="J99" s="60"/>
      <c r="K99" s="60"/>
      <c r="L99" s="60"/>
      <c r="M99" s="60"/>
      <c r="N99" s="60"/>
      <c r="O99" s="60"/>
      <c r="P99" s="60"/>
      <c r="Q99" s="60"/>
      <c r="R99" s="60"/>
      <c r="S99" s="60"/>
      <c r="T99" s="60"/>
      <c r="U99" s="60"/>
      <c r="V99" s="60"/>
      <c r="W99" s="60"/>
    </row>
    <row r="100" ht="40.15" customHeight="1">
      <c r="A100" s="60"/>
      <c r="B100" s="61"/>
      <c r="C100" s="61"/>
      <c r="D100" s="61"/>
      <c r="E100" s="61"/>
      <c r="F100" s="61"/>
      <c r="G100" s="77"/>
      <c r="H100" s="60"/>
      <c r="I100" s="60"/>
      <c r="J100" s="60"/>
      <c r="K100" s="60"/>
      <c r="L100" s="60"/>
      <c r="M100" s="60"/>
      <c r="N100" s="60"/>
      <c r="O100" s="60"/>
      <c r="P100" s="60"/>
      <c r="Q100" s="60"/>
      <c r="R100" s="60"/>
      <c r="S100" s="60"/>
      <c r="T100" s="60"/>
      <c r="U100" s="60"/>
      <c r="V100" s="60"/>
      <c r="W100" s="60"/>
    </row>
    <row r="101" ht="40.15" customHeight="1">
      <c r="A101" s="60"/>
      <c r="B101" s="61"/>
      <c r="C101" s="61"/>
      <c r="D101" s="61"/>
      <c r="E101" s="61"/>
      <c r="F101" s="61"/>
      <c r="G101" s="77"/>
      <c r="H101" s="60"/>
      <c r="I101" s="60"/>
      <c r="J101" s="60"/>
      <c r="K101" s="60"/>
      <c r="L101" s="60"/>
      <c r="M101" s="60"/>
      <c r="N101" s="60"/>
      <c r="O101" s="60"/>
      <c r="P101" s="60"/>
      <c r="Q101" s="60"/>
      <c r="R101" s="60"/>
      <c r="S101" s="60"/>
      <c r="T101" s="60"/>
      <c r="U101" s="60"/>
      <c r="V101" s="60"/>
      <c r="W101" s="60"/>
    </row>
    <row r="102" ht="40.15" customHeight="1">
      <c r="A102" s="60"/>
      <c r="B102" s="61"/>
      <c r="C102" s="61"/>
      <c r="D102" s="61"/>
      <c r="E102" s="61"/>
      <c r="F102" s="61"/>
      <c r="G102" s="77"/>
      <c r="H102" s="60"/>
      <c r="I102" s="60"/>
      <c r="J102" s="60"/>
      <c r="K102" s="60"/>
      <c r="L102" s="60"/>
      <c r="M102" s="60"/>
      <c r="N102" s="60"/>
      <c r="O102" s="60"/>
      <c r="P102" s="60"/>
      <c r="Q102" s="60"/>
      <c r="R102" s="60"/>
      <c r="S102" s="60"/>
      <c r="T102" s="60"/>
      <c r="U102" s="60"/>
      <c r="V102" s="60"/>
      <c r="W102" s="60"/>
    </row>
    <row r="103" ht="40.15" customHeight="1">
      <c r="A103" s="60"/>
      <c r="B103" s="61"/>
      <c r="C103" s="61"/>
      <c r="D103" s="61"/>
      <c r="E103" s="61"/>
      <c r="F103" s="61"/>
      <c r="G103" s="77"/>
      <c r="H103" s="60"/>
      <c r="I103" s="60"/>
      <c r="J103" s="60"/>
      <c r="K103" s="60"/>
      <c r="L103" s="60"/>
      <c r="M103" s="60"/>
      <c r="N103" s="60"/>
      <c r="O103" s="60"/>
      <c r="P103" s="60"/>
      <c r="Q103" s="60"/>
      <c r="R103" s="60"/>
      <c r="S103" s="60"/>
      <c r="T103" s="60"/>
      <c r="U103" s="60"/>
      <c r="V103" s="60"/>
      <c r="W103" s="60"/>
    </row>
    <row r="104" ht="40.15" customHeight="1">
      <c r="A104" s="60"/>
      <c r="B104" s="61"/>
      <c r="C104" s="61"/>
      <c r="D104" s="61"/>
      <c r="E104" s="61"/>
      <c r="F104" s="61"/>
      <c r="G104" s="77"/>
      <c r="H104" s="60"/>
      <c r="I104" s="60"/>
      <c r="J104" s="60"/>
      <c r="K104" s="60"/>
      <c r="L104" s="60"/>
      <c r="M104" s="60"/>
      <c r="N104" s="60"/>
      <c r="O104" s="60"/>
      <c r="P104" s="60"/>
      <c r="Q104" s="60"/>
      <c r="R104" s="60"/>
      <c r="S104" s="60"/>
      <c r="T104" s="60"/>
      <c r="U104" s="60"/>
      <c r="V104" s="60"/>
      <c r="W104" s="60"/>
    </row>
    <row r="105" ht="40.15" customHeight="1">
      <c r="A105" s="60"/>
      <c r="B105" s="61"/>
      <c r="C105" s="61"/>
      <c r="D105" s="61"/>
      <c r="E105" s="61"/>
      <c r="F105" s="61"/>
      <c r="G105" s="77"/>
      <c r="H105" s="60"/>
      <c r="I105" s="60"/>
      <c r="J105" s="60"/>
      <c r="K105" s="60"/>
      <c r="L105" s="60"/>
      <c r="M105" s="60"/>
      <c r="N105" s="60"/>
      <c r="O105" s="60"/>
      <c r="P105" s="60"/>
      <c r="Q105" s="60"/>
      <c r="R105" s="60"/>
      <c r="S105" s="60"/>
      <c r="T105" s="60"/>
      <c r="U105" s="60"/>
      <c r="V105" s="60"/>
      <c r="W105" s="60"/>
    </row>
    <row r="106" ht="40.15" customHeight="1">
      <c r="A106" s="60"/>
      <c r="B106" s="61"/>
      <c r="C106" s="61"/>
      <c r="D106" s="61"/>
      <c r="E106" s="61"/>
      <c r="F106" s="61"/>
      <c r="G106" s="77"/>
      <c r="H106" s="60"/>
      <c r="I106" s="60"/>
      <c r="J106" s="60"/>
      <c r="K106" s="60"/>
      <c r="L106" s="60"/>
      <c r="M106" s="60"/>
      <c r="N106" s="60"/>
      <c r="O106" s="60"/>
      <c r="P106" s="60"/>
      <c r="Q106" s="60"/>
      <c r="R106" s="60"/>
      <c r="S106" s="60"/>
      <c r="T106" s="60"/>
      <c r="U106" s="60"/>
      <c r="V106" s="60"/>
      <c r="W106" s="60"/>
    </row>
    <row r="107" ht="40.15" customHeight="1">
      <c r="A107" s="60"/>
      <c r="B107" s="61"/>
      <c r="C107" s="61"/>
      <c r="D107" s="61"/>
      <c r="E107" s="61"/>
      <c r="F107" s="61"/>
      <c r="G107" s="77"/>
      <c r="H107" s="60"/>
      <c r="I107" s="60"/>
      <c r="J107" s="60"/>
      <c r="K107" s="60"/>
      <c r="L107" s="60"/>
      <c r="M107" s="60"/>
      <c r="N107" s="60"/>
      <c r="O107" s="60"/>
      <c r="P107" s="60"/>
      <c r="Q107" s="60"/>
      <c r="R107" s="60"/>
      <c r="S107" s="60"/>
      <c r="T107" s="60"/>
      <c r="U107" s="60"/>
      <c r="V107" s="60"/>
      <c r="W107" s="60"/>
    </row>
    <row r="108" ht="40.15" customHeight="1">
      <c r="A108" s="60"/>
      <c r="B108" s="61"/>
      <c r="C108" s="61"/>
      <c r="D108" s="61"/>
      <c r="E108" s="61"/>
      <c r="F108" s="61"/>
      <c r="G108" s="77"/>
      <c r="H108" s="60"/>
      <c r="I108" s="60"/>
      <c r="J108" s="60"/>
      <c r="K108" s="60"/>
      <c r="L108" s="60"/>
      <c r="M108" s="60"/>
      <c r="N108" s="60"/>
      <c r="O108" s="60"/>
      <c r="P108" s="60"/>
      <c r="Q108" s="60"/>
      <c r="R108" s="60"/>
      <c r="S108" s="60"/>
      <c r="T108" s="60"/>
      <c r="U108" s="60"/>
      <c r="V108" s="60"/>
      <c r="W108" s="60"/>
    </row>
    <row r="109" ht="40.15" customHeight="1">
      <c r="A109" s="60"/>
      <c r="B109" s="61"/>
      <c r="C109" s="61"/>
      <c r="D109" s="61"/>
      <c r="E109" s="61"/>
      <c r="F109" s="61"/>
      <c r="G109" s="77"/>
      <c r="H109" s="60"/>
      <c r="I109" s="60"/>
      <c r="J109" s="60"/>
      <c r="K109" s="60"/>
      <c r="L109" s="60"/>
      <c r="M109" s="60"/>
      <c r="N109" s="60"/>
      <c r="O109" s="60"/>
      <c r="P109" s="60"/>
      <c r="Q109" s="60"/>
      <c r="R109" s="60"/>
      <c r="S109" s="60"/>
      <c r="T109" s="60"/>
      <c r="U109" s="60"/>
      <c r="V109" s="60"/>
      <c r="W109" s="60"/>
    </row>
    <row r="110" ht="40.15" customHeight="1">
      <c r="A110" s="60"/>
      <c r="B110" s="61"/>
      <c r="C110" s="61"/>
      <c r="D110" s="61"/>
      <c r="E110" s="61"/>
      <c r="F110" s="61"/>
      <c r="G110" s="77"/>
      <c r="H110" s="60"/>
      <c r="I110" s="60"/>
      <c r="J110" s="60"/>
      <c r="K110" s="60"/>
      <c r="L110" s="60"/>
      <c r="M110" s="60"/>
      <c r="N110" s="60"/>
      <c r="O110" s="60"/>
      <c r="P110" s="60"/>
      <c r="Q110" s="60"/>
      <c r="R110" s="60"/>
      <c r="S110" s="60"/>
      <c r="T110" s="60"/>
      <c r="U110" s="60"/>
      <c r="V110" s="60"/>
      <c r="W110" s="60"/>
    </row>
    <row r="111" ht="40.15" customHeight="1">
      <c r="A111" s="60"/>
      <c r="B111" s="61"/>
      <c r="C111" s="61"/>
      <c r="D111" s="61"/>
      <c r="E111" s="61"/>
      <c r="F111" s="61"/>
      <c r="G111" s="77"/>
      <c r="H111" s="60"/>
      <c r="I111" s="60"/>
      <c r="J111" s="60"/>
      <c r="K111" s="60"/>
      <c r="L111" s="60"/>
      <c r="M111" s="60"/>
      <c r="N111" s="60"/>
      <c r="O111" s="60"/>
      <c r="P111" s="60"/>
      <c r="Q111" s="60"/>
      <c r="R111" s="60"/>
      <c r="S111" s="60"/>
      <c r="T111" s="60"/>
      <c r="U111" s="60"/>
      <c r="V111" s="60"/>
      <c r="W111" s="60"/>
    </row>
    <row r="112" ht="40.15" customHeight="1">
      <c r="A112" s="60"/>
      <c r="B112" s="61"/>
      <c r="C112" s="61"/>
      <c r="D112" s="61"/>
      <c r="E112" s="61"/>
      <c r="F112" s="61"/>
      <c r="G112" s="77"/>
      <c r="H112" s="60"/>
      <c r="I112" s="60"/>
      <c r="J112" s="60"/>
      <c r="K112" s="60"/>
      <c r="L112" s="60"/>
      <c r="M112" s="60"/>
      <c r="N112" s="60"/>
      <c r="O112" s="60"/>
      <c r="P112" s="60"/>
      <c r="Q112" s="60"/>
      <c r="R112" s="60"/>
      <c r="S112" s="60"/>
      <c r="T112" s="60"/>
      <c r="U112" s="60"/>
      <c r="V112" s="60"/>
      <c r="W112" s="60"/>
    </row>
    <row r="113" ht="40.15" customHeight="1">
      <c r="A113" s="60"/>
      <c r="G113" s="60"/>
      <c r="H113" s="60"/>
      <c r="I113" s="60"/>
      <c r="J113" s="60"/>
      <c r="K113" s="60"/>
      <c r="L113" s="60"/>
      <c r="M113" s="60"/>
      <c r="N113" s="60"/>
      <c r="O113" s="60"/>
      <c r="P113" s="60"/>
      <c r="Q113" s="60"/>
      <c r="R113" s="60"/>
      <c r="S113" s="60"/>
      <c r="T113" s="60"/>
      <c r="U113" s="60"/>
      <c r="V113" s="60"/>
      <c r="W113" s="60"/>
    </row>
    <row r="114" ht="40.15" customHeight="1">
      <c r="A114" s="60"/>
      <c r="G114" s="60"/>
      <c r="H114" s="60"/>
      <c r="I114" s="60"/>
      <c r="J114" s="60"/>
      <c r="K114" s="60"/>
      <c r="L114" s="60"/>
      <c r="M114" s="60"/>
      <c r="N114" s="60"/>
      <c r="O114" s="60"/>
      <c r="P114" s="60"/>
      <c r="Q114" s="60"/>
      <c r="R114" s="60"/>
      <c r="S114" s="60"/>
      <c r="T114" s="60"/>
      <c r="U114" s="60"/>
      <c r="V114" s="60"/>
      <c r="W114" s="60"/>
    </row>
    <row r="115" ht="40.15" customHeight="1">
      <c r="A115" s="60"/>
      <c r="G115" s="60"/>
      <c r="H115" s="60"/>
      <c r="I115" s="60"/>
      <c r="J115" s="60"/>
      <c r="K115" s="60"/>
      <c r="L115" s="60"/>
      <c r="M115" s="60"/>
      <c r="N115" s="60"/>
      <c r="O115" s="60"/>
      <c r="P115" s="60"/>
      <c r="Q115" s="60"/>
      <c r="R115" s="60"/>
      <c r="S115" s="60"/>
      <c r="T115" s="60"/>
      <c r="U115" s="60"/>
      <c r="V115" s="60"/>
      <c r="W115" s="60"/>
    </row>
    <row r="116" ht="40.15" customHeight="1">
      <c r="A116" s="60"/>
      <c r="G116" s="60"/>
      <c r="H116" s="60"/>
      <c r="I116" s="60"/>
      <c r="J116" s="60"/>
      <c r="K116" s="60"/>
      <c r="L116" s="60"/>
      <c r="M116" s="60"/>
      <c r="N116" s="60"/>
      <c r="O116" s="60"/>
      <c r="P116" s="60"/>
      <c r="Q116" s="60"/>
      <c r="R116" s="60"/>
      <c r="S116" s="60"/>
      <c r="T116" s="60"/>
      <c r="U116" s="60"/>
      <c r="V116" s="60"/>
      <c r="W116" s="60"/>
    </row>
    <row r="117" ht="40.15" customHeight="1">
      <c r="A117" s="60"/>
      <c r="G117" s="60"/>
      <c r="H117" s="60"/>
      <c r="I117" s="60"/>
      <c r="J117" s="60"/>
      <c r="K117" s="60"/>
      <c r="L117" s="60"/>
      <c r="M117" s="60"/>
      <c r="N117" s="60"/>
      <c r="O117" s="60"/>
      <c r="P117" s="60"/>
      <c r="Q117" s="60"/>
      <c r="R117" s="60"/>
      <c r="S117" s="60"/>
      <c r="T117" s="60"/>
      <c r="U117" s="60"/>
      <c r="V117" s="60"/>
      <c r="W117" s="60"/>
    </row>
    <row r="118" ht="40.15" customHeight="1">
      <c r="A118" s="60"/>
      <c r="G118" s="60"/>
      <c r="H118" s="60"/>
      <c r="I118" s="60"/>
      <c r="J118" s="60"/>
      <c r="K118" s="60"/>
      <c r="L118" s="60"/>
      <c r="M118" s="60"/>
      <c r="N118" s="60"/>
      <c r="O118" s="60"/>
      <c r="P118" s="60"/>
      <c r="Q118" s="60"/>
      <c r="R118" s="60"/>
      <c r="S118" s="60"/>
      <c r="T118" s="60"/>
      <c r="U118" s="60"/>
      <c r="V118" s="60"/>
      <c r="W118" s="60"/>
    </row>
    <row r="119" ht="40.15" customHeight="1">
      <c r="A119" s="60"/>
      <c r="G119" s="60"/>
      <c r="H119" s="60"/>
      <c r="I119" s="60"/>
      <c r="J119" s="60"/>
      <c r="K119" s="60"/>
      <c r="L119" s="60"/>
      <c r="M119" s="60"/>
      <c r="N119" s="60"/>
      <c r="O119" s="60"/>
      <c r="P119" s="60"/>
      <c r="Q119" s="60"/>
      <c r="R119" s="60"/>
      <c r="S119" s="60"/>
      <c r="T119" s="60"/>
      <c r="U119" s="60"/>
      <c r="V119" s="60"/>
      <c r="W119" s="60"/>
    </row>
    <row r="120" ht="40.15" customHeight="1">
      <c r="A120" s="60"/>
      <c r="G120" s="60"/>
      <c r="H120" s="60"/>
      <c r="I120" s="60"/>
      <c r="J120" s="60"/>
      <c r="K120" s="60"/>
      <c r="L120" s="60"/>
      <c r="M120" s="60"/>
      <c r="N120" s="60"/>
      <c r="O120" s="60"/>
      <c r="P120" s="60"/>
      <c r="Q120" s="60"/>
      <c r="R120" s="60"/>
      <c r="S120" s="60"/>
      <c r="T120" s="60"/>
      <c r="U120" s="60"/>
      <c r="V120" s="60"/>
      <c r="W120" s="60"/>
    </row>
    <row r="121" ht="40.15" customHeight="1">
      <c r="A121" s="60"/>
      <c r="G121" s="60"/>
      <c r="H121" s="60"/>
      <c r="I121" s="60"/>
      <c r="J121" s="60"/>
      <c r="K121" s="60"/>
      <c r="L121" s="60"/>
      <c r="M121" s="60"/>
      <c r="N121" s="60"/>
      <c r="O121" s="60"/>
      <c r="P121" s="60"/>
      <c r="Q121" s="60"/>
      <c r="R121" s="60"/>
      <c r="S121" s="60"/>
      <c r="T121" s="60"/>
      <c r="U121" s="60"/>
      <c r="V121" s="60"/>
      <c r="W121" s="60"/>
    </row>
    <row r="122" ht="40.15" customHeight="1">
      <c r="A122" s="60"/>
      <c r="G122" s="60"/>
      <c r="H122" s="60"/>
      <c r="I122" s="60"/>
      <c r="J122" s="60"/>
      <c r="K122" s="60"/>
      <c r="L122" s="60"/>
      <c r="M122" s="60"/>
      <c r="N122" s="60"/>
      <c r="O122" s="60"/>
      <c r="P122" s="60"/>
      <c r="Q122" s="60"/>
      <c r="R122" s="60"/>
      <c r="S122" s="60"/>
      <c r="T122" s="60"/>
      <c r="U122" s="60"/>
      <c r="V122" s="60"/>
      <c r="W122" s="60"/>
    </row>
    <row r="123" ht="40.15" customHeight="1">
      <c r="A123" s="60"/>
      <c r="G123" s="60"/>
      <c r="H123" s="60"/>
      <c r="I123" s="60"/>
      <c r="J123" s="60"/>
      <c r="K123" s="60"/>
      <c r="L123" s="60"/>
      <c r="M123" s="60"/>
      <c r="N123" s="60"/>
      <c r="O123" s="60"/>
      <c r="P123" s="60"/>
      <c r="Q123" s="60"/>
      <c r="R123" s="60"/>
      <c r="S123" s="60"/>
      <c r="T123" s="60"/>
      <c r="U123" s="60"/>
      <c r="V123" s="60"/>
      <c r="W123" s="60"/>
    </row>
    <row r="124" ht="40.15" customHeight="1">
      <c r="A124" s="60"/>
      <c r="G124" s="60"/>
      <c r="H124" s="60"/>
      <c r="I124" s="60"/>
      <c r="J124" s="60"/>
      <c r="K124" s="60"/>
      <c r="L124" s="60"/>
      <c r="M124" s="60"/>
      <c r="N124" s="60"/>
      <c r="O124" s="60"/>
      <c r="P124" s="60"/>
      <c r="Q124" s="60"/>
      <c r="R124" s="60"/>
      <c r="S124" s="60"/>
      <c r="T124" s="60"/>
      <c r="U124" s="60"/>
      <c r="V124" s="60"/>
      <c r="W124" s="60"/>
    </row>
    <row r="125" ht="40.15" customHeight="1">
      <c r="A125" s="60"/>
      <c r="G125" s="60"/>
      <c r="H125" s="60"/>
      <c r="I125" s="60"/>
      <c r="J125" s="60"/>
      <c r="K125" s="60"/>
      <c r="L125" s="60"/>
      <c r="M125" s="60"/>
      <c r="N125" s="60"/>
      <c r="O125" s="60"/>
      <c r="P125" s="60"/>
      <c r="Q125" s="60"/>
      <c r="R125" s="60"/>
      <c r="S125" s="60"/>
      <c r="T125" s="60"/>
      <c r="U125" s="60"/>
      <c r="V125" s="60"/>
      <c r="W125" s="60"/>
    </row>
    <row r="126" ht="40.15" customHeight="1">
      <c r="A126" s="60"/>
      <c r="G126" s="60"/>
      <c r="H126" s="60"/>
      <c r="I126" s="60"/>
      <c r="J126" s="60"/>
      <c r="K126" s="60"/>
      <c r="L126" s="60"/>
      <c r="M126" s="60"/>
      <c r="N126" s="60"/>
      <c r="O126" s="60"/>
      <c r="P126" s="60"/>
      <c r="Q126" s="60"/>
      <c r="R126" s="60"/>
      <c r="S126" s="60"/>
      <c r="T126" s="60"/>
      <c r="U126" s="60"/>
      <c r="V126" s="60"/>
      <c r="W126" s="60"/>
    </row>
    <row r="127" ht="40.15" customHeight="1">
      <c r="A127" s="60"/>
      <c r="G127" s="60"/>
      <c r="H127" s="60"/>
      <c r="I127" s="60"/>
      <c r="J127" s="60"/>
      <c r="K127" s="60"/>
      <c r="L127" s="60"/>
      <c r="M127" s="60"/>
      <c r="N127" s="60"/>
      <c r="O127" s="60"/>
      <c r="P127" s="60"/>
      <c r="Q127" s="60"/>
      <c r="R127" s="60"/>
      <c r="S127" s="60"/>
      <c r="T127" s="60"/>
      <c r="U127" s="60"/>
      <c r="V127" s="60"/>
      <c r="W127" s="60"/>
    </row>
    <row r="128" ht="40.15" customHeight="1">
      <c r="A128" s="60"/>
      <c r="G128" s="60"/>
      <c r="H128" s="60"/>
      <c r="I128" s="60"/>
      <c r="J128" s="60"/>
      <c r="K128" s="60"/>
      <c r="L128" s="60"/>
      <c r="M128" s="60"/>
      <c r="N128" s="60"/>
      <c r="O128" s="60"/>
      <c r="P128" s="60"/>
      <c r="Q128" s="60"/>
      <c r="R128" s="60"/>
      <c r="S128" s="60"/>
      <c r="T128" s="60"/>
      <c r="U128" s="60"/>
      <c r="V128" s="60"/>
      <c r="W128" s="60"/>
    </row>
    <row r="129" ht="40.15" customHeight="1">
      <c r="A129" s="60"/>
      <c r="G129" s="60"/>
      <c r="H129" s="60"/>
      <c r="I129" s="60"/>
      <c r="J129" s="60"/>
      <c r="K129" s="60"/>
      <c r="L129" s="60"/>
      <c r="M129" s="60"/>
      <c r="N129" s="60"/>
      <c r="O129" s="60"/>
      <c r="P129" s="60"/>
      <c r="Q129" s="60"/>
      <c r="R129" s="60"/>
      <c r="S129" s="60"/>
      <c r="T129" s="60"/>
      <c r="U129" s="60"/>
      <c r="V129" s="60"/>
      <c r="W129" s="60"/>
    </row>
    <row r="130" ht="40.15" customHeight="1">
      <c r="A130" s="60"/>
      <c r="G130" s="60"/>
      <c r="H130" s="60"/>
      <c r="I130" s="60"/>
      <c r="J130" s="60"/>
      <c r="K130" s="60"/>
      <c r="L130" s="60"/>
      <c r="M130" s="60"/>
      <c r="N130" s="60"/>
      <c r="O130" s="60"/>
      <c r="P130" s="60"/>
      <c r="Q130" s="60"/>
      <c r="R130" s="60"/>
      <c r="S130" s="60"/>
      <c r="T130" s="60"/>
      <c r="U130" s="60"/>
      <c r="V130" s="60"/>
      <c r="W130" s="60"/>
    </row>
    <row r="131" ht="40.15" customHeight="1">
      <c r="A131" s="60"/>
      <c r="G131" s="60"/>
      <c r="H131" s="60"/>
      <c r="I131" s="60"/>
      <c r="J131" s="60"/>
      <c r="K131" s="60"/>
      <c r="L131" s="60"/>
      <c r="M131" s="60"/>
      <c r="N131" s="60"/>
      <c r="O131" s="60"/>
      <c r="P131" s="60"/>
      <c r="Q131" s="60"/>
      <c r="R131" s="60"/>
      <c r="S131" s="60"/>
      <c r="T131" s="60"/>
      <c r="U131" s="60"/>
      <c r="V131" s="60"/>
      <c r="W131" s="60"/>
    </row>
    <row r="132" ht="40.15" customHeight="1">
      <c r="A132" s="60"/>
      <c r="G132" s="60"/>
      <c r="H132" s="60"/>
      <c r="I132" s="60"/>
      <c r="J132" s="60"/>
      <c r="K132" s="60"/>
      <c r="L132" s="60"/>
      <c r="M132" s="60"/>
      <c r="N132" s="60"/>
      <c r="O132" s="60"/>
      <c r="P132" s="60"/>
      <c r="Q132" s="60"/>
      <c r="R132" s="60"/>
      <c r="S132" s="60"/>
      <c r="T132" s="60"/>
      <c r="U132" s="60"/>
      <c r="V132" s="60"/>
      <c r="W132" s="60"/>
    </row>
    <row r="133" ht="40.15" customHeight="1">
      <c r="A133" s="60"/>
      <c r="G133" s="60"/>
      <c r="H133" s="60"/>
      <c r="I133" s="60"/>
      <c r="J133" s="60"/>
      <c r="K133" s="60"/>
      <c r="L133" s="60"/>
      <c r="M133" s="60"/>
      <c r="N133" s="60"/>
      <c r="O133" s="60"/>
      <c r="P133" s="60"/>
      <c r="Q133" s="60"/>
      <c r="R133" s="60"/>
      <c r="S133" s="60"/>
      <c r="T133" s="60"/>
      <c r="U133" s="60"/>
      <c r="V133" s="60"/>
      <c r="W133" s="60"/>
    </row>
    <row r="134" ht="40.15" customHeight="1">
      <c r="A134" s="60"/>
      <c r="G134" s="60"/>
      <c r="H134" s="60"/>
      <c r="I134" s="60"/>
      <c r="J134" s="60"/>
      <c r="K134" s="60"/>
      <c r="L134" s="60"/>
      <c r="M134" s="60"/>
      <c r="N134" s="60"/>
      <c r="O134" s="60"/>
      <c r="P134" s="60"/>
      <c r="Q134" s="60"/>
      <c r="R134" s="60"/>
      <c r="S134" s="60"/>
      <c r="T134" s="60"/>
      <c r="U134" s="60"/>
      <c r="V134" s="60"/>
      <c r="W134" s="60"/>
    </row>
    <row r="135" ht="40.15" customHeight="1">
      <c r="A135" s="60"/>
      <c r="G135" s="60"/>
      <c r="H135" s="60"/>
      <c r="I135" s="60"/>
      <c r="J135" s="60"/>
      <c r="K135" s="60"/>
      <c r="L135" s="60"/>
      <c r="M135" s="60"/>
      <c r="N135" s="60"/>
      <c r="O135" s="60"/>
      <c r="P135" s="60"/>
      <c r="Q135" s="60"/>
      <c r="R135" s="60"/>
      <c r="S135" s="60"/>
      <c r="T135" s="60"/>
      <c r="U135" s="60"/>
      <c r="V135" s="60"/>
      <c r="W135" s="60"/>
    </row>
    <row r="136" ht="40.15" customHeight="1">
      <c r="A136" s="60"/>
      <c r="G136" s="60"/>
      <c r="H136" s="60"/>
      <c r="I136" s="60"/>
      <c r="J136" s="60"/>
      <c r="K136" s="60"/>
      <c r="L136" s="60"/>
      <c r="M136" s="60"/>
      <c r="N136" s="60"/>
      <c r="O136" s="60"/>
      <c r="P136" s="60"/>
      <c r="Q136" s="60"/>
      <c r="R136" s="60"/>
      <c r="S136" s="60"/>
      <c r="T136" s="60"/>
      <c r="U136" s="60"/>
      <c r="V136" s="60"/>
      <c r="W136" s="60"/>
    </row>
    <row r="137" ht="40.15" customHeight="1">
      <c r="A137" s="60"/>
      <c r="G137" s="60"/>
      <c r="H137" s="60"/>
      <c r="I137" s="60"/>
      <c r="J137" s="60"/>
      <c r="K137" s="60"/>
      <c r="L137" s="60"/>
      <c r="M137" s="60"/>
      <c r="N137" s="60"/>
      <c r="O137" s="60"/>
      <c r="P137" s="60"/>
      <c r="Q137" s="60"/>
      <c r="R137" s="60"/>
      <c r="S137" s="60"/>
      <c r="T137" s="60"/>
      <c r="U137" s="60"/>
      <c r="V137" s="60"/>
      <c r="W137" s="60"/>
    </row>
    <row r="138" ht="40.15" customHeight="1">
      <c r="A138" s="60"/>
      <c r="G138" s="60"/>
      <c r="H138" s="60"/>
      <c r="I138" s="60"/>
      <c r="J138" s="60"/>
      <c r="K138" s="60"/>
      <c r="L138" s="60"/>
      <c r="M138" s="60"/>
      <c r="N138" s="60"/>
      <c r="O138" s="60"/>
      <c r="P138" s="60"/>
      <c r="Q138" s="60"/>
      <c r="R138" s="60"/>
      <c r="S138" s="60"/>
      <c r="T138" s="60"/>
      <c r="U138" s="60"/>
      <c r="V138" s="60"/>
      <c r="W138" s="60"/>
    </row>
    <row r="139" ht="40.15" customHeight="1">
      <c r="A139" s="60"/>
      <c r="G139" s="60"/>
      <c r="H139" s="60"/>
      <c r="I139" s="60"/>
      <c r="J139" s="60"/>
      <c r="K139" s="60"/>
      <c r="L139" s="60"/>
      <c r="M139" s="60"/>
      <c r="N139" s="60"/>
      <c r="O139" s="60"/>
      <c r="P139" s="60"/>
      <c r="Q139" s="60"/>
      <c r="R139" s="60"/>
      <c r="S139" s="60"/>
      <c r="T139" s="60"/>
      <c r="U139" s="60"/>
      <c r="V139" s="60"/>
      <c r="W139" s="60"/>
    </row>
    <row r="140" ht="40.15" customHeight="1">
      <c r="A140" s="60"/>
      <c r="G140" s="60"/>
      <c r="H140" s="60"/>
      <c r="I140" s="60"/>
      <c r="J140" s="60"/>
      <c r="K140" s="60"/>
      <c r="L140" s="60"/>
      <c r="M140" s="60"/>
      <c r="N140" s="60"/>
      <c r="O140" s="60"/>
      <c r="P140" s="60"/>
      <c r="Q140" s="60"/>
      <c r="R140" s="60"/>
      <c r="S140" s="60"/>
      <c r="T140" s="60"/>
      <c r="U140" s="60"/>
      <c r="V140" s="60"/>
      <c r="W140" s="60"/>
    </row>
    <row r="141" ht="40.15" customHeight="1">
      <c r="A141" s="60"/>
      <c r="G141" s="60"/>
      <c r="H141" s="60"/>
      <c r="I141" s="60"/>
      <c r="J141" s="60"/>
      <c r="K141" s="60"/>
      <c r="L141" s="60"/>
      <c r="M141" s="60"/>
      <c r="N141" s="60"/>
      <c r="O141" s="60"/>
      <c r="P141" s="60"/>
      <c r="Q141" s="60"/>
      <c r="R141" s="60"/>
      <c r="S141" s="60"/>
      <c r="T141" s="60"/>
      <c r="U141" s="60"/>
      <c r="V141" s="60"/>
      <c r="W141" s="60"/>
    </row>
    <row r="142" ht="40.15" customHeight="1">
      <c r="A142" s="60"/>
      <c r="G142" s="60"/>
      <c r="H142" s="60"/>
      <c r="I142" s="60"/>
      <c r="J142" s="60"/>
      <c r="K142" s="60"/>
      <c r="L142" s="60"/>
      <c r="M142" s="60"/>
      <c r="N142" s="60"/>
      <c r="O142" s="60"/>
      <c r="P142" s="60"/>
      <c r="Q142" s="60"/>
      <c r="R142" s="60"/>
      <c r="S142" s="60"/>
      <c r="T142" s="60"/>
      <c r="U142" s="60"/>
      <c r="V142" s="60"/>
      <c r="W142" s="60"/>
    </row>
    <row r="143" ht="40.15" customHeight="1">
      <c r="A143" s="60"/>
      <c r="G143" s="60"/>
      <c r="H143" s="60"/>
      <c r="I143" s="60"/>
      <c r="J143" s="60"/>
      <c r="K143" s="60"/>
      <c r="L143" s="60"/>
      <c r="M143" s="60"/>
      <c r="N143" s="60"/>
      <c r="O143" s="60"/>
      <c r="P143" s="60"/>
      <c r="Q143" s="60"/>
      <c r="R143" s="60"/>
      <c r="S143" s="60"/>
      <c r="T143" s="60"/>
      <c r="U143" s="60"/>
      <c r="V143" s="60"/>
      <c r="W143" s="60"/>
    </row>
    <row r="144" ht="40.15" customHeight="1">
      <c r="A144" s="60"/>
      <c r="G144" s="60"/>
      <c r="H144" s="60"/>
      <c r="I144" s="60"/>
      <c r="J144" s="60"/>
      <c r="K144" s="60"/>
      <c r="L144" s="60"/>
      <c r="M144" s="60"/>
      <c r="N144" s="60"/>
      <c r="O144" s="60"/>
      <c r="P144" s="60"/>
      <c r="Q144" s="60"/>
      <c r="R144" s="60"/>
      <c r="S144" s="60"/>
      <c r="T144" s="60"/>
      <c r="U144" s="60"/>
      <c r="V144" s="60"/>
      <c r="W144" s="60"/>
    </row>
    <row r="145" ht="40.15" customHeight="1">
      <c r="A145" s="60"/>
      <c r="G145" s="60"/>
      <c r="H145" s="60"/>
      <c r="I145" s="60"/>
      <c r="J145" s="60"/>
      <c r="K145" s="60"/>
      <c r="L145" s="60"/>
      <c r="M145" s="60"/>
      <c r="N145" s="60"/>
      <c r="O145" s="60"/>
      <c r="P145" s="60"/>
      <c r="Q145" s="60"/>
      <c r="R145" s="60"/>
      <c r="S145" s="60"/>
      <c r="T145" s="60"/>
      <c r="U145" s="60"/>
      <c r="V145" s="60"/>
      <c r="W145" s="60"/>
    </row>
    <row r="146" ht="40.15" customHeight="1">
      <c r="A146" s="60"/>
      <c r="G146" s="60"/>
      <c r="H146" s="60"/>
      <c r="I146" s="60"/>
      <c r="J146" s="60"/>
      <c r="K146" s="60"/>
      <c r="L146" s="60"/>
      <c r="M146" s="60"/>
      <c r="N146" s="60"/>
      <c r="O146" s="60"/>
      <c r="P146" s="60"/>
      <c r="Q146" s="60"/>
      <c r="R146" s="60"/>
      <c r="S146" s="60"/>
      <c r="T146" s="60"/>
      <c r="U146" s="60"/>
      <c r="V146" s="60"/>
      <c r="W146" s="60"/>
    </row>
    <row r="147" ht="40.15" customHeight="1">
      <c r="A147" s="60"/>
      <c r="G147" s="60"/>
      <c r="H147" s="60"/>
      <c r="I147" s="60"/>
      <c r="J147" s="60"/>
      <c r="K147" s="60"/>
      <c r="L147" s="60"/>
      <c r="M147" s="60"/>
      <c r="N147" s="60"/>
      <c r="O147" s="60"/>
      <c r="P147" s="60"/>
      <c r="Q147" s="60"/>
      <c r="R147" s="60"/>
      <c r="S147" s="60"/>
      <c r="T147" s="60"/>
      <c r="U147" s="60"/>
      <c r="V147" s="60"/>
      <c r="W147" s="60"/>
    </row>
    <row r="148" ht="40.15" customHeight="1">
      <c r="A148" s="60"/>
      <c r="G148" s="60"/>
      <c r="H148" s="60"/>
      <c r="I148" s="60"/>
      <c r="J148" s="60"/>
      <c r="K148" s="60"/>
      <c r="L148" s="60"/>
      <c r="M148" s="60"/>
      <c r="N148" s="60"/>
      <c r="O148" s="60"/>
      <c r="P148" s="60"/>
      <c r="Q148" s="60"/>
      <c r="R148" s="60"/>
      <c r="S148" s="60"/>
      <c r="T148" s="60"/>
      <c r="U148" s="60"/>
      <c r="V148" s="60"/>
      <c r="W148" s="60"/>
    </row>
    <row r="149" ht="40.15" customHeight="1">
      <c r="A149" s="60"/>
      <c r="G149" s="60"/>
      <c r="H149" s="60"/>
      <c r="I149" s="60"/>
      <c r="J149" s="60"/>
      <c r="K149" s="60"/>
      <c r="L149" s="60"/>
      <c r="M149" s="60"/>
      <c r="N149" s="60"/>
      <c r="O149" s="60"/>
      <c r="P149" s="60"/>
      <c r="Q149" s="60"/>
      <c r="R149" s="60"/>
      <c r="S149" s="60"/>
      <c r="T149" s="60"/>
      <c r="U149" s="60"/>
      <c r="V149" s="60"/>
      <c r="W149" s="60"/>
    </row>
    <row r="150" ht="40.15" customHeight="1">
      <c r="A150" s="60"/>
      <c r="G150" s="60"/>
      <c r="H150" s="60"/>
      <c r="I150" s="60"/>
      <c r="J150" s="60"/>
      <c r="K150" s="60"/>
      <c r="L150" s="60"/>
      <c r="M150" s="60"/>
      <c r="N150" s="60"/>
      <c r="O150" s="60"/>
      <c r="P150" s="60"/>
      <c r="Q150" s="60"/>
      <c r="R150" s="60"/>
      <c r="S150" s="60"/>
      <c r="T150" s="60"/>
      <c r="U150" s="60"/>
      <c r="V150" s="60"/>
      <c r="W150" s="60"/>
    </row>
    <row r="151" ht="40.15" customHeight="1">
      <c r="A151" s="60"/>
      <c r="G151" s="60"/>
      <c r="H151" s="60"/>
      <c r="I151" s="60"/>
      <c r="J151" s="60"/>
      <c r="K151" s="60"/>
      <c r="L151" s="60"/>
      <c r="M151" s="60"/>
      <c r="N151" s="60"/>
      <c r="O151" s="60"/>
      <c r="P151" s="60"/>
      <c r="Q151" s="60"/>
      <c r="R151" s="60"/>
      <c r="S151" s="60"/>
      <c r="T151" s="60"/>
      <c r="U151" s="60"/>
      <c r="V151" s="60"/>
      <c r="W151" s="60"/>
    </row>
    <row r="152" ht="40.15" customHeight="1">
      <c r="A152" s="60"/>
      <c r="G152" s="60"/>
      <c r="H152" s="60"/>
      <c r="I152" s="60"/>
      <c r="J152" s="60"/>
      <c r="K152" s="60"/>
      <c r="L152" s="60"/>
      <c r="M152" s="60"/>
      <c r="N152" s="60"/>
      <c r="O152" s="60"/>
      <c r="P152" s="60"/>
      <c r="Q152" s="60"/>
      <c r="R152" s="60"/>
      <c r="S152" s="60"/>
      <c r="T152" s="60"/>
      <c r="U152" s="60"/>
      <c r="V152" s="60"/>
      <c r="W152" s="60"/>
    </row>
    <row r="153" ht="40.15" customHeight="1">
      <c r="A153" s="60"/>
      <c r="G153" s="60"/>
      <c r="H153" s="60"/>
      <c r="I153" s="60"/>
      <c r="J153" s="60"/>
      <c r="K153" s="60"/>
      <c r="L153" s="60"/>
      <c r="M153" s="60"/>
      <c r="N153" s="60"/>
      <c r="O153" s="60"/>
      <c r="P153" s="60"/>
      <c r="Q153" s="60"/>
      <c r="R153" s="60"/>
      <c r="S153" s="60"/>
      <c r="T153" s="60"/>
      <c r="U153" s="60"/>
      <c r="V153" s="60"/>
      <c r="W153" s="60"/>
    </row>
    <row r="154" ht="40.15" customHeight="1">
      <c r="A154" s="60"/>
      <c r="G154" s="60"/>
      <c r="H154" s="60"/>
      <c r="I154" s="60"/>
      <c r="J154" s="60"/>
      <c r="K154" s="60"/>
      <c r="L154" s="60"/>
      <c r="M154" s="60"/>
      <c r="N154" s="60"/>
      <c r="O154" s="60"/>
      <c r="P154" s="60"/>
      <c r="Q154" s="60"/>
      <c r="R154" s="60"/>
      <c r="S154" s="60"/>
      <c r="T154" s="60"/>
      <c r="U154" s="60"/>
      <c r="V154" s="60"/>
      <c r="W154" s="60"/>
    </row>
    <row r="155" ht="40.15" customHeight="1">
      <c r="A155" s="60"/>
      <c r="G155" s="60"/>
      <c r="H155" s="60"/>
      <c r="I155" s="60"/>
      <c r="J155" s="60"/>
      <c r="K155" s="60"/>
      <c r="L155" s="60"/>
      <c r="M155" s="60"/>
      <c r="N155" s="60"/>
      <c r="O155" s="60"/>
      <c r="P155" s="60"/>
      <c r="Q155" s="60"/>
      <c r="R155" s="60"/>
      <c r="S155" s="60"/>
      <c r="T155" s="60"/>
      <c r="U155" s="60"/>
      <c r="V155" s="60"/>
      <c r="W155" s="60"/>
    </row>
    <row r="156" ht="40.15" customHeight="1">
      <c r="A156" s="60"/>
      <c r="G156" s="60"/>
      <c r="H156" s="60"/>
      <c r="I156" s="60"/>
      <c r="J156" s="60"/>
      <c r="K156" s="60"/>
      <c r="L156" s="60"/>
      <c r="M156" s="60"/>
      <c r="N156" s="60"/>
      <c r="O156" s="60"/>
      <c r="P156" s="60"/>
      <c r="Q156" s="60"/>
      <c r="R156" s="60"/>
      <c r="S156" s="60"/>
      <c r="T156" s="60"/>
      <c r="U156" s="60"/>
      <c r="V156" s="60"/>
      <c r="W156" s="60"/>
    </row>
    <row r="157" ht="40.15" customHeight="1">
      <c r="A157" s="60"/>
      <c r="G157" s="60"/>
      <c r="H157" s="60"/>
      <c r="I157" s="60"/>
      <c r="J157" s="60"/>
      <c r="K157" s="60"/>
      <c r="L157" s="60"/>
      <c r="M157" s="60"/>
      <c r="N157" s="60"/>
      <c r="O157" s="60"/>
      <c r="P157" s="60"/>
      <c r="Q157" s="60"/>
      <c r="R157" s="60"/>
      <c r="S157" s="60"/>
      <c r="T157" s="60"/>
      <c r="U157" s="60"/>
      <c r="V157" s="60"/>
      <c r="W157" s="60"/>
    </row>
    <row r="158" ht="40.15" customHeight="1">
      <c r="A158" s="60"/>
      <c r="G158" s="60"/>
      <c r="H158" s="60"/>
      <c r="I158" s="60"/>
      <c r="J158" s="60"/>
      <c r="K158" s="60"/>
      <c r="L158" s="60"/>
      <c r="M158" s="60"/>
      <c r="N158" s="60"/>
      <c r="O158" s="60"/>
      <c r="P158" s="60"/>
      <c r="Q158" s="60"/>
      <c r="R158" s="60"/>
      <c r="S158" s="60"/>
      <c r="T158" s="60"/>
      <c r="U158" s="60"/>
      <c r="V158" s="60"/>
      <c r="W158" s="60"/>
    </row>
    <row r="159" ht="40.15" customHeight="1">
      <c r="A159" s="60"/>
      <c r="G159" s="60"/>
      <c r="H159" s="60"/>
      <c r="I159" s="60"/>
      <c r="J159" s="60"/>
      <c r="K159" s="60"/>
      <c r="L159" s="60"/>
      <c r="M159" s="60"/>
      <c r="N159" s="60"/>
      <c r="O159" s="60"/>
      <c r="P159" s="60"/>
      <c r="Q159" s="60"/>
      <c r="R159" s="60"/>
      <c r="S159" s="60"/>
      <c r="T159" s="60"/>
      <c r="U159" s="60"/>
      <c r="V159" s="60"/>
      <c r="W159" s="60"/>
    </row>
    <row r="160" ht="40.15" customHeight="1">
      <c r="A160" s="60"/>
      <c r="G160" s="60"/>
      <c r="H160" s="60"/>
      <c r="I160" s="60"/>
      <c r="J160" s="60"/>
      <c r="K160" s="60"/>
      <c r="L160" s="60"/>
      <c r="M160" s="60"/>
      <c r="N160" s="60"/>
      <c r="O160" s="60"/>
      <c r="P160" s="60"/>
      <c r="Q160" s="60"/>
      <c r="R160" s="60"/>
      <c r="S160" s="60"/>
      <c r="T160" s="60"/>
      <c r="U160" s="60"/>
      <c r="V160" s="60"/>
      <c r="W160" s="60"/>
    </row>
    <row r="161" ht="40.15" customHeight="1">
      <c r="A161" s="60"/>
      <c r="G161" s="60"/>
      <c r="H161" s="60"/>
      <c r="I161" s="60"/>
      <c r="J161" s="60"/>
      <c r="K161" s="60"/>
      <c r="L161" s="60"/>
      <c r="M161" s="60"/>
      <c r="N161" s="60"/>
      <c r="O161" s="60"/>
      <c r="P161" s="60"/>
      <c r="Q161" s="60"/>
      <c r="R161" s="60"/>
      <c r="S161" s="60"/>
      <c r="T161" s="60"/>
      <c r="U161" s="60"/>
      <c r="V161" s="60"/>
      <c r="W161" s="60"/>
    </row>
    <row r="162" ht="40.15" customHeight="1">
      <c r="A162" s="60"/>
      <c r="G162" s="60"/>
      <c r="H162" s="60"/>
      <c r="I162" s="60"/>
      <c r="J162" s="60"/>
      <c r="K162" s="60"/>
      <c r="L162" s="60"/>
      <c r="M162" s="60"/>
      <c r="N162" s="60"/>
      <c r="O162" s="60"/>
      <c r="P162" s="60"/>
      <c r="Q162" s="60"/>
      <c r="R162" s="60"/>
      <c r="S162" s="60"/>
      <c r="T162" s="60"/>
      <c r="U162" s="60"/>
      <c r="V162" s="60"/>
      <c r="W162" s="60"/>
    </row>
    <row r="163" ht="40.15" customHeight="1">
      <c r="A163" s="60"/>
      <c r="G163" s="60"/>
      <c r="H163" s="60"/>
      <c r="I163" s="60"/>
      <c r="J163" s="60"/>
      <c r="K163" s="60"/>
      <c r="L163" s="60"/>
      <c r="M163" s="60"/>
      <c r="N163" s="60"/>
      <c r="O163" s="60"/>
      <c r="P163" s="60"/>
      <c r="Q163" s="60"/>
      <c r="R163" s="60"/>
      <c r="S163" s="60"/>
      <c r="T163" s="60"/>
      <c r="U163" s="60"/>
      <c r="V163" s="60"/>
      <c r="W163" s="60"/>
    </row>
    <row r="164" ht="40.15" customHeight="1">
      <c r="A164" s="60"/>
      <c r="G164" s="60"/>
      <c r="H164" s="60"/>
      <c r="I164" s="60"/>
      <c r="J164" s="60"/>
      <c r="K164" s="60"/>
      <c r="L164" s="60"/>
      <c r="M164" s="60"/>
      <c r="N164" s="60"/>
      <c r="O164" s="60"/>
      <c r="P164" s="60"/>
      <c r="Q164" s="60"/>
      <c r="R164" s="60"/>
      <c r="S164" s="60"/>
      <c r="T164" s="60"/>
      <c r="U164" s="60"/>
      <c r="V164" s="60"/>
      <c r="W164" s="60"/>
    </row>
    <row r="165" ht="40.15" customHeight="1">
      <c r="A165" s="60"/>
      <c r="G165" s="60"/>
      <c r="H165" s="60"/>
      <c r="I165" s="60"/>
      <c r="J165" s="60"/>
      <c r="K165" s="60"/>
      <c r="L165" s="60"/>
      <c r="M165" s="60"/>
      <c r="N165" s="60"/>
      <c r="O165" s="60"/>
      <c r="P165" s="60"/>
      <c r="Q165" s="60"/>
      <c r="R165" s="60"/>
      <c r="S165" s="60"/>
      <c r="T165" s="60"/>
      <c r="U165" s="60"/>
      <c r="V165" s="60"/>
      <c r="W165" s="60"/>
    </row>
    <row r="166" ht="40.15" customHeight="1">
      <c r="A166" s="60"/>
      <c r="G166" s="60"/>
      <c r="H166" s="60"/>
      <c r="I166" s="60"/>
      <c r="J166" s="60"/>
      <c r="K166" s="60"/>
      <c r="L166" s="60"/>
      <c r="M166" s="60"/>
      <c r="N166" s="60"/>
      <c r="O166" s="60"/>
      <c r="P166" s="60"/>
      <c r="Q166" s="60"/>
      <c r="R166" s="60"/>
      <c r="S166" s="60"/>
      <c r="T166" s="60"/>
      <c r="U166" s="60"/>
      <c r="V166" s="60"/>
      <c r="W166" s="60"/>
    </row>
    <row r="167" ht="40.15" customHeight="1">
      <c r="A167" s="60"/>
      <c r="G167" s="60"/>
      <c r="H167" s="60"/>
      <c r="I167" s="60"/>
      <c r="J167" s="60"/>
      <c r="K167" s="60"/>
      <c r="L167" s="60"/>
      <c r="M167" s="60"/>
      <c r="N167" s="60"/>
      <c r="O167" s="60"/>
      <c r="P167" s="60"/>
      <c r="Q167" s="60"/>
      <c r="R167" s="60"/>
      <c r="S167" s="60"/>
      <c r="T167" s="60"/>
      <c r="U167" s="60"/>
      <c r="V167" s="60"/>
      <c r="W167" s="60"/>
    </row>
    <row r="168" ht="40.15" customHeight="1">
      <c r="A168" s="60"/>
      <c r="G168" s="60"/>
      <c r="H168" s="60"/>
      <c r="I168" s="60"/>
      <c r="J168" s="60"/>
      <c r="K168" s="60"/>
      <c r="L168" s="60"/>
      <c r="M168" s="60"/>
      <c r="N168" s="60"/>
      <c r="O168" s="60"/>
      <c r="P168" s="60"/>
      <c r="Q168" s="60"/>
      <c r="R168" s="60"/>
      <c r="S168" s="60"/>
      <c r="T168" s="60"/>
      <c r="U168" s="60"/>
      <c r="V168" s="60"/>
      <c r="W168" s="60"/>
    </row>
    <row r="169" ht="40.15" customHeight="1">
      <c r="A169" s="60"/>
      <c r="G169" s="60"/>
      <c r="H169" s="60"/>
      <c r="I169" s="60"/>
      <c r="J169" s="60"/>
      <c r="K169" s="60"/>
      <c r="L169" s="60"/>
      <c r="M169" s="60"/>
      <c r="N169" s="60"/>
      <c r="O169" s="60"/>
      <c r="P169" s="60"/>
      <c r="Q169" s="60"/>
      <c r="R169" s="60"/>
      <c r="S169" s="60"/>
      <c r="T169" s="60"/>
      <c r="U169" s="60"/>
      <c r="V169" s="60"/>
      <c r="W169" s="60"/>
    </row>
    <row r="170" ht="40.15" customHeight="1">
      <c r="A170" s="60"/>
      <c r="G170" s="60"/>
      <c r="H170" s="60"/>
      <c r="I170" s="60"/>
      <c r="J170" s="60"/>
      <c r="K170" s="60"/>
      <c r="L170" s="60"/>
      <c r="M170" s="60"/>
      <c r="N170" s="60"/>
      <c r="O170" s="60"/>
      <c r="P170" s="60"/>
      <c r="Q170" s="60"/>
      <c r="R170" s="60"/>
      <c r="S170" s="60"/>
      <c r="T170" s="60"/>
      <c r="U170" s="60"/>
      <c r="V170" s="60"/>
      <c r="W170" s="60"/>
    </row>
    <row r="171" ht="40.15" customHeight="1">
      <c r="A171" s="60"/>
      <c r="G171" s="60"/>
      <c r="H171" s="60"/>
      <c r="I171" s="60"/>
      <c r="J171" s="60"/>
      <c r="K171" s="60"/>
      <c r="L171" s="60"/>
      <c r="M171" s="60"/>
      <c r="N171" s="60"/>
      <c r="O171" s="60"/>
      <c r="P171" s="60"/>
      <c r="Q171" s="60"/>
      <c r="R171" s="60"/>
      <c r="S171" s="60"/>
      <c r="T171" s="60"/>
      <c r="U171" s="60"/>
      <c r="V171" s="60"/>
      <c r="W171" s="60"/>
    </row>
    <row r="172" ht="40.15" customHeight="1">
      <c r="A172" s="60"/>
      <c r="G172" s="60"/>
      <c r="H172" s="60"/>
      <c r="I172" s="60"/>
      <c r="J172" s="60"/>
      <c r="K172" s="60"/>
      <c r="L172" s="60"/>
      <c r="M172" s="60"/>
      <c r="N172" s="60"/>
      <c r="O172" s="60"/>
      <c r="P172" s="60"/>
      <c r="Q172" s="60"/>
      <c r="R172" s="60"/>
      <c r="S172" s="60"/>
      <c r="T172" s="60"/>
      <c r="U172" s="60"/>
      <c r="V172" s="60"/>
      <c r="W172" s="60"/>
    </row>
    <row r="173" ht="40.15" customHeight="1">
      <c r="A173" s="60"/>
      <c r="G173" s="60"/>
      <c r="H173" s="60"/>
      <c r="I173" s="60"/>
      <c r="J173" s="60"/>
      <c r="K173" s="60"/>
      <c r="L173" s="60"/>
      <c r="M173" s="60"/>
      <c r="N173" s="60"/>
      <c r="O173" s="60"/>
      <c r="P173" s="60"/>
      <c r="Q173" s="60"/>
      <c r="R173" s="60"/>
      <c r="S173" s="60"/>
      <c r="T173" s="60"/>
      <c r="U173" s="60"/>
      <c r="V173" s="60"/>
      <c r="W173" s="60"/>
    </row>
    <row r="174" ht="40.15" customHeight="1">
      <c r="A174" s="60"/>
      <c r="G174" s="60"/>
      <c r="H174" s="60"/>
      <c r="I174" s="60"/>
      <c r="J174" s="60"/>
      <c r="K174" s="60"/>
      <c r="L174" s="60"/>
      <c r="M174" s="60"/>
      <c r="N174" s="60"/>
      <c r="O174" s="60"/>
      <c r="P174" s="60"/>
      <c r="Q174" s="60"/>
      <c r="R174" s="60"/>
      <c r="S174" s="60"/>
      <c r="T174" s="60"/>
      <c r="U174" s="60"/>
      <c r="V174" s="60"/>
      <c r="W174" s="60"/>
    </row>
    <row r="175" ht="40.15" customHeight="1">
      <c r="A175" s="60"/>
      <c r="G175" s="60"/>
      <c r="H175" s="60"/>
      <c r="I175" s="60"/>
      <c r="J175" s="60"/>
      <c r="K175" s="60"/>
      <c r="L175" s="60"/>
      <c r="M175" s="60"/>
      <c r="N175" s="60"/>
      <c r="O175" s="60"/>
      <c r="P175" s="60"/>
      <c r="Q175" s="60"/>
      <c r="R175" s="60"/>
      <c r="S175" s="60"/>
      <c r="T175" s="60"/>
      <c r="U175" s="60"/>
      <c r="V175" s="60"/>
      <c r="W175" s="60"/>
    </row>
    <row r="176" ht="40.15" customHeight="1">
      <c r="A176" s="60"/>
      <c r="G176" s="60"/>
      <c r="H176" s="60"/>
      <c r="I176" s="60"/>
      <c r="J176" s="60"/>
      <c r="K176" s="60"/>
      <c r="L176" s="60"/>
      <c r="M176" s="60"/>
      <c r="N176" s="60"/>
      <c r="O176" s="60"/>
      <c r="P176" s="60"/>
      <c r="Q176" s="60"/>
      <c r="R176" s="60"/>
      <c r="S176" s="60"/>
      <c r="T176" s="60"/>
      <c r="U176" s="60"/>
      <c r="V176" s="60"/>
      <c r="W176" s="60"/>
    </row>
    <row r="177" ht="40.15" customHeight="1">
      <c r="A177" s="60"/>
      <c r="G177" s="60"/>
      <c r="H177" s="60"/>
      <c r="I177" s="60"/>
      <c r="J177" s="60"/>
      <c r="K177" s="60"/>
      <c r="L177" s="60"/>
      <c r="M177" s="60"/>
      <c r="N177" s="60"/>
      <c r="O177" s="60"/>
      <c r="P177" s="60"/>
      <c r="Q177" s="60"/>
      <c r="R177" s="60"/>
      <c r="S177" s="60"/>
      <c r="T177" s="60"/>
      <c r="U177" s="60"/>
      <c r="V177" s="60"/>
      <c r="W177" s="60"/>
    </row>
    <row r="178" ht="40.15" customHeight="1">
      <c r="A178" s="60"/>
      <c r="G178" s="60"/>
      <c r="H178" s="60"/>
      <c r="I178" s="60"/>
      <c r="J178" s="60"/>
      <c r="K178" s="60"/>
      <c r="L178" s="60"/>
      <c r="M178" s="60"/>
      <c r="N178" s="60"/>
      <c r="O178" s="60"/>
      <c r="P178" s="60"/>
      <c r="Q178" s="60"/>
      <c r="R178" s="60"/>
      <c r="S178" s="60"/>
      <c r="T178" s="60"/>
      <c r="U178" s="60"/>
      <c r="V178" s="60"/>
      <c r="W178" s="60"/>
    </row>
    <row r="179" ht="40.15" customHeight="1">
      <c r="A179" s="60"/>
      <c r="G179" s="60"/>
      <c r="H179" s="60"/>
      <c r="I179" s="60"/>
      <c r="J179" s="60"/>
      <c r="K179" s="60"/>
      <c r="L179" s="60"/>
      <c r="M179" s="60"/>
      <c r="N179" s="60"/>
      <c r="O179" s="60"/>
      <c r="P179" s="60"/>
      <c r="Q179" s="60"/>
      <c r="R179" s="60"/>
      <c r="S179" s="60"/>
      <c r="T179" s="60"/>
      <c r="U179" s="60"/>
      <c r="V179" s="60"/>
      <c r="W179" s="60"/>
    </row>
    <row r="180" ht="40.15" customHeight="1">
      <c r="A180" s="60"/>
      <c r="G180" s="60"/>
      <c r="H180" s="60"/>
      <c r="I180" s="60"/>
      <c r="J180" s="60"/>
      <c r="K180" s="60"/>
      <c r="L180" s="60"/>
      <c r="M180" s="60"/>
      <c r="N180" s="60"/>
      <c r="O180" s="60"/>
      <c r="P180" s="60"/>
      <c r="Q180" s="60"/>
      <c r="R180" s="60"/>
      <c r="S180" s="60"/>
      <c r="T180" s="60"/>
      <c r="U180" s="60"/>
      <c r="V180" s="60"/>
      <c r="W180" s="60"/>
    </row>
    <row r="181" ht="40.15" customHeight="1">
      <c r="A181" s="60"/>
      <c r="G181" s="60"/>
      <c r="H181" s="60"/>
      <c r="I181" s="60"/>
      <c r="J181" s="60"/>
      <c r="K181" s="60"/>
      <c r="L181" s="60"/>
      <c r="M181" s="60"/>
      <c r="N181" s="60"/>
      <c r="O181" s="60"/>
      <c r="P181" s="60"/>
      <c r="Q181" s="60"/>
      <c r="R181" s="60"/>
      <c r="S181" s="60"/>
      <c r="T181" s="60"/>
      <c r="U181" s="60"/>
      <c r="V181" s="60"/>
      <c r="W181" s="60"/>
    </row>
    <row r="182" ht="40.15" customHeight="1">
      <c r="A182" s="60"/>
      <c r="G182" s="60"/>
      <c r="H182" s="60"/>
      <c r="I182" s="60"/>
      <c r="J182" s="60"/>
      <c r="K182" s="60"/>
      <c r="L182" s="60"/>
      <c r="M182" s="60"/>
      <c r="N182" s="60"/>
      <c r="O182" s="60"/>
      <c r="P182" s="60"/>
      <c r="Q182" s="60"/>
      <c r="R182" s="60"/>
      <c r="S182" s="60"/>
      <c r="T182" s="60"/>
      <c r="U182" s="60"/>
      <c r="V182" s="60"/>
      <c r="W182" s="60"/>
    </row>
    <row r="183" ht="40.15" customHeight="1">
      <c r="A183" s="60"/>
      <c r="G183" s="60"/>
      <c r="H183" s="60"/>
      <c r="I183" s="60"/>
      <c r="J183" s="60"/>
      <c r="K183" s="60"/>
      <c r="L183" s="60"/>
      <c r="M183" s="60"/>
      <c r="N183" s="60"/>
      <c r="O183" s="60"/>
      <c r="P183" s="60"/>
      <c r="Q183" s="60"/>
      <c r="R183" s="60"/>
      <c r="S183" s="60"/>
      <c r="T183" s="60"/>
      <c r="U183" s="60"/>
      <c r="V183" s="60"/>
      <c r="W183" s="60"/>
    </row>
    <row r="184" ht="40.15" customHeight="1">
      <c r="A184" s="60"/>
      <c r="G184" s="60"/>
      <c r="H184" s="60"/>
      <c r="I184" s="60"/>
      <c r="J184" s="60"/>
      <c r="K184" s="60"/>
      <c r="L184" s="60"/>
      <c r="M184" s="60"/>
      <c r="N184" s="60"/>
      <c r="O184" s="60"/>
      <c r="P184" s="60"/>
      <c r="Q184" s="60"/>
      <c r="R184" s="60"/>
      <c r="S184" s="60"/>
      <c r="T184" s="60"/>
      <c r="U184" s="60"/>
      <c r="V184" s="60"/>
      <c r="W184" s="60"/>
    </row>
    <row r="185" ht="40.15" customHeight="1">
      <c r="A185" s="60"/>
      <c r="G185" s="60"/>
      <c r="H185" s="60"/>
      <c r="I185" s="60"/>
      <c r="J185" s="60"/>
      <c r="K185" s="60"/>
      <c r="L185" s="60"/>
      <c r="M185" s="60"/>
      <c r="N185" s="60"/>
      <c r="O185" s="60"/>
      <c r="P185" s="60"/>
      <c r="Q185" s="60"/>
      <c r="R185" s="60"/>
      <c r="S185" s="60"/>
      <c r="T185" s="60"/>
      <c r="U185" s="60"/>
      <c r="V185" s="60"/>
      <c r="W185" s="60"/>
    </row>
    <row r="186" ht="40.15" customHeight="1">
      <c r="A186" s="60"/>
      <c r="G186" s="60"/>
      <c r="H186" s="60"/>
      <c r="I186" s="60"/>
      <c r="J186" s="60"/>
      <c r="K186" s="60"/>
      <c r="L186" s="60"/>
      <c r="M186" s="60"/>
      <c r="N186" s="60"/>
      <c r="O186" s="60"/>
      <c r="P186" s="60"/>
      <c r="Q186" s="60"/>
      <c r="R186" s="60"/>
      <c r="S186" s="60"/>
      <c r="T186" s="60"/>
      <c r="U186" s="60"/>
      <c r="V186" s="60"/>
      <c r="W186" s="60"/>
    </row>
    <row r="187" ht="40.15" customHeight="1">
      <c r="A187" s="60"/>
      <c r="G187" s="60"/>
      <c r="H187" s="60"/>
      <c r="I187" s="60"/>
      <c r="J187" s="60"/>
      <c r="K187" s="60"/>
      <c r="L187" s="60"/>
      <c r="M187" s="60"/>
      <c r="N187" s="60"/>
      <c r="O187" s="60"/>
      <c r="P187" s="60"/>
      <c r="Q187" s="60"/>
      <c r="R187" s="60"/>
      <c r="S187" s="60"/>
      <c r="T187" s="60"/>
      <c r="U187" s="60"/>
      <c r="V187" s="60"/>
      <c r="W187" s="60"/>
    </row>
    <row r="188" ht="40.15" customHeight="1">
      <c r="A188" s="60"/>
      <c r="G188" s="60"/>
      <c r="H188" s="60"/>
      <c r="I188" s="60"/>
      <c r="J188" s="60"/>
      <c r="K188" s="60"/>
      <c r="L188" s="60"/>
      <c r="M188" s="60"/>
      <c r="N188" s="60"/>
      <c r="O188" s="60"/>
      <c r="P188" s="60"/>
      <c r="Q188" s="60"/>
      <c r="R188" s="60"/>
      <c r="S188" s="60"/>
      <c r="T188" s="60"/>
      <c r="U188" s="60"/>
      <c r="V188" s="60"/>
      <c r="W188" s="60"/>
    </row>
    <row r="189" ht="40.15" customHeight="1">
      <c r="A189" s="60"/>
      <c r="G189" s="60"/>
      <c r="H189" s="60"/>
      <c r="I189" s="60"/>
      <c r="J189" s="60"/>
      <c r="K189" s="60"/>
      <c r="L189" s="60"/>
      <c r="M189" s="60"/>
      <c r="N189" s="60"/>
      <c r="O189" s="60"/>
      <c r="P189" s="60"/>
      <c r="Q189" s="60"/>
      <c r="R189" s="60"/>
      <c r="S189" s="60"/>
      <c r="T189" s="60"/>
      <c r="U189" s="60"/>
      <c r="V189" s="60"/>
      <c r="W189" s="60"/>
    </row>
    <row r="190" ht="40.15" customHeight="1">
      <c r="A190" s="60"/>
      <c r="G190" s="60"/>
      <c r="H190" s="60"/>
      <c r="I190" s="60"/>
      <c r="J190" s="60"/>
      <c r="K190" s="60"/>
      <c r="L190" s="60"/>
      <c r="M190" s="60"/>
      <c r="N190" s="60"/>
      <c r="O190" s="60"/>
      <c r="P190" s="60"/>
      <c r="Q190" s="60"/>
      <c r="R190" s="60"/>
      <c r="S190" s="60"/>
      <c r="T190" s="60"/>
      <c r="U190" s="60"/>
      <c r="V190" s="60"/>
      <c r="W190" s="60"/>
    </row>
    <row r="191" ht="40.15" customHeight="1">
      <c r="A191" s="60"/>
      <c r="G191" s="60"/>
      <c r="H191" s="60"/>
      <c r="I191" s="60"/>
      <c r="J191" s="60"/>
      <c r="K191" s="60"/>
      <c r="L191" s="60"/>
      <c r="M191" s="60"/>
      <c r="N191" s="60"/>
      <c r="O191" s="60"/>
      <c r="P191" s="60"/>
      <c r="Q191" s="60"/>
      <c r="R191" s="60"/>
      <c r="S191" s="60"/>
      <c r="T191" s="60"/>
      <c r="U191" s="60"/>
      <c r="V191" s="60"/>
      <c r="W191" s="60"/>
    </row>
    <row r="192" ht="40.15" customHeight="1">
      <c r="A192" s="60"/>
      <c r="G192" s="60"/>
      <c r="H192" s="60"/>
      <c r="I192" s="60"/>
      <c r="J192" s="60"/>
      <c r="K192" s="60"/>
      <c r="L192" s="60"/>
      <c r="M192" s="60"/>
      <c r="N192" s="60"/>
      <c r="O192" s="60"/>
      <c r="P192" s="60"/>
      <c r="Q192" s="60"/>
      <c r="R192" s="60"/>
      <c r="S192" s="60"/>
      <c r="T192" s="60"/>
      <c r="U192" s="60"/>
      <c r="V192" s="60"/>
      <c r="W192" s="60"/>
    </row>
    <row r="193" ht="40.15" customHeight="1">
      <c r="A193" s="60"/>
      <c r="G193" s="60"/>
      <c r="H193" s="60"/>
      <c r="I193" s="60"/>
      <c r="J193" s="60"/>
      <c r="K193" s="60"/>
      <c r="L193" s="60"/>
      <c r="M193" s="60"/>
      <c r="N193" s="60"/>
      <c r="O193" s="60"/>
      <c r="P193" s="60"/>
      <c r="Q193" s="60"/>
      <c r="R193" s="60"/>
      <c r="S193" s="60"/>
      <c r="T193" s="60"/>
      <c r="U193" s="60"/>
      <c r="V193" s="60"/>
      <c r="W193" s="60"/>
    </row>
    <row r="194" ht="40.15" customHeight="1">
      <c r="A194" s="60"/>
      <c r="G194" s="60"/>
      <c r="H194" s="60"/>
      <c r="I194" s="60"/>
      <c r="J194" s="60"/>
      <c r="K194" s="60"/>
      <c r="L194" s="60"/>
      <c r="M194" s="60"/>
      <c r="N194" s="60"/>
      <c r="O194" s="60"/>
      <c r="P194" s="60"/>
      <c r="Q194" s="60"/>
      <c r="R194" s="60"/>
      <c r="S194" s="60"/>
      <c r="T194" s="60"/>
      <c r="U194" s="60"/>
      <c r="V194" s="60"/>
      <c r="W194" s="60"/>
    </row>
    <row r="195" ht="40.15" customHeight="1">
      <c r="A195" s="60"/>
      <c r="G195" s="60"/>
      <c r="H195" s="60"/>
      <c r="I195" s="60"/>
      <c r="J195" s="60"/>
      <c r="K195" s="60"/>
      <c r="L195" s="60"/>
      <c r="M195" s="60"/>
      <c r="N195" s="60"/>
      <c r="O195" s="60"/>
      <c r="P195" s="60"/>
      <c r="Q195" s="60"/>
      <c r="R195" s="60"/>
      <c r="S195" s="60"/>
      <c r="T195" s="60"/>
      <c r="U195" s="60"/>
      <c r="V195" s="60"/>
      <c r="W195" s="60"/>
    </row>
    <row r="196" ht="40.15" customHeight="1">
      <c r="A196" s="60"/>
      <c r="G196" s="60"/>
      <c r="H196" s="60"/>
      <c r="I196" s="60"/>
      <c r="J196" s="60"/>
      <c r="K196" s="60"/>
      <c r="L196" s="60"/>
      <c r="M196" s="60"/>
      <c r="N196" s="60"/>
      <c r="O196" s="60"/>
      <c r="P196" s="60"/>
      <c r="Q196" s="60"/>
      <c r="R196" s="60"/>
      <c r="S196" s="60"/>
      <c r="T196" s="60"/>
      <c r="U196" s="60"/>
      <c r="V196" s="60"/>
      <c r="W196" s="60"/>
    </row>
    <row r="197" ht="40.15" customHeight="1">
      <c r="A197" s="60"/>
      <c r="G197" s="60"/>
      <c r="H197" s="60"/>
      <c r="I197" s="60"/>
      <c r="J197" s="60"/>
      <c r="K197" s="60"/>
      <c r="L197" s="60"/>
      <c r="M197" s="60"/>
      <c r="N197" s="60"/>
      <c r="O197" s="60"/>
      <c r="P197" s="60"/>
      <c r="Q197" s="60"/>
      <c r="R197" s="60"/>
      <c r="S197" s="60"/>
      <c r="T197" s="60"/>
      <c r="U197" s="60"/>
      <c r="V197" s="60"/>
      <c r="W197" s="60"/>
    </row>
    <row r="198" ht="40.15" customHeight="1">
      <c r="A198" s="60"/>
      <c r="G198" s="60"/>
      <c r="H198" s="60"/>
      <c r="I198" s="60"/>
      <c r="J198" s="60"/>
      <c r="K198" s="60"/>
      <c r="L198" s="60"/>
      <c r="M198" s="60"/>
      <c r="N198" s="60"/>
      <c r="O198" s="60"/>
      <c r="P198" s="60"/>
      <c r="Q198" s="60"/>
      <c r="R198" s="60"/>
      <c r="S198" s="60"/>
      <c r="T198" s="60"/>
      <c r="U198" s="60"/>
      <c r="V198" s="60"/>
      <c r="W198" s="60"/>
    </row>
    <row r="199" ht="40.15" customHeight="1">
      <c r="A199" s="60"/>
      <c r="G199" s="60"/>
      <c r="H199" s="60"/>
      <c r="I199" s="60"/>
      <c r="J199" s="60"/>
      <c r="K199" s="60"/>
      <c r="L199" s="60"/>
      <c r="M199" s="60"/>
      <c r="N199" s="60"/>
      <c r="O199" s="60"/>
      <c r="P199" s="60"/>
      <c r="Q199" s="60"/>
      <c r="R199" s="60"/>
      <c r="S199" s="60"/>
      <c r="T199" s="60"/>
      <c r="U199" s="60"/>
      <c r="V199" s="60"/>
      <c r="W199" s="60"/>
    </row>
    <row r="200" ht="40.15" customHeight="1">
      <c r="A200" s="60"/>
      <c r="G200" s="60"/>
      <c r="H200" s="60"/>
      <c r="I200" s="60"/>
      <c r="J200" s="60"/>
      <c r="K200" s="60"/>
      <c r="L200" s="60"/>
      <c r="M200" s="60"/>
      <c r="N200" s="60"/>
      <c r="O200" s="60"/>
      <c r="P200" s="60"/>
      <c r="Q200" s="60"/>
      <c r="R200" s="60"/>
      <c r="S200" s="60"/>
      <c r="T200" s="60"/>
      <c r="U200" s="60"/>
      <c r="V200" s="60"/>
      <c r="W200" s="60"/>
    </row>
    <row r="201" ht="40.15" customHeight="1">
      <c r="A201" s="60"/>
      <c r="G201" s="60"/>
      <c r="H201" s="60"/>
      <c r="I201" s="60"/>
      <c r="J201" s="60"/>
      <c r="K201" s="60"/>
      <c r="L201" s="60"/>
      <c r="M201" s="60"/>
      <c r="N201" s="60"/>
      <c r="O201" s="60"/>
      <c r="P201" s="60"/>
      <c r="Q201" s="60"/>
      <c r="R201" s="60"/>
      <c r="S201" s="60"/>
      <c r="T201" s="60"/>
      <c r="U201" s="60"/>
      <c r="V201" s="60"/>
      <c r="W201" s="60"/>
    </row>
    <row r="202" ht="40.15" customHeight="1">
      <c r="A202" s="60"/>
      <c r="G202" s="60"/>
      <c r="H202" s="60"/>
      <c r="I202" s="60"/>
      <c r="J202" s="60"/>
      <c r="K202" s="60"/>
      <c r="L202" s="60"/>
      <c r="M202" s="60"/>
      <c r="N202" s="60"/>
      <c r="O202" s="60"/>
      <c r="P202" s="60"/>
      <c r="Q202" s="60"/>
      <c r="R202" s="60"/>
      <c r="S202" s="60"/>
      <c r="T202" s="60"/>
      <c r="U202" s="60"/>
      <c r="V202" s="60"/>
      <c r="W202" s="60"/>
    </row>
    <row r="203" ht="40.15" customHeight="1">
      <c r="A203" s="60"/>
      <c r="G203" s="60"/>
      <c r="H203" s="60"/>
      <c r="I203" s="60"/>
      <c r="J203" s="60"/>
      <c r="K203" s="60"/>
      <c r="L203" s="60"/>
      <c r="M203" s="60"/>
      <c r="N203" s="60"/>
      <c r="O203" s="60"/>
      <c r="P203" s="60"/>
      <c r="Q203" s="60"/>
      <c r="R203" s="60"/>
      <c r="S203" s="60"/>
      <c r="T203" s="60"/>
      <c r="U203" s="60"/>
      <c r="V203" s="60"/>
      <c r="W203" s="60"/>
    </row>
    <row r="204" ht="40.15" customHeight="1">
      <c r="A204" s="60"/>
      <c r="G204" s="60"/>
      <c r="H204" s="60"/>
      <c r="I204" s="60"/>
      <c r="J204" s="60"/>
      <c r="K204" s="60"/>
      <c r="L204" s="60"/>
      <c r="M204" s="60"/>
      <c r="N204" s="60"/>
      <c r="O204" s="60"/>
      <c r="P204" s="60"/>
      <c r="Q204" s="60"/>
      <c r="R204" s="60"/>
      <c r="S204" s="60"/>
      <c r="T204" s="60"/>
      <c r="U204" s="60"/>
      <c r="V204" s="60"/>
      <c r="W204" s="60"/>
    </row>
    <row r="205" ht="40.15" customHeight="1">
      <c r="A205" s="60"/>
      <c r="G205" s="60"/>
      <c r="H205" s="60"/>
      <c r="I205" s="60"/>
      <c r="J205" s="60"/>
      <c r="K205" s="60"/>
      <c r="L205" s="60"/>
      <c r="M205" s="60"/>
      <c r="N205" s="60"/>
      <c r="O205" s="60"/>
      <c r="P205" s="60"/>
      <c r="Q205" s="60"/>
      <c r="R205" s="60"/>
      <c r="S205" s="60"/>
      <c r="T205" s="60"/>
      <c r="U205" s="60"/>
      <c r="V205" s="60"/>
      <c r="W205" s="60"/>
    </row>
    <row r="206" ht="40.15" customHeight="1">
      <c r="A206" s="60"/>
      <c r="G206" s="60"/>
      <c r="H206" s="60"/>
      <c r="I206" s="60"/>
      <c r="J206" s="60"/>
      <c r="K206" s="60"/>
      <c r="L206" s="60"/>
      <c r="M206" s="60"/>
      <c r="N206" s="60"/>
      <c r="O206" s="60"/>
      <c r="P206" s="60"/>
      <c r="Q206" s="60"/>
      <c r="R206" s="60"/>
      <c r="S206" s="60"/>
      <c r="T206" s="60"/>
      <c r="U206" s="60"/>
      <c r="V206" s="60"/>
      <c r="W206" s="60"/>
    </row>
    <row r="207" ht="40.15" customHeight="1">
      <c r="A207" s="60"/>
      <c r="G207" s="60"/>
      <c r="H207" s="60"/>
      <c r="I207" s="60"/>
      <c r="J207" s="60"/>
      <c r="K207" s="60"/>
      <c r="L207" s="60"/>
      <c r="M207" s="60"/>
      <c r="N207" s="60"/>
      <c r="O207" s="60"/>
      <c r="P207" s="60"/>
      <c r="Q207" s="60"/>
      <c r="R207" s="60"/>
      <c r="S207" s="60"/>
      <c r="T207" s="60"/>
      <c r="U207" s="60"/>
      <c r="V207" s="60"/>
      <c r="W207" s="60"/>
    </row>
    <row r="208" ht="40.15" customHeight="1">
      <c r="A208" s="60"/>
      <c r="G208" s="60"/>
      <c r="H208" s="60"/>
      <c r="I208" s="60"/>
      <c r="J208" s="60"/>
      <c r="K208" s="60"/>
      <c r="L208" s="60"/>
      <c r="M208" s="60"/>
      <c r="N208" s="60"/>
      <c r="O208" s="60"/>
      <c r="P208" s="60"/>
      <c r="Q208" s="60"/>
      <c r="R208" s="60"/>
      <c r="S208" s="60"/>
      <c r="T208" s="60"/>
      <c r="U208" s="60"/>
      <c r="V208" s="60"/>
      <c r="W208" s="60"/>
    </row>
    <row r="209" ht="40.15" customHeight="1">
      <c r="A209" s="60"/>
      <c r="G209" s="60"/>
      <c r="H209" s="60"/>
      <c r="I209" s="60"/>
      <c r="J209" s="60"/>
      <c r="K209" s="60"/>
      <c r="L209" s="60"/>
      <c r="M209" s="60"/>
      <c r="N209" s="60"/>
      <c r="O209" s="60"/>
      <c r="P209" s="60"/>
      <c r="Q209" s="60"/>
      <c r="R209" s="60"/>
      <c r="S209" s="60"/>
      <c r="T209" s="60"/>
      <c r="U209" s="60"/>
      <c r="V209" s="60"/>
      <c r="W209" s="60"/>
    </row>
    <row r="210" ht="40.15" customHeight="1">
      <c r="A210" s="60"/>
      <c r="G210" s="60"/>
      <c r="H210" s="60"/>
      <c r="I210" s="60"/>
      <c r="J210" s="60"/>
      <c r="K210" s="60"/>
      <c r="L210" s="60"/>
      <c r="M210" s="60"/>
      <c r="N210" s="60"/>
      <c r="O210" s="60"/>
      <c r="P210" s="60"/>
      <c r="Q210" s="60"/>
      <c r="R210" s="60"/>
      <c r="S210" s="60"/>
      <c r="T210" s="60"/>
      <c r="U210" s="60"/>
      <c r="V210" s="60"/>
      <c r="W210" s="60"/>
    </row>
    <row r="211" ht="40.15" customHeight="1">
      <c r="A211" s="60"/>
      <c r="G211" s="60"/>
      <c r="H211" s="60"/>
      <c r="I211" s="60"/>
      <c r="J211" s="60"/>
      <c r="K211" s="60"/>
      <c r="L211" s="60"/>
      <c r="M211" s="60"/>
      <c r="N211" s="60"/>
      <c r="O211" s="60"/>
      <c r="P211" s="60"/>
      <c r="Q211" s="60"/>
      <c r="R211" s="60"/>
      <c r="S211" s="60"/>
      <c r="T211" s="60"/>
      <c r="U211" s="60"/>
      <c r="V211" s="60"/>
      <c r="W211" s="60"/>
    </row>
    <row r="212" ht="40.15" customHeight="1">
      <c r="A212" s="60"/>
      <c r="G212" s="60"/>
      <c r="H212" s="60"/>
      <c r="I212" s="60"/>
      <c r="J212" s="60"/>
      <c r="K212" s="60"/>
      <c r="L212" s="60"/>
      <c r="M212" s="60"/>
      <c r="N212" s="60"/>
      <c r="O212" s="60"/>
      <c r="P212" s="60"/>
      <c r="Q212" s="60"/>
      <c r="R212" s="60"/>
      <c r="S212" s="60"/>
      <c r="T212" s="60"/>
      <c r="U212" s="60"/>
      <c r="V212" s="60"/>
      <c r="W212" s="60"/>
    </row>
    <row r="213" ht="40.15" customHeight="1">
      <c r="A213" s="60"/>
      <c r="G213" s="60"/>
      <c r="H213" s="60"/>
      <c r="I213" s="60"/>
      <c r="J213" s="60"/>
      <c r="K213" s="60"/>
      <c r="L213" s="60"/>
      <c r="M213" s="60"/>
      <c r="N213" s="60"/>
      <c r="O213" s="60"/>
      <c r="P213" s="60"/>
      <c r="Q213" s="60"/>
      <c r="R213" s="60"/>
      <c r="S213" s="60"/>
      <c r="T213" s="60"/>
      <c r="U213" s="60"/>
      <c r="V213" s="60"/>
      <c r="W213" s="60"/>
    </row>
    <row r="214" ht="40.15" customHeight="1">
      <c r="A214" s="60"/>
      <c r="G214" s="60"/>
      <c r="H214" s="60"/>
      <c r="I214" s="60"/>
      <c r="J214" s="60"/>
      <c r="K214" s="60"/>
      <c r="L214" s="60"/>
      <c r="M214" s="60"/>
      <c r="N214" s="60"/>
      <c r="O214" s="60"/>
      <c r="P214" s="60"/>
      <c r="Q214" s="60"/>
      <c r="R214" s="60"/>
      <c r="S214" s="60"/>
      <c r="T214" s="60"/>
      <c r="U214" s="60"/>
      <c r="V214" s="60"/>
      <c r="W214" s="60"/>
    </row>
    <row r="215" ht="40.15" customHeight="1">
      <c r="A215" s="60"/>
      <c r="G215" s="60"/>
      <c r="H215" s="60"/>
      <c r="I215" s="60"/>
      <c r="J215" s="60"/>
      <c r="K215" s="60"/>
      <c r="L215" s="60"/>
      <c r="M215" s="60"/>
      <c r="N215" s="60"/>
      <c r="O215" s="60"/>
      <c r="P215" s="60"/>
      <c r="Q215" s="60"/>
      <c r="R215" s="60"/>
      <c r="S215" s="60"/>
      <c r="T215" s="60"/>
      <c r="U215" s="60"/>
      <c r="V215" s="60"/>
      <c r="W215" s="60"/>
    </row>
    <row r="216" ht="40.15" customHeight="1">
      <c r="A216" s="60"/>
      <c r="G216" s="60"/>
      <c r="H216" s="60"/>
      <c r="I216" s="60"/>
      <c r="J216" s="60"/>
      <c r="K216" s="60"/>
      <c r="L216" s="60"/>
      <c r="M216" s="60"/>
      <c r="N216" s="60"/>
      <c r="O216" s="60"/>
      <c r="P216" s="60"/>
      <c r="Q216" s="60"/>
      <c r="R216" s="60"/>
      <c r="S216" s="60"/>
      <c r="T216" s="60"/>
      <c r="U216" s="60"/>
      <c r="V216" s="60"/>
      <c r="W216" s="60"/>
    </row>
    <row r="217" ht="40.15" customHeight="1">
      <c r="A217" s="60"/>
      <c r="G217" s="60"/>
      <c r="H217" s="60"/>
      <c r="I217" s="60"/>
      <c r="J217" s="60"/>
      <c r="K217" s="60"/>
      <c r="L217" s="60"/>
      <c r="M217" s="60"/>
      <c r="N217" s="60"/>
      <c r="O217" s="60"/>
      <c r="P217" s="60"/>
      <c r="Q217" s="60"/>
      <c r="R217" s="60"/>
      <c r="S217" s="60"/>
      <c r="T217" s="60"/>
      <c r="U217" s="60"/>
      <c r="V217" s="60"/>
      <c r="W217" s="60"/>
    </row>
    <row r="218" ht="40.15" customHeight="1">
      <c r="A218" s="60"/>
      <c r="G218" s="60"/>
      <c r="H218" s="60"/>
      <c r="I218" s="60"/>
      <c r="J218" s="60"/>
      <c r="K218" s="60"/>
      <c r="L218" s="60"/>
      <c r="M218" s="60"/>
      <c r="N218" s="60"/>
      <c r="O218" s="60"/>
      <c r="P218" s="60"/>
      <c r="Q218" s="60"/>
      <c r="R218" s="60"/>
      <c r="S218" s="60"/>
      <c r="T218" s="60"/>
      <c r="U218" s="60"/>
      <c r="V218" s="60"/>
      <c r="W218" s="60"/>
    </row>
    <row r="219" ht="40.15" customHeight="1">
      <c r="A219" s="60"/>
      <c r="G219" s="60"/>
      <c r="H219" s="60"/>
      <c r="I219" s="60"/>
      <c r="J219" s="60"/>
      <c r="K219" s="60"/>
      <c r="L219" s="60"/>
      <c r="M219" s="60"/>
      <c r="N219" s="60"/>
      <c r="O219" s="60"/>
      <c r="P219" s="60"/>
      <c r="Q219" s="60"/>
      <c r="R219" s="60"/>
      <c r="S219" s="60"/>
      <c r="T219" s="60"/>
      <c r="U219" s="60"/>
      <c r="V219" s="60"/>
      <c r="W219" s="60"/>
    </row>
    <row r="220" ht="40.15" customHeight="1">
      <c r="A220" s="60"/>
      <c r="G220" s="60"/>
      <c r="H220" s="60"/>
      <c r="I220" s="60"/>
      <c r="J220" s="60"/>
      <c r="K220" s="60"/>
      <c r="L220" s="60"/>
      <c r="M220" s="60"/>
      <c r="N220" s="60"/>
      <c r="O220" s="60"/>
      <c r="P220" s="60"/>
      <c r="Q220" s="60"/>
      <c r="R220" s="60"/>
      <c r="S220" s="60"/>
      <c r="T220" s="60"/>
      <c r="U220" s="60"/>
      <c r="V220" s="60"/>
      <c r="W220" s="60"/>
    </row>
    <row r="221" ht="40.15" customHeight="1">
      <c r="A221" s="60"/>
      <c r="G221" s="60"/>
      <c r="H221" s="60"/>
      <c r="I221" s="60"/>
      <c r="J221" s="60"/>
      <c r="K221" s="60"/>
      <c r="L221" s="60"/>
      <c r="M221" s="60"/>
      <c r="N221" s="60"/>
      <c r="O221" s="60"/>
      <c r="P221" s="60"/>
      <c r="Q221" s="60"/>
      <c r="R221" s="60"/>
      <c r="S221" s="60"/>
      <c r="T221" s="60"/>
      <c r="U221" s="60"/>
      <c r="V221" s="60"/>
      <c r="W221" s="60"/>
    </row>
    <row r="222" ht="40.15" customHeight="1">
      <c r="A222" s="60"/>
      <c r="G222" s="60"/>
      <c r="H222" s="60"/>
      <c r="I222" s="60"/>
      <c r="J222" s="60"/>
      <c r="K222" s="60"/>
      <c r="L222" s="60"/>
      <c r="M222" s="60"/>
      <c r="N222" s="60"/>
      <c r="O222" s="60"/>
      <c r="P222" s="60"/>
      <c r="Q222" s="60"/>
      <c r="R222" s="60"/>
      <c r="S222" s="60"/>
      <c r="T222" s="60"/>
      <c r="U222" s="60"/>
      <c r="V222" s="60"/>
      <c r="W222" s="60"/>
    </row>
    <row r="223" ht="40.15" customHeight="1">
      <c r="A223" s="60"/>
      <c r="G223" s="60"/>
      <c r="H223" s="60"/>
      <c r="I223" s="60"/>
      <c r="J223" s="60"/>
      <c r="K223" s="60"/>
      <c r="L223" s="60"/>
      <c r="M223" s="60"/>
      <c r="N223" s="60"/>
      <c r="O223" s="60"/>
      <c r="P223" s="60"/>
      <c r="Q223" s="60"/>
      <c r="R223" s="60"/>
      <c r="S223" s="60"/>
      <c r="T223" s="60"/>
      <c r="U223" s="60"/>
      <c r="V223" s="60"/>
      <c r="W223" s="60"/>
    </row>
    <row r="224" ht="40.15" customHeight="1">
      <c r="A224" s="60"/>
      <c r="G224" s="60"/>
      <c r="H224" s="60"/>
      <c r="I224" s="60"/>
      <c r="J224" s="60"/>
      <c r="K224" s="60"/>
      <c r="L224" s="60"/>
      <c r="M224" s="60"/>
      <c r="N224" s="60"/>
      <c r="O224" s="60"/>
      <c r="P224" s="60"/>
      <c r="Q224" s="60"/>
      <c r="R224" s="60"/>
      <c r="S224" s="60"/>
      <c r="T224" s="60"/>
      <c r="U224" s="60"/>
      <c r="V224" s="60"/>
      <c r="W224" s="60"/>
    </row>
    <row r="225" ht="40.15" customHeight="1">
      <c r="A225" s="60"/>
      <c r="G225" s="60"/>
      <c r="H225" s="60"/>
      <c r="I225" s="60"/>
      <c r="J225" s="60"/>
      <c r="K225" s="60"/>
      <c r="L225" s="60"/>
      <c r="M225" s="60"/>
      <c r="N225" s="60"/>
      <c r="O225" s="60"/>
      <c r="P225" s="60"/>
      <c r="Q225" s="60"/>
      <c r="R225" s="60"/>
      <c r="S225" s="60"/>
      <c r="T225" s="60"/>
      <c r="U225" s="60"/>
      <c r="V225" s="60"/>
      <c r="W225" s="60"/>
    </row>
    <row r="226" ht="40.15" customHeight="1">
      <c r="A226" s="60"/>
      <c r="G226" s="60"/>
      <c r="H226" s="60"/>
      <c r="I226" s="60"/>
      <c r="J226" s="60"/>
      <c r="K226" s="60"/>
      <c r="L226" s="60"/>
      <c r="M226" s="60"/>
      <c r="N226" s="60"/>
      <c r="O226" s="60"/>
      <c r="P226" s="60"/>
      <c r="Q226" s="60"/>
      <c r="R226" s="60"/>
      <c r="S226" s="60"/>
      <c r="T226" s="60"/>
      <c r="U226" s="60"/>
      <c r="V226" s="60"/>
      <c r="W226" s="60"/>
    </row>
    <row r="227" ht="40.15" customHeight="1">
      <c r="A227" s="60"/>
      <c r="G227" s="60"/>
      <c r="H227" s="60"/>
      <c r="I227" s="60"/>
      <c r="J227" s="60"/>
      <c r="K227" s="60"/>
      <c r="L227" s="60"/>
      <c r="M227" s="60"/>
      <c r="N227" s="60"/>
      <c r="O227" s="60"/>
      <c r="P227" s="60"/>
      <c r="Q227" s="60"/>
      <c r="R227" s="60"/>
      <c r="S227" s="60"/>
      <c r="T227" s="60"/>
      <c r="U227" s="60"/>
      <c r="V227" s="60"/>
      <c r="W227" s="60"/>
    </row>
    <row r="228" ht="40.15" customHeight="1">
      <c r="A228" s="60"/>
      <c r="G228" s="60"/>
      <c r="H228" s="60"/>
      <c r="I228" s="60"/>
      <c r="J228" s="60"/>
      <c r="K228" s="60"/>
      <c r="L228" s="60"/>
      <c r="M228" s="60"/>
      <c r="N228" s="60"/>
      <c r="O228" s="60"/>
      <c r="P228" s="60"/>
      <c r="Q228" s="60"/>
      <c r="R228" s="60"/>
      <c r="S228" s="60"/>
      <c r="T228" s="60"/>
      <c r="U228" s="60"/>
      <c r="V228" s="60"/>
      <c r="W228" s="60"/>
    </row>
    <row r="229" ht="40.15" customHeight="1">
      <c r="A229" s="60"/>
      <c r="G229" s="60"/>
      <c r="H229" s="60"/>
      <c r="I229" s="60"/>
      <c r="J229" s="60"/>
      <c r="K229" s="60"/>
      <c r="L229" s="60"/>
      <c r="M229" s="60"/>
      <c r="N229" s="60"/>
      <c r="O229" s="60"/>
      <c r="P229" s="60"/>
      <c r="Q229" s="60"/>
      <c r="R229" s="60"/>
      <c r="S229" s="60"/>
      <c r="T229" s="60"/>
      <c r="U229" s="60"/>
      <c r="V229" s="60"/>
      <c r="W229" s="60"/>
    </row>
    <row r="230" ht="40.15" customHeight="1">
      <c r="A230" s="60"/>
      <c r="G230" s="60"/>
      <c r="H230" s="60"/>
      <c r="I230" s="60"/>
      <c r="J230" s="60"/>
      <c r="K230" s="60"/>
      <c r="L230" s="60"/>
      <c r="M230" s="60"/>
      <c r="N230" s="60"/>
      <c r="O230" s="60"/>
      <c r="P230" s="60"/>
      <c r="Q230" s="60"/>
      <c r="R230" s="60"/>
      <c r="S230" s="60"/>
      <c r="T230" s="60"/>
      <c r="U230" s="60"/>
      <c r="V230" s="60"/>
      <c r="W230" s="60"/>
    </row>
    <row r="231" ht="40.15" customHeight="1">
      <c r="A231" s="60"/>
      <c r="G231" s="60"/>
      <c r="H231" s="60"/>
      <c r="I231" s="60"/>
      <c r="J231" s="60"/>
      <c r="K231" s="60"/>
      <c r="L231" s="60"/>
      <c r="M231" s="60"/>
      <c r="N231" s="60"/>
      <c r="O231" s="60"/>
      <c r="P231" s="60"/>
      <c r="Q231" s="60"/>
      <c r="R231" s="60"/>
      <c r="S231" s="60"/>
      <c r="T231" s="60"/>
      <c r="U231" s="60"/>
      <c r="V231" s="60"/>
      <c r="W231" s="60"/>
    </row>
    <row r="232" ht="40.15" customHeight="1">
      <c r="A232" s="60"/>
      <c r="G232" s="60"/>
      <c r="H232" s="60"/>
      <c r="I232" s="60"/>
      <c r="J232" s="60"/>
      <c r="K232" s="60"/>
      <c r="L232" s="60"/>
      <c r="M232" s="60"/>
      <c r="N232" s="60"/>
      <c r="O232" s="60"/>
      <c r="P232" s="60"/>
      <c r="Q232" s="60"/>
      <c r="R232" s="60"/>
      <c r="S232" s="60"/>
      <c r="T232" s="60"/>
      <c r="U232" s="60"/>
      <c r="V232" s="60"/>
      <c r="W232" s="60"/>
    </row>
    <row r="233" ht="40.15" customHeight="1">
      <c r="A233" s="60"/>
      <c r="G233" s="60"/>
      <c r="H233" s="60"/>
      <c r="I233" s="60"/>
      <c r="J233" s="60"/>
      <c r="K233" s="60"/>
      <c r="L233" s="60"/>
      <c r="M233" s="60"/>
      <c r="N233" s="60"/>
      <c r="O233" s="60"/>
      <c r="P233" s="60"/>
      <c r="Q233" s="60"/>
      <c r="R233" s="60"/>
      <c r="S233" s="60"/>
      <c r="T233" s="60"/>
      <c r="U233" s="60"/>
      <c r="V233" s="60"/>
      <c r="W233" s="60"/>
    </row>
    <row r="234" ht="40.15" customHeight="1">
      <c r="A234" s="60"/>
      <c r="G234" s="60"/>
      <c r="H234" s="60"/>
      <c r="I234" s="60"/>
      <c r="J234" s="60"/>
      <c r="K234" s="60"/>
      <c r="L234" s="60"/>
      <c r="M234" s="60"/>
      <c r="N234" s="60"/>
      <c r="O234" s="60"/>
      <c r="P234" s="60"/>
      <c r="Q234" s="60"/>
      <c r="R234" s="60"/>
      <c r="S234" s="60"/>
      <c r="T234" s="60"/>
      <c r="U234" s="60"/>
      <c r="V234" s="60"/>
      <c r="W234" s="60"/>
    </row>
    <row r="235" ht="40.15" customHeight="1">
      <c r="A235" s="60"/>
      <c r="G235" s="60"/>
      <c r="H235" s="60"/>
      <c r="I235" s="60"/>
      <c r="J235" s="60"/>
      <c r="K235" s="60"/>
      <c r="L235" s="60"/>
      <c r="M235" s="60"/>
      <c r="N235" s="60"/>
      <c r="O235" s="60"/>
      <c r="P235" s="60"/>
      <c r="Q235" s="60"/>
      <c r="R235" s="60"/>
      <c r="S235" s="60"/>
      <c r="T235" s="60"/>
      <c r="U235" s="60"/>
      <c r="V235" s="60"/>
      <c r="W235" s="60"/>
    </row>
    <row r="236" ht="40.15" customHeight="1">
      <c r="A236" s="60"/>
      <c r="G236" s="60"/>
      <c r="H236" s="60"/>
      <c r="I236" s="60"/>
      <c r="J236" s="60"/>
      <c r="K236" s="60"/>
      <c r="L236" s="60"/>
      <c r="M236" s="60"/>
      <c r="N236" s="60"/>
      <c r="O236" s="60"/>
      <c r="P236" s="60"/>
      <c r="Q236" s="60"/>
      <c r="R236" s="60"/>
      <c r="S236" s="60"/>
      <c r="T236" s="60"/>
      <c r="U236" s="60"/>
      <c r="V236" s="60"/>
      <c r="W236" s="60"/>
    </row>
    <row r="237" ht="40.15" customHeight="1">
      <c r="A237" s="60"/>
      <c r="G237" s="60"/>
      <c r="H237" s="60"/>
      <c r="I237" s="60"/>
      <c r="J237" s="60"/>
      <c r="K237" s="60"/>
      <c r="L237" s="60"/>
      <c r="M237" s="60"/>
      <c r="N237" s="60"/>
      <c r="O237" s="60"/>
      <c r="P237" s="60"/>
      <c r="Q237" s="60"/>
      <c r="R237" s="60"/>
      <c r="S237" s="60"/>
      <c r="T237" s="60"/>
      <c r="U237" s="60"/>
      <c r="V237" s="60"/>
      <c r="W237" s="60"/>
    </row>
    <row r="238" ht="40.15" customHeight="1">
      <c r="A238" s="60"/>
      <c r="G238" s="60"/>
      <c r="H238" s="60"/>
      <c r="I238" s="60"/>
      <c r="J238" s="60"/>
      <c r="K238" s="60"/>
      <c r="L238" s="60"/>
      <c r="M238" s="60"/>
      <c r="N238" s="60"/>
      <c r="O238" s="60"/>
      <c r="P238" s="60"/>
      <c r="Q238" s="60"/>
      <c r="R238" s="60"/>
      <c r="S238" s="60"/>
      <c r="T238" s="60"/>
      <c r="U238" s="60"/>
      <c r="V238" s="60"/>
      <c r="W238" s="60"/>
    </row>
    <row r="239" ht="40.15" customHeight="1">
      <c r="A239" s="60"/>
      <c r="G239" s="60"/>
      <c r="H239" s="60"/>
      <c r="I239" s="60"/>
      <c r="J239" s="60"/>
      <c r="K239" s="60"/>
      <c r="L239" s="60"/>
      <c r="M239" s="60"/>
      <c r="N239" s="60"/>
      <c r="O239" s="60"/>
      <c r="P239" s="60"/>
      <c r="Q239" s="60"/>
      <c r="R239" s="60"/>
      <c r="S239" s="60"/>
      <c r="T239" s="60"/>
      <c r="U239" s="60"/>
      <c r="V239" s="60"/>
      <c r="W239" s="60"/>
    </row>
    <row r="240" ht="40.15" customHeight="1">
      <c r="A240" s="60"/>
      <c r="G240" s="60"/>
      <c r="H240" s="60"/>
      <c r="I240" s="60"/>
      <c r="J240" s="60"/>
      <c r="K240" s="60"/>
      <c r="L240" s="60"/>
      <c r="M240" s="60"/>
      <c r="N240" s="60"/>
      <c r="O240" s="60"/>
      <c r="P240" s="60"/>
      <c r="Q240" s="60"/>
      <c r="R240" s="60"/>
      <c r="S240" s="60"/>
      <c r="T240" s="60"/>
      <c r="U240" s="60"/>
      <c r="V240" s="60"/>
      <c r="W240" s="60"/>
    </row>
    <row r="241" ht="40.15" customHeight="1">
      <c r="A241" s="60"/>
      <c r="G241" s="60"/>
      <c r="H241" s="60"/>
      <c r="I241" s="60"/>
      <c r="J241" s="60"/>
      <c r="K241" s="60"/>
      <c r="L241" s="60"/>
      <c r="M241" s="60"/>
      <c r="N241" s="60"/>
      <c r="O241" s="60"/>
      <c r="P241" s="60"/>
      <c r="Q241" s="60"/>
      <c r="R241" s="60"/>
      <c r="S241" s="60"/>
      <c r="T241" s="60"/>
      <c r="U241" s="60"/>
      <c r="V241" s="60"/>
      <c r="W241" s="60"/>
    </row>
    <row r="242" ht="40.15" customHeight="1">
      <c r="A242" s="60"/>
      <c r="G242" s="60"/>
      <c r="H242" s="60"/>
      <c r="I242" s="60"/>
      <c r="J242" s="60"/>
      <c r="K242" s="60"/>
      <c r="L242" s="60"/>
      <c r="M242" s="60"/>
      <c r="N242" s="60"/>
      <c r="O242" s="60"/>
      <c r="P242" s="60"/>
      <c r="Q242" s="60"/>
      <c r="R242" s="60"/>
      <c r="S242" s="60"/>
      <c r="T242" s="60"/>
      <c r="U242" s="60"/>
      <c r="V242" s="60"/>
      <c r="W242" s="60"/>
    </row>
    <row r="243" ht="40.15" customHeight="1">
      <c r="A243" s="60"/>
      <c r="G243" s="60"/>
      <c r="H243" s="60"/>
      <c r="I243" s="60"/>
      <c r="J243" s="60"/>
      <c r="K243" s="60"/>
      <c r="L243" s="60"/>
      <c r="M243" s="60"/>
      <c r="N243" s="60"/>
      <c r="O243" s="60"/>
      <c r="P243" s="60"/>
      <c r="Q243" s="60"/>
      <c r="R243" s="60"/>
      <c r="S243" s="60"/>
      <c r="T243" s="60"/>
      <c r="U243" s="60"/>
      <c r="V243" s="60"/>
      <c r="W243" s="60"/>
    </row>
    <row r="244" ht="40.15" customHeight="1">
      <c r="A244" s="60"/>
      <c r="G244" s="60"/>
      <c r="H244" s="60"/>
      <c r="I244" s="60"/>
      <c r="J244" s="60"/>
      <c r="K244" s="60"/>
      <c r="L244" s="60"/>
      <c r="M244" s="60"/>
      <c r="N244" s="60"/>
      <c r="O244" s="60"/>
      <c r="P244" s="60"/>
      <c r="Q244" s="60"/>
      <c r="R244" s="60"/>
      <c r="S244" s="60"/>
      <c r="T244" s="60"/>
      <c r="U244" s="60"/>
      <c r="V244" s="60"/>
      <c r="W244" s="60"/>
    </row>
    <row r="245" ht="40.15" customHeight="1">
      <c r="A245" s="60"/>
      <c r="G245" s="60"/>
      <c r="H245" s="60"/>
      <c r="I245" s="60"/>
      <c r="J245" s="60"/>
      <c r="K245" s="60"/>
      <c r="L245" s="60"/>
      <c r="M245" s="60"/>
      <c r="N245" s="60"/>
      <c r="O245" s="60"/>
      <c r="P245" s="60"/>
      <c r="Q245" s="60"/>
      <c r="R245" s="60"/>
      <c r="S245" s="60"/>
      <c r="T245" s="60"/>
      <c r="U245" s="60"/>
      <c r="V245" s="60"/>
      <c r="W245" s="60"/>
    </row>
    <row r="246" ht="40.15" customHeight="1">
      <c r="A246" s="60"/>
      <c r="G246" s="60"/>
      <c r="H246" s="60"/>
      <c r="I246" s="60"/>
      <c r="J246" s="60"/>
      <c r="K246" s="60"/>
      <c r="L246" s="60"/>
      <c r="M246" s="60"/>
      <c r="N246" s="60"/>
      <c r="O246" s="60"/>
      <c r="P246" s="60"/>
      <c r="Q246" s="60"/>
      <c r="R246" s="60"/>
      <c r="S246" s="60"/>
      <c r="T246" s="60"/>
      <c r="U246" s="60"/>
      <c r="V246" s="60"/>
      <c r="W246" s="60"/>
    </row>
    <row r="247" ht="40.15" customHeight="1">
      <c r="A247" s="60"/>
      <c r="G247" s="60"/>
      <c r="H247" s="60"/>
      <c r="I247" s="60"/>
      <c r="J247" s="60"/>
      <c r="K247" s="60"/>
      <c r="L247" s="60"/>
      <c r="M247" s="60"/>
      <c r="N247" s="60"/>
      <c r="O247" s="60"/>
      <c r="P247" s="60"/>
      <c r="Q247" s="60"/>
      <c r="R247" s="60"/>
      <c r="S247" s="60"/>
      <c r="T247" s="60"/>
      <c r="U247" s="60"/>
      <c r="V247" s="60"/>
      <c r="W247" s="60"/>
    </row>
    <row r="248" ht="40.15" customHeight="1">
      <c r="A248" s="60"/>
      <c r="G248" s="60"/>
      <c r="H248" s="60"/>
      <c r="I248" s="60"/>
      <c r="J248" s="60"/>
      <c r="K248" s="60"/>
      <c r="L248" s="60"/>
      <c r="M248" s="60"/>
      <c r="N248" s="60"/>
      <c r="O248" s="60"/>
      <c r="P248" s="60"/>
      <c r="Q248" s="60"/>
      <c r="R248" s="60"/>
      <c r="S248" s="60"/>
      <c r="T248" s="60"/>
      <c r="U248" s="60"/>
      <c r="V248" s="60"/>
      <c r="W248" s="60"/>
    </row>
    <row r="249" ht="40.15" customHeight="1">
      <c r="A249" s="60"/>
      <c r="G249" s="60"/>
      <c r="H249" s="60"/>
      <c r="I249" s="60"/>
      <c r="J249" s="60"/>
      <c r="K249" s="60"/>
      <c r="L249" s="60"/>
      <c r="M249" s="60"/>
      <c r="N249" s="60"/>
      <c r="O249" s="60"/>
      <c r="P249" s="60"/>
      <c r="Q249" s="60"/>
      <c r="R249" s="60"/>
      <c r="S249" s="60"/>
      <c r="T249" s="60"/>
      <c r="U249" s="60"/>
      <c r="V249" s="60"/>
      <c r="W249" s="60"/>
    </row>
    <row r="250" ht="40.15" customHeight="1">
      <c r="A250" s="60"/>
      <c r="G250" s="60"/>
      <c r="H250" s="60"/>
      <c r="I250" s="60"/>
      <c r="J250" s="60"/>
      <c r="K250" s="60"/>
      <c r="L250" s="60"/>
      <c r="M250" s="60"/>
      <c r="N250" s="60"/>
      <c r="O250" s="60"/>
      <c r="P250" s="60"/>
      <c r="Q250" s="60"/>
      <c r="R250" s="60"/>
      <c r="S250" s="60"/>
      <c r="T250" s="60"/>
      <c r="U250" s="60"/>
      <c r="V250" s="60"/>
      <c r="W250" s="60"/>
    </row>
    <row r="251" ht="40.15" customHeight="1">
      <c r="A251" s="60"/>
      <c r="G251" s="60"/>
      <c r="H251" s="60"/>
      <c r="I251" s="60"/>
      <c r="J251" s="60"/>
      <c r="K251" s="60"/>
      <c r="L251" s="60"/>
      <c r="M251" s="60"/>
      <c r="N251" s="60"/>
      <c r="O251" s="60"/>
      <c r="P251" s="60"/>
      <c r="Q251" s="60"/>
      <c r="R251" s="60"/>
      <c r="S251" s="60"/>
      <c r="T251" s="60"/>
      <c r="U251" s="60"/>
      <c r="V251" s="60"/>
      <c r="W251" s="60"/>
    </row>
    <row r="252" ht="40.15" customHeight="1">
      <c r="A252" s="60"/>
      <c r="G252" s="60"/>
      <c r="H252" s="60"/>
      <c r="I252" s="60"/>
      <c r="J252" s="60"/>
      <c r="K252" s="60"/>
      <c r="L252" s="60"/>
      <c r="M252" s="60"/>
      <c r="N252" s="60"/>
      <c r="O252" s="60"/>
      <c r="P252" s="60"/>
      <c r="Q252" s="60"/>
      <c r="R252" s="60"/>
      <c r="S252" s="60"/>
      <c r="T252" s="60"/>
      <c r="U252" s="60"/>
      <c r="V252" s="60"/>
      <c r="W252" s="60"/>
    </row>
    <row r="253" ht="40.15" customHeight="1">
      <c r="A253" s="60"/>
      <c r="G253" s="60"/>
      <c r="H253" s="60"/>
      <c r="I253" s="60"/>
      <c r="J253" s="60"/>
      <c r="K253" s="60"/>
      <c r="L253" s="60"/>
      <c r="M253" s="60"/>
      <c r="N253" s="60"/>
      <c r="O253" s="60"/>
      <c r="P253" s="60"/>
      <c r="Q253" s="60"/>
      <c r="R253" s="60"/>
      <c r="S253" s="60"/>
      <c r="T253" s="60"/>
      <c r="U253" s="60"/>
      <c r="V253" s="60"/>
      <c r="W253" s="60"/>
    </row>
    <row r="254" ht="40.15" customHeight="1">
      <c r="A254" s="60"/>
      <c r="G254" s="60"/>
      <c r="H254" s="60"/>
      <c r="I254" s="60"/>
      <c r="J254" s="60"/>
      <c r="K254" s="60"/>
      <c r="L254" s="60"/>
      <c r="M254" s="60"/>
      <c r="N254" s="60"/>
      <c r="O254" s="60"/>
      <c r="P254" s="60"/>
      <c r="Q254" s="60"/>
      <c r="R254" s="60"/>
      <c r="S254" s="60"/>
      <c r="T254" s="60"/>
      <c r="U254" s="60"/>
      <c r="V254" s="60"/>
      <c r="W254" s="60"/>
    </row>
    <row r="255" ht="40.15" customHeight="1">
      <c r="A255" s="60"/>
      <c r="G255" s="60"/>
      <c r="H255" s="60"/>
      <c r="I255" s="60"/>
      <c r="J255" s="60"/>
      <c r="K255" s="60"/>
      <c r="L255" s="60"/>
      <c r="M255" s="60"/>
      <c r="N255" s="60"/>
      <c r="O255" s="60"/>
      <c r="P255" s="60"/>
      <c r="Q255" s="60"/>
      <c r="R255" s="60"/>
      <c r="S255" s="60"/>
      <c r="T255" s="60"/>
      <c r="U255" s="60"/>
      <c r="V255" s="60"/>
      <c r="W255" s="60"/>
    </row>
    <row r="256" ht="40.15" customHeight="1">
      <c r="A256" s="60"/>
      <c r="G256" s="60"/>
      <c r="H256" s="60"/>
      <c r="I256" s="60"/>
      <c r="J256" s="60"/>
      <c r="K256" s="60"/>
      <c r="L256" s="60"/>
      <c r="M256" s="60"/>
      <c r="N256" s="60"/>
      <c r="O256" s="60"/>
      <c r="P256" s="60"/>
      <c r="Q256" s="60"/>
      <c r="R256" s="60"/>
      <c r="S256" s="60"/>
      <c r="T256" s="60"/>
      <c r="U256" s="60"/>
      <c r="V256" s="60"/>
      <c r="W256" s="60"/>
    </row>
    <row r="257" ht="40.15" customHeight="1">
      <c r="A257" s="60"/>
      <c r="G257" s="60"/>
      <c r="H257" s="60"/>
      <c r="I257" s="60"/>
      <c r="J257" s="60"/>
      <c r="K257" s="60"/>
      <c r="L257" s="60"/>
      <c r="M257" s="60"/>
      <c r="N257" s="60"/>
      <c r="O257" s="60"/>
      <c r="P257" s="60"/>
      <c r="Q257" s="60"/>
      <c r="R257" s="60"/>
      <c r="S257" s="60"/>
      <c r="T257" s="60"/>
      <c r="U257" s="60"/>
      <c r="V257" s="60"/>
      <c r="W257" s="60"/>
    </row>
    <row r="258" ht="40.15" customHeight="1">
      <c r="A258" s="60"/>
      <c r="G258" s="60"/>
      <c r="H258" s="60"/>
      <c r="I258" s="60"/>
      <c r="J258" s="60"/>
      <c r="K258" s="60"/>
      <c r="L258" s="60"/>
      <c r="M258" s="60"/>
      <c r="N258" s="60"/>
      <c r="O258" s="60"/>
      <c r="P258" s="60"/>
      <c r="Q258" s="60"/>
      <c r="R258" s="60"/>
      <c r="S258" s="60"/>
      <c r="T258" s="60"/>
      <c r="U258" s="60"/>
      <c r="V258" s="60"/>
      <c r="W258" s="60"/>
    </row>
    <row r="259" ht="40.15" customHeight="1">
      <c r="A259" s="60"/>
      <c r="G259" s="60"/>
      <c r="H259" s="60"/>
      <c r="I259" s="60"/>
      <c r="J259" s="60"/>
      <c r="K259" s="60"/>
      <c r="L259" s="60"/>
      <c r="M259" s="60"/>
      <c r="N259" s="60"/>
      <c r="O259" s="60"/>
      <c r="P259" s="60"/>
      <c r="Q259" s="60"/>
      <c r="R259" s="60"/>
      <c r="S259" s="60"/>
      <c r="T259" s="60"/>
      <c r="U259" s="60"/>
      <c r="V259" s="60"/>
      <c r="W259" s="60"/>
    </row>
    <row r="260" ht="40.15" customHeight="1">
      <c r="A260" s="60"/>
      <c r="G260" s="60"/>
      <c r="H260" s="60"/>
      <c r="I260" s="60"/>
      <c r="J260" s="60"/>
      <c r="K260" s="60"/>
      <c r="L260" s="60"/>
      <c r="M260" s="60"/>
      <c r="N260" s="60"/>
      <c r="O260" s="60"/>
      <c r="P260" s="60"/>
      <c r="Q260" s="60"/>
      <c r="R260" s="60"/>
      <c r="S260" s="60"/>
      <c r="T260" s="60"/>
      <c r="U260" s="60"/>
      <c r="V260" s="60"/>
      <c r="W260" s="60"/>
    </row>
    <row r="261" ht="40.15" customHeight="1">
      <c r="A261" s="60"/>
      <c r="G261" s="60"/>
      <c r="H261" s="60"/>
      <c r="I261" s="60"/>
      <c r="J261" s="60"/>
      <c r="K261" s="60"/>
      <c r="L261" s="60"/>
      <c r="M261" s="60"/>
      <c r="N261" s="60"/>
      <c r="O261" s="60"/>
      <c r="P261" s="60"/>
      <c r="Q261" s="60"/>
      <c r="R261" s="60"/>
      <c r="S261" s="60"/>
      <c r="T261" s="60"/>
      <c r="U261" s="60"/>
      <c r="V261" s="60"/>
      <c r="W261" s="60"/>
    </row>
    <row r="262" ht="40.15" customHeight="1">
      <c r="A262" s="60"/>
      <c r="G262" s="60"/>
      <c r="H262" s="60"/>
      <c r="I262" s="60"/>
      <c r="J262" s="60"/>
      <c r="K262" s="60"/>
      <c r="L262" s="60"/>
      <c r="M262" s="60"/>
      <c r="N262" s="60"/>
      <c r="O262" s="60"/>
      <c r="P262" s="60"/>
      <c r="Q262" s="60"/>
      <c r="R262" s="60"/>
      <c r="S262" s="60"/>
      <c r="T262" s="60"/>
      <c r="U262" s="60"/>
      <c r="V262" s="60"/>
      <c r="W262" s="60"/>
    </row>
    <row r="263" ht="40.15" customHeight="1">
      <c r="A263" s="60"/>
      <c r="G263" s="60"/>
      <c r="H263" s="60"/>
      <c r="I263" s="60"/>
      <c r="J263" s="60"/>
      <c r="K263" s="60"/>
      <c r="L263" s="60"/>
      <c r="M263" s="60"/>
      <c r="N263" s="60"/>
      <c r="O263" s="60"/>
      <c r="P263" s="60"/>
      <c r="Q263" s="60"/>
      <c r="R263" s="60"/>
      <c r="S263" s="60"/>
      <c r="T263" s="60"/>
      <c r="U263" s="60"/>
      <c r="V263" s="60"/>
      <c r="W263" s="60"/>
    </row>
    <row r="264" ht="40.15" customHeight="1">
      <c r="A264" s="60"/>
      <c r="G264" s="60"/>
      <c r="H264" s="60"/>
      <c r="I264" s="60"/>
      <c r="J264" s="60"/>
      <c r="K264" s="60"/>
      <c r="L264" s="60"/>
      <c r="M264" s="60"/>
      <c r="N264" s="60"/>
      <c r="O264" s="60"/>
      <c r="P264" s="60"/>
      <c r="Q264" s="60"/>
      <c r="R264" s="60"/>
      <c r="S264" s="60"/>
      <c r="T264" s="60"/>
      <c r="U264" s="60"/>
      <c r="V264" s="60"/>
      <c r="W264" s="60"/>
    </row>
    <row r="265" ht="40.15" customHeight="1">
      <c r="A265" s="60"/>
      <c r="G265" s="60"/>
      <c r="H265" s="60"/>
      <c r="I265" s="60"/>
      <c r="J265" s="60"/>
      <c r="K265" s="60"/>
      <c r="L265" s="60"/>
      <c r="M265" s="60"/>
      <c r="N265" s="60"/>
      <c r="O265" s="60"/>
      <c r="P265" s="60"/>
      <c r="Q265" s="60"/>
      <c r="R265" s="60"/>
      <c r="S265" s="60"/>
      <c r="T265" s="60"/>
      <c r="U265" s="60"/>
      <c r="V265" s="60"/>
      <c r="W265" s="60"/>
    </row>
    <row r="266" ht="40.15" customHeight="1">
      <c r="A266" s="60"/>
      <c r="G266" s="60"/>
      <c r="H266" s="60"/>
      <c r="I266" s="60"/>
      <c r="J266" s="60"/>
      <c r="K266" s="60"/>
      <c r="L266" s="60"/>
      <c r="M266" s="60"/>
      <c r="N266" s="60"/>
      <c r="O266" s="60"/>
      <c r="P266" s="60"/>
      <c r="Q266" s="60"/>
      <c r="R266" s="60"/>
      <c r="S266" s="60"/>
      <c r="T266" s="60"/>
      <c r="U266" s="60"/>
      <c r="V266" s="60"/>
      <c r="W266" s="60"/>
    </row>
    <row r="267" ht="40.15" customHeight="1">
      <c r="A267" s="60"/>
      <c r="G267" s="60"/>
      <c r="H267" s="60"/>
      <c r="I267" s="60"/>
      <c r="J267" s="60"/>
      <c r="K267" s="60"/>
      <c r="L267" s="60"/>
      <c r="M267" s="60"/>
      <c r="N267" s="60"/>
      <c r="O267" s="60"/>
      <c r="P267" s="60"/>
      <c r="Q267" s="60"/>
      <c r="R267" s="60"/>
      <c r="S267" s="60"/>
      <c r="T267" s="60"/>
      <c r="U267" s="60"/>
      <c r="V267" s="60"/>
      <c r="W267" s="60"/>
    </row>
    <row r="268" ht="40.15" customHeight="1">
      <c r="A268" s="60"/>
      <c r="G268" s="60"/>
      <c r="H268" s="60"/>
      <c r="I268" s="60"/>
      <c r="J268" s="60"/>
      <c r="K268" s="60"/>
      <c r="L268" s="60"/>
      <c r="M268" s="60"/>
      <c r="N268" s="60"/>
      <c r="O268" s="60"/>
      <c r="P268" s="60"/>
      <c r="Q268" s="60"/>
      <c r="R268" s="60"/>
      <c r="S268" s="60"/>
      <c r="T268" s="60"/>
      <c r="U268" s="60"/>
      <c r="V268" s="60"/>
      <c r="W268" s="60"/>
    </row>
    <row r="269" ht="40.15" customHeight="1">
      <c r="A269" s="60"/>
      <c r="G269" s="60"/>
      <c r="H269" s="60"/>
      <c r="I269" s="60"/>
      <c r="J269" s="60"/>
      <c r="K269" s="60"/>
      <c r="L269" s="60"/>
      <c r="M269" s="60"/>
      <c r="N269" s="60"/>
      <c r="O269" s="60"/>
      <c r="P269" s="60"/>
      <c r="Q269" s="60"/>
      <c r="R269" s="60"/>
      <c r="S269" s="60"/>
      <c r="T269" s="60"/>
      <c r="U269" s="60"/>
      <c r="V269" s="60"/>
      <c r="W269" s="60"/>
    </row>
    <row r="270" ht="40.15" customHeight="1">
      <c r="A270" s="60"/>
      <c r="G270" s="60"/>
      <c r="H270" s="60"/>
      <c r="I270" s="60"/>
      <c r="J270" s="60"/>
      <c r="K270" s="60"/>
      <c r="L270" s="60"/>
      <c r="M270" s="60"/>
      <c r="N270" s="60"/>
      <c r="O270" s="60"/>
      <c r="P270" s="60"/>
      <c r="Q270" s="60"/>
      <c r="R270" s="60"/>
      <c r="S270" s="60"/>
      <c r="T270" s="60"/>
      <c r="U270" s="60"/>
      <c r="V270" s="60"/>
      <c r="W270" s="60"/>
    </row>
    <row r="271" ht="40.15" customHeight="1">
      <c r="A271" s="60"/>
      <c r="G271" s="60"/>
      <c r="H271" s="60"/>
      <c r="I271" s="60"/>
      <c r="J271" s="60"/>
      <c r="K271" s="60"/>
      <c r="L271" s="60"/>
      <c r="M271" s="60"/>
      <c r="N271" s="60"/>
      <c r="O271" s="60"/>
      <c r="P271" s="60"/>
      <c r="Q271" s="60"/>
      <c r="R271" s="60"/>
      <c r="S271" s="60"/>
      <c r="T271" s="60"/>
      <c r="U271" s="60"/>
      <c r="V271" s="60"/>
      <c r="W271" s="60"/>
    </row>
    <row r="272" ht="40.15" customHeight="1">
      <c r="A272" s="60"/>
      <c r="G272" s="60"/>
      <c r="H272" s="60"/>
      <c r="I272" s="60"/>
      <c r="J272" s="60"/>
      <c r="K272" s="60"/>
      <c r="L272" s="60"/>
      <c r="M272" s="60"/>
      <c r="N272" s="60"/>
      <c r="O272" s="60"/>
      <c r="P272" s="60"/>
      <c r="Q272" s="60"/>
      <c r="R272" s="60"/>
      <c r="S272" s="60"/>
      <c r="T272" s="60"/>
      <c r="U272" s="60"/>
      <c r="V272" s="60"/>
      <c r="W272" s="60"/>
    </row>
    <row r="273" ht="40.15" customHeight="1">
      <c r="A273" s="60"/>
      <c r="G273" s="60"/>
      <c r="H273" s="60"/>
      <c r="I273" s="60"/>
      <c r="J273" s="60"/>
      <c r="K273" s="60"/>
      <c r="L273" s="60"/>
      <c r="M273" s="60"/>
      <c r="N273" s="60"/>
      <c r="O273" s="60"/>
      <c r="P273" s="60"/>
      <c r="Q273" s="60"/>
      <c r="R273" s="60"/>
      <c r="S273" s="60"/>
      <c r="T273" s="60"/>
      <c r="U273" s="60"/>
      <c r="V273" s="60"/>
      <c r="W273" s="60"/>
    </row>
    <row r="274" ht="40.15" customHeight="1">
      <c r="A274" s="60"/>
      <c r="G274" s="60"/>
      <c r="H274" s="60"/>
      <c r="I274" s="60"/>
      <c r="J274" s="60"/>
      <c r="K274" s="60"/>
      <c r="L274" s="60"/>
      <c r="M274" s="60"/>
      <c r="N274" s="60"/>
      <c r="O274" s="60"/>
      <c r="P274" s="60"/>
      <c r="Q274" s="60"/>
      <c r="R274" s="60"/>
      <c r="S274" s="60"/>
      <c r="T274" s="60"/>
      <c r="U274" s="60"/>
      <c r="V274" s="60"/>
      <c r="W274" s="60"/>
    </row>
    <row r="275" ht="40.15" customHeight="1">
      <c r="A275" s="60"/>
      <c r="G275" s="60"/>
      <c r="H275" s="60"/>
      <c r="I275" s="60"/>
      <c r="J275" s="60"/>
      <c r="K275" s="60"/>
      <c r="L275" s="60"/>
      <c r="M275" s="60"/>
      <c r="N275" s="60"/>
      <c r="O275" s="60"/>
      <c r="P275" s="60"/>
      <c r="Q275" s="60"/>
      <c r="R275" s="60"/>
      <c r="S275" s="60"/>
      <c r="T275" s="60"/>
      <c r="U275" s="60"/>
      <c r="V275" s="60"/>
      <c r="W275" s="60"/>
    </row>
    <row r="276" ht="40.15" customHeight="1">
      <c r="A276" s="60"/>
      <c r="G276" s="60"/>
      <c r="H276" s="60"/>
      <c r="I276" s="60"/>
      <c r="J276" s="60"/>
      <c r="K276" s="60"/>
      <c r="L276" s="60"/>
      <c r="M276" s="60"/>
      <c r="N276" s="60"/>
      <c r="O276" s="60"/>
      <c r="P276" s="60"/>
      <c r="Q276" s="60"/>
      <c r="R276" s="60"/>
      <c r="S276" s="60"/>
      <c r="T276" s="60"/>
      <c r="U276" s="60"/>
      <c r="V276" s="60"/>
      <c r="W276" s="60"/>
    </row>
    <row r="277" ht="40.15" customHeight="1">
      <c r="A277" s="60"/>
      <c r="G277" s="60"/>
      <c r="H277" s="60"/>
      <c r="I277" s="60"/>
      <c r="J277" s="60"/>
      <c r="K277" s="60"/>
      <c r="L277" s="60"/>
      <c r="M277" s="60"/>
      <c r="N277" s="60"/>
      <c r="O277" s="60"/>
      <c r="P277" s="60"/>
      <c r="Q277" s="60"/>
      <c r="R277" s="60"/>
      <c r="S277" s="60"/>
      <c r="T277" s="60"/>
      <c r="U277" s="60"/>
      <c r="V277" s="60"/>
      <c r="W277" s="60"/>
    </row>
    <row r="278" ht="40.15" customHeight="1">
      <c r="A278" s="60"/>
      <c r="G278" s="60"/>
      <c r="H278" s="60"/>
      <c r="I278" s="60"/>
      <c r="J278" s="60"/>
      <c r="K278" s="60"/>
      <c r="L278" s="60"/>
      <c r="M278" s="60"/>
      <c r="N278" s="60"/>
      <c r="O278" s="60"/>
      <c r="P278" s="60"/>
      <c r="Q278" s="60"/>
      <c r="R278" s="60"/>
      <c r="S278" s="60"/>
      <c r="T278" s="60"/>
      <c r="U278" s="60"/>
      <c r="V278" s="60"/>
      <c r="W278" s="60"/>
    </row>
    <row r="279" ht="40.15" customHeight="1">
      <c r="A279" s="60"/>
      <c r="G279" s="60"/>
      <c r="H279" s="60"/>
      <c r="I279" s="60"/>
      <c r="J279" s="60"/>
      <c r="K279" s="60"/>
      <c r="L279" s="60"/>
      <c r="M279" s="60"/>
      <c r="N279" s="60"/>
      <c r="O279" s="60"/>
      <c r="P279" s="60"/>
      <c r="Q279" s="60"/>
      <c r="R279" s="60"/>
      <c r="S279" s="60"/>
      <c r="T279" s="60"/>
      <c r="U279" s="60"/>
      <c r="V279" s="60"/>
      <c r="W279" s="60"/>
    </row>
    <row r="280" ht="40.15" customHeight="1">
      <c r="A280" s="60"/>
      <c r="G280" s="60"/>
      <c r="H280" s="60"/>
      <c r="I280" s="60"/>
      <c r="J280" s="60"/>
      <c r="K280" s="60"/>
      <c r="L280" s="60"/>
      <c r="M280" s="60"/>
      <c r="N280" s="60"/>
      <c r="O280" s="60"/>
      <c r="P280" s="60"/>
      <c r="Q280" s="60"/>
      <c r="R280" s="60"/>
      <c r="S280" s="60"/>
      <c r="T280" s="60"/>
      <c r="U280" s="60"/>
      <c r="V280" s="60"/>
      <c r="W280" s="60"/>
    </row>
    <row r="281" ht="40.15" customHeight="1">
      <c r="A281" s="60"/>
      <c r="G281" s="60"/>
      <c r="H281" s="60"/>
      <c r="I281" s="60"/>
      <c r="J281" s="60"/>
      <c r="K281" s="60"/>
      <c r="L281" s="60"/>
      <c r="M281" s="60"/>
      <c r="N281" s="60"/>
      <c r="O281" s="60"/>
      <c r="P281" s="60"/>
      <c r="Q281" s="60"/>
      <c r="R281" s="60"/>
      <c r="S281" s="60"/>
      <c r="T281" s="60"/>
      <c r="U281" s="60"/>
      <c r="V281" s="60"/>
      <c r="W281" s="60"/>
    </row>
    <row r="282" ht="40.15" customHeight="1">
      <c r="A282" s="60"/>
      <c r="G282" s="60"/>
      <c r="H282" s="60"/>
      <c r="I282" s="60"/>
      <c r="J282" s="60"/>
      <c r="K282" s="60"/>
      <c r="L282" s="60"/>
      <c r="M282" s="60"/>
      <c r="N282" s="60"/>
      <c r="O282" s="60"/>
      <c r="P282" s="60"/>
      <c r="Q282" s="60"/>
      <c r="R282" s="60"/>
      <c r="S282" s="60"/>
      <c r="T282" s="60"/>
      <c r="U282" s="60"/>
      <c r="V282" s="60"/>
      <c r="W282" s="60"/>
    </row>
    <row r="283" ht="40.15" customHeight="1">
      <c r="A283" s="60"/>
      <c r="G283" s="60"/>
      <c r="H283" s="60"/>
      <c r="I283" s="60"/>
      <c r="J283" s="60"/>
      <c r="K283" s="60"/>
      <c r="L283" s="60"/>
      <c r="M283" s="60"/>
      <c r="N283" s="60"/>
      <c r="O283" s="60"/>
      <c r="P283" s="60"/>
      <c r="Q283" s="60"/>
      <c r="R283" s="60"/>
      <c r="S283" s="60"/>
      <c r="T283" s="60"/>
      <c r="U283" s="60"/>
      <c r="V283" s="60"/>
      <c r="W283" s="60"/>
    </row>
    <row r="284" ht="40.15" customHeight="1">
      <c r="A284" s="60"/>
      <c r="G284" s="60"/>
      <c r="H284" s="60"/>
      <c r="I284" s="60"/>
      <c r="J284" s="60"/>
      <c r="K284" s="60"/>
      <c r="L284" s="60"/>
      <c r="M284" s="60"/>
      <c r="N284" s="60"/>
      <c r="O284" s="60"/>
      <c r="P284" s="60"/>
      <c r="Q284" s="60"/>
      <c r="R284" s="60"/>
      <c r="S284" s="60"/>
      <c r="T284" s="60"/>
      <c r="U284" s="60"/>
      <c r="V284" s="60"/>
      <c r="W284" s="60"/>
    </row>
    <row r="285" ht="40.15" customHeight="1">
      <c r="A285" s="60"/>
      <c r="G285" s="60"/>
      <c r="H285" s="60"/>
      <c r="I285" s="60"/>
      <c r="J285" s="60"/>
      <c r="K285" s="60"/>
      <c r="L285" s="60"/>
      <c r="M285" s="60"/>
      <c r="N285" s="60"/>
      <c r="O285" s="60"/>
      <c r="P285" s="60"/>
      <c r="Q285" s="60"/>
      <c r="R285" s="60"/>
      <c r="S285" s="60"/>
      <c r="T285" s="60"/>
      <c r="U285" s="60"/>
      <c r="V285" s="60"/>
      <c r="W285" s="60"/>
    </row>
    <row r="286" ht="40.15" customHeight="1">
      <c r="A286" s="60"/>
      <c r="G286" s="60"/>
      <c r="H286" s="60"/>
      <c r="I286" s="60"/>
      <c r="J286" s="60"/>
      <c r="K286" s="60"/>
      <c r="L286" s="60"/>
      <c r="M286" s="60"/>
      <c r="N286" s="60"/>
      <c r="O286" s="60"/>
      <c r="P286" s="60"/>
      <c r="Q286" s="60"/>
      <c r="R286" s="60"/>
      <c r="S286" s="60"/>
      <c r="T286" s="60"/>
      <c r="U286" s="60"/>
      <c r="V286" s="60"/>
      <c r="W286" s="60"/>
    </row>
    <row r="287" ht="40.15" customHeight="1">
      <c r="A287" s="60"/>
      <c r="G287" s="60"/>
      <c r="H287" s="60"/>
      <c r="I287" s="60"/>
      <c r="J287" s="60"/>
      <c r="K287" s="60"/>
      <c r="L287" s="60"/>
      <c r="M287" s="60"/>
      <c r="N287" s="60"/>
      <c r="O287" s="60"/>
      <c r="P287" s="60"/>
      <c r="Q287" s="60"/>
      <c r="R287" s="60"/>
      <c r="S287" s="60"/>
      <c r="T287" s="60"/>
      <c r="U287" s="60"/>
      <c r="V287" s="60"/>
      <c r="W287" s="60"/>
    </row>
    <row r="288" ht="40.15" customHeight="1">
      <c r="A288" s="60"/>
      <c r="G288" s="60"/>
      <c r="H288" s="60"/>
      <c r="I288" s="60"/>
      <c r="J288" s="60"/>
      <c r="K288" s="60"/>
      <c r="L288" s="60"/>
      <c r="M288" s="60"/>
      <c r="N288" s="60"/>
      <c r="O288" s="60"/>
      <c r="P288" s="60"/>
      <c r="Q288" s="60"/>
      <c r="R288" s="60"/>
      <c r="S288" s="60"/>
      <c r="T288" s="60"/>
      <c r="U288" s="60"/>
      <c r="V288" s="60"/>
      <c r="W288" s="60"/>
    </row>
    <row r="289" ht="40.15" customHeight="1">
      <c r="A289" s="60"/>
      <c r="G289" s="60"/>
      <c r="H289" s="60"/>
      <c r="I289" s="60"/>
      <c r="J289" s="60"/>
      <c r="K289" s="60"/>
      <c r="L289" s="60"/>
      <c r="M289" s="60"/>
      <c r="N289" s="60"/>
      <c r="O289" s="60"/>
      <c r="P289" s="60"/>
      <c r="Q289" s="60"/>
      <c r="R289" s="60"/>
      <c r="S289" s="60"/>
      <c r="T289" s="60"/>
      <c r="U289" s="60"/>
      <c r="V289" s="60"/>
      <c r="W289" s="60"/>
    </row>
    <row r="290" ht="40.15" customHeight="1">
      <c r="A290" s="60"/>
      <c r="G290" s="60"/>
      <c r="H290" s="60"/>
      <c r="I290" s="60"/>
      <c r="J290" s="60"/>
      <c r="K290" s="60"/>
      <c r="L290" s="60"/>
      <c r="M290" s="60"/>
      <c r="N290" s="60"/>
      <c r="O290" s="60"/>
      <c r="P290" s="60"/>
      <c r="Q290" s="60"/>
      <c r="R290" s="60"/>
      <c r="S290" s="60"/>
      <c r="T290" s="60"/>
      <c r="U290" s="60"/>
      <c r="V290" s="60"/>
      <c r="W290" s="60"/>
    </row>
    <row r="291" ht="40.15" customHeight="1">
      <c r="A291" s="60"/>
      <c r="G291" s="60"/>
      <c r="H291" s="60"/>
      <c r="I291" s="60"/>
      <c r="J291" s="60"/>
      <c r="K291" s="60"/>
      <c r="L291" s="60"/>
      <c r="M291" s="60"/>
      <c r="N291" s="60"/>
      <c r="O291" s="60"/>
      <c r="P291" s="60"/>
      <c r="Q291" s="60"/>
      <c r="R291" s="60"/>
      <c r="S291" s="60"/>
      <c r="T291" s="60"/>
      <c r="U291" s="60"/>
      <c r="V291" s="60"/>
      <c r="W291" s="60"/>
    </row>
    <row r="292" ht="40.15" customHeight="1">
      <c r="A292" s="60"/>
      <c r="G292" s="60"/>
      <c r="H292" s="60"/>
      <c r="I292" s="60"/>
      <c r="J292" s="60"/>
      <c r="K292" s="60"/>
      <c r="L292" s="60"/>
      <c r="M292" s="60"/>
      <c r="N292" s="60"/>
      <c r="O292" s="60"/>
      <c r="P292" s="60"/>
      <c r="Q292" s="60"/>
      <c r="R292" s="60"/>
      <c r="S292" s="60"/>
      <c r="T292" s="60"/>
      <c r="U292" s="60"/>
      <c r="V292" s="60"/>
      <c r="W292" s="60"/>
    </row>
    <row r="293" ht="40.15" customHeight="1">
      <c r="A293" s="60"/>
      <c r="G293" s="60"/>
      <c r="H293" s="60"/>
      <c r="I293" s="60"/>
      <c r="J293" s="60"/>
      <c r="K293" s="60"/>
      <c r="L293" s="60"/>
      <c r="M293" s="60"/>
      <c r="N293" s="60"/>
      <c r="O293" s="60"/>
      <c r="P293" s="60"/>
      <c r="Q293" s="60"/>
      <c r="R293" s="60"/>
      <c r="S293" s="60"/>
      <c r="T293" s="60"/>
      <c r="U293" s="60"/>
      <c r="V293" s="60"/>
      <c r="W293" s="60"/>
    </row>
    <row r="294" ht="40.15" customHeight="1">
      <c r="A294" s="60"/>
      <c r="G294" s="60"/>
      <c r="H294" s="60"/>
      <c r="I294" s="60"/>
      <c r="J294" s="60"/>
      <c r="K294" s="60"/>
      <c r="L294" s="60"/>
      <c r="M294" s="60"/>
      <c r="N294" s="60"/>
      <c r="O294" s="60"/>
      <c r="P294" s="60"/>
      <c r="Q294" s="60"/>
      <c r="R294" s="60"/>
      <c r="S294" s="60"/>
      <c r="T294" s="60"/>
      <c r="U294" s="60"/>
      <c r="V294" s="60"/>
      <c r="W294" s="60"/>
    </row>
    <row r="295" ht="40.15" customHeight="1">
      <c r="A295" s="60"/>
      <c r="G295" s="60"/>
      <c r="H295" s="60"/>
      <c r="I295" s="60"/>
      <c r="J295" s="60"/>
      <c r="K295" s="60"/>
      <c r="L295" s="60"/>
      <c r="M295" s="60"/>
      <c r="N295" s="60"/>
      <c r="O295" s="60"/>
      <c r="P295" s="60"/>
      <c r="Q295" s="60"/>
      <c r="R295" s="60"/>
      <c r="S295" s="60"/>
      <c r="T295" s="60"/>
      <c r="U295" s="60"/>
      <c r="V295" s="60"/>
      <c r="W295" s="60"/>
    </row>
    <row r="296" ht="40.15" customHeight="1">
      <c r="A296" s="60"/>
      <c r="G296" s="60"/>
      <c r="H296" s="60"/>
      <c r="I296" s="60"/>
      <c r="J296" s="60"/>
      <c r="K296" s="60"/>
      <c r="L296" s="60"/>
      <c r="M296" s="60"/>
      <c r="N296" s="60"/>
      <c r="O296" s="60"/>
      <c r="P296" s="60"/>
      <c r="Q296" s="60"/>
      <c r="R296" s="60"/>
      <c r="S296" s="60"/>
      <c r="T296" s="60"/>
      <c r="U296" s="60"/>
      <c r="V296" s="60"/>
      <c r="W296" s="60"/>
    </row>
    <row r="297" ht="40.15" customHeight="1">
      <c r="A297" s="60"/>
      <c r="G297" s="60"/>
      <c r="H297" s="60"/>
      <c r="I297" s="60"/>
      <c r="J297" s="60"/>
      <c r="K297" s="60"/>
      <c r="L297" s="60"/>
      <c r="M297" s="60"/>
      <c r="N297" s="60"/>
      <c r="O297" s="60"/>
      <c r="P297" s="60"/>
      <c r="Q297" s="60"/>
      <c r="R297" s="60"/>
      <c r="S297" s="60"/>
      <c r="T297" s="60"/>
      <c r="U297" s="60"/>
      <c r="V297" s="60"/>
      <c r="W297" s="60"/>
    </row>
    <row r="298" ht="40.15" customHeight="1">
      <c r="A298" s="60"/>
      <c r="G298" s="60"/>
      <c r="H298" s="60"/>
      <c r="I298" s="60"/>
      <c r="J298" s="60"/>
      <c r="K298" s="60"/>
      <c r="L298" s="60"/>
      <c r="M298" s="60"/>
      <c r="N298" s="60"/>
      <c r="O298" s="60"/>
      <c r="P298" s="60"/>
      <c r="Q298" s="60"/>
      <c r="R298" s="60"/>
      <c r="S298" s="60"/>
      <c r="T298" s="60"/>
      <c r="U298" s="60"/>
      <c r="V298" s="60"/>
      <c r="W298" s="60"/>
    </row>
    <row r="299" ht="40.15" customHeight="1">
      <c r="A299" s="60"/>
      <c r="G299" s="60"/>
      <c r="H299" s="60"/>
      <c r="I299" s="60"/>
      <c r="J299" s="60"/>
      <c r="K299" s="60"/>
      <c r="L299" s="60"/>
      <c r="M299" s="60"/>
      <c r="N299" s="60"/>
      <c r="O299" s="60"/>
      <c r="P299" s="60"/>
      <c r="Q299" s="60"/>
      <c r="R299" s="60"/>
      <c r="S299" s="60"/>
      <c r="T299" s="60"/>
      <c r="U299" s="60"/>
      <c r="V299" s="60"/>
      <c r="W299" s="60"/>
    </row>
    <row r="300" ht="40.15" customHeight="1">
      <c r="A300" s="60"/>
      <c r="G300" s="60"/>
      <c r="H300" s="60"/>
      <c r="I300" s="60"/>
      <c r="J300" s="60"/>
      <c r="K300" s="60"/>
      <c r="L300" s="60"/>
      <c r="M300" s="60"/>
      <c r="N300" s="60"/>
      <c r="O300" s="60"/>
      <c r="P300" s="60"/>
      <c r="Q300" s="60"/>
      <c r="R300" s="60"/>
      <c r="S300" s="60"/>
      <c r="T300" s="60"/>
      <c r="U300" s="60"/>
      <c r="V300" s="60"/>
      <c r="W300" s="60"/>
    </row>
    <row r="301" ht="40.15" customHeight="1">
      <c r="A301" s="60"/>
      <c r="G301" s="60"/>
      <c r="H301" s="60"/>
      <c r="I301" s="60"/>
      <c r="J301" s="60"/>
      <c r="K301" s="60"/>
      <c r="L301" s="60"/>
      <c r="M301" s="60"/>
      <c r="N301" s="60"/>
      <c r="O301" s="60"/>
      <c r="P301" s="60"/>
      <c r="Q301" s="60"/>
      <c r="R301" s="60"/>
      <c r="S301" s="60"/>
      <c r="T301" s="60"/>
      <c r="U301" s="60"/>
      <c r="V301" s="60"/>
      <c r="W301" s="60"/>
    </row>
    <row r="302" ht="40.15" customHeight="1">
      <c r="A302" s="60"/>
      <c r="G302" s="60"/>
      <c r="H302" s="60"/>
      <c r="I302" s="60"/>
      <c r="J302" s="60"/>
      <c r="K302" s="60"/>
      <c r="L302" s="60"/>
      <c r="M302" s="60"/>
      <c r="N302" s="60"/>
      <c r="O302" s="60"/>
      <c r="P302" s="60"/>
      <c r="Q302" s="60"/>
      <c r="R302" s="60"/>
      <c r="S302" s="60"/>
      <c r="T302" s="60"/>
      <c r="U302" s="60"/>
      <c r="V302" s="60"/>
      <c r="W302" s="60"/>
    </row>
    <row r="303" ht="40.15" customHeight="1">
      <c r="A303" s="60"/>
      <c r="G303" s="60"/>
      <c r="H303" s="60"/>
      <c r="I303" s="60"/>
      <c r="J303" s="60"/>
      <c r="K303" s="60"/>
      <c r="L303" s="60"/>
      <c r="M303" s="60"/>
      <c r="N303" s="60"/>
      <c r="O303" s="60"/>
      <c r="P303" s="60"/>
      <c r="Q303" s="60"/>
      <c r="R303" s="60"/>
      <c r="S303" s="60"/>
      <c r="T303" s="60"/>
      <c r="U303" s="60"/>
      <c r="V303" s="60"/>
      <c r="W303" s="60"/>
    </row>
    <row r="304" ht="40.15" customHeight="1">
      <c r="A304" s="60"/>
      <c r="G304" s="60"/>
      <c r="H304" s="60"/>
      <c r="I304" s="60"/>
      <c r="J304" s="60"/>
      <c r="K304" s="60"/>
      <c r="L304" s="60"/>
      <c r="M304" s="60"/>
      <c r="N304" s="60"/>
      <c r="O304" s="60"/>
      <c r="P304" s="60"/>
      <c r="Q304" s="60"/>
      <c r="R304" s="60"/>
      <c r="S304" s="60"/>
      <c r="T304" s="60"/>
      <c r="U304" s="60"/>
      <c r="V304" s="60"/>
      <c r="W304" s="60"/>
    </row>
    <row r="305" ht="40.15" customHeight="1">
      <c r="A305" s="60"/>
      <c r="G305" s="60"/>
      <c r="H305" s="60"/>
      <c r="I305" s="60"/>
      <c r="J305" s="60"/>
      <c r="K305" s="60"/>
      <c r="L305" s="60"/>
      <c r="M305" s="60"/>
      <c r="N305" s="60"/>
      <c r="O305" s="60"/>
      <c r="P305" s="60"/>
      <c r="Q305" s="60"/>
      <c r="R305" s="60"/>
      <c r="S305" s="60"/>
      <c r="T305" s="60"/>
      <c r="U305" s="60"/>
      <c r="V305" s="60"/>
      <c r="W305" s="60"/>
    </row>
    <row r="306" ht="40.15" customHeight="1">
      <c r="A306" s="60"/>
      <c r="G306" s="60"/>
      <c r="H306" s="60"/>
      <c r="I306" s="60"/>
      <c r="J306" s="60"/>
      <c r="K306" s="60"/>
      <c r="L306" s="60"/>
      <c r="M306" s="60"/>
      <c r="N306" s="60"/>
      <c r="O306" s="60"/>
      <c r="P306" s="60"/>
      <c r="Q306" s="60"/>
      <c r="R306" s="60"/>
      <c r="S306" s="60"/>
      <c r="T306" s="60"/>
      <c r="U306" s="60"/>
      <c r="V306" s="60"/>
      <c r="W306" s="60"/>
    </row>
    <row r="307" ht="40.15" customHeight="1">
      <c r="A307" s="60"/>
      <c r="G307" s="60"/>
      <c r="H307" s="60"/>
      <c r="I307" s="60"/>
      <c r="J307" s="60"/>
      <c r="K307" s="60"/>
      <c r="L307" s="60"/>
      <c r="M307" s="60"/>
      <c r="N307" s="60"/>
      <c r="O307" s="60"/>
      <c r="P307" s="60"/>
      <c r="Q307" s="60"/>
      <c r="R307" s="60"/>
      <c r="S307" s="60"/>
      <c r="T307" s="60"/>
      <c r="U307" s="60"/>
      <c r="V307" s="60"/>
      <c r="W307" s="60"/>
    </row>
    <row r="308" ht="40.15" customHeight="1">
      <c r="A308" s="60"/>
      <c r="G308" s="60"/>
      <c r="H308" s="60"/>
      <c r="I308" s="60"/>
      <c r="J308" s="60"/>
      <c r="K308" s="60"/>
      <c r="L308" s="60"/>
      <c r="M308" s="60"/>
      <c r="N308" s="60"/>
      <c r="O308" s="60"/>
      <c r="P308" s="60"/>
      <c r="Q308" s="60"/>
      <c r="R308" s="60"/>
      <c r="S308" s="60"/>
      <c r="T308" s="60"/>
      <c r="U308" s="60"/>
      <c r="V308" s="60"/>
      <c r="W308" s="60"/>
    </row>
    <row r="309" ht="40.15" customHeight="1">
      <c r="A309" s="60"/>
      <c r="G309" s="60"/>
      <c r="H309" s="60"/>
      <c r="I309" s="60"/>
      <c r="J309" s="60"/>
      <c r="K309" s="60"/>
      <c r="L309" s="60"/>
      <c r="M309" s="60"/>
      <c r="N309" s="60"/>
      <c r="O309" s="60"/>
      <c r="P309" s="60"/>
      <c r="Q309" s="60"/>
      <c r="R309" s="60"/>
      <c r="S309" s="60"/>
      <c r="T309" s="60"/>
      <c r="U309" s="60"/>
      <c r="V309" s="60"/>
      <c r="W309" s="60"/>
    </row>
    <row r="310" ht="40.15" customHeight="1">
      <c r="A310" s="60"/>
      <c r="G310" s="60"/>
      <c r="H310" s="60"/>
      <c r="I310" s="60"/>
      <c r="J310" s="60"/>
      <c r="K310" s="60"/>
      <c r="L310" s="60"/>
      <c r="M310" s="60"/>
      <c r="N310" s="60"/>
      <c r="O310" s="60"/>
      <c r="P310" s="60"/>
      <c r="Q310" s="60"/>
      <c r="R310" s="60"/>
      <c r="S310" s="60"/>
      <c r="T310" s="60"/>
      <c r="U310" s="60"/>
      <c r="V310" s="60"/>
      <c r="W310" s="60"/>
    </row>
    <row r="311" ht="40.15" customHeight="1">
      <c r="A311" s="60"/>
      <c r="G311" s="60"/>
      <c r="H311" s="60"/>
      <c r="I311" s="60"/>
      <c r="J311" s="60"/>
      <c r="K311" s="60"/>
      <c r="L311" s="60"/>
      <c r="M311" s="60"/>
      <c r="N311" s="60"/>
      <c r="O311" s="60"/>
      <c r="P311" s="60"/>
      <c r="Q311" s="60"/>
      <c r="R311" s="60"/>
      <c r="S311" s="60"/>
      <c r="T311" s="60"/>
      <c r="U311" s="60"/>
      <c r="V311" s="60"/>
      <c r="W311" s="60"/>
    </row>
    <row r="312" ht="40.15" customHeight="1">
      <c r="A312" s="60"/>
      <c r="G312" s="60"/>
      <c r="H312" s="60"/>
      <c r="I312" s="60"/>
      <c r="J312" s="60"/>
      <c r="K312" s="60"/>
      <c r="L312" s="60"/>
      <c r="M312" s="60"/>
      <c r="N312" s="60"/>
      <c r="O312" s="60"/>
      <c r="P312" s="60"/>
      <c r="Q312" s="60"/>
      <c r="R312" s="60"/>
      <c r="S312" s="60"/>
      <c r="T312" s="60"/>
      <c r="U312" s="60"/>
      <c r="V312" s="60"/>
      <c r="W312" s="60"/>
    </row>
    <row r="313" ht="40.15" customHeight="1">
      <c r="A313" s="60"/>
      <c r="G313" s="60"/>
      <c r="H313" s="60"/>
      <c r="I313" s="60"/>
      <c r="J313" s="60"/>
      <c r="K313" s="60"/>
      <c r="L313" s="60"/>
      <c r="M313" s="60"/>
      <c r="N313" s="60"/>
      <c r="O313" s="60"/>
      <c r="P313" s="60"/>
      <c r="Q313" s="60"/>
      <c r="R313" s="60"/>
      <c r="S313" s="60"/>
      <c r="T313" s="60"/>
      <c r="U313" s="60"/>
      <c r="V313" s="60"/>
      <c r="W313" s="60"/>
    </row>
    <row r="314" ht="40.15" customHeight="1">
      <c r="A314" s="60"/>
      <c r="G314" s="60"/>
      <c r="H314" s="60"/>
      <c r="I314" s="60"/>
      <c r="J314" s="60"/>
      <c r="K314" s="60"/>
      <c r="L314" s="60"/>
      <c r="M314" s="60"/>
      <c r="N314" s="60"/>
      <c r="O314" s="60"/>
      <c r="P314" s="60"/>
      <c r="Q314" s="60"/>
      <c r="R314" s="60"/>
      <c r="S314" s="60"/>
      <c r="T314" s="60"/>
      <c r="U314" s="60"/>
      <c r="V314" s="60"/>
      <c r="W314" s="60"/>
    </row>
    <row r="315" ht="40.15" customHeight="1">
      <c r="A315" s="60"/>
      <c r="G315" s="60"/>
      <c r="H315" s="60"/>
      <c r="I315" s="60"/>
      <c r="J315" s="60"/>
      <c r="K315" s="60"/>
      <c r="L315" s="60"/>
      <c r="M315" s="60"/>
      <c r="N315" s="60"/>
      <c r="O315" s="60"/>
      <c r="P315" s="60"/>
      <c r="Q315" s="60"/>
      <c r="R315" s="60"/>
      <c r="S315" s="60"/>
      <c r="T315" s="60"/>
      <c r="U315" s="60"/>
      <c r="V315" s="60"/>
      <c r="W315" s="60"/>
    </row>
    <row r="316" ht="40.15" customHeight="1">
      <c r="A316" s="60"/>
      <c r="G316" s="60"/>
      <c r="H316" s="60"/>
      <c r="I316" s="60"/>
      <c r="J316" s="60"/>
      <c r="K316" s="60"/>
      <c r="L316" s="60"/>
      <c r="M316" s="60"/>
      <c r="N316" s="60"/>
      <c r="O316" s="60"/>
      <c r="P316" s="60"/>
      <c r="Q316" s="60"/>
      <c r="R316" s="60"/>
      <c r="S316" s="60"/>
      <c r="T316" s="60"/>
      <c r="U316" s="60"/>
      <c r="V316" s="60"/>
      <c r="W316" s="60"/>
    </row>
    <row r="317" ht="40.15" customHeight="1">
      <c r="A317" s="60"/>
      <c r="G317" s="60"/>
      <c r="H317" s="60"/>
      <c r="I317" s="60"/>
      <c r="J317" s="60"/>
      <c r="K317" s="60"/>
      <c r="L317" s="60"/>
      <c r="M317" s="60"/>
      <c r="N317" s="60"/>
      <c r="O317" s="60"/>
      <c r="P317" s="60"/>
      <c r="Q317" s="60"/>
      <c r="R317" s="60"/>
      <c r="S317" s="60"/>
      <c r="T317" s="60"/>
      <c r="U317" s="60"/>
      <c r="V317" s="60"/>
      <c r="W317" s="60"/>
    </row>
    <row r="318" ht="40.15" customHeight="1">
      <c r="A318" s="60"/>
      <c r="G318" s="60"/>
      <c r="H318" s="60"/>
      <c r="I318" s="60"/>
      <c r="J318" s="60"/>
      <c r="K318" s="60"/>
      <c r="L318" s="60"/>
      <c r="M318" s="60"/>
      <c r="N318" s="60"/>
      <c r="O318" s="60"/>
      <c r="P318" s="60"/>
      <c r="Q318" s="60"/>
      <c r="R318" s="60"/>
      <c r="S318" s="60"/>
      <c r="T318" s="60"/>
      <c r="U318" s="60"/>
      <c r="V318" s="60"/>
      <c r="W318" s="60"/>
    </row>
    <row r="319" ht="40.15" customHeight="1">
      <c r="A319" s="60"/>
      <c r="G319" s="60"/>
      <c r="H319" s="60"/>
      <c r="I319" s="60"/>
      <c r="J319" s="60"/>
      <c r="K319" s="60"/>
      <c r="L319" s="60"/>
      <c r="M319" s="60"/>
      <c r="N319" s="60"/>
      <c r="O319" s="60"/>
      <c r="P319" s="60"/>
      <c r="Q319" s="60"/>
      <c r="R319" s="60"/>
      <c r="S319" s="60"/>
      <c r="T319" s="60"/>
      <c r="U319" s="60"/>
      <c r="V319" s="60"/>
      <c r="W319" s="60"/>
    </row>
    <row r="320" ht="40.15" customHeight="1">
      <c r="A320" s="60"/>
      <c r="G320" s="60"/>
      <c r="H320" s="60"/>
      <c r="I320" s="60"/>
      <c r="J320" s="60"/>
      <c r="K320" s="60"/>
      <c r="L320" s="60"/>
      <c r="M320" s="60"/>
      <c r="N320" s="60"/>
      <c r="O320" s="60"/>
      <c r="P320" s="60"/>
      <c r="Q320" s="60"/>
      <c r="R320" s="60"/>
      <c r="S320" s="60"/>
      <c r="T320" s="60"/>
      <c r="U320" s="60"/>
      <c r="V320" s="60"/>
      <c r="W320" s="60"/>
    </row>
    <row r="321" ht="40.15" customHeight="1">
      <c r="A321" s="60"/>
      <c r="G321" s="60"/>
      <c r="H321" s="60"/>
      <c r="I321" s="60"/>
      <c r="J321" s="60"/>
      <c r="K321" s="60"/>
      <c r="L321" s="60"/>
      <c r="M321" s="60"/>
      <c r="N321" s="60"/>
      <c r="O321" s="60"/>
      <c r="P321" s="60"/>
      <c r="Q321" s="60"/>
      <c r="R321" s="60"/>
      <c r="S321" s="60"/>
      <c r="T321" s="60"/>
      <c r="U321" s="60"/>
      <c r="V321" s="60"/>
      <c r="W321" s="60"/>
    </row>
    <row r="322" ht="40.15" customHeight="1">
      <c r="A322" s="60"/>
      <c r="G322" s="60"/>
      <c r="H322" s="60"/>
      <c r="I322" s="60"/>
      <c r="J322" s="60"/>
      <c r="K322" s="60"/>
      <c r="L322" s="60"/>
      <c r="M322" s="60"/>
      <c r="N322" s="60"/>
      <c r="O322" s="60"/>
      <c r="P322" s="60"/>
      <c r="Q322" s="60"/>
      <c r="R322" s="60"/>
      <c r="S322" s="60"/>
      <c r="T322" s="60"/>
      <c r="U322" s="60"/>
      <c r="V322" s="60"/>
      <c r="W322" s="60"/>
    </row>
    <row r="323" ht="40.15" customHeight="1">
      <c r="A323" s="60"/>
      <c r="G323" s="60"/>
      <c r="H323" s="60"/>
      <c r="I323" s="60"/>
      <c r="J323" s="60"/>
      <c r="K323" s="60"/>
      <c r="L323" s="60"/>
      <c r="M323" s="60"/>
      <c r="N323" s="60"/>
      <c r="O323" s="60"/>
      <c r="P323" s="60"/>
      <c r="Q323" s="60"/>
      <c r="R323" s="60"/>
      <c r="S323" s="60"/>
      <c r="T323" s="60"/>
      <c r="U323" s="60"/>
      <c r="V323" s="60"/>
      <c r="W323" s="60"/>
    </row>
    <row r="324" ht="40.15" customHeight="1">
      <c r="A324" s="60"/>
      <c r="G324" s="60"/>
      <c r="H324" s="60"/>
      <c r="I324" s="60"/>
      <c r="J324" s="60"/>
      <c r="K324" s="60"/>
      <c r="L324" s="60"/>
      <c r="M324" s="60"/>
      <c r="N324" s="60"/>
      <c r="O324" s="60"/>
      <c r="P324" s="60"/>
      <c r="Q324" s="60"/>
      <c r="R324" s="60"/>
      <c r="S324" s="60"/>
      <c r="T324" s="60"/>
      <c r="U324" s="60"/>
      <c r="V324" s="60"/>
      <c r="W324" s="60"/>
    </row>
    <row r="325" ht="40.15" customHeight="1">
      <c r="A325" s="60"/>
      <c r="G325" s="60"/>
      <c r="H325" s="60"/>
      <c r="I325" s="60"/>
      <c r="J325" s="60"/>
      <c r="K325" s="60"/>
      <c r="L325" s="60"/>
      <c r="M325" s="60"/>
      <c r="N325" s="60"/>
      <c r="O325" s="60"/>
      <c r="P325" s="60"/>
      <c r="Q325" s="60"/>
      <c r="R325" s="60"/>
      <c r="S325" s="60"/>
      <c r="T325" s="60"/>
      <c r="U325" s="60"/>
      <c r="V325" s="60"/>
      <c r="W325" s="60"/>
    </row>
    <row r="326" ht="40.15" customHeight="1">
      <c r="A326" s="60"/>
      <c r="G326" s="60"/>
      <c r="H326" s="60"/>
      <c r="I326" s="60"/>
      <c r="J326" s="60"/>
      <c r="K326" s="60"/>
      <c r="L326" s="60"/>
      <c r="M326" s="60"/>
      <c r="N326" s="60"/>
      <c r="O326" s="60"/>
      <c r="P326" s="60"/>
      <c r="Q326" s="60"/>
      <c r="R326" s="60"/>
      <c r="S326" s="60"/>
      <c r="T326" s="60"/>
      <c r="U326" s="60"/>
      <c r="V326" s="60"/>
      <c r="W326" s="60"/>
    </row>
    <row r="327" ht="40.15" customHeight="1">
      <c r="A327" s="60"/>
      <c r="G327" s="60"/>
      <c r="H327" s="60"/>
      <c r="I327" s="60"/>
      <c r="J327" s="60"/>
      <c r="K327" s="60"/>
      <c r="L327" s="60"/>
      <c r="M327" s="60"/>
      <c r="N327" s="60"/>
      <c r="O327" s="60"/>
      <c r="P327" s="60"/>
      <c r="Q327" s="60"/>
      <c r="R327" s="60"/>
      <c r="S327" s="60"/>
      <c r="T327" s="60"/>
      <c r="U327" s="60"/>
      <c r="V327" s="60"/>
      <c r="W327" s="60"/>
    </row>
    <row r="328" ht="40.15" customHeight="1">
      <c r="A328" s="60"/>
      <c r="G328" s="60"/>
      <c r="H328" s="60"/>
      <c r="I328" s="60"/>
      <c r="J328" s="60"/>
      <c r="K328" s="60"/>
      <c r="L328" s="60"/>
      <c r="M328" s="60"/>
      <c r="N328" s="60"/>
      <c r="O328" s="60"/>
      <c r="P328" s="60"/>
      <c r="Q328" s="60"/>
      <c r="R328" s="60"/>
      <c r="S328" s="60"/>
      <c r="T328" s="60"/>
      <c r="U328" s="60"/>
      <c r="V328" s="60"/>
      <c r="W328" s="60"/>
    </row>
    <row r="329" ht="40.15" customHeight="1">
      <c r="A329" s="60"/>
      <c r="G329" s="60"/>
      <c r="H329" s="60"/>
      <c r="I329" s="60"/>
      <c r="J329" s="60"/>
      <c r="K329" s="60"/>
      <c r="L329" s="60"/>
      <c r="M329" s="60"/>
      <c r="N329" s="60"/>
      <c r="O329" s="60"/>
      <c r="P329" s="60"/>
      <c r="Q329" s="60"/>
      <c r="R329" s="60"/>
      <c r="S329" s="60"/>
      <c r="T329" s="60"/>
      <c r="U329" s="60"/>
      <c r="V329" s="60"/>
      <c r="W329" s="60"/>
    </row>
    <row r="330" ht="40.15" customHeight="1">
      <c r="A330" s="60"/>
      <c r="G330" s="60"/>
      <c r="H330" s="60"/>
      <c r="I330" s="60"/>
      <c r="J330" s="60"/>
      <c r="K330" s="60"/>
      <c r="L330" s="60"/>
      <c r="M330" s="60"/>
      <c r="N330" s="60"/>
      <c r="O330" s="60"/>
      <c r="P330" s="60"/>
      <c r="Q330" s="60"/>
      <c r="R330" s="60"/>
      <c r="S330" s="60"/>
      <c r="T330" s="60"/>
      <c r="U330" s="60"/>
      <c r="V330" s="60"/>
      <c r="W330" s="60"/>
    </row>
    <row r="331" ht="40.15" customHeight="1">
      <c r="A331" s="60"/>
      <c r="G331" s="60"/>
      <c r="H331" s="60"/>
      <c r="I331" s="60"/>
      <c r="J331" s="60"/>
      <c r="K331" s="60"/>
      <c r="L331" s="60"/>
      <c r="M331" s="60"/>
      <c r="N331" s="60"/>
      <c r="O331" s="60"/>
      <c r="P331" s="60"/>
      <c r="Q331" s="60"/>
      <c r="R331" s="60"/>
      <c r="S331" s="60"/>
      <c r="T331" s="60"/>
      <c r="U331" s="60"/>
      <c r="V331" s="60"/>
      <c r="W331" s="60"/>
    </row>
    <row r="332" ht="40.15" customHeight="1">
      <c r="A332" s="60"/>
      <c r="G332" s="60"/>
      <c r="H332" s="60"/>
      <c r="I332" s="60"/>
      <c r="J332" s="60"/>
      <c r="K332" s="60"/>
      <c r="L332" s="60"/>
      <c r="M332" s="60"/>
      <c r="N332" s="60"/>
      <c r="O332" s="60"/>
      <c r="P332" s="60"/>
      <c r="Q332" s="60"/>
      <c r="R332" s="60"/>
      <c r="S332" s="60"/>
      <c r="T332" s="60"/>
      <c r="U332" s="60"/>
      <c r="V332" s="60"/>
      <c r="W332" s="60"/>
    </row>
    <row r="333" ht="40.15" customHeight="1">
      <c r="A333" s="60"/>
      <c r="G333" s="60"/>
      <c r="H333" s="60"/>
      <c r="I333" s="60"/>
      <c r="J333" s="60"/>
      <c r="K333" s="60"/>
      <c r="L333" s="60"/>
      <c r="M333" s="60"/>
      <c r="N333" s="60"/>
      <c r="O333" s="60"/>
      <c r="P333" s="60"/>
      <c r="Q333" s="60"/>
      <c r="R333" s="60"/>
      <c r="S333" s="60"/>
      <c r="T333" s="60"/>
      <c r="U333" s="60"/>
      <c r="V333" s="60"/>
      <c r="W333" s="60"/>
    </row>
    <row r="334" ht="40.15" customHeight="1">
      <c r="A334" s="60"/>
      <c r="G334" s="60"/>
      <c r="H334" s="60"/>
      <c r="I334" s="60"/>
      <c r="J334" s="60"/>
      <c r="K334" s="60"/>
      <c r="L334" s="60"/>
      <c r="M334" s="60"/>
      <c r="N334" s="60"/>
      <c r="O334" s="60"/>
      <c r="P334" s="60"/>
      <c r="Q334" s="60"/>
      <c r="R334" s="60"/>
      <c r="S334" s="60"/>
      <c r="T334" s="60"/>
      <c r="U334" s="60"/>
      <c r="V334" s="60"/>
      <c r="W334" s="60"/>
    </row>
    <row r="335" ht="40.15" customHeight="1">
      <c r="A335" s="60"/>
      <c r="G335" s="60"/>
      <c r="H335" s="60"/>
      <c r="I335" s="60"/>
      <c r="J335" s="60"/>
      <c r="K335" s="60"/>
      <c r="L335" s="60"/>
      <c r="M335" s="60"/>
      <c r="N335" s="60"/>
      <c r="O335" s="60"/>
      <c r="P335" s="60"/>
      <c r="Q335" s="60"/>
      <c r="R335" s="60"/>
      <c r="S335" s="60"/>
      <c r="T335" s="60"/>
      <c r="U335" s="60"/>
      <c r="V335" s="60"/>
      <c r="W335" s="60"/>
    </row>
    <row r="336" ht="40.15" customHeight="1">
      <c r="A336" s="60"/>
      <c r="G336" s="60"/>
      <c r="H336" s="60"/>
      <c r="I336" s="60"/>
      <c r="J336" s="60"/>
      <c r="K336" s="60"/>
      <c r="L336" s="60"/>
      <c r="M336" s="60"/>
      <c r="N336" s="60"/>
      <c r="O336" s="60"/>
      <c r="P336" s="60"/>
      <c r="Q336" s="60"/>
      <c r="R336" s="60"/>
      <c r="S336" s="60"/>
      <c r="T336" s="60"/>
      <c r="U336" s="60"/>
      <c r="V336" s="60"/>
      <c r="W336" s="60"/>
    </row>
    <row r="337" ht="40.15" customHeight="1">
      <c r="A337" s="60"/>
      <c r="G337" s="60"/>
      <c r="H337" s="60"/>
      <c r="I337" s="60"/>
      <c r="J337" s="60"/>
      <c r="K337" s="60"/>
      <c r="L337" s="60"/>
      <c r="M337" s="60"/>
      <c r="N337" s="62"/>
      <c r="O337" s="60"/>
      <c r="P337" s="60"/>
      <c r="Q337" s="60"/>
      <c r="R337" s="60"/>
      <c r="S337" s="60"/>
      <c r="T337" s="60"/>
      <c r="U337" s="60"/>
      <c r="V337" s="60"/>
      <c r="W337" s="60"/>
    </row>
    <row r="338" ht="40.15" customHeight="1">
      <c r="A338" s="60"/>
      <c r="G338" s="60"/>
      <c r="H338" s="60"/>
      <c r="I338" s="60"/>
      <c r="J338" s="60"/>
      <c r="K338" s="60"/>
      <c r="L338" s="60"/>
      <c r="M338" s="60"/>
      <c r="O338" s="60"/>
      <c r="P338" s="60"/>
      <c r="Q338" s="60"/>
      <c r="R338" s="60"/>
      <c r="S338" s="60"/>
      <c r="T338" s="60"/>
      <c r="U338" s="60"/>
      <c r="V338" s="60"/>
      <c r="W338" s="60"/>
    </row>
    <row r="339" ht="40.15" customHeight="1">
      <c r="A339" s="60"/>
      <c r="G339" s="60"/>
      <c r="H339" s="60"/>
      <c r="I339" s="60"/>
      <c r="J339" s="60"/>
      <c r="K339" s="60"/>
      <c r="L339" s="60"/>
      <c r="M339" s="60"/>
      <c r="O339" s="60"/>
      <c r="P339" s="60"/>
      <c r="Q339" s="60"/>
      <c r="R339" s="60"/>
      <c r="S339" s="60"/>
      <c r="T339" s="60"/>
      <c r="U339" s="60"/>
      <c r="V339" s="60"/>
      <c r="W339" s="60"/>
    </row>
    <row r="340" ht="40.15" customHeight="1">
      <c r="A340" s="60"/>
      <c r="G340" s="60"/>
      <c r="H340" s="60"/>
      <c r="I340" s="60"/>
      <c r="J340" s="60"/>
      <c r="K340" s="60"/>
      <c r="L340" s="60"/>
      <c r="M340" s="60"/>
      <c r="O340" s="60"/>
      <c r="P340" s="60"/>
      <c r="Q340" s="60"/>
      <c r="R340" s="60"/>
      <c r="S340" s="60"/>
      <c r="T340" s="60"/>
      <c r="U340" s="60"/>
      <c r="V340" s="60"/>
      <c r="W340" s="60"/>
    </row>
    <row r="341" ht="40.15" customHeight="1">
      <c r="A341" s="60"/>
      <c r="G341" s="60"/>
      <c r="H341" s="60"/>
      <c r="I341" s="60"/>
      <c r="J341" s="60"/>
      <c r="K341" s="60"/>
      <c r="L341" s="60"/>
      <c r="M341" s="60"/>
      <c r="O341" s="60"/>
      <c r="P341" s="60"/>
      <c r="Q341" s="60"/>
      <c r="R341" s="60"/>
      <c r="S341" s="60"/>
      <c r="T341" s="60"/>
      <c r="U341" s="60"/>
      <c r="V341" s="60"/>
      <c r="W341" s="60"/>
    </row>
    <row r="342" ht="40.15" customHeight="1">
      <c r="A342" s="60"/>
      <c r="G342" s="60"/>
      <c r="H342" s="60"/>
      <c r="I342" s="60"/>
      <c r="J342" s="60"/>
      <c r="K342" s="60"/>
      <c r="L342" s="60"/>
      <c r="M342" s="60"/>
      <c r="O342" s="62"/>
      <c r="P342" s="62"/>
      <c r="Q342" s="62"/>
      <c r="R342" s="62"/>
      <c r="S342" s="62"/>
      <c r="T342" s="62"/>
      <c r="U342" s="62"/>
      <c r="V342" s="62"/>
      <c r="W342" s="62"/>
    </row>
    <row r="343" ht="40.15" customHeight="1">
      <c r="A343" s="60"/>
      <c r="G343" s="60"/>
      <c r="H343" s="60"/>
      <c r="I343" s="60"/>
      <c r="J343" s="60"/>
      <c r="K343" s="62"/>
      <c r="L343" s="62"/>
      <c r="M343" s="62"/>
    </row>
    <row r="344" ht="40.15" customHeight="1">
      <c r="A344" s="60"/>
      <c r="G344" s="60"/>
      <c r="H344" s="60"/>
      <c r="I344" s="60"/>
      <c r="J344" s="60"/>
    </row>
    <row r="345" ht="40.15" customHeight="1">
      <c r="A345" s="60"/>
      <c r="G345" s="60"/>
      <c r="H345" s="60"/>
      <c r="I345" s="60"/>
      <c r="J345" s="60"/>
    </row>
    <row r="346" ht="40.15" customHeight="1">
      <c r="A346" s="60"/>
      <c r="G346" s="60"/>
      <c r="H346" s="60"/>
      <c r="I346" s="60"/>
      <c r="J346" s="60"/>
    </row>
    <row r="347" ht="40.15" customHeight="1">
      <c r="A347" s="60"/>
      <c r="G347" s="60"/>
      <c r="H347" s="60"/>
      <c r="I347" s="60"/>
      <c r="J347" s="60"/>
    </row>
    <row r="348" ht="40.15" customHeight="1">
      <c r="A348" s="60"/>
      <c r="G348" s="60"/>
      <c r="H348" s="60"/>
      <c r="I348" s="60"/>
      <c r="J348" s="60"/>
    </row>
    <row r="349" ht="40.15" customHeight="1">
      <c r="A349" s="60"/>
      <c r="G349" s="60"/>
      <c r="H349" s="60"/>
      <c r="I349" s="60"/>
      <c r="J349" s="60"/>
    </row>
    <row r="350" ht="40.15" customHeight="1">
      <c r="A350" s="60"/>
      <c r="G350" s="60"/>
      <c r="H350" s="60"/>
      <c r="I350" s="60"/>
      <c r="J350" s="60"/>
    </row>
    <row r="351" ht="40.15" customHeight="1">
      <c r="A351" s="60"/>
      <c r="G351" s="60"/>
      <c r="H351" s="60"/>
      <c r="I351" s="60"/>
      <c r="J351" s="60"/>
    </row>
    <row r="352" ht="40.15" customHeight="1">
      <c r="A352" s="60"/>
      <c r="G352" s="60"/>
      <c r="H352" s="60"/>
      <c r="I352" s="60"/>
      <c r="J352" s="60"/>
    </row>
    <row r="353" ht="40.15" customHeight="1">
      <c r="A353" s="60"/>
      <c r="G353" s="60"/>
      <c r="H353" s="60"/>
      <c r="I353" s="60"/>
      <c r="J353" s="60"/>
    </row>
    <row r="354" ht="40.15" customHeight="1">
      <c r="A354" s="60"/>
      <c r="G354" s="60"/>
      <c r="H354" s="60"/>
      <c r="I354" s="60"/>
      <c r="J354" s="60"/>
    </row>
    <row r="355" ht="40.15" customHeight="1">
      <c r="A355" s="60"/>
      <c r="G355" s="60"/>
      <c r="H355" s="60"/>
      <c r="I355" s="60"/>
      <c r="J355" s="60"/>
    </row>
    <row r="356" ht="40.15" customHeight="1">
      <c r="A356" s="60"/>
      <c r="G356" s="60"/>
      <c r="H356" s="60"/>
      <c r="I356" s="60"/>
      <c r="J356" s="60"/>
    </row>
    <row r="357" ht="40.15" customHeight="1">
      <c r="A357" s="60"/>
      <c r="G357" s="60"/>
      <c r="H357" s="60"/>
      <c r="I357" s="60"/>
      <c r="J357" s="60"/>
    </row>
    <row r="358" ht="40.15" customHeight="1">
      <c r="A358" s="60"/>
      <c r="G358" s="60"/>
      <c r="H358" s="60"/>
      <c r="I358" s="60"/>
      <c r="J358" s="60"/>
    </row>
    <row r="359" ht="40.15" customHeight="1">
      <c r="A359" s="60"/>
      <c r="G359" s="60"/>
      <c r="H359" s="60"/>
      <c r="I359" s="60"/>
      <c r="J359" s="60"/>
    </row>
    <row r="360" ht="40.15" customHeight="1">
      <c r="A360" s="60"/>
      <c r="G360" s="60"/>
      <c r="H360" s="60"/>
      <c r="I360" s="60"/>
      <c r="J360" s="60"/>
    </row>
    <row r="361" ht="40.15" customHeight="1">
      <c r="A361" s="60"/>
      <c r="G361" s="60"/>
      <c r="H361" s="60"/>
      <c r="I361" s="60"/>
      <c r="J361" s="60"/>
    </row>
    <row r="362" ht="40.15" customHeight="1">
      <c r="A362" s="60"/>
      <c r="G362" s="60"/>
      <c r="H362" s="60"/>
      <c r="I362" s="60"/>
      <c r="J362" s="60"/>
    </row>
    <row r="363" ht="40.15" customHeight="1">
      <c r="A363" s="60"/>
      <c r="G363" s="60"/>
      <c r="H363" s="60"/>
      <c r="I363" s="60"/>
      <c r="J363" s="60"/>
    </row>
    <row r="364" ht="40.15" customHeight="1">
      <c r="A364" s="60"/>
      <c r="G364" s="60"/>
      <c r="H364" s="60"/>
      <c r="I364" s="60"/>
      <c r="J364" s="60"/>
    </row>
    <row r="365" ht="40.15" customHeight="1">
      <c r="A365" s="60"/>
      <c r="G365" s="60"/>
      <c r="H365" s="60"/>
      <c r="I365" s="60"/>
      <c r="J365" s="60"/>
    </row>
    <row r="366" ht="40.15" customHeight="1">
      <c r="A366" s="60"/>
      <c r="G366" s="60"/>
      <c r="H366" s="60"/>
      <c r="I366" s="60"/>
      <c r="J366" s="60"/>
    </row>
    <row r="367" ht="40.15" customHeight="1">
      <c r="A367" s="60"/>
      <c r="J367" s="60"/>
    </row>
    <row r="368" ht="40.15" customHeight="1">
      <c r="A368" s="60"/>
      <c r="J368" s="60"/>
    </row>
    <row r="369" ht="40.15" customHeight="1">
      <c r="A369" s="60"/>
      <c r="J369" s="60"/>
    </row>
    <row r="370" ht="40.15" customHeight="1">
      <c r="A370" s="60"/>
      <c r="J370" s="60"/>
    </row>
    <row r="371" ht="40.15" customHeight="1">
      <c r="A371" s="60"/>
      <c r="J371" s="60"/>
    </row>
    <row r="372" ht="40.15" customHeight="1">
      <c r="A372" s="60"/>
      <c r="J372" s="60"/>
    </row>
  </sheetData>
  <sheetProtection algorithmName="SHA-512" hashValue="nc07AkQIReCg9VMGFd3yqS/+dBuM6J5j/xWWoEpWoeLANueXo0mnPqS/jQZqJ9GG/3+eREV0agkbi9q0EAuVeg==" saltValue="sj29LgWqUfGqqWSYJtQkfQ==" spinCount="100000" sheet="1" selectLockedCells="1"/>
  <mergeCells>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customWidth="1" style="39"/>
    <col min="2" max="2" width="8.85546875" customWidth="1" style="4"/>
    <col min="3" max="3" width="101.5703125" customWidth="1" style="9"/>
    <col min="4" max="4" width="18.7109375" customWidth="1" style="39"/>
    <col min="5" max="7" width="15.5703125" customWidth="1" style="39"/>
    <col min="8" max="11" width="15.5703125" customWidth="1" style="4"/>
    <col min="12" max="12" width="21.7109375" customWidth="1" style="4"/>
    <col min="13" max="13" width="15.5703125" customWidth="1" style="4"/>
    <col min="14" max="14" width="1.85546875" customWidth="1" style="4"/>
    <col min="15" max="17" width="15.5703125" customWidth="1" style="4"/>
    <col min="18" max="18" width="18" customWidth="1" style="4"/>
    <col min="19" max="19" width="19.85546875" customWidth="1" style="4"/>
    <col min="20" max="20" width="27.140625" customWidth="1" style="4"/>
    <col min="21" max="22" width="12" customWidth="1" style="4"/>
    <col min="23" max="23" width="11.42578125" customWidth="1" style="4"/>
    <col min="24" max="24" width="16.42578125" customWidth="1" style="4"/>
    <col min="25" max="25" width="20.5703125" customWidth="1" style="8"/>
    <col min="26" max="26" width="5.42578125" customWidth="1" style="39"/>
    <col min="27" max="27" width="12.140625" customWidth="1" style="39"/>
    <col min="28" max="16384" width="8.85546875" customWidth="1" style="39"/>
  </cols>
  <sheetData>
    <row r="1" s="6" customFormat="1">
      <c r="B1" s="4"/>
      <c r="C1" s="5"/>
      <c r="H1" s="7"/>
      <c r="I1" s="7"/>
      <c r="J1" s="7"/>
      <c r="K1" s="4"/>
      <c r="L1" s="4"/>
      <c r="M1" s="4"/>
      <c r="N1" s="4"/>
      <c r="O1" s="4"/>
      <c r="P1" s="7"/>
      <c r="Q1" s="7"/>
      <c r="R1" s="7"/>
      <c r="S1" s="7"/>
      <c r="T1" s="7"/>
      <c r="U1" s="7"/>
      <c r="V1" s="7"/>
      <c r="W1" s="7"/>
      <c r="X1" s="7"/>
      <c r="Y1" s="8"/>
    </row>
    <row r="2" ht="16.5" s="6" customFormat="1">
      <c r="B2" s="4"/>
      <c r="C2" s="9"/>
      <c r="H2" s="7"/>
      <c r="I2" s="7"/>
      <c r="J2" s="7"/>
      <c r="K2" s="4"/>
      <c r="L2" s="4"/>
      <c r="M2" s="4"/>
      <c r="N2" s="4"/>
      <c r="O2" s="4"/>
      <c r="P2" s="7"/>
      <c r="Q2" s="7"/>
      <c r="R2" s="7"/>
      <c r="S2" s="7"/>
      <c r="T2" s="7"/>
      <c r="U2" s="7"/>
      <c r="V2" s="7"/>
      <c r="W2" s="7"/>
      <c r="X2" s="7"/>
      <c r="Y2" s="8"/>
    </row>
    <row r="3" ht="57.6" customHeight="1" s="6" customFormat="1">
      <c r="B3" s="454" t="s">
        <v>3499</v>
      </c>
      <c r="C3" s="455"/>
      <c r="D3" s="455"/>
      <c r="E3" s="455"/>
      <c r="F3" s="455"/>
      <c r="G3" s="455"/>
      <c r="H3" s="455"/>
      <c r="I3" s="455"/>
      <c r="J3" s="455"/>
      <c r="K3" s="455"/>
      <c r="L3" s="455"/>
      <c r="M3" s="455"/>
      <c r="N3" s="455"/>
      <c r="O3" s="455"/>
      <c r="P3" s="455"/>
      <c r="Q3" s="455"/>
      <c r="R3" s="455"/>
      <c r="S3" s="455"/>
      <c r="T3" s="455"/>
      <c r="U3" s="455"/>
      <c r="V3" s="455"/>
      <c r="W3" s="455"/>
      <c r="X3" s="455"/>
      <c r="Y3" s="456"/>
      <c r="Z3" s="10"/>
      <c r="AA3" s="11"/>
    </row>
    <row r="4" ht="36.6" customHeight="1" s="6" customFormat="1">
      <c r="B4" s="457" t="s">
        <v>3500</v>
      </c>
      <c r="C4" s="458"/>
      <c r="D4" s="459"/>
      <c r="E4" s="460"/>
      <c r="F4" s="460"/>
      <c r="G4" s="460"/>
      <c r="H4" s="460"/>
      <c r="I4" s="460"/>
      <c r="J4" s="460"/>
      <c r="K4" s="461"/>
      <c r="L4" s="12"/>
      <c r="M4" s="428"/>
      <c r="N4" s="429"/>
      <c r="O4" s="429"/>
      <c r="P4" s="430"/>
      <c r="Q4" s="451"/>
      <c r="R4" s="452"/>
      <c r="S4" s="452"/>
      <c r="T4" s="452"/>
      <c r="U4" s="452"/>
      <c r="V4" s="452"/>
      <c r="W4" s="452"/>
      <c r="X4" s="452"/>
      <c r="Y4" s="453"/>
    </row>
    <row r="5" ht="36.6" customHeight="1" s="6" customFormat="1">
      <c r="B5" s="462" t="s">
        <v>37</v>
      </c>
      <c r="C5" s="463"/>
      <c r="D5" s="464"/>
      <c r="E5" s="465"/>
      <c r="F5" s="465"/>
      <c r="G5" s="465"/>
      <c r="H5" s="465"/>
      <c r="I5" s="465"/>
      <c r="J5" s="465"/>
      <c r="K5" s="466"/>
      <c r="L5" s="12"/>
      <c r="M5" s="462" t="s">
        <v>3501</v>
      </c>
      <c r="N5" s="467"/>
      <c r="O5" s="467"/>
      <c r="P5" s="463"/>
      <c r="Q5" s="451"/>
      <c r="R5" s="452"/>
      <c r="S5" s="452"/>
      <c r="T5" s="452"/>
      <c r="U5" s="452"/>
      <c r="V5" s="452"/>
      <c r="W5" s="452"/>
      <c r="X5" s="452"/>
      <c r="Y5" s="453"/>
    </row>
    <row r="6" ht="36.6" customHeight="1" s="6" customFormat="1">
      <c r="B6" s="428" t="s">
        <v>39</v>
      </c>
      <c r="C6" s="430"/>
      <c r="D6" s="425"/>
      <c r="E6" s="426"/>
      <c r="F6" s="426"/>
      <c r="G6" s="427"/>
      <c r="H6" s="448" t="s">
        <v>3502</v>
      </c>
      <c r="I6" s="449"/>
      <c r="J6" s="449"/>
      <c r="K6" s="450"/>
      <c r="L6" s="12"/>
      <c r="M6" s="428" t="s">
        <v>3503</v>
      </c>
      <c r="N6" s="429"/>
      <c r="O6" s="429"/>
      <c r="P6" s="430"/>
      <c r="Q6" s="431"/>
      <c r="R6" s="432"/>
      <c r="S6" s="432"/>
      <c r="T6" s="432"/>
      <c r="U6" s="432"/>
      <c r="V6" s="432"/>
      <c r="W6" s="432"/>
      <c r="X6" s="432"/>
      <c r="Y6" s="433"/>
    </row>
    <row r="7" ht="36.6" customHeight="1" s="6" customFormat="1">
      <c r="B7" s="423" t="s">
        <v>3504</v>
      </c>
      <c r="C7" s="424"/>
      <c r="D7" s="425"/>
      <c r="E7" s="426"/>
      <c r="F7" s="426"/>
      <c r="G7" s="426"/>
      <c r="H7" s="426"/>
      <c r="I7" s="426"/>
      <c r="J7" s="426"/>
      <c r="K7" s="427"/>
      <c r="L7" s="12"/>
      <c r="M7" s="428" t="s">
        <v>3505</v>
      </c>
      <c r="N7" s="429"/>
      <c r="O7" s="429"/>
      <c r="P7" s="430"/>
      <c r="Q7" s="451"/>
      <c r="R7" s="452"/>
      <c r="S7" s="452"/>
      <c r="T7" s="452"/>
      <c r="U7" s="452"/>
      <c r="V7" s="452"/>
      <c r="W7" s="452"/>
      <c r="X7" s="452"/>
      <c r="Y7" s="453"/>
    </row>
    <row r="8" ht="36.6" customHeight="1" s="6" customFormat="1">
      <c r="B8" s="423" t="s">
        <v>3506</v>
      </c>
      <c r="C8" s="424"/>
      <c r="D8" s="425"/>
      <c r="E8" s="426"/>
      <c r="F8" s="426"/>
      <c r="G8" s="426"/>
      <c r="H8" s="426"/>
      <c r="I8" s="426"/>
      <c r="J8" s="426"/>
      <c r="K8" s="427"/>
      <c r="L8" s="13"/>
      <c r="M8" s="428" t="s">
        <v>3507</v>
      </c>
      <c r="N8" s="429"/>
      <c r="O8" s="429"/>
      <c r="P8" s="430"/>
      <c r="Q8" s="431"/>
      <c r="R8" s="432"/>
      <c r="S8" s="432"/>
      <c r="T8" s="432"/>
      <c r="U8" s="432"/>
      <c r="V8" s="432"/>
      <c r="W8" s="432"/>
      <c r="X8" s="432"/>
      <c r="Y8" s="433"/>
    </row>
    <row r="9" ht="32.25" customHeight="1" s="6" customFormat="1">
      <c r="B9" s="14"/>
      <c r="C9" s="434" t="s">
        <v>3508</v>
      </c>
      <c r="D9" s="436" t="s">
        <v>3509</v>
      </c>
      <c r="E9" s="438" t="s">
        <v>3510</v>
      </c>
      <c r="F9" s="438"/>
      <c r="G9" s="438"/>
      <c r="H9" s="438"/>
      <c r="I9" s="438"/>
      <c r="J9" s="438"/>
      <c r="K9" s="438"/>
      <c r="L9" s="438"/>
      <c r="M9" s="438"/>
      <c r="N9" s="438"/>
      <c r="O9" s="438"/>
      <c r="P9" s="438"/>
      <c r="Q9" s="438"/>
      <c r="R9" s="439"/>
      <c r="S9" s="440" t="s">
        <v>3511</v>
      </c>
      <c r="T9" s="442" t="s">
        <v>3512</v>
      </c>
      <c r="U9" s="444" t="s">
        <v>3513</v>
      </c>
      <c r="V9" s="444"/>
      <c r="W9" s="444"/>
      <c r="X9" s="444"/>
      <c r="Y9" s="445"/>
    </row>
    <row r="10" ht="120" customHeight="1" s="17" customFormat="1">
      <c r="B10" s="15"/>
      <c r="C10" s="435"/>
      <c r="D10" s="437"/>
      <c r="E10" s="417" t="s">
        <v>3514</v>
      </c>
      <c r="F10" s="418"/>
      <c r="G10" s="417" t="s">
        <v>3515</v>
      </c>
      <c r="H10" s="418"/>
      <c r="I10" s="417" t="s">
        <v>3516</v>
      </c>
      <c r="J10" s="418"/>
      <c r="K10" s="417" t="s">
        <v>3517</v>
      </c>
      <c r="L10" s="418"/>
      <c r="M10" s="419" t="s">
        <v>3518</v>
      </c>
      <c r="N10" s="420"/>
      <c r="O10" s="421"/>
      <c r="P10" s="419" t="s">
        <v>3519</v>
      </c>
      <c r="Q10" s="422"/>
      <c r="R10" s="16" t="s">
        <v>3520</v>
      </c>
      <c r="S10" s="441"/>
      <c r="T10" s="443"/>
      <c r="U10" s="446"/>
      <c r="V10" s="446"/>
      <c r="W10" s="446"/>
      <c r="X10" s="446"/>
      <c r="Y10" s="447"/>
    </row>
    <row r="11" ht="87.6" customHeight="1" s="6" customFormat="1">
      <c r="B11" s="18">
        <v>1</v>
      </c>
      <c r="C11" s="19" t="s">
        <v>3521</v>
      </c>
      <c r="D11" s="413"/>
      <c r="E11" s="415">
        <v>213</v>
      </c>
      <c r="F11" s="411"/>
      <c r="G11" s="411">
        <v>186</v>
      </c>
      <c r="H11" s="411"/>
      <c r="I11" s="411">
        <v>168</v>
      </c>
      <c r="J11" s="411"/>
      <c r="K11" s="411">
        <v>264</v>
      </c>
      <c r="L11" s="411"/>
      <c r="M11" s="416">
        <v>292</v>
      </c>
      <c r="N11" s="416"/>
      <c r="O11" s="416"/>
      <c r="P11" s="411">
        <v>295</v>
      </c>
      <c r="Q11" s="412"/>
      <c r="R11" s="20">
        <v>1418</v>
      </c>
      <c r="S11" s="21"/>
      <c r="T11" s="22" t="s">
        <v>3522</v>
      </c>
      <c r="U11" s="377"/>
      <c r="V11" s="378"/>
      <c r="W11" s="378"/>
      <c r="X11" s="378"/>
      <c r="Y11" s="379"/>
    </row>
    <row r="12" ht="87.6" customHeight="1" s="6" customFormat="1">
      <c r="B12" s="18" t="s">
        <v>3523</v>
      </c>
      <c r="C12" s="19" t="s">
        <v>3524</v>
      </c>
      <c r="D12" s="414"/>
      <c r="E12" s="407">
        <v>35</v>
      </c>
      <c r="F12" s="408"/>
      <c r="G12" s="408">
        <v>18</v>
      </c>
      <c r="H12" s="408"/>
      <c r="I12" s="408">
        <v>18</v>
      </c>
      <c r="J12" s="408"/>
      <c r="K12" s="408">
        <v>28</v>
      </c>
      <c r="L12" s="408"/>
      <c r="M12" s="409">
        <v>40</v>
      </c>
      <c r="N12" s="409"/>
      <c r="O12" s="409"/>
      <c r="P12" s="408">
        <v>21</v>
      </c>
      <c r="Q12" s="410"/>
      <c r="R12" s="20">
        <v>160</v>
      </c>
      <c r="S12" s="23"/>
      <c r="T12" s="22" t="s">
        <v>3522</v>
      </c>
      <c r="U12" s="377"/>
      <c r="V12" s="378"/>
      <c r="W12" s="378"/>
      <c r="X12" s="378"/>
      <c r="Y12" s="379"/>
    </row>
    <row r="13" ht="87.6" customHeight="1" s="6" customFormat="1">
      <c r="B13" s="18">
        <v>2</v>
      </c>
      <c r="C13" s="19" t="s">
        <v>3525</v>
      </c>
      <c r="D13" s="24">
        <v>5365</v>
      </c>
      <c r="E13" s="407">
        <v>836</v>
      </c>
      <c r="F13" s="408"/>
      <c r="G13" s="408">
        <v>783</v>
      </c>
      <c r="H13" s="408"/>
      <c r="I13" s="408">
        <v>1394</v>
      </c>
      <c r="J13" s="408"/>
      <c r="K13" s="408">
        <v>667</v>
      </c>
      <c r="L13" s="408"/>
      <c r="M13" s="409">
        <v>827</v>
      </c>
      <c r="N13" s="409"/>
      <c r="O13" s="409"/>
      <c r="P13" s="408">
        <v>827</v>
      </c>
      <c r="Q13" s="410"/>
      <c r="R13" s="20">
        <v>5334</v>
      </c>
      <c r="S13" s="25">
        <v>1.005</v>
      </c>
      <c r="T13" s="22" t="s">
        <v>3522</v>
      </c>
      <c r="U13" s="377"/>
      <c r="V13" s="378"/>
      <c r="W13" s="378"/>
      <c r="X13" s="378"/>
      <c r="Y13" s="379"/>
    </row>
    <row r="14" ht="87.6" customHeight="1" s="6" customFormat="1">
      <c r="B14" s="18" t="s">
        <v>3526</v>
      </c>
      <c r="C14" s="19" t="s">
        <v>3527</v>
      </c>
      <c r="D14" s="24">
        <v>4</v>
      </c>
      <c r="E14" s="407">
        <v>0</v>
      </c>
      <c r="F14" s="408"/>
      <c r="G14" s="408">
        <v>1</v>
      </c>
      <c r="H14" s="408"/>
      <c r="I14" s="408">
        <v>2</v>
      </c>
      <c r="J14" s="408"/>
      <c r="K14" s="408">
        <v>0</v>
      </c>
      <c r="L14" s="408"/>
      <c r="M14" s="409">
        <v>0</v>
      </c>
      <c r="N14" s="409"/>
      <c r="O14" s="409"/>
      <c r="P14" s="408">
        <v>1</v>
      </c>
      <c r="Q14" s="410"/>
      <c r="R14" s="20">
        <v>4</v>
      </c>
      <c r="S14" s="25">
        <v>1</v>
      </c>
      <c r="T14" s="22" t="s">
        <v>3522</v>
      </c>
      <c r="U14" s="377"/>
      <c r="V14" s="378"/>
      <c r="W14" s="378"/>
      <c r="X14" s="378"/>
      <c r="Y14" s="379"/>
    </row>
    <row r="15" ht="87.6" customHeight="1" s="6" customFormat="1">
      <c r="B15" s="18" t="s">
        <v>3528</v>
      </c>
      <c r="C15" s="19" t="s">
        <v>3529</v>
      </c>
      <c r="D15" s="24">
        <v>21</v>
      </c>
      <c r="E15" s="403">
        <v>2</v>
      </c>
      <c r="F15" s="404"/>
      <c r="G15" s="404">
        <v>0</v>
      </c>
      <c r="H15" s="404"/>
      <c r="I15" s="404">
        <v>5</v>
      </c>
      <c r="J15" s="404"/>
      <c r="K15" s="404">
        <v>2</v>
      </c>
      <c r="L15" s="404"/>
      <c r="M15" s="405">
        <v>4</v>
      </c>
      <c r="N15" s="405"/>
      <c r="O15" s="405"/>
      <c r="P15" s="404">
        <v>8</v>
      </c>
      <c r="Q15" s="406"/>
      <c r="R15" s="26">
        <v>21</v>
      </c>
      <c r="S15" s="25">
        <v>1</v>
      </c>
      <c r="T15" s="22" t="s">
        <v>3522</v>
      </c>
      <c r="U15" s="377"/>
      <c r="V15" s="378"/>
      <c r="W15" s="378"/>
      <c r="X15" s="378"/>
      <c r="Y15" s="379"/>
    </row>
    <row r="16" ht="87.6" customHeight="1" s="6" customFormat="1">
      <c r="B16" s="18"/>
      <c r="C16" s="27" t="s">
        <v>3530</v>
      </c>
      <c r="D16" s="24">
        <v>6836</v>
      </c>
      <c r="E16" s="400">
        <v>1049</v>
      </c>
      <c r="F16" s="401"/>
      <c r="G16" s="400">
        <v>969</v>
      </c>
      <c r="H16" s="401"/>
      <c r="I16" s="400">
        <v>1562</v>
      </c>
      <c r="J16" s="401"/>
      <c r="K16" s="400">
        <v>931</v>
      </c>
      <c r="L16" s="401"/>
      <c r="M16" s="400">
        <v>1119</v>
      </c>
      <c r="N16" s="402"/>
      <c r="O16" s="401"/>
      <c r="P16" s="400">
        <v>1122</v>
      </c>
      <c r="Q16" s="401"/>
      <c r="R16" s="28">
        <v>6752</v>
      </c>
      <c r="S16" s="25">
        <v>1.012</v>
      </c>
      <c r="T16" s="22" t="s">
        <v>3522</v>
      </c>
      <c r="U16" s="377"/>
      <c r="V16" s="378"/>
      <c r="W16" s="378"/>
      <c r="X16" s="378"/>
      <c r="Y16" s="379"/>
    </row>
    <row r="17" ht="87.6" customHeight="1" s="6" customFormat="1">
      <c r="B17" s="18"/>
      <c r="C17" s="19" t="s">
        <v>3531</v>
      </c>
      <c r="D17" s="24">
        <v>187</v>
      </c>
      <c r="E17" s="400">
        <v>35</v>
      </c>
      <c r="F17" s="401"/>
      <c r="G17" s="400">
        <v>19</v>
      </c>
      <c r="H17" s="401"/>
      <c r="I17" s="400">
        <v>20</v>
      </c>
      <c r="J17" s="401"/>
      <c r="K17" s="400">
        <v>28</v>
      </c>
      <c r="L17" s="401"/>
      <c r="M17" s="400">
        <v>40</v>
      </c>
      <c r="N17" s="402"/>
      <c r="O17" s="401"/>
      <c r="P17" s="400">
        <v>22</v>
      </c>
      <c r="Q17" s="401"/>
      <c r="R17" s="28">
        <v>164</v>
      </c>
      <c r="S17" s="25">
        <v>1.14</v>
      </c>
      <c r="T17" s="22" t="s">
        <v>3522</v>
      </c>
      <c r="U17" s="377"/>
      <c r="V17" s="378"/>
      <c r="W17" s="378"/>
      <c r="X17" s="378"/>
      <c r="Y17" s="379"/>
    </row>
    <row r="18" ht="87.6" customHeight="1" s="6" customFormat="1">
      <c r="B18" s="18">
        <v>3</v>
      </c>
      <c r="C18" s="19" t="s">
        <v>3532</v>
      </c>
      <c r="D18" s="24">
        <v>25</v>
      </c>
      <c r="E18" s="396">
        <v>2</v>
      </c>
      <c r="F18" s="397"/>
      <c r="G18" s="397">
        <v>1</v>
      </c>
      <c r="H18" s="397"/>
      <c r="I18" s="397">
        <v>7</v>
      </c>
      <c r="J18" s="397"/>
      <c r="K18" s="397">
        <v>2</v>
      </c>
      <c r="L18" s="397"/>
      <c r="M18" s="398">
        <v>4</v>
      </c>
      <c r="N18" s="398"/>
      <c r="O18" s="398"/>
      <c r="P18" s="397">
        <v>9</v>
      </c>
      <c r="Q18" s="399"/>
      <c r="R18" s="29">
        <v>25</v>
      </c>
      <c r="S18" s="25">
        <v>1</v>
      </c>
      <c r="T18" s="22" t="s">
        <v>3522</v>
      </c>
      <c r="U18" s="377"/>
      <c r="V18" s="378"/>
      <c r="W18" s="378"/>
      <c r="X18" s="378"/>
      <c r="Y18" s="379"/>
    </row>
    <row r="19" ht="87.6" customHeight="1" s="6" customFormat="1">
      <c r="B19" s="18">
        <v>4</v>
      </c>
      <c r="C19" s="19" t="s">
        <v>3533</v>
      </c>
      <c r="D19" s="30">
        <v>104</v>
      </c>
      <c r="E19" s="391">
        <v>24</v>
      </c>
      <c r="F19" s="392"/>
      <c r="G19" s="392">
        <v>10</v>
      </c>
      <c r="H19" s="392"/>
      <c r="I19" s="392">
        <v>4</v>
      </c>
      <c r="J19" s="392"/>
      <c r="K19" s="392">
        <v>19</v>
      </c>
      <c r="L19" s="392"/>
      <c r="M19" s="393">
        <v>21</v>
      </c>
      <c r="N19" s="393"/>
      <c r="O19" s="393"/>
      <c r="P19" s="392">
        <v>26</v>
      </c>
      <c r="Q19" s="394"/>
      <c r="R19" s="20">
        <v>104</v>
      </c>
      <c r="S19" s="25">
        <v>1</v>
      </c>
      <c r="T19" s="22" t="s">
        <v>3522</v>
      </c>
      <c r="U19" s="377"/>
      <c r="V19" s="378"/>
      <c r="W19" s="378"/>
      <c r="X19" s="378"/>
      <c r="Y19" s="379"/>
    </row>
    <row r="20" ht="24.75" customHeight="1" s="6" customFormat="1">
      <c r="B20" s="18"/>
      <c r="C20" s="380" t="s">
        <v>3534</v>
      </c>
      <c r="D20" s="383" t="s">
        <v>3535</v>
      </c>
      <c r="E20" s="384"/>
      <c r="F20" s="384"/>
      <c r="G20" s="384"/>
      <c r="H20" s="384"/>
      <c r="I20" s="384"/>
      <c r="J20" s="384"/>
      <c r="K20" s="384"/>
      <c r="L20" s="384"/>
      <c r="M20" s="385"/>
      <c r="N20" s="386"/>
      <c r="O20" s="388" t="s">
        <v>3536</v>
      </c>
      <c r="P20" s="384"/>
      <c r="Q20" s="384"/>
      <c r="R20" s="389"/>
      <c r="S20" s="389"/>
      <c r="T20" s="389"/>
      <c r="U20" s="384"/>
      <c r="V20" s="384"/>
      <c r="W20" s="384"/>
      <c r="X20" s="385"/>
      <c r="Y20" s="31" t="s">
        <v>3513</v>
      </c>
      <c r="Z20" s="32"/>
      <c r="AA20" s="33"/>
      <c r="AB20" s="34"/>
    </row>
    <row r="21" ht="111.6" customHeight="1" s="17" customFormat="1">
      <c r="B21" s="35">
        <v>5</v>
      </c>
      <c r="C21" s="381"/>
      <c r="D21" s="390" t="s">
        <v>3537</v>
      </c>
      <c r="E21" s="372"/>
      <c r="F21" s="373" t="s">
        <v>3538</v>
      </c>
      <c r="G21" s="372"/>
      <c r="H21" s="373" t="s">
        <v>3539</v>
      </c>
      <c r="I21" s="374"/>
      <c r="J21" s="371" t="s">
        <v>3540</v>
      </c>
      <c r="K21" s="372"/>
      <c r="L21" s="373" t="s">
        <v>3541</v>
      </c>
      <c r="M21" s="374"/>
      <c r="N21" s="386"/>
      <c r="O21" s="390" t="s">
        <v>3542</v>
      </c>
      <c r="P21" s="372"/>
      <c r="Q21" s="373" t="s">
        <v>3543</v>
      </c>
      <c r="R21" s="372"/>
      <c r="S21" s="373" t="s">
        <v>3544</v>
      </c>
      <c r="T21" s="374"/>
      <c r="U21" s="371" t="s">
        <v>3545</v>
      </c>
      <c r="V21" s="372"/>
      <c r="W21" s="373" t="s">
        <v>3546</v>
      </c>
      <c r="X21" s="374"/>
      <c r="Y21" s="375"/>
      <c r="Z21" s="36"/>
      <c r="AA21" s="37"/>
      <c r="AB21" s="37"/>
    </row>
    <row r="22" ht="58.5" customHeight="1" s="6" customFormat="1">
      <c r="B22" s="38"/>
      <c r="C22" s="382"/>
      <c r="D22" s="395">
        <v>87</v>
      </c>
      <c r="E22" s="366"/>
      <c r="F22" s="365">
        <v>87</v>
      </c>
      <c r="G22" s="366"/>
      <c r="H22" s="365">
        <v>87</v>
      </c>
      <c r="I22" s="367"/>
      <c r="J22" s="368">
        <v>1</v>
      </c>
      <c r="K22" s="369"/>
      <c r="L22" s="368">
        <v>1</v>
      </c>
      <c r="M22" s="369"/>
      <c r="N22" s="387"/>
      <c r="O22" s="395">
        <v>109</v>
      </c>
      <c r="P22" s="366"/>
      <c r="Q22" s="365">
        <v>109</v>
      </c>
      <c r="R22" s="366"/>
      <c r="S22" s="365">
        <v>109</v>
      </c>
      <c r="T22" s="367"/>
      <c r="U22" s="368">
        <v>1</v>
      </c>
      <c r="V22" s="369"/>
      <c r="W22" s="368">
        <v>1</v>
      </c>
      <c r="X22" s="369"/>
      <c r="Y22" s="376"/>
      <c r="Z22" s="33"/>
      <c r="AA22" s="34"/>
      <c r="AB22" s="34"/>
    </row>
    <row r="23" ht="10.15" customHeight="1"/>
    <row r="24" ht="60" customHeight="1" s="44" customFormat="1">
      <c r="B24" s="357" t="s">
        <v>3547</v>
      </c>
      <c r="C24" s="357"/>
      <c r="D24" s="40" t="s">
        <v>3548</v>
      </c>
      <c r="E24" s="358" t="s">
        <v>3549</v>
      </c>
      <c r="F24" s="359"/>
      <c r="G24" s="360"/>
      <c r="H24" s="361"/>
      <c r="I24" s="361"/>
      <c r="J24" s="361"/>
      <c r="K24" s="362"/>
      <c r="L24" s="41"/>
      <c r="M24" s="42"/>
      <c r="N24" s="42"/>
      <c r="O24" s="42"/>
      <c r="P24" s="42"/>
      <c r="Q24" s="42"/>
      <c r="R24" s="42"/>
      <c r="S24" s="42"/>
      <c r="T24" s="42"/>
      <c r="U24" s="42"/>
      <c r="V24" s="42"/>
      <c r="W24" s="42"/>
      <c r="X24" s="42"/>
      <c r="Y24" s="43"/>
    </row>
    <row r="25" ht="54" customHeight="1">
      <c r="B25" s="357" t="s">
        <v>3550</v>
      </c>
      <c r="C25" s="357"/>
      <c r="D25" s="40" t="s">
        <v>3551</v>
      </c>
      <c r="E25" s="45"/>
      <c r="F25" s="45"/>
      <c r="G25" s="45"/>
      <c r="H25" s="46"/>
      <c r="I25" s="46"/>
      <c r="J25" s="46"/>
      <c r="K25" s="46"/>
      <c r="L25" s="46"/>
    </row>
    <row r="26" ht="59.45" customHeight="1">
      <c r="B26" s="363" t="s">
        <v>3552</v>
      </c>
      <c r="C26" s="364"/>
      <c r="D26" s="40" t="s">
        <v>3548</v>
      </c>
      <c r="E26" s="358" t="s">
        <v>3553</v>
      </c>
      <c r="F26" s="359"/>
      <c r="G26" s="360"/>
      <c r="H26" s="361"/>
      <c r="I26" s="361"/>
      <c r="J26" s="361"/>
      <c r="K26" s="362"/>
      <c r="L26" s="46"/>
    </row>
    <row r="27" ht="10.5" customHeight="1">
      <c r="B27" s="47"/>
      <c r="C27" s="47"/>
    </row>
    <row r="28" ht="54.6" customHeight="1" s="44" customFormat="1">
      <c r="B28" s="48"/>
      <c r="C28" s="48" t="s">
        <v>3554</v>
      </c>
      <c r="D28" s="370" t="s">
        <v>3555</v>
      </c>
      <c r="E28" s="370"/>
      <c r="F28" s="370"/>
      <c r="G28" s="370"/>
      <c r="H28" s="370"/>
      <c r="I28" s="370"/>
      <c r="J28" s="370"/>
      <c r="K28" s="370"/>
      <c r="L28" s="49" t="s">
        <v>3556</v>
      </c>
      <c r="M28" s="44" t="s">
        <v>3555</v>
      </c>
      <c r="S28" s="50" t="s">
        <v>3557</v>
      </c>
      <c r="T28" s="42" t="s">
        <v>3558</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86</v>
      </c>
      <c r="D30" s="370" t="s">
        <v>3555</v>
      </c>
      <c r="E30" s="370"/>
      <c r="F30" s="370"/>
      <c r="G30" s="370"/>
      <c r="H30" s="370"/>
      <c r="I30" s="370"/>
      <c r="J30" s="370"/>
      <c r="K30" s="370"/>
      <c r="L30" s="49" t="s">
        <v>3556</v>
      </c>
      <c r="M30" s="44" t="s">
        <v>3555</v>
      </c>
      <c r="S30" s="50" t="s">
        <v>3557</v>
      </c>
      <c r="T30" s="42" t="s">
        <v>3558</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ht="32.25">
      <c r="C1" s="52" t="s">
        <v>166</v>
      </c>
      <c r="D1" s="53" t="s">
        <v>167</v>
      </c>
      <c r="E1" s="53" t="s">
        <v>168</v>
      </c>
    </row>
    <row r="2">
      <c r="C2" s="471" t="s">
        <v>169</v>
      </c>
      <c r="D2" s="468" t="s">
        <v>170</v>
      </c>
      <c r="E2" s="54" t="s">
        <v>171</v>
      </c>
    </row>
    <row r="3">
      <c r="C3" s="472"/>
      <c r="D3" s="469"/>
      <c r="E3" s="54"/>
    </row>
    <row r="4" ht="30.75">
      <c r="C4" s="472"/>
      <c r="D4" s="470"/>
      <c r="E4" s="55" t="s">
        <v>172</v>
      </c>
    </row>
    <row r="5">
      <c r="C5" s="472"/>
      <c r="D5" s="468" t="s">
        <v>173</v>
      </c>
      <c r="E5" s="54" t="s">
        <v>174</v>
      </c>
    </row>
    <row r="6" ht="15.75">
      <c r="C6" s="472"/>
      <c r="D6" s="470"/>
      <c r="E6" s="55" t="s">
        <v>175</v>
      </c>
    </row>
    <row r="7" ht="60.75">
      <c r="C7" s="472"/>
      <c r="D7" s="55" t="s">
        <v>176</v>
      </c>
      <c r="E7" s="55" t="s">
        <v>177</v>
      </c>
    </row>
    <row r="8" ht="30.75">
      <c r="C8" s="472"/>
      <c r="D8" s="56" t="s">
        <v>178</v>
      </c>
      <c r="E8" s="55" t="s">
        <v>179</v>
      </c>
    </row>
    <row r="9">
      <c r="C9" s="472"/>
      <c r="D9" s="468" t="s">
        <v>180</v>
      </c>
      <c r="E9" s="54" t="s">
        <v>181</v>
      </c>
    </row>
    <row r="10" ht="45.75">
      <c r="C10" s="473"/>
      <c r="D10" s="470"/>
      <c r="E10" s="55" t="s">
        <v>182</v>
      </c>
    </row>
    <row r="11" ht="45.75">
      <c r="C11" s="471" t="s">
        <v>183</v>
      </c>
      <c r="D11" s="55" t="s">
        <v>184</v>
      </c>
      <c r="E11" s="55" t="s">
        <v>185</v>
      </c>
    </row>
    <row r="12" ht="60.75">
      <c r="C12" s="472"/>
      <c r="D12" s="55" t="s">
        <v>186</v>
      </c>
      <c r="E12" s="55" t="s">
        <v>187</v>
      </c>
    </row>
    <row r="13">
      <c r="C13" s="472"/>
      <c r="D13" s="54"/>
      <c r="E13" s="54" t="s">
        <v>188</v>
      </c>
    </row>
    <row r="14" ht="105.75">
      <c r="C14" s="472"/>
      <c r="D14" s="56" t="s">
        <v>189</v>
      </c>
      <c r="E14" s="55" t="s">
        <v>190</v>
      </c>
    </row>
    <row r="15">
      <c r="C15" s="472"/>
      <c r="D15" s="54"/>
      <c r="E15" s="468" t="s">
        <v>191</v>
      </c>
    </row>
    <row r="16" ht="30">
      <c r="C16" s="472"/>
      <c r="D16" s="54" t="s">
        <v>192</v>
      </c>
      <c r="E16" s="469"/>
    </row>
    <row r="17" ht="30">
      <c r="C17" s="472"/>
      <c r="D17" s="54" t="s">
        <v>193</v>
      </c>
      <c r="E17" s="469"/>
    </row>
    <row r="18" ht="15.75">
      <c r="C18" s="473"/>
      <c r="D18" s="55" t="s">
        <v>194</v>
      </c>
      <c r="E18" s="470"/>
    </row>
    <row r="19" ht="45.75">
      <c r="C19" s="471" t="s">
        <v>195</v>
      </c>
      <c r="D19" s="55" t="s">
        <v>196</v>
      </c>
      <c r="E19" s="55" t="s">
        <v>191</v>
      </c>
    </row>
    <row r="20">
      <c r="C20" s="472"/>
      <c r="D20" s="54" t="s">
        <v>197</v>
      </c>
      <c r="E20" s="54" t="s">
        <v>198</v>
      </c>
    </row>
    <row r="21" ht="30">
      <c r="C21" s="472"/>
      <c r="D21" s="54" t="s">
        <v>199</v>
      </c>
      <c r="E21" s="54" t="s">
        <v>200</v>
      </c>
    </row>
    <row r="22" ht="30.75">
      <c r="C22" s="472"/>
      <c r="D22" s="55" t="s">
        <v>201</v>
      </c>
      <c r="E22" s="57"/>
    </row>
    <row r="23" ht="30.75">
      <c r="C23" s="473"/>
      <c r="D23" s="56" t="s">
        <v>202</v>
      </c>
      <c r="E23" s="55" t="s">
        <v>172</v>
      </c>
    </row>
    <row r="24" ht="60.75">
      <c r="C24" s="471" t="s">
        <v>203</v>
      </c>
      <c r="D24" s="56" t="s">
        <v>204</v>
      </c>
      <c r="E24" s="55" t="s">
        <v>205</v>
      </c>
    </row>
    <row r="25" ht="30">
      <c r="C25" s="472"/>
      <c r="D25" s="54" t="s">
        <v>206</v>
      </c>
      <c r="E25" s="468" t="s">
        <v>191</v>
      </c>
    </row>
    <row r="26" ht="30">
      <c r="C26" s="472"/>
      <c r="D26" s="54" t="s">
        <v>207</v>
      </c>
      <c r="E26" s="469"/>
    </row>
    <row r="27" ht="18.75" customHeight="1">
      <c r="C27" s="472"/>
      <c r="D27" s="55" t="s">
        <v>208</v>
      </c>
      <c r="E27" s="470"/>
    </row>
    <row r="28" ht="45.75">
      <c r="C28" s="473"/>
      <c r="D28" s="55" t="s">
        <v>209</v>
      </c>
      <c r="E28" s="55" t="s">
        <v>182</v>
      </c>
    </row>
    <row r="29" ht="45.75">
      <c r="C29" s="471" t="s">
        <v>210</v>
      </c>
      <c r="D29" s="56" t="s">
        <v>211</v>
      </c>
      <c r="E29" s="55" t="s">
        <v>205</v>
      </c>
    </row>
    <row r="30" ht="30">
      <c r="C30" s="472"/>
      <c r="D30" s="54" t="s">
        <v>212</v>
      </c>
      <c r="E30" s="468" t="s">
        <v>172</v>
      </c>
    </row>
    <row r="31" ht="15.75">
      <c r="C31" s="472"/>
      <c r="D31" s="55" t="s">
        <v>213</v>
      </c>
      <c r="E31" s="470"/>
    </row>
    <row r="32" ht="45.75">
      <c r="C32" s="473"/>
      <c r="D32" s="55" t="s">
        <v>214</v>
      </c>
      <c r="E32" s="55" t="s">
        <v>179</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5" x14ac:dyDescent="0.25"/>
  <cols>
    <col min="3" max="3" bestFit="1" width="14.7109375" customWidth="1"/>
    <col min="4" max="4" width="11.140625" customWidth="1"/>
    <col min="5" max="5" width="20.85546875" customWidth="1"/>
    <col min="6" max="6" width="15.7109375" customWidth="1"/>
    <col min="10" max="10" width="22.42578125" customWidth="1"/>
    <col min="11" max="11" width="60.85546875" customWidth="1" style="83"/>
    <col min="12" max="12" bestFit="1" width="15.140625" customWidth="1"/>
    <col min="14" max="14" bestFit="1" width="29.7109375" customWidth="1"/>
  </cols>
  <sheetData>
    <row r="1">
      <c r="A1" s="0" t="s">
        <v>215</v>
      </c>
      <c r="C1" s="0" t="s">
        <v>216</v>
      </c>
      <c r="D1" s="0" t="s">
        <v>148</v>
      </c>
      <c r="E1" s="0" t="s">
        <v>150</v>
      </c>
      <c r="F1" s="0" t="s">
        <v>217</v>
      </c>
      <c r="H1" s="51" t="s">
        <v>218</v>
      </c>
      <c r="I1" s="51" t="s">
        <v>148</v>
      </c>
      <c r="J1" s="51" t="s">
        <v>150</v>
      </c>
      <c r="K1" s="82" t="s">
        <v>219</v>
      </c>
      <c r="L1" s="51" t="s">
        <v>220</v>
      </c>
      <c r="M1" s="51" t="s">
        <v>221</v>
      </c>
      <c r="Q1" s="0" t="s">
        <v>222</v>
      </c>
      <c r="R1" s="0" t="s">
        <v>223</v>
      </c>
      <c r="S1" s="0" t="s">
        <v>224</v>
      </c>
    </row>
    <row r="2">
      <c r="A2" s="63" t="s">
        <v>36</v>
      </c>
      <c r="C2" s="0" t="s">
        <v>44</v>
      </c>
      <c r="D2" s="0" t="s">
        <v>225</v>
      </c>
      <c r="E2" s="0" t="s">
        <v>226</v>
      </c>
      <c r="F2" s="80" t="s">
        <v>34</v>
      </c>
      <c r="H2" s="0" t="s">
        <v>227</v>
      </c>
      <c r="I2" s="0" t="s">
        <v>38</v>
      </c>
      <c r="J2" s="0" t="s">
        <v>228</v>
      </c>
      <c r="K2" s="83" t="s">
        <v>229</v>
      </c>
      <c r="L2" s="0" t="s">
        <v>230</v>
      </c>
      <c r="M2" s="0" t="s">
        <v>36</v>
      </c>
      <c r="N2" s="0" t="str">
        <f>SUBSTITUTE(SUBSTITUTE(M2&amp;J2," ",""),"-","")</f>
        <v>APINbeAdo</v>
      </c>
      <c r="Q2" s="0">
        <v>0</v>
      </c>
      <c r="R2" s="0">
        <v>20</v>
      </c>
      <c r="S2" s="0">
        <v>20</v>
      </c>
    </row>
    <row r="3">
      <c r="A3" s="63" t="s">
        <v>231</v>
      </c>
      <c r="C3" s="0" t="s">
        <v>232</v>
      </c>
      <c r="D3" s="0" t="s">
        <v>233</v>
      </c>
      <c r="E3" s="0" t="s">
        <v>234</v>
      </c>
      <c r="F3" s="81" t="s">
        <v>53</v>
      </c>
      <c r="H3" s="0" t="s">
        <v>227</v>
      </c>
      <c r="I3" s="0" t="s">
        <v>38</v>
      </c>
      <c r="J3" s="0" t="s">
        <v>228</v>
      </c>
      <c r="K3" s="83" t="s">
        <v>235</v>
      </c>
      <c r="L3" s="0" t="s">
        <v>236</v>
      </c>
      <c r="M3" s="0" t="s">
        <v>36</v>
      </c>
      <c r="N3" s="0" t="str">
        <f ref="N3:N66" t="shared" si="0">SUBSTITUTE(SUBSTITUTE(M3&amp;J3," ",""),"-","")</f>
        <v>APINbeAdo</v>
      </c>
      <c r="Q3" s="0">
        <v>21</v>
      </c>
      <c r="R3" s="0">
        <v>30</v>
      </c>
      <c r="S3" s="0">
        <v>24</v>
      </c>
    </row>
    <row r="4">
      <c r="A4" s="63" t="s">
        <v>237</v>
      </c>
      <c r="C4" s="0" t="s">
        <v>238</v>
      </c>
      <c r="D4" s="58" t="s">
        <v>239</v>
      </c>
      <c r="E4" s="0" t="s">
        <v>240</v>
      </c>
      <c r="F4" s="80" t="s">
        <v>56</v>
      </c>
      <c r="H4" s="0" t="s">
        <v>227</v>
      </c>
      <c r="I4" s="0" t="s">
        <v>38</v>
      </c>
      <c r="J4" s="0" t="s">
        <v>241</v>
      </c>
      <c r="K4" s="83" t="s">
        <v>242</v>
      </c>
      <c r="L4" s="0" t="s">
        <v>243</v>
      </c>
      <c r="M4" s="0" t="s">
        <v>36</v>
      </c>
      <c r="N4" s="0" t="str">
        <f t="shared" si="0"/>
        <v>APINbeAgatu</v>
      </c>
      <c r="Q4" s="0">
        <v>31</v>
      </c>
      <c r="R4" s="0">
        <v>40</v>
      </c>
      <c r="S4" s="0">
        <v>30</v>
      </c>
    </row>
    <row r="5">
      <c r="A5" s="63" t="s">
        <v>244</v>
      </c>
      <c r="C5" s="0" t="s">
        <v>245</v>
      </c>
      <c r="D5" s="58" t="s">
        <v>246</v>
      </c>
      <c r="E5" s="0" t="s">
        <v>247</v>
      </c>
      <c r="F5" s="80" t="s">
        <v>57</v>
      </c>
      <c r="H5" s="0" t="s">
        <v>227</v>
      </c>
      <c r="I5" s="0" t="s">
        <v>38</v>
      </c>
      <c r="J5" s="0" t="s">
        <v>241</v>
      </c>
      <c r="K5" s="83" t="s">
        <v>248</v>
      </c>
      <c r="L5" s="0" t="s">
        <v>249</v>
      </c>
      <c r="M5" s="0" t="s">
        <v>36</v>
      </c>
      <c r="N5" s="0" t="str">
        <f t="shared" si="0"/>
        <v>APINbeAgatu</v>
      </c>
      <c r="Q5" s="0">
        <v>41</v>
      </c>
      <c r="R5" s="0">
        <v>50</v>
      </c>
      <c r="S5" s="0">
        <v>35</v>
      </c>
    </row>
    <row r="6">
      <c r="A6" s="63"/>
      <c r="D6" s="0" t="s">
        <v>250</v>
      </c>
      <c r="E6" s="0" t="s">
        <v>251</v>
      </c>
      <c r="F6" s="242" t="s">
        <v>58</v>
      </c>
      <c r="H6" s="0" t="s">
        <v>227</v>
      </c>
      <c r="I6" s="0" t="s">
        <v>38</v>
      </c>
      <c r="J6" s="0" t="s">
        <v>252</v>
      </c>
      <c r="K6" s="83" t="s">
        <v>253</v>
      </c>
      <c r="L6" s="0" t="s">
        <v>254</v>
      </c>
      <c r="M6" s="0" t="s">
        <v>36</v>
      </c>
      <c r="N6" s="0" t="str">
        <f t="shared" si="0"/>
        <v>APINbeApa</v>
      </c>
      <c r="Q6" s="0">
        <v>51</v>
      </c>
      <c r="R6" s="0">
        <v>60</v>
      </c>
      <c r="S6" s="0">
        <v>39</v>
      </c>
    </row>
    <row r="7">
      <c r="A7" s="63"/>
      <c r="D7" s="0" t="s">
        <v>255</v>
      </c>
      <c r="E7" s="0" t="s">
        <v>256</v>
      </c>
      <c r="F7" s="80" t="s">
        <v>59</v>
      </c>
      <c r="H7" s="0" t="s">
        <v>227</v>
      </c>
      <c r="I7" s="0" t="s">
        <v>38</v>
      </c>
      <c r="J7" s="0" t="s">
        <v>252</v>
      </c>
      <c r="K7" s="83" t="s">
        <v>257</v>
      </c>
      <c r="L7" s="0" t="s">
        <v>258</v>
      </c>
      <c r="M7" s="0" t="s">
        <v>36</v>
      </c>
      <c r="N7" s="0" t="str">
        <f t="shared" si="0"/>
        <v>APINbeApa</v>
      </c>
      <c r="Q7" s="0">
        <v>61</v>
      </c>
      <c r="R7" s="0">
        <v>70</v>
      </c>
      <c r="S7" s="0">
        <v>43</v>
      </c>
    </row>
    <row r="8">
      <c r="A8" s="63"/>
      <c r="D8" s="0" t="s">
        <v>259</v>
      </c>
      <c r="E8" s="0" t="s">
        <v>260</v>
      </c>
      <c r="F8" s="64" t="s">
        <v>261</v>
      </c>
      <c r="H8" s="0" t="s">
        <v>227</v>
      </c>
      <c r="I8" s="0" t="s">
        <v>38</v>
      </c>
      <c r="J8" s="0" t="s">
        <v>262</v>
      </c>
      <c r="K8" s="83" t="s">
        <v>263</v>
      </c>
      <c r="L8" s="0" t="s">
        <v>264</v>
      </c>
      <c r="M8" s="0" t="s">
        <v>36</v>
      </c>
      <c r="N8" s="0" t="str">
        <f t="shared" si="0"/>
        <v>APINbeBuruku</v>
      </c>
      <c r="Q8" s="0">
        <v>71</v>
      </c>
      <c r="R8" s="0">
        <v>80</v>
      </c>
      <c r="S8" s="0">
        <v>46</v>
      </c>
    </row>
    <row r="9">
      <c r="A9" s="63"/>
      <c r="D9" s="0" t="s">
        <v>265</v>
      </c>
      <c r="E9" s="0" t="s">
        <v>266</v>
      </c>
      <c r="F9" s="64" t="s">
        <v>60</v>
      </c>
      <c r="H9" s="0" t="s">
        <v>227</v>
      </c>
      <c r="I9" s="0" t="s">
        <v>38</v>
      </c>
      <c r="J9" s="0" t="s">
        <v>262</v>
      </c>
      <c r="K9" s="83" t="s">
        <v>267</v>
      </c>
      <c r="L9" s="0" t="s">
        <v>268</v>
      </c>
      <c r="M9" s="0" t="s">
        <v>36</v>
      </c>
      <c r="N9" s="0" t="str">
        <f t="shared" si="0"/>
        <v>APINbeBuruku</v>
      </c>
      <c r="Q9" s="0">
        <v>81</v>
      </c>
      <c r="R9" s="0">
        <v>90</v>
      </c>
      <c r="S9" s="0">
        <v>49</v>
      </c>
    </row>
    <row r="10">
      <c r="A10" s="63"/>
      <c r="D10" s="58" t="s">
        <v>269</v>
      </c>
      <c r="E10" s="0" t="s">
        <v>270</v>
      </c>
      <c r="F10" s="64" t="s">
        <v>61</v>
      </c>
      <c r="H10" s="0" t="s">
        <v>227</v>
      </c>
      <c r="I10" s="0" t="s">
        <v>38</v>
      </c>
      <c r="J10" s="0" t="s">
        <v>262</v>
      </c>
      <c r="K10" s="83" t="s">
        <v>271</v>
      </c>
      <c r="L10" s="0" t="s">
        <v>272</v>
      </c>
      <c r="M10" s="0" t="s">
        <v>36</v>
      </c>
      <c r="N10" s="0" t="str">
        <f t="shared" si="0"/>
        <v>APINbeBuruku</v>
      </c>
      <c r="Q10" s="0">
        <v>91</v>
      </c>
      <c r="R10" s="0">
        <v>100</v>
      </c>
      <c r="S10" s="0">
        <v>52</v>
      </c>
    </row>
    <row r="11">
      <c r="D11" s="0" t="s">
        <v>273</v>
      </c>
      <c r="E11" s="0" t="s">
        <v>274</v>
      </c>
      <c r="F11" s="64" t="s">
        <v>62</v>
      </c>
      <c r="H11" s="0" t="s">
        <v>227</v>
      </c>
      <c r="I11" s="0" t="s">
        <v>38</v>
      </c>
      <c r="J11" s="0" t="s">
        <v>262</v>
      </c>
      <c r="K11" s="83" t="s">
        <v>275</v>
      </c>
      <c r="L11" s="0" t="s">
        <v>276</v>
      </c>
      <c r="M11" s="0" t="s">
        <v>36</v>
      </c>
      <c r="N11" s="0" t="str">
        <f t="shared" si="0"/>
        <v>APINbeBuruku</v>
      </c>
      <c r="Q11" s="0">
        <v>101</v>
      </c>
      <c r="R11" s="0">
        <v>119</v>
      </c>
      <c r="S11" s="0">
        <v>57</v>
      </c>
    </row>
    <row r="12">
      <c r="D12" s="0" t="s">
        <v>277</v>
      </c>
      <c r="E12" s="0" t="s">
        <v>278</v>
      </c>
      <c r="F12" s="64" t="s">
        <v>279</v>
      </c>
      <c r="H12" s="0" t="s">
        <v>227</v>
      </c>
      <c r="I12" s="0" t="s">
        <v>38</v>
      </c>
      <c r="J12" s="0" t="s">
        <v>262</v>
      </c>
      <c r="K12" s="83" t="s">
        <v>280</v>
      </c>
      <c r="L12" s="0" t="s">
        <v>281</v>
      </c>
      <c r="M12" s="0" t="s">
        <v>36</v>
      </c>
      <c r="N12" s="0" t="str">
        <f t="shared" si="0"/>
        <v>APINbeBuruku</v>
      </c>
      <c r="Q12" s="0">
        <v>120</v>
      </c>
      <c r="R12" s="0">
        <v>139</v>
      </c>
      <c r="S12" s="0">
        <v>61</v>
      </c>
    </row>
    <row r="13">
      <c r="D13" s="0" t="s">
        <v>38</v>
      </c>
      <c r="E13" s="0" t="s">
        <v>282</v>
      </c>
      <c r="F13" s="64" t="s">
        <v>63</v>
      </c>
      <c r="H13" s="0" t="s">
        <v>227</v>
      </c>
      <c r="I13" s="0" t="s">
        <v>38</v>
      </c>
      <c r="J13" s="0" t="s">
        <v>262</v>
      </c>
      <c r="K13" s="83" t="s">
        <v>283</v>
      </c>
      <c r="L13" s="0" t="s">
        <v>284</v>
      </c>
      <c r="M13" s="0" t="s">
        <v>36</v>
      </c>
      <c r="N13" s="0" t="str">
        <f t="shared" si="0"/>
        <v>APINbeBuruku</v>
      </c>
      <c r="Q13" s="0">
        <v>140</v>
      </c>
      <c r="R13" s="0">
        <v>159</v>
      </c>
      <c r="S13" s="0">
        <v>64</v>
      </c>
    </row>
    <row r="14">
      <c r="D14" s="58" t="s">
        <v>285</v>
      </c>
      <c r="E14" s="0" t="s">
        <v>286</v>
      </c>
      <c r="H14" s="0" t="s">
        <v>227</v>
      </c>
      <c r="I14" s="0" t="s">
        <v>38</v>
      </c>
      <c r="J14" s="0" t="s">
        <v>262</v>
      </c>
      <c r="K14" s="83" t="s">
        <v>287</v>
      </c>
      <c r="L14" s="0" t="s">
        <v>288</v>
      </c>
      <c r="M14" s="0" t="s">
        <v>36</v>
      </c>
      <c r="N14" s="0" t="str">
        <f t="shared" si="0"/>
        <v>APINbeBuruku</v>
      </c>
      <c r="Q14" s="0">
        <v>160</v>
      </c>
      <c r="R14" s="0">
        <v>179</v>
      </c>
      <c r="S14" s="0">
        <v>67</v>
      </c>
    </row>
    <row r="15">
      <c r="D15" s="0" t="s">
        <v>289</v>
      </c>
      <c r="E15" s="0" t="s">
        <v>290</v>
      </c>
      <c r="H15" s="0" t="s">
        <v>227</v>
      </c>
      <c r="I15" s="0" t="s">
        <v>38</v>
      </c>
      <c r="J15" s="0" t="s">
        <v>262</v>
      </c>
      <c r="K15" s="83" t="s">
        <v>291</v>
      </c>
      <c r="L15" s="0" t="s">
        <v>292</v>
      </c>
      <c r="M15" s="0" t="s">
        <v>36</v>
      </c>
      <c r="N15" s="0" t="str">
        <f t="shared" si="0"/>
        <v>APINbeBuruku</v>
      </c>
      <c r="Q15" s="0">
        <v>180</v>
      </c>
      <c r="R15" s="0">
        <v>199</v>
      </c>
      <c r="S15" s="0">
        <v>70</v>
      </c>
    </row>
    <row r="16">
      <c r="D16" s="0" t="s">
        <v>293</v>
      </c>
      <c r="E16" s="0" t="s">
        <v>294</v>
      </c>
      <c r="H16" s="0" t="s">
        <v>227</v>
      </c>
      <c r="I16" s="0" t="s">
        <v>38</v>
      </c>
      <c r="J16" s="0" t="s">
        <v>262</v>
      </c>
      <c r="K16" s="83" t="s">
        <v>295</v>
      </c>
      <c r="L16" s="0" t="s">
        <v>296</v>
      </c>
      <c r="M16" s="0" t="s">
        <v>36</v>
      </c>
      <c r="N16" s="0" t="str">
        <f t="shared" si="0"/>
        <v>APINbeBuruku</v>
      </c>
      <c r="Q16" s="0">
        <v>200</v>
      </c>
      <c r="R16" s="0">
        <v>249</v>
      </c>
      <c r="S16" s="0">
        <v>75</v>
      </c>
    </row>
    <row r="17">
      <c r="D17" s="0" t="s">
        <v>297</v>
      </c>
      <c r="E17" s="0" t="s">
        <v>298</v>
      </c>
      <c r="H17" s="0" t="s">
        <v>227</v>
      </c>
      <c r="I17" s="0" t="s">
        <v>38</v>
      </c>
      <c r="J17" s="0" t="s">
        <v>262</v>
      </c>
      <c r="K17" s="83" t="s">
        <v>299</v>
      </c>
      <c r="L17" s="0" t="s">
        <v>300</v>
      </c>
      <c r="M17" s="0" t="s">
        <v>36</v>
      </c>
      <c r="N17" s="0" t="str">
        <f t="shared" si="0"/>
        <v>APINbeBuruku</v>
      </c>
      <c r="Q17" s="0">
        <v>250</v>
      </c>
      <c r="R17" s="0">
        <v>299</v>
      </c>
      <c r="S17" s="0">
        <v>79</v>
      </c>
    </row>
    <row r="18">
      <c r="D18" s="0" t="s">
        <v>301</v>
      </c>
      <c r="E18" s="0" t="s">
        <v>302</v>
      </c>
      <c r="H18" s="0" t="s">
        <v>227</v>
      </c>
      <c r="I18" s="0" t="s">
        <v>38</v>
      </c>
      <c r="J18" s="0" t="s">
        <v>262</v>
      </c>
      <c r="K18" s="83" t="s">
        <v>303</v>
      </c>
      <c r="L18" s="0" t="s">
        <v>304</v>
      </c>
      <c r="M18" s="0" t="s">
        <v>36</v>
      </c>
      <c r="N18" s="0" t="str">
        <f t="shared" si="0"/>
        <v>APINbeBuruku</v>
      </c>
      <c r="Q18" s="0">
        <v>300</v>
      </c>
      <c r="R18" s="0">
        <v>349</v>
      </c>
      <c r="S18" s="0">
        <v>82</v>
      </c>
    </row>
    <row r="19">
      <c r="D19" s="0" t="s">
        <v>305</v>
      </c>
      <c r="E19" s="0" t="s">
        <v>306</v>
      </c>
      <c r="H19" s="0" t="s">
        <v>227</v>
      </c>
      <c r="I19" s="0" t="s">
        <v>38</v>
      </c>
      <c r="J19" s="0" t="s">
        <v>262</v>
      </c>
      <c r="K19" s="83" t="s">
        <v>307</v>
      </c>
      <c r="L19" s="0" t="s">
        <v>308</v>
      </c>
      <c r="M19" s="0" t="s">
        <v>36</v>
      </c>
      <c r="N19" s="0" t="str">
        <f t="shared" si="0"/>
        <v>APINbeBuruku</v>
      </c>
      <c r="Q19" s="0">
        <v>350</v>
      </c>
      <c r="R19" s="0">
        <v>399</v>
      </c>
      <c r="S19" s="0">
        <v>85</v>
      </c>
    </row>
    <row r="20">
      <c r="D20" s="0" t="s">
        <v>309</v>
      </c>
      <c r="E20" s="0" t="s">
        <v>310</v>
      </c>
      <c r="H20" s="0" t="s">
        <v>227</v>
      </c>
      <c r="I20" s="0" t="s">
        <v>38</v>
      </c>
      <c r="J20" s="0" t="s">
        <v>262</v>
      </c>
      <c r="K20" s="83" t="s">
        <v>311</v>
      </c>
      <c r="L20" s="0" t="s">
        <v>312</v>
      </c>
      <c r="M20" s="0" t="s">
        <v>36</v>
      </c>
      <c r="N20" s="0" t="str">
        <f t="shared" si="0"/>
        <v>APINbeBuruku</v>
      </c>
      <c r="Q20" s="0">
        <v>400</v>
      </c>
      <c r="R20" s="0">
        <v>449</v>
      </c>
      <c r="S20" s="0">
        <v>87</v>
      </c>
    </row>
    <row r="21">
      <c r="E21" s="0" t="s">
        <v>313</v>
      </c>
      <c r="H21" s="0" t="s">
        <v>227</v>
      </c>
      <c r="I21" s="0" t="s">
        <v>38</v>
      </c>
      <c r="J21" s="0" t="s">
        <v>262</v>
      </c>
      <c r="K21" s="83" t="s">
        <v>314</v>
      </c>
      <c r="L21" s="0" t="s">
        <v>315</v>
      </c>
      <c r="M21" s="0" t="s">
        <v>36</v>
      </c>
      <c r="N21" s="0" t="str">
        <f t="shared" si="0"/>
        <v>APINbeBuruku</v>
      </c>
      <c r="Q21" s="0">
        <v>450</v>
      </c>
      <c r="R21" s="0">
        <v>499</v>
      </c>
      <c r="S21" s="0">
        <v>88</v>
      </c>
    </row>
    <row r="22">
      <c r="E22" s="0" t="s">
        <v>316</v>
      </c>
      <c r="H22" s="0" t="s">
        <v>227</v>
      </c>
      <c r="I22" s="0" t="s">
        <v>38</v>
      </c>
      <c r="J22" s="0" t="s">
        <v>262</v>
      </c>
      <c r="K22" s="83" t="s">
        <v>317</v>
      </c>
      <c r="L22" s="0" t="s">
        <v>318</v>
      </c>
      <c r="M22" s="0" t="s">
        <v>36</v>
      </c>
      <c r="N22" s="0" t="str">
        <f t="shared" si="0"/>
        <v>APINbeBuruku</v>
      </c>
      <c r="Q22" s="0">
        <v>500</v>
      </c>
      <c r="R22" s="0">
        <v>749</v>
      </c>
      <c r="S22" s="0">
        <v>94</v>
      </c>
    </row>
    <row r="23">
      <c r="E23" s="0" t="s">
        <v>319</v>
      </c>
      <c r="H23" s="0" t="s">
        <v>227</v>
      </c>
      <c r="I23" s="0" t="s">
        <v>38</v>
      </c>
      <c r="J23" s="0" t="s">
        <v>262</v>
      </c>
      <c r="K23" s="83" t="s">
        <v>320</v>
      </c>
      <c r="L23" s="0" t="s">
        <v>321</v>
      </c>
      <c r="M23" s="0" t="s">
        <v>36</v>
      </c>
      <c r="N23" s="0" t="str">
        <f t="shared" si="0"/>
        <v>APINbeBuruku</v>
      </c>
      <c r="Q23" s="0">
        <v>750</v>
      </c>
      <c r="R23" s="0">
        <v>999</v>
      </c>
      <c r="S23" s="0">
        <v>97</v>
      </c>
    </row>
    <row r="24">
      <c r="E24" s="0" t="s">
        <v>322</v>
      </c>
      <c r="H24" s="0" t="s">
        <v>227</v>
      </c>
      <c r="I24" s="0" t="s">
        <v>38</v>
      </c>
      <c r="J24" s="0" t="s">
        <v>262</v>
      </c>
      <c r="K24" s="83" t="s">
        <v>323</v>
      </c>
      <c r="L24" s="0" t="s">
        <v>324</v>
      </c>
      <c r="M24" s="0" t="s">
        <v>36</v>
      </c>
      <c r="N24" s="0" t="str">
        <f t="shared" si="0"/>
        <v>APINbeBuruku</v>
      </c>
      <c r="Q24" s="0">
        <v>1000</v>
      </c>
      <c r="R24" s="0">
        <v>4999</v>
      </c>
      <c r="S24" s="0">
        <v>105</v>
      </c>
    </row>
    <row r="25">
      <c r="E25" s="0" t="s">
        <v>325</v>
      </c>
      <c r="H25" s="0" t="s">
        <v>227</v>
      </c>
      <c r="I25" s="0" t="s">
        <v>38</v>
      </c>
      <c r="J25" s="0" t="s">
        <v>262</v>
      </c>
      <c r="K25" s="83" t="s">
        <v>326</v>
      </c>
      <c r="L25" s="0" t="s">
        <v>327</v>
      </c>
      <c r="M25" s="0" t="s">
        <v>36</v>
      </c>
      <c r="N25" s="0" t="str">
        <f t="shared" si="0"/>
        <v>APINbeBuruku</v>
      </c>
      <c r="Q25" s="0">
        <v>5000</v>
      </c>
      <c r="R25" s="0">
        <v>1000000</v>
      </c>
      <c r="S25" s="0">
        <v>107</v>
      </c>
    </row>
    <row r="26">
      <c r="E26" s="0" t="s">
        <v>328</v>
      </c>
      <c r="H26" s="0" t="s">
        <v>227</v>
      </c>
      <c r="I26" s="0" t="s">
        <v>38</v>
      </c>
      <c r="J26" s="0" t="s">
        <v>262</v>
      </c>
      <c r="K26" s="83" t="s">
        <v>329</v>
      </c>
      <c r="L26" s="0" t="s">
        <v>330</v>
      </c>
      <c r="M26" s="0" t="s">
        <v>36</v>
      </c>
      <c r="N26" s="0" t="str">
        <f t="shared" si="0"/>
        <v>APINbeBuruku</v>
      </c>
    </row>
    <row r="27">
      <c r="E27" s="0" t="s">
        <v>331</v>
      </c>
      <c r="H27" s="0" t="s">
        <v>227</v>
      </c>
      <c r="I27" s="0" t="s">
        <v>38</v>
      </c>
      <c r="J27" s="0" t="s">
        <v>262</v>
      </c>
      <c r="K27" s="83" t="s">
        <v>332</v>
      </c>
      <c r="L27" s="0" t="s">
        <v>333</v>
      </c>
      <c r="M27" s="0" t="s">
        <v>36</v>
      </c>
      <c r="N27" s="0" t="str">
        <f t="shared" si="0"/>
        <v>APINbeBuruku</v>
      </c>
    </row>
    <row r="28">
      <c r="E28" s="0" t="s">
        <v>334</v>
      </c>
      <c r="H28" s="0" t="s">
        <v>227</v>
      </c>
      <c r="I28" s="0" t="s">
        <v>38</v>
      </c>
      <c r="J28" s="0" t="s">
        <v>262</v>
      </c>
      <c r="K28" s="83" t="s">
        <v>335</v>
      </c>
      <c r="L28" s="0" t="s">
        <v>336</v>
      </c>
      <c r="M28" s="0" t="s">
        <v>36</v>
      </c>
      <c r="N28" s="0" t="str">
        <f t="shared" si="0"/>
        <v>APINbeBuruku</v>
      </c>
    </row>
    <row r="29">
      <c r="E29" s="0" t="s">
        <v>337</v>
      </c>
      <c r="H29" s="0" t="s">
        <v>227</v>
      </c>
      <c r="I29" s="0" t="s">
        <v>38</v>
      </c>
      <c r="J29" s="0" t="s">
        <v>262</v>
      </c>
      <c r="K29" s="83" t="s">
        <v>338</v>
      </c>
      <c r="L29" s="0" t="s">
        <v>339</v>
      </c>
      <c r="M29" s="0" t="s">
        <v>36</v>
      </c>
      <c r="N29" s="0" t="str">
        <f t="shared" si="0"/>
        <v>APINbeBuruku</v>
      </c>
    </row>
    <row r="30">
      <c r="E30" s="0" t="s">
        <v>340</v>
      </c>
      <c r="H30" s="0" t="s">
        <v>227</v>
      </c>
      <c r="I30" s="0" t="s">
        <v>38</v>
      </c>
      <c r="J30" s="0" t="s">
        <v>262</v>
      </c>
      <c r="K30" s="83" t="s">
        <v>341</v>
      </c>
      <c r="L30" s="0" t="s">
        <v>342</v>
      </c>
      <c r="M30" s="0" t="s">
        <v>36</v>
      </c>
      <c r="N30" s="0" t="str">
        <f t="shared" si="0"/>
        <v>APINbeBuruku</v>
      </c>
    </row>
    <row r="31">
      <c r="E31" s="0" t="s">
        <v>343</v>
      </c>
      <c r="H31" s="0" t="s">
        <v>227</v>
      </c>
      <c r="I31" s="0" t="s">
        <v>38</v>
      </c>
      <c r="J31" s="0" t="s">
        <v>262</v>
      </c>
      <c r="K31" s="83" t="s">
        <v>344</v>
      </c>
      <c r="L31" s="0" t="s">
        <v>345</v>
      </c>
      <c r="M31" s="0" t="s">
        <v>36</v>
      </c>
      <c r="N31" s="0" t="str">
        <f t="shared" si="0"/>
        <v>APINbeBuruku</v>
      </c>
    </row>
    <row r="32">
      <c r="E32" s="0" t="s">
        <v>346</v>
      </c>
      <c r="H32" s="0" t="s">
        <v>227</v>
      </c>
      <c r="I32" s="0" t="s">
        <v>38</v>
      </c>
      <c r="J32" s="0" t="s">
        <v>262</v>
      </c>
      <c r="K32" s="83" t="s">
        <v>347</v>
      </c>
      <c r="L32" s="0" t="s">
        <v>348</v>
      </c>
      <c r="M32" s="0" t="s">
        <v>36</v>
      </c>
      <c r="N32" s="0" t="str">
        <f t="shared" si="0"/>
        <v>APINbeBuruku</v>
      </c>
    </row>
    <row r="33">
      <c r="E33" s="0" t="s">
        <v>349</v>
      </c>
      <c r="H33" s="0" t="s">
        <v>227</v>
      </c>
      <c r="I33" s="0" t="s">
        <v>38</v>
      </c>
      <c r="J33" s="0" t="s">
        <v>262</v>
      </c>
      <c r="K33" s="83" t="s">
        <v>350</v>
      </c>
      <c r="L33" s="0" t="s">
        <v>351</v>
      </c>
      <c r="M33" s="0" t="s">
        <v>36</v>
      </c>
      <c r="N33" s="0" t="str">
        <f t="shared" si="0"/>
        <v>APINbeBuruku</v>
      </c>
    </row>
    <row r="34">
      <c r="E34" s="0" t="s">
        <v>352</v>
      </c>
      <c r="H34" s="0" t="s">
        <v>227</v>
      </c>
      <c r="I34" s="0" t="s">
        <v>38</v>
      </c>
      <c r="J34" s="0" t="s">
        <v>262</v>
      </c>
      <c r="K34" s="83" t="s">
        <v>353</v>
      </c>
      <c r="L34" s="0" t="s">
        <v>354</v>
      </c>
      <c r="M34" s="0" t="s">
        <v>36</v>
      </c>
      <c r="N34" s="0" t="str">
        <f t="shared" si="0"/>
        <v>APINbeBuruku</v>
      </c>
    </row>
    <row r="35">
      <c r="E35" s="0" t="s">
        <v>355</v>
      </c>
      <c r="H35" s="0" t="s">
        <v>227</v>
      </c>
      <c r="I35" s="0" t="s">
        <v>38</v>
      </c>
      <c r="J35" s="0" t="s">
        <v>262</v>
      </c>
      <c r="K35" s="83" t="s">
        <v>271</v>
      </c>
      <c r="L35" s="0" t="s">
        <v>272</v>
      </c>
      <c r="M35" s="0" t="s">
        <v>36</v>
      </c>
      <c r="N35" s="0" t="str">
        <f t="shared" si="0"/>
        <v>APINbeBuruku</v>
      </c>
    </row>
    <row r="36">
      <c r="E36" s="0" t="s">
        <v>356</v>
      </c>
      <c r="H36" s="0" t="s">
        <v>227</v>
      </c>
      <c r="I36" s="0" t="s">
        <v>38</v>
      </c>
      <c r="J36" s="0" t="s">
        <v>262</v>
      </c>
      <c r="K36" s="83" t="s">
        <v>357</v>
      </c>
      <c r="L36" s="0" t="s">
        <v>358</v>
      </c>
      <c r="M36" s="0" t="s">
        <v>36</v>
      </c>
      <c r="N36" s="0" t="str">
        <f t="shared" si="0"/>
        <v>APINbeBuruku</v>
      </c>
    </row>
    <row r="37">
      <c r="E37" s="0" t="s">
        <v>359</v>
      </c>
      <c r="H37" s="0" t="s">
        <v>227</v>
      </c>
      <c r="I37" s="0" t="s">
        <v>38</v>
      </c>
      <c r="J37" s="0" t="s">
        <v>262</v>
      </c>
      <c r="K37" s="83" t="s">
        <v>360</v>
      </c>
      <c r="L37" s="0" t="s">
        <v>361</v>
      </c>
      <c r="M37" s="0" t="s">
        <v>36</v>
      </c>
      <c r="N37" s="0" t="str">
        <f t="shared" si="0"/>
        <v>APINbeBuruku</v>
      </c>
    </row>
    <row r="38">
      <c r="E38" s="0" t="s">
        <v>362</v>
      </c>
      <c r="H38" s="0" t="s">
        <v>227</v>
      </c>
      <c r="I38" s="0" t="s">
        <v>38</v>
      </c>
      <c r="J38" s="0" t="s">
        <v>262</v>
      </c>
      <c r="K38" s="83" t="s">
        <v>363</v>
      </c>
      <c r="L38" s="0" t="s">
        <v>364</v>
      </c>
      <c r="M38" s="0" t="s">
        <v>36</v>
      </c>
      <c r="N38" s="0" t="str">
        <f t="shared" si="0"/>
        <v>APINbeBuruku</v>
      </c>
    </row>
    <row r="39">
      <c r="E39" s="0" t="s">
        <v>365</v>
      </c>
      <c r="H39" s="0" t="s">
        <v>227</v>
      </c>
      <c r="I39" s="0" t="s">
        <v>38</v>
      </c>
      <c r="J39" s="0" t="s">
        <v>262</v>
      </c>
      <c r="K39" s="83" t="s">
        <v>366</v>
      </c>
      <c r="L39" s="0" t="s">
        <v>367</v>
      </c>
      <c r="M39" s="0" t="s">
        <v>36</v>
      </c>
      <c r="N39" s="0" t="str">
        <f t="shared" si="0"/>
        <v>APINbeBuruku</v>
      </c>
    </row>
    <row r="40">
      <c r="E40" s="0" t="s">
        <v>368</v>
      </c>
      <c r="H40" s="0" t="s">
        <v>227</v>
      </c>
      <c r="I40" s="0" t="s">
        <v>38</v>
      </c>
      <c r="J40" s="0" t="s">
        <v>262</v>
      </c>
      <c r="K40" s="83" t="s">
        <v>369</v>
      </c>
      <c r="L40" s="0" t="s">
        <v>370</v>
      </c>
      <c r="M40" s="0" t="s">
        <v>36</v>
      </c>
      <c r="N40" s="0" t="str">
        <f t="shared" si="0"/>
        <v>APINbeBuruku</v>
      </c>
    </row>
    <row r="41">
      <c r="E41" s="0" t="s">
        <v>371</v>
      </c>
      <c r="H41" s="0" t="s">
        <v>227</v>
      </c>
      <c r="I41" s="0" t="s">
        <v>38</v>
      </c>
      <c r="J41" s="0" t="s">
        <v>262</v>
      </c>
      <c r="K41" s="83" t="s">
        <v>372</v>
      </c>
      <c r="L41" s="0" t="s">
        <v>373</v>
      </c>
      <c r="M41" s="0" t="s">
        <v>36</v>
      </c>
      <c r="N41" s="0" t="str">
        <f t="shared" si="0"/>
        <v>APINbeBuruku</v>
      </c>
    </row>
    <row r="42">
      <c r="E42" s="0" t="s">
        <v>374</v>
      </c>
      <c r="H42" s="0" t="s">
        <v>227</v>
      </c>
      <c r="I42" s="0" t="s">
        <v>38</v>
      </c>
      <c r="J42" s="0" t="s">
        <v>262</v>
      </c>
      <c r="K42" s="83" t="s">
        <v>375</v>
      </c>
      <c r="L42" s="0" t="s">
        <v>376</v>
      </c>
      <c r="M42" s="0" t="s">
        <v>36</v>
      </c>
      <c r="N42" s="0" t="str">
        <f t="shared" si="0"/>
        <v>APINbeBuruku</v>
      </c>
    </row>
    <row r="43">
      <c r="E43" s="0" t="s">
        <v>377</v>
      </c>
      <c r="H43" s="0" t="s">
        <v>227</v>
      </c>
      <c r="I43" s="0" t="s">
        <v>38</v>
      </c>
      <c r="J43" s="0" t="s">
        <v>262</v>
      </c>
      <c r="K43" s="83" t="s">
        <v>378</v>
      </c>
      <c r="L43" s="0" t="s">
        <v>379</v>
      </c>
      <c r="M43" s="0" t="s">
        <v>36</v>
      </c>
      <c r="N43" s="0" t="str">
        <f t="shared" si="0"/>
        <v>APINbeBuruku</v>
      </c>
    </row>
    <row r="44">
      <c r="E44" s="0" t="s">
        <v>380</v>
      </c>
      <c r="H44" s="0" t="s">
        <v>227</v>
      </c>
      <c r="I44" s="0" t="s">
        <v>38</v>
      </c>
      <c r="J44" s="0" t="s">
        <v>381</v>
      </c>
      <c r="K44" s="83" t="s">
        <v>382</v>
      </c>
      <c r="L44" s="0" t="s">
        <v>383</v>
      </c>
      <c r="M44" s="0" t="s">
        <v>36</v>
      </c>
      <c r="N44" s="0" t="str">
        <f t="shared" si="0"/>
        <v>APINbeGboko</v>
      </c>
    </row>
    <row r="45">
      <c r="E45" s="0" t="s">
        <v>384</v>
      </c>
      <c r="H45" s="0" t="s">
        <v>227</v>
      </c>
      <c r="I45" s="0" t="s">
        <v>38</v>
      </c>
      <c r="J45" s="0" t="s">
        <v>381</v>
      </c>
      <c r="K45" s="83" t="s">
        <v>385</v>
      </c>
      <c r="L45" s="0" t="s">
        <v>386</v>
      </c>
      <c r="M45" s="0" t="s">
        <v>36</v>
      </c>
      <c r="N45" s="0" t="str">
        <f t="shared" si="0"/>
        <v>APINbeGboko</v>
      </c>
    </row>
    <row r="46">
      <c r="E46" s="0" t="s">
        <v>387</v>
      </c>
      <c r="H46" s="0" t="s">
        <v>227</v>
      </c>
      <c r="I46" s="0" t="s">
        <v>38</v>
      </c>
      <c r="J46" s="0" t="s">
        <v>381</v>
      </c>
      <c r="K46" s="83" t="s">
        <v>388</v>
      </c>
      <c r="L46" s="0" t="s">
        <v>389</v>
      </c>
      <c r="M46" s="0" t="s">
        <v>36</v>
      </c>
      <c r="N46" s="0" t="str">
        <f t="shared" si="0"/>
        <v>APINbeGboko</v>
      </c>
    </row>
    <row r="47">
      <c r="E47" s="0" t="s">
        <v>390</v>
      </c>
      <c r="H47" s="0" t="s">
        <v>227</v>
      </c>
      <c r="I47" s="0" t="s">
        <v>38</v>
      </c>
      <c r="J47" s="0" t="s">
        <v>381</v>
      </c>
      <c r="K47" s="83" t="s">
        <v>391</v>
      </c>
      <c r="L47" s="0" t="s">
        <v>392</v>
      </c>
      <c r="M47" s="0" t="s">
        <v>36</v>
      </c>
      <c r="N47" s="0" t="str">
        <f t="shared" si="0"/>
        <v>APINbeGboko</v>
      </c>
    </row>
    <row r="48">
      <c r="E48" s="0" t="s">
        <v>393</v>
      </c>
      <c r="H48" s="0" t="s">
        <v>227</v>
      </c>
      <c r="I48" s="0" t="s">
        <v>38</v>
      </c>
      <c r="J48" s="0" t="s">
        <v>381</v>
      </c>
      <c r="K48" s="83" t="s">
        <v>394</v>
      </c>
      <c r="L48" s="0" t="s">
        <v>395</v>
      </c>
      <c r="M48" s="0" t="s">
        <v>36</v>
      </c>
      <c r="N48" s="0" t="str">
        <f t="shared" si="0"/>
        <v>APINbeGboko</v>
      </c>
    </row>
    <row r="49">
      <c r="E49" s="0" t="s">
        <v>396</v>
      </c>
      <c r="H49" s="0" t="s">
        <v>227</v>
      </c>
      <c r="I49" s="0" t="s">
        <v>38</v>
      </c>
      <c r="J49" s="0" t="s">
        <v>381</v>
      </c>
      <c r="K49" s="83" t="s">
        <v>397</v>
      </c>
      <c r="L49" s="0" t="s">
        <v>398</v>
      </c>
      <c r="M49" s="0" t="s">
        <v>36</v>
      </c>
      <c r="N49" s="0" t="str">
        <f t="shared" si="0"/>
        <v>APINbeGboko</v>
      </c>
    </row>
    <row r="50">
      <c r="E50" s="0" t="s">
        <v>399</v>
      </c>
      <c r="H50" s="0" t="s">
        <v>227</v>
      </c>
      <c r="I50" s="0" t="s">
        <v>38</v>
      </c>
      <c r="J50" s="0" t="s">
        <v>381</v>
      </c>
      <c r="K50" s="83" t="s">
        <v>400</v>
      </c>
      <c r="L50" s="0" t="s">
        <v>401</v>
      </c>
      <c r="M50" s="0" t="s">
        <v>36</v>
      </c>
      <c r="N50" s="0" t="str">
        <f t="shared" si="0"/>
        <v>APINbeGboko</v>
      </c>
    </row>
    <row r="51">
      <c r="E51" s="0" t="s">
        <v>402</v>
      </c>
      <c r="H51" s="0" t="s">
        <v>227</v>
      </c>
      <c r="I51" s="0" t="s">
        <v>38</v>
      </c>
      <c r="J51" s="0" t="s">
        <v>381</v>
      </c>
      <c r="K51" s="83" t="s">
        <v>403</v>
      </c>
      <c r="L51" s="0" t="s">
        <v>404</v>
      </c>
      <c r="M51" s="0" t="s">
        <v>36</v>
      </c>
      <c r="N51" s="0" t="str">
        <f t="shared" si="0"/>
        <v>APINbeGboko</v>
      </c>
    </row>
    <row r="52">
      <c r="E52" s="0" t="s">
        <v>405</v>
      </c>
      <c r="H52" s="0" t="s">
        <v>227</v>
      </c>
      <c r="I52" s="0" t="s">
        <v>38</v>
      </c>
      <c r="J52" s="0" t="s">
        <v>381</v>
      </c>
      <c r="K52" s="83" t="s">
        <v>406</v>
      </c>
      <c r="L52" s="0" t="s">
        <v>407</v>
      </c>
      <c r="M52" s="0" t="s">
        <v>36</v>
      </c>
      <c r="N52" s="0" t="str">
        <f t="shared" si="0"/>
        <v>APINbeGboko</v>
      </c>
    </row>
    <row r="53">
      <c r="E53" s="0" t="s">
        <v>408</v>
      </c>
      <c r="H53" s="0" t="s">
        <v>227</v>
      </c>
      <c r="I53" s="0" t="s">
        <v>38</v>
      </c>
      <c r="J53" s="0" t="s">
        <v>381</v>
      </c>
      <c r="K53" s="83" t="s">
        <v>409</v>
      </c>
      <c r="L53" s="0" t="s">
        <v>410</v>
      </c>
      <c r="M53" s="0" t="s">
        <v>36</v>
      </c>
      <c r="N53" s="0" t="str">
        <f t="shared" si="0"/>
        <v>APINbeGboko</v>
      </c>
    </row>
    <row r="54">
      <c r="E54" s="0" t="s">
        <v>411</v>
      </c>
      <c r="H54" s="0" t="s">
        <v>227</v>
      </c>
      <c r="I54" s="0" t="s">
        <v>38</v>
      </c>
      <c r="J54" s="0" t="s">
        <v>381</v>
      </c>
      <c r="K54" s="83" t="s">
        <v>412</v>
      </c>
      <c r="L54" s="0" t="s">
        <v>413</v>
      </c>
      <c r="M54" s="0" t="s">
        <v>36</v>
      </c>
      <c r="N54" s="0" t="str">
        <f t="shared" si="0"/>
        <v>APINbeGboko</v>
      </c>
    </row>
    <row r="55">
      <c r="E55" s="0" t="s">
        <v>414</v>
      </c>
      <c r="H55" s="0" t="s">
        <v>227</v>
      </c>
      <c r="I55" s="0" t="s">
        <v>38</v>
      </c>
      <c r="J55" s="0" t="s">
        <v>381</v>
      </c>
      <c r="K55" s="83" t="s">
        <v>415</v>
      </c>
      <c r="L55" s="0" t="s">
        <v>416</v>
      </c>
      <c r="M55" s="0" t="s">
        <v>36</v>
      </c>
      <c r="N55" s="0" t="str">
        <f t="shared" si="0"/>
        <v>APINbeGboko</v>
      </c>
    </row>
    <row r="56">
      <c r="E56" s="0" t="s">
        <v>417</v>
      </c>
      <c r="H56" s="0" t="s">
        <v>227</v>
      </c>
      <c r="I56" s="0" t="s">
        <v>38</v>
      </c>
      <c r="J56" s="0" t="s">
        <v>381</v>
      </c>
      <c r="K56" s="83" t="s">
        <v>418</v>
      </c>
      <c r="L56" s="0" t="s">
        <v>419</v>
      </c>
      <c r="M56" s="0" t="s">
        <v>36</v>
      </c>
      <c r="N56" s="0" t="str">
        <f t="shared" si="0"/>
        <v>APINbeGboko</v>
      </c>
    </row>
    <row r="57">
      <c r="E57" s="0" t="s">
        <v>420</v>
      </c>
      <c r="H57" s="0" t="s">
        <v>227</v>
      </c>
      <c r="I57" s="0" t="s">
        <v>38</v>
      </c>
      <c r="J57" s="0" t="s">
        <v>381</v>
      </c>
      <c r="K57" s="83" t="s">
        <v>421</v>
      </c>
      <c r="L57" s="0" t="s">
        <v>422</v>
      </c>
      <c r="M57" s="0" t="s">
        <v>36</v>
      </c>
      <c r="N57" s="0" t="str">
        <f t="shared" si="0"/>
        <v>APINbeGboko</v>
      </c>
    </row>
    <row r="58">
      <c r="E58" s="0" t="s">
        <v>423</v>
      </c>
      <c r="H58" s="0" t="s">
        <v>227</v>
      </c>
      <c r="I58" s="0" t="s">
        <v>38</v>
      </c>
      <c r="J58" s="0" t="s">
        <v>381</v>
      </c>
      <c r="K58" s="83" t="s">
        <v>424</v>
      </c>
      <c r="L58" s="0" t="s">
        <v>425</v>
      </c>
      <c r="M58" s="0" t="s">
        <v>36</v>
      </c>
      <c r="N58" s="0" t="str">
        <f t="shared" si="0"/>
        <v>APINbeGboko</v>
      </c>
    </row>
    <row r="59">
      <c r="E59" s="0" t="s">
        <v>426</v>
      </c>
      <c r="H59" s="0" t="s">
        <v>227</v>
      </c>
      <c r="I59" s="0" t="s">
        <v>38</v>
      </c>
      <c r="J59" s="0" t="s">
        <v>381</v>
      </c>
      <c r="K59" s="83" t="s">
        <v>427</v>
      </c>
      <c r="L59" s="0" t="s">
        <v>428</v>
      </c>
      <c r="M59" s="0" t="s">
        <v>36</v>
      </c>
      <c r="N59" s="0" t="str">
        <f t="shared" si="0"/>
        <v>APINbeGboko</v>
      </c>
    </row>
    <row r="60">
      <c r="E60" s="0" t="s">
        <v>429</v>
      </c>
      <c r="H60" s="0" t="s">
        <v>227</v>
      </c>
      <c r="I60" s="0" t="s">
        <v>38</v>
      </c>
      <c r="J60" s="0" t="s">
        <v>381</v>
      </c>
      <c r="K60" s="83" t="s">
        <v>430</v>
      </c>
      <c r="L60" s="0" t="s">
        <v>431</v>
      </c>
      <c r="M60" s="0" t="s">
        <v>36</v>
      </c>
      <c r="N60" s="0" t="str">
        <f t="shared" si="0"/>
        <v>APINbeGboko</v>
      </c>
    </row>
    <row r="61">
      <c r="E61" s="0" t="s">
        <v>432</v>
      </c>
      <c r="H61" s="0" t="s">
        <v>227</v>
      </c>
      <c r="I61" s="0" t="s">
        <v>38</v>
      </c>
      <c r="J61" s="0" t="s">
        <v>381</v>
      </c>
      <c r="K61" s="83" t="s">
        <v>433</v>
      </c>
      <c r="L61" s="0" t="s">
        <v>434</v>
      </c>
      <c r="M61" s="0" t="s">
        <v>36</v>
      </c>
      <c r="N61" s="0" t="str">
        <f t="shared" si="0"/>
        <v>APINbeGboko</v>
      </c>
    </row>
    <row r="62">
      <c r="E62" s="0" t="s">
        <v>435</v>
      </c>
      <c r="H62" s="0" t="s">
        <v>227</v>
      </c>
      <c r="I62" s="0" t="s">
        <v>38</v>
      </c>
      <c r="J62" s="0" t="s">
        <v>381</v>
      </c>
      <c r="K62" s="83" t="s">
        <v>436</v>
      </c>
      <c r="L62" s="0" t="s">
        <v>437</v>
      </c>
      <c r="M62" s="0" t="s">
        <v>36</v>
      </c>
      <c r="N62" s="0" t="str">
        <f t="shared" si="0"/>
        <v>APINbeGboko</v>
      </c>
    </row>
    <row r="63">
      <c r="E63" s="0" t="s">
        <v>438</v>
      </c>
      <c r="H63" s="0" t="s">
        <v>227</v>
      </c>
      <c r="I63" s="0" t="s">
        <v>38</v>
      </c>
      <c r="J63" s="0" t="s">
        <v>381</v>
      </c>
      <c r="K63" s="83" t="s">
        <v>439</v>
      </c>
      <c r="L63" s="0" t="s">
        <v>440</v>
      </c>
      <c r="M63" s="0" t="s">
        <v>36</v>
      </c>
      <c r="N63" s="0" t="str">
        <f t="shared" si="0"/>
        <v>APINbeGboko</v>
      </c>
    </row>
    <row r="64">
      <c r="E64" s="0" t="s">
        <v>441</v>
      </c>
      <c r="H64" s="0" t="s">
        <v>227</v>
      </c>
      <c r="I64" s="0" t="s">
        <v>38</v>
      </c>
      <c r="J64" s="0" t="s">
        <v>381</v>
      </c>
      <c r="K64" s="83" t="s">
        <v>442</v>
      </c>
      <c r="L64" s="0" t="s">
        <v>443</v>
      </c>
      <c r="M64" s="0" t="s">
        <v>36</v>
      </c>
      <c r="N64" s="0" t="str">
        <f t="shared" si="0"/>
        <v>APINbeGboko</v>
      </c>
    </row>
    <row r="65">
      <c r="E65" s="0" t="s">
        <v>444</v>
      </c>
      <c r="H65" s="0" t="s">
        <v>227</v>
      </c>
      <c r="I65" s="0" t="s">
        <v>38</v>
      </c>
      <c r="J65" s="0" t="s">
        <v>381</v>
      </c>
      <c r="K65" s="83" t="s">
        <v>445</v>
      </c>
      <c r="L65" s="0" t="s">
        <v>446</v>
      </c>
      <c r="M65" s="0" t="s">
        <v>36</v>
      </c>
      <c r="N65" s="0" t="str">
        <f t="shared" si="0"/>
        <v>APINbeGboko</v>
      </c>
    </row>
    <row r="66">
      <c r="E66" s="0" t="s">
        <v>447</v>
      </c>
      <c r="H66" s="0" t="s">
        <v>227</v>
      </c>
      <c r="I66" s="0" t="s">
        <v>38</v>
      </c>
      <c r="J66" s="0" t="s">
        <v>381</v>
      </c>
      <c r="K66" s="83" t="s">
        <v>448</v>
      </c>
      <c r="L66" s="0" t="s">
        <v>449</v>
      </c>
      <c r="M66" s="0" t="s">
        <v>36</v>
      </c>
      <c r="N66" s="0" t="str">
        <f t="shared" si="0"/>
        <v>APINbeGboko</v>
      </c>
    </row>
    <row r="67">
      <c r="E67" s="0" t="s">
        <v>450</v>
      </c>
      <c r="H67" s="0" t="s">
        <v>227</v>
      </c>
      <c r="I67" s="0" t="s">
        <v>38</v>
      </c>
      <c r="J67" s="0" t="s">
        <v>381</v>
      </c>
      <c r="K67" s="83" t="s">
        <v>451</v>
      </c>
      <c r="L67" s="0" t="s">
        <v>452</v>
      </c>
      <c r="M67" s="0" t="s">
        <v>36</v>
      </c>
      <c r="N67" s="0" t="str">
        <f ref="N67:N130" t="shared" si="1">SUBSTITUTE(SUBSTITUTE(M67&amp;J67," ",""),"-","")</f>
        <v>APINbeGboko</v>
      </c>
    </row>
    <row r="68">
      <c r="E68" s="0" t="s">
        <v>453</v>
      </c>
      <c r="H68" s="0" t="s">
        <v>227</v>
      </c>
      <c r="I68" s="0" t="s">
        <v>38</v>
      </c>
      <c r="J68" s="0" t="s">
        <v>381</v>
      </c>
      <c r="K68" s="83" t="s">
        <v>454</v>
      </c>
      <c r="L68" s="0" t="s">
        <v>455</v>
      </c>
      <c r="M68" s="0" t="s">
        <v>36</v>
      </c>
      <c r="N68" s="0" t="str">
        <f t="shared" si="1"/>
        <v>APINbeGboko</v>
      </c>
    </row>
    <row r="69">
      <c r="E69" s="0" t="s">
        <v>456</v>
      </c>
      <c r="H69" s="0" t="s">
        <v>227</v>
      </c>
      <c r="I69" s="0" t="s">
        <v>38</v>
      </c>
      <c r="J69" s="0" t="s">
        <v>381</v>
      </c>
      <c r="K69" s="83" t="s">
        <v>457</v>
      </c>
      <c r="L69" s="0" t="s">
        <v>458</v>
      </c>
      <c r="M69" s="0" t="s">
        <v>36</v>
      </c>
      <c r="N69" s="0" t="str">
        <f t="shared" si="1"/>
        <v>APINbeGboko</v>
      </c>
    </row>
    <row r="70">
      <c r="E70" s="0" t="s">
        <v>459</v>
      </c>
      <c r="H70" s="0" t="s">
        <v>227</v>
      </c>
      <c r="I70" s="0" t="s">
        <v>38</v>
      </c>
      <c r="J70" s="0" t="s">
        <v>460</v>
      </c>
      <c r="K70" s="83" t="s">
        <v>461</v>
      </c>
      <c r="L70" s="0" t="s">
        <v>462</v>
      </c>
      <c r="M70" s="0" t="s">
        <v>36</v>
      </c>
      <c r="N70" s="0" t="str">
        <f t="shared" si="1"/>
        <v>APINbeGuma</v>
      </c>
    </row>
    <row r="71">
      <c r="E71" s="0" t="s">
        <v>463</v>
      </c>
      <c r="H71" s="0" t="s">
        <v>227</v>
      </c>
      <c r="I71" s="0" t="s">
        <v>38</v>
      </c>
      <c r="J71" s="0" t="s">
        <v>460</v>
      </c>
      <c r="K71" s="83" t="s">
        <v>464</v>
      </c>
      <c r="L71" s="0" t="s">
        <v>465</v>
      </c>
      <c r="M71" s="0" t="s">
        <v>36</v>
      </c>
      <c r="N71" s="0" t="str">
        <f t="shared" si="1"/>
        <v>APINbeGuma</v>
      </c>
    </row>
    <row r="72">
      <c r="E72" s="0" t="s">
        <v>466</v>
      </c>
      <c r="H72" s="0" t="s">
        <v>227</v>
      </c>
      <c r="I72" s="0" t="s">
        <v>38</v>
      </c>
      <c r="J72" s="0" t="s">
        <v>460</v>
      </c>
      <c r="K72" s="83" t="s">
        <v>467</v>
      </c>
      <c r="L72" s="0" t="s">
        <v>468</v>
      </c>
      <c r="M72" s="0" t="s">
        <v>36</v>
      </c>
      <c r="N72" s="0" t="str">
        <f t="shared" si="1"/>
        <v>APINbeGuma</v>
      </c>
    </row>
    <row r="73">
      <c r="E73" s="0" t="s">
        <v>469</v>
      </c>
      <c r="H73" s="0" t="s">
        <v>227</v>
      </c>
      <c r="I73" s="0" t="s">
        <v>38</v>
      </c>
      <c r="J73" s="0" t="s">
        <v>460</v>
      </c>
      <c r="K73" s="83" t="s">
        <v>470</v>
      </c>
      <c r="L73" s="0" t="s">
        <v>471</v>
      </c>
      <c r="M73" s="0" t="s">
        <v>36</v>
      </c>
      <c r="N73" s="0" t="str">
        <f t="shared" si="1"/>
        <v>APINbeGuma</v>
      </c>
    </row>
    <row r="74">
      <c r="E74" s="0" t="s">
        <v>472</v>
      </c>
      <c r="H74" s="0" t="s">
        <v>227</v>
      </c>
      <c r="I74" s="0" t="s">
        <v>38</v>
      </c>
      <c r="J74" s="0" t="s">
        <v>460</v>
      </c>
      <c r="K74" s="83" t="s">
        <v>473</v>
      </c>
      <c r="L74" s="0" t="s">
        <v>474</v>
      </c>
      <c r="M74" s="0" t="s">
        <v>36</v>
      </c>
      <c r="N74" s="0" t="str">
        <f t="shared" si="1"/>
        <v>APINbeGuma</v>
      </c>
    </row>
    <row r="75">
      <c r="E75" s="0" t="s">
        <v>475</v>
      </c>
      <c r="H75" s="0" t="s">
        <v>227</v>
      </c>
      <c r="I75" s="0" t="s">
        <v>38</v>
      </c>
      <c r="J75" s="0" t="s">
        <v>460</v>
      </c>
      <c r="K75" s="83" t="s">
        <v>476</v>
      </c>
      <c r="L75" s="0" t="s">
        <v>477</v>
      </c>
      <c r="M75" s="0" t="s">
        <v>36</v>
      </c>
      <c r="N75" s="0" t="str">
        <f t="shared" si="1"/>
        <v>APINbeGuma</v>
      </c>
    </row>
    <row r="76">
      <c r="E76" s="0" t="s">
        <v>478</v>
      </c>
      <c r="H76" s="0" t="s">
        <v>227</v>
      </c>
      <c r="I76" s="0" t="s">
        <v>38</v>
      </c>
      <c r="J76" s="0" t="s">
        <v>460</v>
      </c>
      <c r="K76" s="83" t="s">
        <v>479</v>
      </c>
      <c r="L76" s="0" t="s">
        <v>480</v>
      </c>
      <c r="M76" s="0" t="s">
        <v>36</v>
      </c>
      <c r="N76" s="0" t="str">
        <f t="shared" si="1"/>
        <v>APINbeGuma</v>
      </c>
    </row>
    <row r="77">
      <c r="E77" s="0" t="s">
        <v>481</v>
      </c>
      <c r="H77" s="0" t="s">
        <v>227</v>
      </c>
      <c r="I77" s="0" t="s">
        <v>38</v>
      </c>
      <c r="J77" s="0" t="s">
        <v>460</v>
      </c>
      <c r="K77" s="83" t="s">
        <v>482</v>
      </c>
      <c r="L77" s="0" t="s">
        <v>483</v>
      </c>
      <c r="M77" s="0" t="s">
        <v>36</v>
      </c>
      <c r="N77" s="0" t="str">
        <f t="shared" si="1"/>
        <v>APINbeGuma</v>
      </c>
    </row>
    <row r="78">
      <c r="E78" s="0" t="s">
        <v>484</v>
      </c>
      <c r="H78" s="0" t="s">
        <v>227</v>
      </c>
      <c r="I78" s="0" t="s">
        <v>38</v>
      </c>
      <c r="J78" s="0" t="s">
        <v>485</v>
      </c>
      <c r="K78" s="83" t="s">
        <v>486</v>
      </c>
      <c r="L78" s="0" t="s">
        <v>487</v>
      </c>
      <c r="M78" s="0" t="s">
        <v>36</v>
      </c>
      <c r="N78" s="0" t="str">
        <f t="shared" si="1"/>
        <v>APINbeGwerEast</v>
      </c>
    </row>
    <row r="79">
      <c r="E79" s="0" t="s">
        <v>488</v>
      </c>
      <c r="H79" s="0" t="s">
        <v>227</v>
      </c>
      <c r="I79" s="0" t="s">
        <v>38</v>
      </c>
      <c r="J79" s="0" t="s">
        <v>485</v>
      </c>
      <c r="K79" s="83" t="s">
        <v>489</v>
      </c>
      <c r="L79" s="0" t="s">
        <v>490</v>
      </c>
      <c r="M79" s="0" t="s">
        <v>36</v>
      </c>
      <c r="N79" s="0" t="str">
        <f t="shared" si="1"/>
        <v>APINbeGwerEast</v>
      </c>
    </row>
    <row r="80">
      <c r="E80" s="0" t="s">
        <v>491</v>
      </c>
      <c r="H80" s="0" t="s">
        <v>227</v>
      </c>
      <c r="I80" s="0" t="s">
        <v>38</v>
      </c>
      <c r="J80" s="0" t="s">
        <v>485</v>
      </c>
      <c r="K80" s="83" t="s">
        <v>492</v>
      </c>
      <c r="L80" s="0" t="s">
        <v>493</v>
      </c>
      <c r="M80" s="0" t="s">
        <v>36</v>
      </c>
      <c r="N80" s="0" t="str">
        <f t="shared" si="1"/>
        <v>APINbeGwerEast</v>
      </c>
    </row>
    <row r="81">
      <c r="E81" s="0" t="s">
        <v>494</v>
      </c>
      <c r="H81" s="0" t="s">
        <v>227</v>
      </c>
      <c r="I81" s="0" t="s">
        <v>38</v>
      </c>
      <c r="J81" s="0" t="s">
        <v>485</v>
      </c>
      <c r="K81" s="83" t="s">
        <v>495</v>
      </c>
      <c r="L81" s="0" t="s">
        <v>496</v>
      </c>
      <c r="M81" s="0" t="s">
        <v>36</v>
      </c>
      <c r="N81" s="0" t="str">
        <f t="shared" si="1"/>
        <v>APINbeGwerEast</v>
      </c>
    </row>
    <row r="82">
      <c r="E82" s="0" t="s">
        <v>497</v>
      </c>
      <c r="H82" s="0" t="s">
        <v>227</v>
      </c>
      <c r="I82" s="0" t="s">
        <v>38</v>
      </c>
      <c r="J82" s="0" t="s">
        <v>485</v>
      </c>
      <c r="K82" s="83" t="s">
        <v>498</v>
      </c>
      <c r="L82" s="0" t="s">
        <v>499</v>
      </c>
      <c r="M82" s="0" t="s">
        <v>36</v>
      </c>
      <c r="N82" s="0" t="str">
        <f t="shared" si="1"/>
        <v>APINbeGwerEast</v>
      </c>
    </row>
    <row r="83">
      <c r="E83" s="0" t="s">
        <v>500</v>
      </c>
      <c r="H83" s="0" t="s">
        <v>227</v>
      </c>
      <c r="I83" s="0" t="s">
        <v>38</v>
      </c>
      <c r="J83" s="0" t="s">
        <v>485</v>
      </c>
      <c r="K83" s="83" t="s">
        <v>501</v>
      </c>
      <c r="L83" s="0" t="s">
        <v>502</v>
      </c>
      <c r="M83" s="0" t="s">
        <v>36</v>
      </c>
      <c r="N83" s="0" t="str">
        <f t="shared" si="1"/>
        <v>APINbeGwerEast</v>
      </c>
    </row>
    <row r="84">
      <c r="E84" s="0" t="s">
        <v>503</v>
      </c>
      <c r="H84" s="0" t="s">
        <v>227</v>
      </c>
      <c r="I84" s="0" t="s">
        <v>38</v>
      </c>
      <c r="J84" s="0" t="s">
        <v>504</v>
      </c>
      <c r="K84" s="83" t="s">
        <v>505</v>
      </c>
      <c r="L84" s="0" t="s">
        <v>506</v>
      </c>
      <c r="M84" s="0" t="s">
        <v>36</v>
      </c>
      <c r="N84" s="0" t="str">
        <f t="shared" si="1"/>
        <v>APINbeGwerWest</v>
      </c>
    </row>
    <row r="85">
      <c r="E85" s="0" t="s">
        <v>507</v>
      </c>
      <c r="H85" s="0" t="s">
        <v>227</v>
      </c>
      <c r="I85" s="0" t="s">
        <v>38</v>
      </c>
      <c r="J85" s="0" t="s">
        <v>504</v>
      </c>
      <c r="K85" s="83" t="s">
        <v>508</v>
      </c>
      <c r="L85" s="0" t="s">
        <v>509</v>
      </c>
      <c r="M85" s="0" t="s">
        <v>36</v>
      </c>
      <c r="N85" s="0" t="str">
        <f t="shared" si="1"/>
        <v>APINbeGwerWest</v>
      </c>
    </row>
    <row r="86">
      <c r="E86" s="0" t="s">
        <v>510</v>
      </c>
      <c r="H86" s="0" t="s">
        <v>227</v>
      </c>
      <c r="I86" s="0" t="s">
        <v>38</v>
      </c>
      <c r="J86" s="0" t="s">
        <v>504</v>
      </c>
      <c r="K86" s="83" t="s">
        <v>511</v>
      </c>
      <c r="L86" s="0" t="s">
        <v>512</v>
      </c>
      <c r="M86" s="0" t="s">
        <v>36</v>
      </c>
      <c r="N86" s="0" t="str">
        <f t="shared" si="1"/>
        <v>APINbeGwerWest</v>
      </c>
    </row>
    <row r="87">
      <c r="E87" s="0" t="s">
        <v>513</v>
      </c>
      <c r="H87" s="0" t="s">
        <v>227</v>
      </c>
      <c r="I87" s="0" t="s">
        <v>38</v>
      </c>
      <c r="J87" s="0" t="s">
        <v>504</v>
      </c>
      <c r="K87" s="83" t="s">
        <v>514</v>
      </c>
      <c r="L87" s="0" t="s">
        <v>515</v>
      </c>
      <c r="M87" s="0" t="s">
        <v>36</v>
      </c>
      <c r="N87" s="0" t="str">
        <f t="shared" si="1"/>
        <v>APINbeGwerWest</v>
      </c>
    </row>
    <row r="88">
      <c r="E88" s="0" t="s">
        <v>516</v>
      </c>
      <c r="H88" s="0" t="s">
        <v>227</v>
      </c>
      <c r="I88" s="0" t="s">
        <v>38</v>
      </c>
      <c r="J88" s="0" t="s">
        <v>504</v>
      </c>
      <c r="K88" s="83" t="s">
        <v>517</v>
      </c>
      <c r="L88" s="0" t="s">
        <v>518</v>
      </c>
      <c r="M88" s="0" t="s">
        <v>36</v>
      </c>
      <c r="N88" s="0" t="str">
        <f t="shared" si="1"/>
        <v>APINbeGwerWest</v>
      </c>
    </row>
    <row r="89">
      <c r="E89" s="0" t="s">
        <v>519</v>
      </c>
      <c r="H89" s="0" t="s">
        <v>227</v>
      </c>
      <c r="I89" s="0" t="s">
        <v>38</v>
      </c>
      <c r="J89" s="0" t="s">
        <v>504</v>
      </c>
      <c r="K89" s="83" t="s">
        <v>520</v>
      </c>
      <c r="L89" s="0" t="s">
        <v>521</v>
      </c>
      <c r="M89" s="0" t="s">
        <v>36</v>
      </c>
      <c r="N89" s="0" t="str">
        <f t="shared" si="1"/>
        <v>APINbeGwerWest</v>
      </c>
    </row>
    <row r="90">
      <c r="E90" s="0" t="s">
        <v>522</v>
      </c>
      <c r="H90" s="0" t="s">
        <v>227</v>
      </c>
      <c r="I90" s="0" t="s">
        <v>38</v>
      </c>
      <c r="J90" s="0" t="s">
        <v>504</v>
      </c>
      <c r="K90" s="83" t="s">
        <v>523</v>
      </c>
      <c r="L90" s="0" t="s">
        <v>524</v>
      </c>
      <c r="M90" s="0" t="s">
        <v>36</v>
      </c>
      <c r="N90" s="0" t="str">
        <f t="shared" si="1"/>
        <v>APINbeGwerWest</v>
      </c>
    </row>
    <row r="91">
      <c r="E91" s="0" t="s">
        <v>525</v>
      </c>
      <c r="H91" s="0" t="s">
        <v>227</v>
      </c>
      <c r="I91" s="0" t="s">
        <v>38</v>
      </c>
      <c r="J91" s="0" t="s">
        <v>504</v>
      </c>
      <c r="K91" s="83" t="s">
        <v>526</v>
      </c>
      <c r="L91" s="0" t="s">
        <v>527</v>
      </c>
      <c r="M91" s="0" t="s">
        <v>36</v>
      </c>
      <c r="N91" s="0" t="str">
        <f t="shared" si="1"/>
        <v>APINbeGwerWest</v>
      </c>
    </row>
    <row r="92">
      <c r="E92" s="0" t="s">
        <v>528</v>
      </c>
      <c r="H92" s="0" t="s">
        <v>227</v>
      </c>
      <c r="I92" s="0" t="s">
        <v>38</v>
      </c>
      <c r="J92" s="0" t="s">
        <v>504</v>
      </c>
      <c r="K92" s="83" t="s">
        <v>529</v>
      </c>
      <c r="L92" s="0" t="s">
        <v>530</v>
      </c>
      <c r="M92" s="0" t="s">
        <v>36</v>
      </c>
      <c r="N92" s="0" t="str">
        <f t="shared" si="1"/>
        <v>APINbeGwerWest</v>
      </c>
    </row>
    <row r="93">
      <c r="E93" s="0" t="s">
        <v>531</v>
      </c>
      <c r="H93" s="0" t="s">
        <v>227</v>
      </c>
      <c r="I93" s="0" t="s">
        <v>38</v>
      </c>
      <c r="J93" s="0" t="s">
        <v>504</v>
      </c>
      <c r="K93" s="83" t="s">
        <v>532</v>
      </c>
      <c r="L93" s="0" t="s">
        <v>533</v>
      </c>
      <c r="M93" s="0" t="s">
        <v>36</v>
      </c>
      <c r="N93" s="0" t="str">
        <f t="shared" si="1"/>
        <v>APINbeGwerWest</v>
      </c>
    </row>
    <row r="94">
      <c r="E94" s="0" t="s">
        <v>534</v>
      </c>
      <c r="H94" s="0" t="s">
        <v>227</v>
      </c>
      <c r="I94" s="0" t="s">
        <v>38</v>
      </c>
      <c r="J94" s="0" t="s">
        <v>504</v>
      </c>
      <c r="K94" s="83" t="s">
        <v>535</v>
      </c>
      <c r="L94" s="0" t="s">
        <v>536</v>
      </c>
      <c r="M94" s="0" t="s">
        <v>36</v>
      </c>
      <c r="N94" s="0" t="str">
        <f t="shared" si="1"/>
        <v>APINbeGwerWest</v>
      </c>
    </row>
    <row r="95">
      <c r="E95" s="0" t="s">
        <v>537</v>
      </c>
      <c r="H95" s="0" t="s">
        <v>227</v>
      </c>
      <c r="I95" s="0" t="s">
        <v>38</v>
      </c>
      <c r="J95" s="0" t="s">
        <v>504</v>
      </c>
      <c r="K95" s="83" t="s">
        <v>538</v>
      </c>
      <c r="L95" s="0" t="s">
        <v>539</v>
      </c>
      <c r="M95" s="0" t="s">
        <v>36</v>
      </c>
      <c r="N95" s="0" t="str">
        <f t="shared" si="1"/>
        <v>APINbeGwerWest</v>
      </c>
    </row>
    <row r="96">
      <c r="E96" s="0" t="s">
        <v>540</v>
      </c>
      <c r="H96" s="0" t="s">
        <v>227</v>
      </c>
      <c r="I96" s="0" t="s">
        <v>38</v>
      </c>
      <c r="J96" s="0" t="s">
        <v>504</v>
      </c>
      <c r="K96" s="83" t="s">
        <v>541</v>
      </c>
      <c r="L96" s="0" t="s">
        <v>542</v>
      </c>
      <c r="M96" s="0" t="s">
        <v>36</v>
      </c>
      <c r="N96" s="0" t="str">
        <f t="shared" si="1"/>
        <v>APINbeGwerWest</v>
      </c>
    </row>
    <row r="97">
      <c r="E97" s="0" t="s">
        <v>543</v>
      </c>
      <c r="H97" s="0" t="s">
        <v>227</v>
      </c>
      <c r="I97" s="0" t="s">
        <v>38</v>
      </c>
      <c r="J97" s="0" t="s">
        <v>504</v>
      </c>
      <c r="K97" s="83" t="s">
        <v>544</v>
      </c>
      <c r="L97" s="0" t="s">
        <v>545</v>
      </c>
      <c r="M97" s="0" t="s">
        <v>36</v>
      </c>
      <c r="N97" s="0" t="str">
        <f t="shared" si="1"/>
        <v>APINbeGwerWest</v>
      </c>
    </row>
    <row r="98">
      <c r="E98" s="0" t="s">
        <v>546</v>
      </c>
      <c r="H98" s="0" t="s">
        <v>227</v>
      </c>
      <c r="I98" s="0" t="s">
        <v>38</v>
      </c>
      <c r="J98" s="0" t="s">
        <v>504</v>
      </c>
      <c r="K98" s="83" t="s">
        <v>547</v>
      </c>
      <c r="L98" s="0" t="s">
        <v>548</v>
      </c>
      <c r="M98" s="0" t="s">
        <v>36</v>
      </c>
      <c r="N98" s="0" t="str">
        <f t="shared" si="1"/>
        <v>APINbeGwerWest</v>
      </c>
    </row>
    <row r="99">
      <c r="E99" s="83" t="s">
        <v>549</v>
      </c>
      <c r="H99" s="0" t="s">
        <v>227</v>
      </c>
      <c r="I99" s="0" t="s">
        <v>38</v>
      </c>
      <c r="J99" s="0" t="s">
        <v>504</v>
      </c>
      <c r="K99" s="83" t="s">
        <v>550</v>
      </c>
      <c r="L99" s="0" t="s">
        <v>551</v>
      </c>
      <c r="M99" s="0" t="s">
        <v>36</v>
      </c>
      <c r="N99" s="0" t="str">
        <f t="shared" si="1"/>
        <v>APINbeGwerWest</v>
      </c>
    </row>
    <row r="100">
      <c r="E100" s="0" t="s">
        <v>552</v>
      </c>
      <c r="H100" s="0" t="s">
        <v>227</v>
      </c>
      <c r="I100" s="0" t="s">
        <v>38</v>
      </c>
      <c r="J100" s="0" t="s">
        <v>504</v>
      </c>
      <c r="K100" s="83" t="s">
        <v>553</v>
      </c>
      <c r="L100" s="0" t="s">
        <v>554</v>
      </c>
      <c r="M100" s="0" t="s">
        <v>36</v>
      </c>
      <c r="N100" s="0" t="str">
        <f t="shared" si="1"/>
        <v>APINbeGwerWest</v>
      </c>
    </row>
    <row r="101">
      <c r="E101" s="0" t="s">
        <v>555</v>
      </c>
      <c r="H101" s="0" t="s">
        <v>227</v>
      </c>
      <c r="I101" s="0" t="s">
        <v>38</v>
      </c>
      <c r="J101" s="0" t="s">
        <v>504</v>
      </c>
      <c r="K101" s="83" t="s">
        <v>556</v>
      </c>
      <c r="L101" s="0" t="s">
        <v>557</v>
      </c>
      <c r="M101" s="0" t="s">
        <v>36</v>
      </c>
      <c r="N101" s="0" t="str">
        <f t="shared" si="1"/>
        <v>APINbeGwerWest</v>
      </c>
    </row>
    <row r="102">
      <c r="E102" s="0" t="s">
        <v>558</v>
      </c>
      <c r="H102" s="0" t="s">
        <v>227</v>
      </c>
      <c r="I102" s="0" t="s">
        <v>38</v>
      </c>
      <c r="J102" s="0" t="s">
        <v>504</v>
      </c>
      <c r="K102" s="83" t="s">
        <v>559</v>
      </c>
      <c r="L102" s="0" t="s">
        <v>560</v>
      </c>
      <c r="M102" s="0" t="s">
        <v>36</v>
      </c>
      <c r="N102" s="0" t="str">
        <f t="shared" si="1"/>
        <v>APINbeGwerWest</v>
      </c>
    </row>
    <row r="103">
      <c r="E103" s="0" t="s">
        <v>561</v>
      </c>
      <c r="H103" s="0" t="s">
        <v>227</v>
      </c>
      <c r="I103" s="0" t="s">
        <v>38</v>
      </c>
      <c r="J103" s="0" t="s">
        <v>504</v>
      </c>
      <c r="K103" s="83" t="s">
        <v>562</v>
      </c>
      <c r="L103" s="0" t="s">
        <v>563</v>
      </c>
      <c r="M103" s="0" t="s">
        <v>36</v>
      </c>
      <c r="N103" s="0" t="str">
        <f t="shared" si="1"/>
        <v>APINbeGwerWest</v>
      </c>
    </row>
    <row r="104">
      <c r="E104" s="0" t="s">
        <v>564</v>
      </c>
      <c r="H104" s="0" t="s">
        <v>227</v>
      </c>
      <c r="I104" s="0" t="s">
        <v>38</v>
      </c>
      <c r="J104" s="0" t="s">
        <v>504</v>
      </c>
      <c r="K104" s="83" t="s">
        <v>565</v>
      </c>
      <c r="L104" s="0" t="s">
        <v>566</v>
      </c>
      <c r="M104" s="0" t="s">
        <v>36</v>
      </c>
      <c r="N104" s="0" t="str">
        <f t="shared" si="1"/>
        <v>APINbeGwerWest</v>
      </c>
    </row>
    <row r="105">
      <c r="E105" s="0" t="s">
        <v>567</v>
      </c>
      <c r="H105" s="0" t="s">
        <v>227</v>
      </c>
      <c r="I105" s="0" t="s">
        <v>38</v>
      </c>
      <c r="J105" s="0" t="s">
        <v>504</v>
      </c>
      <c r="K105" s="83" t="s">
        <v>568</v>
      </c>
      <c r="L105" s="0" t="s">
        <v>569</v>
      </c>
      <c r="M105" s="0" t="s">
        <v>36</v>
      </c>
      <c r="N105" s="0" t="str">
        <f t="shared" si="1"/>
        <v>APINbeGwerWest</v>
      </c>
    </row>
    <row r="106">
      <c r="E106" s="0" t="s">
        <v>570</v>
      </c>
      <c r="H106" s="0" t="s">
        <v>227</v>
      </c>
      <c r="I106" s="0" t="s">
        <v>38</v>
      </c>
      <c r="J106" s="0" t="s">
        <v>504</v>
      </c>
      <c r="K106" s="83" t="s">
        <v>571</v>
      </c>
      <c r="L106" s="0" t="s">
        <v>572</v>
      </c>
      <c r="M106" s="0" t="s">
        <v>36</v>
      </c>
      <c r="N106" s="0" t="str">
        <f t="shared" si="1"/>
        <v>APINbeGwerWest</v>
      </c>
    </row>
    <row r="107">
      <c r="E107" s="0" t="s">
        <v>573</v>
      </c>
      <c r="H107" s="0" t="s">
        <v>227</v>
      </c>
      <c r="I107" s="0" t="s">
        <v>38</v>
      </c>
      <c r="J107" s="0" t="s">
        <v>574</v>
      </c>
      <c r="K107" s="83" t="s">
        <v>575</v>
      </c>
      <c r="L107" s="0" t="s">
        <v>576</v>
      </c>
      <c r="M107" s="0" t="s">
        <v>36</v>
      </c>
      <c r="N107" s="0" t="str">
        <f t="shared" si="1"/>
        <v>APINbeKatsinaAla</v>
      </c>
    </row>
    <row r="108">
      <c r="E108" s="0" t="s">
        <v>577</v>
      </c>
      <c r="H108" s="0" t="s">
        <v>227</v>
      </c>
      <c r="I108" s="0" t="s">
        <v>38</v>
      </c>
      <c r="J108" s="0" t="s">
        <v>574</v>
      </c>
      <c r="K108" s="83" t="s">
        <v>578</v>
      </c>
      <c r="L108" s="0" t="s">
        <v>579</v>
      </c>
      <c r="M108" s="0" t="s">
        <v>36</v>
      </c>
      <c r="N108" s="0" t="str">
        <f t="shared" si="1"/>
        <v>APINbeKatsinaAla</v>
      </c>
    </row>
    <row r="109">
      <c r="E109" s="0" t="s">
        <v>580</v>
      </c>
      <c r="H109" s="0" t="s">
        <v>227</v>
      </c>
      <c r="I109" s="0" t="s">
        <v>38</v>
      </c>
      <c r="J109" s="0" t="s">
        <v>574</v>
      </c>
      <c r="K109" s="83" t="s">
        <v>581</v>
      </c>
      <c r="L109" s="0" t="s">
        <v>582</v>
      </c>
      <c r="M109" s="0" t="s">
        <v>36</v>
      </c>
      <c r="N109" s="0" t="str">
        <f t="shared" si="1"/>
        <v>APINbeKatsinaAla</v>
      </c>
    </row>
    <row r="110">
      <c r="E110" s="0" t="s">
        <v>583</v>
      </c>
      <c r="H110" s="0" t="s">
        <v>227</v>
      </c>
      <c r="I110" s="0" t="s">
        <v>38</v>
      </c>
      <c r="J110" s="0" t="s">
        <v>574</v>
      </c>
      <c r="K110" s="83" t="s">
        <v>584</v>
      </c>
      <c r="L110" s="0" t="s">
        <v>585</v>
      </c>
      <c r="M110" s="0" t="s">
        <v>36</v>
      </c>
      <c r="N110" s="0" t="str">
        <f t="shared" si="1"/>
        <v>APINbeKatsinaAla</v>
      </c>
    </row>
    <row r="111">
      <c r="E111" s="0" t="s">
        <v>586</v>
      </c>
      <c r="H111" s="0" t="s">
        <v>227</v>
      </c>
      <c r="I111" s="0" t="s">
        <v>38</v>
      </c>
      <c r="J111" s="0" t="s">
        <v>574</v>
      </c>
      <c r="K111" s="83" t="s">
        <v>587</v>
      </c>
      <c r="L111" s="0" t="s">
        <v>588</v>
      </c>
      <c r="M111" s="0" t="s">
        <v>36</v>
      </c>
      <c r="N111" s="0" t="str">
        <f t="shared" si="1"/>
        <v>APINbeKatsinaAla</v>
      </c>
    </row>
    <row r="112">
      <c r="E112" s="0" t="s">
        <v>589</v>
      </c>
      <c r="H112" s="0" t="s">
        <v>227</v>
      </c>
      <c r="I112" s="0" t="s">
        <v>38</v>
      </c>
      <c r="J112" s="0" t="s">
        <v>574</v>
      </c>
      <c r="K112" s="83" t="s">
        <v>590</v>
      </c>
      <c r="L112" s="0" t="s">
        <v>591</v>
      </c>
      <c r="M112" s="0" t="s">
        <v>36</v>
      </c>
      <c r="N112" s="0" t="str">
        <f t="shared" si="1"/>
        <v>APINbeKatsinaAla</v>
      </c>
    </row>
    <row r="113">
      <c r="E113" s="0" t="s">
        <v>592</v>
      </c>
      <c r="H113" s="0" t="s">
        <v>227</v>
      </c>
      <c r="I113" s="0" t="s">
        <v>38</v>
      </c>
      <c r="J113" s="0" t="s">
        <v>574</v>
      </c>
      <c r="K113" s="83" t="s">
        <v>593</v>
      </c>
      <c r="L113" s="0" t="s">
        <v>594</v>
      </c>
      <c r="M113" s="0" t="s">
        <v>36</v>
      </c>
      <c r="N113" s="0" t="str">
        <f t="shared" si="1"/>
        <v>APINbeKatsinaAla</v>
      </c>
    </row>
    <row r="114">
      <c r="E114" s="0" t="s">
        <v>595</v>
      </c>
      <c r="H114" s="0" t="s">
        <v>227</v>
      </c>
      <c r="I114" s="0" t="s">
        <v>38</v>
      </c>
      <c r="J114" s="0" t="s">
        <v>574</v>
      </c>
      <c r="K114" s="83" t="s">
        <v>596</v>
      </c>
      <c r="L114" s="0" t="s">
        <v>597</v>
      </c>
      <c r="M114" s="0" t="s">
        <v>36</v>
      </c>
      <c r="N114" s="0" t="str">
        <f t="shared" si="1"/>
        <v>APINbeKatsinaAla</v>
      </c>
    </row>
    <row r="115">
      <c r="E115" s="0" t="s">
        <v>598</v>
      </c>
      <c r="H115" s="0" t="s">
        <v>227</v>
      </c>
      <c r="I115" s="0" t="s">
        <v>38</v>
      </c>
      <c r="J115" s="0" t="s">
        <v>574</v>
      </c>
      <c r="K115" s="83" t="s">
        <v>599</v>
      </c>
      <c r="L115" s="0" t="s">
        <v>600</v>
      </c>
      <c r="M115" s="0" t="s">
        <v>36</v>
      </c>
      <c r="N115" s="0" t="str">
        <f t="shared" si="1"/>
        <v>APINbeKatsinaAla</v>
      </c>
    </row>
    <row r="116">
      <c r="E116" s="0" t="s">
        <v>601</v>
      </c>
      <c r="H116" s="0" t="s">
        <v>227</v>
      </c>
      <c r="I116" s="0" t="s">
        <v>38</v>
      </c>
      <c r="J116" s="0" t="s">
        <v>574</v>
      </c>
      <c r="K116" s="83" t="s">
        <v>602</v>
      </c>
      <c r="L116" s="0" t="s">
        <v>603</v>
      </c>
      <c r="M116" s="0" t="s">
        <v>36</v>
      </c>
      <c r="N116" s="0" t="str">
        <f t="shared" si="1"/>
        <v>APINbeKatsinaAla</v>
      </c>
    </row>
    <row r="117">
      <c r="E117" s="0" t="s">
        <v>604</v>
      </c>
      <c r="H117" s="0" t="s">
        <v>227</v>
      </c>
      <c r="I117" s="0" t="s">
        <v>38</v>
      </c>
      <c r="J117" s="0" t="s">
        <v>574</v>
      </c>
      <c r="K117" s="83" t="s">
        <v>605</v>
      </c>
      <c r="L117" s="0" t="s">
        <v>606</v>
      </c>
      <c r="M117" s="0" t="s">
        <v>36</v>
      </c>
      <c r="N117" s="0" t="str">
        <f t="shared" si="1"/>
        <v>APINbeKatsinaAla</v>
      </c>
    </row>
    <row r="118">
      <c r="E118" s="0" t="s">
        <v>607</v>
      </c>
      <c r="H118" s="0" t="s">
        <v>227</v>
      </c>
      <c r="I118" s="0" t="s">
        <v>38</v>
      </c>
      <c r="J118" s="0" t="s">
        <v>574</v>
      </c>
      <c r="K118" s="83" t="s">
        <v>608</v>
      </c>
      <c r="L118" s="0" t="s">
        <v>609</v>
      </c>
      <c r="M118" s="0" t="s">
        <v>36</v>
      </c>
      <c r="N118" s="0" t="str">
        <f t="shared" si="1"/>
        <v>APINbeKatsinaAla</v>
      </c>
    </row>
    <row r="119">
      <c r="E119" s="0" t="s">
        <v>610</v>
      </c>
      <c r="H119" s="0" t="s">
        <v>227</v>
      </c>
      <c r="I119" s="0" t="s">
        <v>38</v>
      </c>
      <c r="J119" s="0" t="s">
        <v>574</v>
      </c>
      <c r="K119" s="83" t="s">
        <v>611</v>
      </c>
      <c r="L119" s="0" t="s">
        <v>612</v>
      </c>
      <c r="M119" s="0" t="s">
        <v>36</v>
      </c>
      <c r="N119" s="0" t="str">
        <f t="shared" si="1"/>
        <v>APINbeKatsinaAla</v>
      </c>
    </row>
    <row r="120">
      <c r="E120" s="0" t="s">
        <v>613</v>
      </c>
      <c r="H120" s="0" t="s">
        <v>227</v>
      </c>
      <c r="I120" s="0" t="s">
        <v>38</v>
      </c>
      <c r="J120" s="0" t="s">
        <v>574</v>
      </c>
      <c r="K120" s="83" t="s">
        <v>614</v>
      </c>
      <c r="L120" s="0" t="s">
        <v>615</v>
      </c>
      <c r="M120" s="0" t="s">
        <v>36</v>
      </c>
      <c r="N120" s="0" t="str">
        <f t="shared" si="1"/>
        <v>APINbeKatsinaAla</v>
      </c>
    </row>
    <row r="121">
      <c r="E121" s="0" t="s">
        <v>616</v>
      </c>
      <c r="H121" s="0" t="s">
        <v>227</v>
      </c>
      <c r="I121" s="0" t="s">
        <v>38</v>
      </c>
      <c r="J121" s="0" t="s">
        <v>574</v>
      </c>
      <c r="K121" s="83" t="s">
        <v>617</v>
      </c>
      <c r="L121" s="0" t="s">
        <v>618</v>
      </c>
      <c r="M121" s="0" t="s">
        <v>36</v>
      </c>
      <c r="N121" s="0" t="str">
        <f t="shared" si="1"/>
        <v>APINbeKatsinaAla</v>
      </c>
    </row>
    <row r="122">
      <c r="E122" s="0" t="s">
        <v>619</v>
      </c>
      <c r="H122" s="0" t="s">
        <v>227</v>
      </c>
      <c r="I122" s="0" t="s">
        <v>38</v>
      </c>
      <c r="J122" s="0" t="s">
        <v>574</v>
      </c>
      <c r="K122" s="83" t="s">
        <v>620</v>
      </c>
      <c r="L122" s="0" t="s">
        <v>621</v>
      </c>
      <c r="M122" s="0" t="s">
        <v>36</v>
      </c>
      <c r="N122" s="0" t="str">
        <f t="shared" si="1"/>
        <v>APINbeKatsinaAla</v>
      </c>
    </row>
    <row r="123">
      <c r="E123" s="0" t="s">
        <v>622</v>
      </c>
      <c r="H123" s="0" t="s">
        <v>227</v>
      </c>
      <c r="I123" s="0" t="s">
        <v>38</v>
      </c>
      <c r="J123" s="0" t="s">
        <v>574</v>
      </c>
      <c r="K123" s="83" t="s">
        <v>623</v>
      </c>
      <c r="L123" s="0" t="s">
        <v>624</v>
      </c>
      <c r="M123" s="0" t="s">
        <v>36</v>
      </c>
      <c r="N123" s="0" t="str">
        <f t="shared" si="1"/>
        <v>APINbeKatsinaAla</v>
      </c>
    </row>
    <row r="124">
      <c r="E124" s="0" t="s">
        <v>625</v>
      </c>
      <c r="H124" s="0" t="s">
        <v>227</v>
      </c>
      <c r="I124" s="0" t="s">
        <v>38</v>
      </c>
      <c r="J124" s="0" t="s">
        <v>626</v>
      </c>
      <c r="K124" s="83" t="s">
        <v>627</v>
      </c>
      <c r="L124" s="0" t="s">
        <v>628</v>
      </c>
      <c r="M124" s="0" t="s">
        <v>36</v>
      </c>
      <c r="N124" s="0" t="str">
        <f t="shared" si="1"/>
        <v>APINbeKonshisha</v>
      </c>
    </row>
    <row r="125">
      <c r="E125" s="0" t="s">
        <v>629</v>
      </c>
      <c r="H125" s="0" t="s">
        <v>227</v>
      </c>
      <c r="I125" s="0" t="s">
        <v>38</v>
      </c>
      <c r="J125" s="0" t="s">
        <v>626</v>
      </c>
      <c r="K125" s="83" t="s">
        <v>630</v>
      </c>
      <c r="L125" s="0" t="s">
        <v>631</v>
      </c>
      <c r="M125" s="0" t="s">
        <v>36</v>
      </c>
      <c r="N125" s="0" t="str">
        <f t="shared" si="1"/>
        <v>APINbeKonshisha</v>
      </c>
    </row>
    <row r="126">
      <c r="E126" s="0" t="s">
        <v>632</v>
      </c>
      <c r="H126" s="0" t="s">
        <v>227</v>
      </c>
      <c r="I126" s="0" t="s">
        <v>38</v>
      </c>
      <c r="J126" s="0" t="s">
        <v>626</v>
      </c>
      <c r="K126" s="83" t="s">
        <v>633</v>
      </c>
      <c r="L126" s="0" t="s">
        <v>634</v>
      </c>
      <c r="M126" s="0" t="s">
        <v>36</v>
      </c>
      <c r="N126" s="0" t="str">
        <f t="shared" si="1"/>
        <v>APINbeKonshisha</v>
      </c>
    </row>
    <row r="127">
      <c r="E127" s="0" t="s">
        <v>635</v>
      </c>
      <c r="H127" s="0" t="s">
        <v>227</v>
      </c>
      <c r="I127" s="0" t="s">
        <v>38</v>
      </c>
      <c r="J127" s="0" t="s">
        <v>626</v>
      </c>
      <c r="K127" s="83" t="s">
        <v>636</v>
      </c>
      <c r="L127" s="0" t="s">
        <v>637</v>
      </c>
      <c r="M127" s="0" t="s">
        <v>36</v>
      </c>
      <c r="N127" s="0" t="str">
        <f t="shared" si="1"/>
        <v>APINbeKonshisha</v>
      </c>
    </row>
    <row r="128">
      <c r="E128" s="0" t="s">
        <v>638</v>
      </c>
      <c r="H128" s="0" t="s">
        <v>227</v>
      </c>
      <c r="I128" s="0" t="s">
        <v>38</v>
      </c>
      <c r="J128" s="0" t="s">
        <v>626</v>
      </c>
      <c r="K128" s="83" t="s">
        <v>639</v>
      </c>
      <c r="L128" s="0" t="s">
        <v>640</v>
      </c>
      <c r="M128" s="0" t="s">
        <v>36</v>
      </c>
      <c r="N128" s="0" t="str">
        <f t="shared" si="1"/>
        <v>APINbeKonshisha</v>
      </c>
    </row>
    <row r="129">
      <c r="E129" s="0" t="s">
        <v>641</v>
      </c>
      <c r="H129" s="0" t="s">
        <v>227</v>
      </c>
      <c r="I129" s="0" t="s">
        <v>38</v>
      </c>
      <c r="J129" s="0" t="s">
        <v>626</v>
      </c>
      <c r="K129" s="83" t="s">
        <v>642</v>
      </c>
      <c r="L129" s="0" t="s">
        <v>643</v>
      </c>
      <c r="M129" s="0" t="s">
        <v>36</v>
      </c>
      <c r="N129" s="0" t="str">
        <f t="shared" si="1"/>
        <v>APINbeKonshisha</v>
      </c>
    </row>
    <row r="130">
      <c r="E130" s="0" t="s">
        <v>644</v>
      </c>
      <c r="H130" s="0" t="s">
        <v>227</v>
      </c>
      <c r="I130" s="0" t="s">
        <v>38</v>
      </c>
      <c r="J130" s="0" t="s">
        <v>626</v>
      </c>
      <c r="K130" s="83" t="s">
        <v>645</v>
      </c>
      <c r="L130" s="0" t="s">
        <v>646</v>
      </c>
      <c r="M130" s="0" t="s">
        <v>36</v>
      </c>
      <c r="N130" s="0" t="str">
        <f t="shared" si="1"/>
        <v>APINbeKonshisha</v>
      </c>
    </row>
    <row r="131">
      <c r="E131" s="0" t="s">
        <v>647</v>
      </c>
      <c r="H131" s="0" t="s">
        <v>227</v>
      </c>
      <c r="I131" s="0" t="s">
        <v>38</v>
      </c>
      <c r="J131" s="0" t="s">
        <v>626</v>
      </c>
      <c r="K131" s="83" t="s">
        <v>648</v>
      </c>
      <c r="L131" s="0" t="s">
        <v>649</v>
      </c>
      <c r="M131" s="0" t="s">
        <v>36</v>
      </c>
      <c r="N131" s="0" t="str">
        <f ref="N131:N194" t="shared" si="2">SUBSTITUTE(SUBSTITUTE(M131&amp;J131," ",""),"-","")</f>
        <v>APINbeKonshisha</v>
      </c>
    </row>
    <row r="132">
      <c r="E132" s="0" t="s">
        <v>650</v>
      </c>
      <c r="H132" s="0" t="s">
        <v>227</v>
      </c>
      <c r="I132" s="0" t="s">
        <v>38</v>
      </c>
      <c r="J132" s="0" t="s">
        <v>626</v>
      </c>
      <c r="K132" s="83" t="s">
        <v>651</v>
      </c>
      <c r="L132" s="0" t="s">
        <v>652</v>
      </c>
      <c r="M132" s="0" t="s">
        <v>36</v>
      </c>
      <c r="N132" s="0" t="str">
        <f t="shared" si="2"/>
        <v>APINbeKonshisha</v>
      </c>
    </row>
    <row r="133">
      <c r="E133" s="0" t="s">
        <v>653</v>
      </c>
      <c r="H133" s="0" t="s">
        <v>227</v>
      </c>
      <c r="I133" s="0" t="s">
        <v>38</v>
      </c>
      <c r="J133" s="0" t="s">
        <v>626</v>
      </c>
      <c r="K133" s="83" t="s">
        <v>654</v>
      </c>
      <c r="L133" s="0" t="s">
        <v>655</v>
      </c>
      <c r="M133" s="0" t="s">
        <v>36</v>
      </c>
      <c r="N133" s="0" t="str">
        <f t="shared" si="2"/>
        <v>APINbeKonshisha</v>
      </c>
    </row>
    <row r="134">
      <c r="E134" s="0" t="s">
        <v>656</v>
      </c>
      <c r="H134" s="0" t="s">
        <v>227</v>
      </c>
      <c r="I134" s="0" t="s">
        <v>38</v>
      </c>
      <c r="J134" s="0" t="s">
        <v>626</v>
      </c>
      <c r="K134" s="83" t="s">
        <v>657</v>
      </c>
      <c r="L134" s="0" t="s">
        <v>658</v>
      </c>
      <c r="M134" s="0" t="s">
        <v>36</v>
      </c>
      <c r="N134" s="0" t="str">
        <f t="shared" si="2"/>
        <v>APINbeKonshisha</v>
      </c>
    </row>
    <row r="135">
      <c r="E135" s="0" t="s">
        <v>659</v>
      </c>
      <c r="H135" s="0" t="s">
        <v>227</v>
      </c>
      <c r="I135" s="0" t="s">
        <v>38</v>
      </c>
      <c r="J135" s="0" t="s">
        <v>626</v>
      </c>
      <c r="K135" s="83" t="s">
        <v>660</v>
      </c>
      <c r="L135" s="0" t="s">
        <v>661</v>
      </c>
      <c r="M135" s="0" t="s">
        <v>36</v>
      </c>
      <c r="N135" s="0" t="str">
        <f t="shared" si="2"/>
        <v>APINbeKonshisha</v>
      </c>
    </row>
    <row r="136">
      <c r="E136" s="0" t="s">
        <v>662</v>
      </c>
      <c r="H136" s="0" t="s">
        <v>227</v>
      </c>
      <c r="I136" s="0" t="s">
        <v>38</v>
      </c>
      <c r="J136" s="0" t="s">
        <v>626</v>
      </c>
      <c r="K136" s="83" t="s">
        <v>663</v>
      </c>
      <c r="L136" s="0" t="s">
        <v>664</v>
      </c>
      <c r="M136" s="0" t="s">
        <v>36</v>
      </c>
      <c r="N136" s="0" t="str">
        <f t="shared" si="2"/>
        <v>APINbeKonshisha</v>
      </c>
    </row>
    <row r="137">
      <c r="E137" s="0" t="s">
        <v>665</v>
      </c>
      <c r="H137" s="0" t="s">
        <v>227</v>
      </c>
      <c r="I137" s="0" t="s">
        <v>38</v>
      </c>
      <c r="J137" s="0" t="s">
        <v>626</v>
      </c>
      <c r="K137" s="83" t="s">
        <v>666</v>
      </c>
      <c r="L137" s="0" t="s">
        <v>667</v>
      </c>
      <c r="M137" s="0" t="s">
        <v>36</v>
      </c>
      <c r="N137" s="0" t="str">
        <f t="shared" si="2"/>
        <v>APINbeKonshisha</v>
      </c>
    </row>
    <row r="138">
      <c r="E138" s="0" t="s">
        <v>668</v>
      </c>
      <c r="H138" s="0" t="s">
        <v>227</v>
      </c>
      <c r="I138" s="0" t="s">
        <v>38</v>
      </c>
      <c r="J138" s="0" t="s">
        <v>626</v>
      </c>
      <c r="K138" s="83" t="s">
        <v>669</v>
      </c>
      <c r="L138" s="0" t="s">
        <v>670</v>
      </c>
      <c r="M138" s="0" t="s">
        <v>36</v>
      </c>
      <c r="N138" s="0" t="str">
        <f t="shared" si="2"/>
        <v>APINbeKonshisha</v>
      </c>
    </row>
    <row r="139">
      <c r="E139" s="0" t="s">
        <v>228</v>
      </c>
      <c r="H139" s="0" t="s">
        <v>227</v>
      </c>
      <c r="I139" s="0" t="s">
        <v>38</v>
      </c>
      <c r="J139" s="0" t="s">
        <v>626</v>
      </c>
      <c r="K139" s="83" t="s">
        <v>671</v>
      </c>
      <c r="L139" s="0" t="s">
        <v>672</v>
      </c>
      <c r="M139" s="0" t="s">
        <v>36</v>
      </c>
      <c r="N139" s="0" t="str">
        <f t="shared" si="2"/>
        <v>APINbeKonshisha</v>
      </c>
    </row>
    <row r="140">
      <c r="E140" s="0" t="s">
        <v>241</v>
      </c>
      <c r="H140" s="0" t="s">
        <v>227</v>
      </c>
      <c r="I140" s="0" t="s">
        <v>38</v>
      </c>
      <c r="J140" s="0" t="s">
        <v>626</v>
      </c>
      <c r="K140" s="83" t="s">
        <v>673</v>
      </c>
      <c r="L140" s="0" t="s">
        <v>674</v>
      </c>
      <c r="M140" s="0" t="s">
        <v>36</v>
      </c>
      <c r="N140" s="0" t="str">
        <f t="shared" si="2"/>
        <v>APINbeKonshisha</v>
      </c>
    </row>
    <row r="141">
      <c r="E141" s="0" t="s">
        <v>252</v>
      </c>
      <c r="H141" s="0" t="s">
        <v>227</v>
      </c>
      <c r="I141" s="0" t="s">
        <v>38</v>
      </c>
      <c r="J141" s="0" t="s">
        <v>626</v>
      </c>
      <c r="K141" s="83" t="s">
        <v>675</v>
      </c>
      <c r="L141" s="0" t="s">
        <v>676</v>
      </c>
      <c r="M141" s="0" t="s">
        <v>36</v>
      </c>
      <c r="N141" s="0" t="str">
        <f t="shared" si="2"/>
        <v>APINbeKonshisha</v>
      </c>
    </row>
    <row r="142">
      <c r="E142" s="0" t="s">
        <v>262</v>
      </c>
      <c r="H142" s="0" t="s">
        <v>227</v>
      </c>
      <c r="I142" s="0" t="s">
        <v>38</v>
      </c>
      <c r="J142" s="0" t="s">
        <v>626</v>
      </c>
      <c r="K142" s="83" t="s">
        <v>677</v>
      </c>
      <c r="L142" s="0" t="s">
        <v>678</v>
      </c>
      <c r="M142" s="0" t="s">
        <v>36</v>
      </c>
      <c r="N142" s="0" t="str">
        <f t="shared" si="2"/>
        <v>APINbeKonshisha</v>
      </c>
    </row>
    <row r="143">
      <c r="E143" s="0" t="s">
        <v>381</v>
      </c>
      <c r="H143" s="0" t="s">
        <v>227</v>
      </c>
      <c r="I143" s="0" t="s">
        <v>38</v>
      </c>
      <c r="J143" s="0" t="s">
        <v>626</v>
      </c>
      <c r="K143" s="83" t="s">
        <v>679</v>
      </c>
      <c r="L143" s="0" t="s">
        <v>680</v>
      </c>
      <c r="M143" s="0" t="s">
        <v>36</v>
      </c>
      <c r="N143" s="0" t="str">
        <f t="shared" si="2"/>
        <v>APINbeKonshisha</v>
      </c>
    </row>
    <row r="144">
      <c r="E144" s="0" t="s">
        <v>460</v>
      </c>
      <c r="H144" s="0" t="s">
        <v>227</v>
      </c>
      <c r="I144" s="0" t="s">
        <v>38</v>
      </c>
      <c r="J144" s="0" t="s">
        <v>626</v>
      </c>
      <c r="K144" s="83" t="s">
        <v>681</v>
      </c>
      <c r="L144" s="0" t="s">
        <v>682</v>
      </c>
      <c r="M144" s="0" t="s">
        <v>36</v>
      </c>
      <c r="N144" s="0" t="str">
        <f t="shared" si="2"/>
        <v>APINbeKonshisha</v>
      </c>
    </row>
    <row r="145">
      <c r="E145" s="0" t="s">
        <v>485</v>
      </c>
      <c r="H145" s="0" t="s">
        <v>227</v>
      </c>
      <c r="I145" s="0" t="s">
        <v>38</v>
      </c>
      <c r="J145" s="0" t="s">
        <v>626</v>
      </c>
      <c r="K145" s="83" t="s">
        <v>683</v>
      </c>
      <c r="L145" s="0" t="s">
        <v>684</v>
      </c>
      <c r="M145" s="0" t="s">
        <v>36</v>
      </c>
      <c r="N145" s="0" t="str">
        <f t="shared" si="2"/>
        <v>APINbeKonshisha</v>
      </c>
    </row>
    <row r="146">
      <c r="E146" s="0" t="s">
        <v>504</v>
      </c>
      <c r="H146" s="0" t="s">
        <v>227</v>
      </c>
      <c r="I146" s="0" t="s">
        <v>38</v>
      </c>
      <c r="J146" s="0" t="s">
        <v>626</v>
      </c>
      <c r="K146" s="83" t="s">
        <v>685</v>
      </c>
      <c r="L146" s="0" t="s">
        <v>686</v>
      </c>
      <c r="M146" s="0" t="s">
        <v>36</v>
      </c>
      <c r="N146" s="0" t="str">
        <f t="shared" si="2"/>
        <v>APINbeKonshisha</v>
      </c>
    </row>
    <row r="147">
      <c r="E147" s="0" t="s">
        <v>574</v>
      </c>
      <c r="H147" s="0" t="s">
        <v>227</v>
      </c>
      <c r="I147" s="0" t="s">
        <v>38</v>
      </c>
      <c r="J147" s="0" t="s">
        <v>626</v>
      </c>
      <c r="K147" s="83" t="s">
        <v>687</v>
      </c>
      <c r="L147" s="0" t="s">
        <v>688</v>
      </c>
      <c r="M147" s="0" t="s">
        <v>36</v>
      </c>
      <c r="N147" s="0" t="str">
        <f t="shared" si="2"/>
        <v>APINbeKonshisha</v>
      </c>
    </row>
    <row r="148">
      <c r="E148" s="0" t="s">
        <v>626</v>
      </c>
      <c r="H148" s="0" t="s">
        <v>227</v>
      </c>
      <c r="I148" s="0" t="s">
        <v>38</v>
      </c>
      <c r="J148" s="0" t="s">
        <v>626</v>
      </c>
      <c r="K148" s="83" t="s">
        <v>689</v>
      </c>
      <c r="L148" s="0" t="s">
        <v>690</v>
      </c>
      <c r="M148" s="0" t="s">
        <v>36</v>
      </c>
      <c r="N148" s="0" t="str">
        <f t="shared" si="2"/>
        <v>APINbeKonshisha</v>
      </c>
    </row>
    <row r="149">
      <c r="E149" s="0" t="s">
        <v>691</v>
      </c>
      <c r="H149" s="0" t="s">
        <v>227</v>
      </c>
      <c r="I149" s="0" t="s">
        <v>38</v>
      </c>
      <c r="J149" s="0" t="s">
        <v>626</v>
      </c>
      <c r="K149" s="83" t="s">
        <v>692</v>
      </c>
      <c r="L149" s="0" t="s">
        <v>693</v>
      </c>
      <c r="M149" s="0" t="s">
        <v>36</v>
      </c>
      <c r="N149" s="0" t="str">
        <f t="shared" si="2"/>
        <v>APINbeKonshisha</v>
      </c>
    </row>
    <row r="150">
      <c r="E150" s="0" t="s">
        <v>694</v>
      </c>
      <c r="H150" s="0" t="s">
        <v>227</v>
      </c>
      <c r="I150" s="0" t="s">
        <v>38</v>
      </c>
      <c r="J150" s="0" t="s">
        <v>626</v>
      </c>
      <c r="K150" s="83" t="s">
        <v>695</v>
      </c>
      <c r="L150" s="0" t="s">
        <v>696</v>
      </c>
      <c r="M150" s="0" t="s">
        <v>36</v>
      </c>
      <c r="N150" s="0" t="str">
        <f t="shared" si="2"/>
        <v>APINbeKonshisha</v>
      </c>
    </row>
    <row r="151">
      <c r="E151" s="0" t="s">
        <v>697</v>
      </c>
      <c r="H151" s="0" t="s">
        <v>227</v>
      </c>
      <c r="I151" s="0" t="s">
        <v>38</v>
      </c>
      <c r="J151" s="0" t="s">
        <v>626</v>
      </c>
      <c r="K151" s="83" t="s">
        <v>698</v>
      </c>
      <c r="L151" s="0" t="s">
        <v>699</v>
      </c>
      <c r="M151" s="0" t="s">
        <v>36</v>
      </c>
      <c r="N151" s="0" t="str">
        <f t="shared" si="2"/>
        <v>APINbeKonshisha</v>
      </c>
    </row>
    <row r="152">
      <c r="E152" s="0" t="s">
        <v>700</v>
      </c>
      <c r="H152" s="0" t="s">
        <v>227</v>
      </c>
      <c r="I152" s="0" t="s">
        <v>38</v>
      </c>
      <c r="J152" s="0" t="s">
        <v>626</v>
      </c>
      <c r="K152" s="83" t="s">
        <v>701</v>
      </c>
      <c r="L152" s="0" t="s">
        <v>702</v>
      </c>
      <c r="M152" s="0" t="s">
        <v>36</v>
      </c>
      <c r="N152" s="0" t="str">
        <f t="shared" si="2"/>
        <v>APINbeKonshisha</v>
      </c>
    </row>
    <row r="153">
      <c r="E153" s="0" t="s">
        <v>703</v>
      </c>
      <c r="H153" s="0" t="s">
        <v>227</v>
      </c>
      <c r="I153" s="0" t="s">
        <v>38</v>
      </c>
      <c r="J153" s="0" t="s">
        <v>626</v>
      </c>
      <c r="K153" s="83" t="s">
        <v>704</v>
      </c>
      <c r="L153" s="0" t="s">
        <v>705</v>
      </c>
      <c r="M153" s="0" t="s">
        <v>36</v>
      </c>
      <c r="N153" s="0" t="str">
        <f t="shared" si="2"/>
        <v>APINbeKonshisha</v>
      </c>
    </row>
    <row r="154">
      <c r="E154" s="0" t="s">
        <v>706</v>
      </c>
      <c r="H154" s="0" t="s">
        <v>227</v>
      </c>
      <c r="I154" s="0" t="s">
        <v>38</v>
      </c>
      <c r="J154" s="0" t="s">
        <v>626</v>
      </c>
      <c r="K154" s="83" t="s">
        <v>707</v>
      </c>
      <c r="L154" s="0" t="s">
        <v>708</v>
      </c>
      <c r="M154" s="0" t="s">
        <v>36</v>
      </c>
      <c r="N154" s="0" t="str">
        <f t="shared" si="2"/>
        <v>APINbeKonshisha</v>
      </c>
    </row>
    <row r="155">
      <c r="E155" s="0" t="s">
        <v>709</v>
      </c>
      <c r="H155" s="0" t="s">
        <v>227</v>
      </c>
      <c r="I155" s="0" t="s">
        <v>38</v>
      </c>
      <c r="J155" s="0" t="s">
        <v>626</v>
      </c>
      <c r="K155" s="83" t="s">
        <v>710</v>
      </c>
      <c r="L155" s="0" t="s">
        <v>711</v>
      </c>
      <c r="M155" s="0" t="s">
        <v>36</v>
      </c>
      <c r="N155" s="0" t="str">
        <f t="shared" si="2"/>
        <v>APINbeKonshisha</v>
      </c>
    </row>
    <row r="156">
      <c r="E156" s="0" t="s">
        <v>712</v>
      </c>
      <c r="H156" s="0" t="s">
        <v>227</v>
      </c>
      <c r="I156" s="0" t="s">
        <v>38</v>
      </c>
      <c r="J156" s="0" t="s">
        <v>626</v>
      </c>
      <c r="K156" s="83" t="s">
        <v>713</v>
      </c>
      <c r="L156" s="0" t="s">
        <v>714</v>
      </c>
      <c r="M156" s="0" t="s">
        <v>36</v>
      </c>
      <c r="N156" s="0" t="str">
        <f t="shared" si="2"/>
        <v>APINbeKonshisha</v>
      </c>
    </row>
    <row r="157">
      <c r="E157" s="0" t="s">
        <v>715</v>
      </c>
      <c r="H157" s="0" t="s">
        <v>227</v>
      </c>
      <c r="I157" s="0" t="s">
        <v>38</v>
      </c>
      <c r="J157" s="0" t="s">
        <v>626</v>
      </c>
      <c r="K157" s="83" t="s">
        <v>716</v>
      </c>
      <c r="L157" s="0" t="s">
        <v>717</v>
      </c>
      <c r="M157" s="0" t="s">
        <v>36</v>
      </c>
      <c r="N157" s="0" t="str">
        <f t="shared" si="2"/>
        <v>APINbeKonshisha</v>
      </c>
    </row>
    <row r="158">
      <c r="E158" s="0" t="s">
        <v>718</v>
      </c>
      <c r="H158" s="0" t="s">
        <v>227</v>
      </c>
      <c r="I158" s="0" t="s">
        <v>38</v>
      </c>
      <c r="J158" s="0" t="s">
        <v>626</v>
      </c>
      <c r="K158" s="83" t="s">
        <v>719</v>
      </c>
      <c r="L158" s="0" t="s">
        <v>720</v>
      </c>
      <c r="M158" s="0" t="s">
        <v>36</v>
      </c>
      <c r="N158" s="0" t="str">
        <f t="shared" si="2"/>
        <v>APINbeKonshisha</v>
      </c>
    </row>
    <row r="159">
      <c r="E159" s="0" t="s">
        <v>721</v>
      </c>
      <c r="H159" s="0" t="s">
        <v>227</v>
      </c>
      <c r="I159" s="0" t="s">
        <v>38</v>
      </c>
      <c r="J159" s="0" t="s">
        <v>626</v>
      </c>
      <c r="K159" s="83" t="s">
        <v>722</v>
      </c>
      <c r="L159" s="0" t="s">
        <v>723</v>
      </c>
      <c r="M159" s="0" t="s">
        <v>36</v>
      </c>
      <c r="N159" s="0" t="str">
        <f t="shared" si="2"/>
        <v>APINbeKonshisha</v>
      </c>
    </row>
    <row r="160">
      <c r="E160" s="0" t="s">
        <v>724</v>
      </c>
      <c r="H160" s="0" t="s">
        <v>227</v>
      </c>
      <c r="I160" s="0" t="s">
        <v>38</v>
      </c>
      <c r="J160" s="0" t="s">
        <v>626</v>
      </c>
      <c r="K160" s="83" t="s">
        <v>725</v>
      </c>
      <c r="L160" s="0" t="s">
        <v>726</v>
      </c>
      <c r="M160" s="0" t="s">
        <v>36</v>
      </c>
      <c r="N160" s="0" t="str">
        <f t="shared" si="2"/>
        <v>APINbeKonshisha</v>
      </c>
    </row>
    <row r="161">
      <c r="E161" s="0" t="s">
        <v>727</v>
      </c>
      <c r="H161" s="0" t="s">
        <v>227</v>
      </c>
      <c r="I161" s="0" t="s">
        <v>38</v>
      </c>
      <c r="J161" s="0" t="s">
        <v>626</v>
      </c>
      <c r="K161" s="83" t="s">
        <v>728</v>
      </c>
      <c r="L161" s="0" t="s">
        <v>729</v>
      </c>
      <c r="M161" s="0" t="s">
        <v>36</v>
      </c>
      <c r="N161" s="0" t="str">
        <f t="shared" si="2"/>
        <v>APINbeKonshisha</v>
      </c>
    </row>
    <row r="162">
      <c r="E162" s="0" t="s">
        <v>730</v>
      </c>
      <c r="H162" s="0" t="s">
        <v>227</v>
      </c>
      <c r="I162" s="0" t="s">
        <v>38</v>
      </c>
      <c r="J162" s="0" t="s">
        <v>626</v>
      </c>
      <c r="K162" s="83" t="s">
        <v>731</v>
      </c>
      <c r="L162" s="0" t="s">
        <v>732</v>
      </c>
      <c r="M162" s="0" t="s">
        <v>36</v>
      </c>
      <c r="N162" s="0" t="str">
        <f t="shared" si="2"/>
        <v>APINbeKonshisha</v>
      </c>
    </row>
    <row r="163">
      <c r="E163" s="0" t="s">
        <v>733</v>
      </c>
      <c r="H163" s="0" t="s">
        <v>227</v>
      </c>
      <c r="I163" s="0" t="s">
        <v>38</v>
      </c>
      <c r="J163" s="0" t="s">
        <v>626</v>
      </c>
      <c r="K163" s="83" t="s">
        <v>734</v>
      </c>
      <c r="L163" s="0" t="s">
        <v>735</v>
      </c>
      <c r="M163" s="0" t="s">
        <v>36</v>
      </c>
      <c r="N163" s="0" t="str">
        <f t="shared" si="2"/>
        <v>APINbeKonshisha</v>
      </c>
    </row>
    <row r="164">
      <c r="E164" s="0" t="s">
        <v>736</v>
      </c>
      <c r="H164" s="0" t="s">
        <v>227</v>
      </c>
      <c r="I164" s="0" t="s">
        <v>38</v>
      </c>
      <c r="J164" s="0" t="s">
        <v>626</v>
      </c>
      <c r="K164" s="83" t="s">
        <v>737</v>
      </c>
      <c r="L164" s="0" t="s">
        <v>738</v>
      </c>
      <c r="M164" s="0" t="s">
        <v>36</v>
      </c>
      <c r="N164" s="0" t="str">
        <f t="shared" si="2"/>
        <v>APINbeKonshisha</v>
      </c>
    </row>
    <row r="165">
      <c r="E165" s="0" t="s">
        <v>739</v>
      </c>
      <c r="H165" s="0" t="s">
        <v>227</v>
      </c>
      <c r="I165" s="0" t="s">
        <v>38</v>
      </c>
      <c r="J165" s="0" t="s">
        <v>626</v>
      </c>
      <c r="K165" s="83" t="s">
        <v>740</v>
      </c>
      <c r="L165" s="0" t="s">
        <v>741</v>
      </c>
      <c r="M165" s="0" t="s">
        <v>36</v>
      </c>
      <c r="N165" s="0" t="str">
        <f t="shared" si="2"/>
        <v>APINbeKonshisha</v>
      </c>
    </row>
    <row r="166">
      <c r="E166" s="0" t="s">
        <v>742</v>
      </c>
      <c r="H166" s="0" t="s">
        <v>227</v>
      </c>
      <c r="I166" s="0" t="s">
        <v>38</v>
      </c>
      <c r="J166" s="0" t="s">
        <v>626</v>
      </c>
      <c r="K166" s="83" t="s">
        <v>743</v>
      </c>
      <c r="L166" s="0" t="s">
        <v>744</v>
      </c>
      <c r="M166" s="0" t="s">
        <v>36</v>
      </c>
      <c r="N166" s="0" t="str">
        <f t="shared" si="2"/>
        <v>APINbeKonshisha</v>
      </c>
    </row>
    <row r="167">
      <c r="E167" s="0" t="s">
        <v>745</v>
      </c>
      <c r="H167" s="0" t="s">
        <v>227</v>
      </c>
      <c r="I167" s="0" t="s">
        <v>38</v>
      </c>
      <c r="J167" s="0" t="s">
        <v>626</v>
      </c>
      <c r="K167" s="83" t="s">
        <v>746</v>
      </c>
      <c r="L167" s="0" t="s">
        <v>747</v>
      </c>
      <c r="M167" s="0" t="s">
        <v>36</v>
      </c>
      <c r="N167" s="0" t="str">
        <f t="shared" si="2"/>
        <v>APINbeKonshisha</v>
      </c>
    </row>
    <row r="168">
      <c r="E168" s="0" t="s">
        <v>748</v>
      </c>
      <c r="H168" s="0" t="s">
        <v>227</v>
      </c>
      <c r="I168" s="0" t="s">
        <v>38</v>
      </c>
      <c r="J168" s="0" t="s">
        <v>626</v>
      </c>
      <c r="K168" s="83" t="s">
        <v>749</v>
      </c>
      <c r="L168" s="0" t="s">
        <v>750</v>
      </c>
      <c r="M168" s="0" t="s">
        <v>36</v>
      </c>
      <c r="N168" s="0" t="str">
        <f t="shared" si="2"/>
        <v>APINbeKonshisha</v>
      </c>
    </row>
    <row r="169">
      <c r="E169" s="0" t="s">
        <v>751</v>
      </c>
      <c r="H169" s="0" t="s">
        <v>227</v>
      </c>
      <c r="I169" s="0" t="s">
        <v>38</v>
      </c>
      <c r="J169" s="0" t="s">
        <v>626</v>
      </c>
      <c r="K169" s="83" t="s">
        <v>752</v>
      </c>
      <c r="L169" s="0" t="s">
        <v>753</v>
      </c>
      <c r="M169" s="0" t="s">
        <v>36</v>
      </c>
      <c r="N169" s="0" t="str">
        <f t="shared" si="2"/>
        <v>APINbeKonshisha</v>
      </c>
    </row>
    <row r="170">
      <c r="E170" s="0" t="s">
        <v>754</v>
      </c>
      <c r="H170" s="0" t="s">
        <v>227</v>
      </c>
      <c r="I170" s="0" t="s">
        <v>38</v>
      </c>
      <c r="J170" s="0" t="s">
        <v>626</v>
      </c>
      <c r="K170" s="83" t="s">
        <v>755</v>
      </c>
      <c r="L170" s="0" t="s">
        <v>756</v>
      </c>
      <c r="M170" s="0" t="s">
        <v>36</v>
      </c>
      <c r="N170" s="0" t="str">
        <f t="shared" si="2"/>
        <v>APINbeKonshisha</v>
      </c>
    </row>
    <row r="171">
      <c r="E171" s="0" t="s">
        <v>757</v>
      </c>
      <c r="H171" s="0" t="s">
        <v>227</v>
      </c>
      <c r="I171" s="0" t="s">
        <v>38</v>
      </c>
      <c r="J171" s="0" t="s">
        <v>626</v>
      </c>
      <c r="K171" s="83" t="s">
        <v>758</v>
      </c>
      <c r="L171" s="0" t="s">
        <v>759</v>
      </c>
      <c r="M171" s="0" t="s">
        <v>36</v>
      </c>
      <c r="N171" s="0" t="str">
        <f t="shared" si="2"/>
        <v>APINbeKonshisha</v>
      </c>
    </row>
    <row r="172">
      <c r="E172" s="0" t="s">
        <v>760</v>
      </c>
      <c r="H172" s="0" t="s">
        <v>227</v>
      </c>
      <c r="I172" s="0" t="s">
        <v>38</v>
      </c>
      <c r="J172" s="0" t="s">
        <v>626</v>
      </c>
      <c r="K172" s="83" t="s">
        <v>761</v>
      </c>
      <c r="L172" s="0" t="s">
        <v>762</v>
      </c>
      <c r="M172" s="0" t="s">
        <v>36</v>
      </c>
      <c r="N172" s="0" t="str">
        <f t="shared" si="2"/>
        <v>APINbeKonshisha</v>
      </c>
    </row>
    <row r="173">
      <c r="E173" s="0" t="s">
        <v>763</v>
      </c>
      <c r="H173" s="0" t="s">
        <v>227</v>
      </c>
      <c r="I173" s="0" t="s">
        <v>38</v>
      </c>
      <c r="J173" s="0" t="s">
        <v>626</v>
      </c>
      <c r="K173" s="83" t="s">
        <v>764</v>
      </c>
      <c r="L173" s="0" t="s">
        <v>765</v>
      </c>
      <c r="M173" s="0" t="s">
        <v>36</v>
      </c>
      <c r="N173" s="0" t="str">
        <f t="shared" si="2"/>
        <v>APINbeKonshisha</v>
      </c>
    </row>
    <row r="174">
      <c r="E174" s="0" t="s">
        <v>766</v>
      </c>
      <c r="H174" s="0" t="s">
        <v>227</v>
      </c>
      <c r="I174" s="0" t="s">
        <v>38</v>
      </c>
      <c r="J174" s="0" t="s">
        <v>626</v>
      </c>
      <c r="K174" s="83" t="s">
        <v>767</v>
      </c>
      <c r="L174" s="0" t="s">
        <v>768</v>
      </c>
      <c r="M174" s="0" t="s">
        <v>36</v>
      </c>
      <c r="N174" s="0" t="str">
        <f t="shared" si="2"/>
        <v>APINbeKonshisha</v>
      </c>
    </row>
    <row r="175">
      <c r="E175" s="0" t="s">
        <v>769</v>
      </c>
      <c r="H175" s="0" t="s">
        <v>227</v>
      </c>
      <c r="I175" s="0" t="s">
        <v>38</v>
      </c>
      <c r="J175" s="0" t="s">
        <v>626</v>
      </c>
      <c r="K175" s="83" t="s">
        <v>770</v>
      </c>
      <c r="L175" s="0" t="s">
        <v>771</v>
      </c>
      <c r="M175" s="0" t="s">
        <v>36</v>
      </c>
      <c r="N175" s="0" t="str">
        <f t="shared" si="2"/>
        <v>APINbeKonshisha</v>
      </c>
    </row>
    <row r="176">
      <c r="E176" s="0" t="s">
        <v>772</v>
      </c>
      <c r="H176" s="0" t="s">
        <v>227</v>
      </c>
      <c r="I176" s="0" t="s">
        <v>38</v>
      </c>
      <c r="J176" s="0" t="s">
        <v>691</v>
      </c>
      <c r="K176" s="83" t="s">
        <v>773</v>
      </c>
      <c r="L176" s="0" t="s">
        <v>774</v>
      </c>
      <c r="M176" s="0" t="s">
        <v>36</v>
      </c>
      <c r="N176" s="0" t="str">
        <f t="shared" si="2"/>
        <v>APINbeKwande</v>
      </c>
    </row>
    <row r="177">
      <c r="E177" s="0" t="s">
        <v>775</v>
      </c>
      <c r="H177" s="0" t="s">
        <v>227</v>
      </c>
      <c r="I177" s="0" t="s">
        <v>38</v>
      </c>
      <c r="J177" s="0" t="s">
        <v>691</v>
      </c>
      <c r="K177" s="83" t="s">
        <v>776</v>
      </c>
      <c r="L177" s="0" t="s">
        <v>777</v>
      </c>
      <c r="M177" s="0" t="s">
        <v>36</v>
      </c>
      <c r="N177" s="0" t="str">
        <f t="shared" si="2"/>
        <v>APINbeKwande</v>
      </c>
    </row>
    <row r="178">
      <c r="E178" s="0" t="s">
        <v>778</v>
      </c>
      <c r="H178" s="0" t="s">
        <v>227</v>
      </c>
      <c r="I178" s="0" t="s">
        <v>38</v>
      </c>
      <c r="J178" s="0" t="s">
        <v>691</v>
      </c>
      <c r="K178" s="83" t="s">
        <v>779</v>
      </c>
      <c r="L178" s="0" t="s">
        <v>780</v>
      </c>
      <c r="M178" s="0" t="s">
        <v>36</v>
      </c>
      <c r="N178" s="0" t="str">
        <f t="shared" si="2"/>
        <v>APINbeKwande</v>
      </c>
    </row>
    <row r="179">
      <c r="E179" s="0" t="s">
        <v>781</v>
      </c>
      <c r="H179" s="0" t="s">
        <v>227</v>
      </c>
      <c r="I179" s="0" t="s">
        <v>38</v>
      </c>
      <c r="J179" s="0" t="s">
        <v>691</v>
      </c>
      <c r="K179" s="83" t="s">
        <v>782</v>
      </c>
      <c r="L179" s="0" t="s">
        <v>783</v>
      </c>
      <c r="M179" s="0" t="s">
        <v>36</v>
      </c>
      <c r="N179" s="0" t="str">
        <f t="shared" si="2"/>
        <v>APINbeKwande</v>
      </c>
    </row>
    <row r="180">
      <c r="E180" s="0" t="s">
        <v>784</v>
      </c>
      <c r="H180" s="0" t="s">
        <v>227</v>
      </c>
      <c r="I180" s="0" t="s">
        <v>38</v>
      </c>
      <c r="J180" s="0" t="s">
        <v>691</v>
      </c>
      <c r="K180" s="83" t="s">
        <v>785</v>
      </c>
      <c r="L180" s="0" t="s">
        <v>786</v>
      </c>
      <c r="M180" s="0" t="s">
        <v>36</v>
      </c>
      <c r="N180" s="0" t="str">
        <f t="shared" si="2"/>
        <v>APINbeKwande</v>
      </c>
    </row>
    <row r="181">
      <c r="E181" s="0" t="s">
        <v>787</v>
      </c>
      <c r="H181" s="0" t="s">
        <v>227</v>
      </c>
      <c r="I181" s="0" t="s">
        <v>38</v>
      </c>
      <c r="J181" s="0" t="s">
        <v>691</v>
      </c>
      <c r="K181" s="83" t="s">
        <v>788</v>
      </c>
      <c r="L181" s="0" t="s">
        <v>789</v>
      </c>
      <c r="M181" s="0" t="s">
        <v>36</v>
      </c>
      <c r="N181" s="0" t="str">
        <f t="shared" si="2"/>
        <v>APINbeKwande</v>
      </c>
    </row>
    <row r="182">
      <c r="E182" s="0" t="s">
        <v>790</v>
      </c>
      <c r="H182" s="0" t="s">
        <v>227</v>
      </c>
      <c r="I182" s="0" t="s">
        <v>38</v>
      </c>
      <c r="J182" s="0" t="s">
        <v>691</v>
      </c>
      <c r="K182" s="83" t="s">
        <v>791</v>
      </c>
      <c r="L182" s="0" t="s">
        <v>792</v>
      </c>
      <c r="M182" s="0" t="s">
        <v>36</v>
      </c>
      <c r="N182" s="0" t="str">
        <f t="shared" si="2"/>
        <v>APINbeKwande</v>
      </c>
    </row>
    <row r="183">
      <c r="E183" s="0" t="s">
        <v>793</v>
      </c>
      <c r="H183" s="0" t="s">
        <v>227</v>
      </c>
      <c r="I183" s="0" t="s">
        <v>38</v>
      </c>
      <c r="J183" s="0" t="s">
        <v>691</v>
      </c>
      <c r="K183" s="83" t="s">
        <v>794</v>
      </c>
      <c r="L183" s="0" t="s">
        <v>795</v>
      </c>
      <c r="M183" s="0" t="s">
        <v>36</v>
      </c>
      <c r="N183" s="0" t="str">
        <f t="shared" si="2"/>
        <v>APINbeKwande</v>
      </c>
    </row>
    <row r="184">
      <c r="E184" s="0" t="s">
        <v>796</v>
      </c>
      <c r="H184" s="0" t="s">
        <v>227</v>
      </c>
      <c r="I184" s="0" t="s">
        <v>38</v>
      </c>
      <c r="J184" s="0" t="s">
        <v>691</v>
      </c>
      <c r="K184" s="83" t="s">
        <v>797</v>
      </c>
      <c r="L184" s="0" t="s">
        <v>798</v>
      </c>
      <c r="M184" s="0" t="s">
        <v>36</v>
      </c>
      <c r="N184" s="0" t="str">
        <f t="shared" si="2"/>
        <v>APINbeKwande</v>
      </c>
    </row>
    <row r="185">
      <c r="E185" s="0" t="s">
        <v>799</v>
      </c>
      <c r="H185" s="0" t="s">
        <v>227</v>
      </c>
      <c r="I185" s="0" t="s">
        <v>38</v>
      </c>
      <c r="J185" s="0" t="s">
        <v>691</v>
      </c>
      <c r="K185" s="83" t="s">
        <v>800</v>
      </c>
      <c r="L185" s="0" t="s">
        <v>801</v>
      </c>
      <c r="M185" s="0" t="s">
        <v>36</v>
      </c>
      <c r="N185" s="0" t="str">
        <f t="shared" si="2"/>
        <v>APINbeKwande</v>
      </c>
    </row>
    <row r="186">
      <c r="E186" s="0" t="s">
        <v>802</v>
      </c>
      <c r="H186" s="0" t="s">
        <v>227</v>
      </c>
      <c r="I186" s="0" t="s">
        <v>38</v>
      </c>
      <c r="J186" s="0" t="s">
        <v>691</v>
      </c>
      <c r="K186" s="83" t="s">
        <v>803</v>
      </c>
      <c r="L186" s="0" t="s">
        <v>804</v>
      </c>
      <c r="M186" s="0" t="s">
        <v>36</v>
      </c>
      <c r="N186" s="0" t="str">
        <f t="shared" si="2"/>
        <v>APINbeKwande</v>
      </c>
    </row>
    <row r="187">
      <c r="E187" s="0" t="s">
        <v>805</v>
      </c>
      <c r="H187" s="0" t="s">
        <v>227</v>
      </c>
      <c r="I187" s="0" t="s">
        <v>38</v>
      </c>
      <c r="J187" s="0" t="s">
        <v>691</v>
      </c>
      <c r="K187" s="83" t="s">
        <v>806</v>
      </c>
      <c r="L187" s="0" t="s">
        <v>807</v>
      </c>
      <c r="M187" s="0" t="s">
        <v>36</v>
      </c>
      <c r="N187" s="0" t="str">
        <f t="shared" si="2"/>
        <v>APINbeKwande</v>
      </c>
    </row>
    <row r="188">
      <c r="E188" s="0" t="s">
        <v>808</v>
      </c>
      <c r="H188" s="0" t="s">
        <v>227</v>
      </c>
      <c r="I188" s="0" t="s">
        <v>38</v>
      </c>
      <c r="J188" s="0" t="s">
        <v>691</v>
      </c>
      <c r="K188" s="83" t="s">
        <v>809</v>
      </c>
      <c r="L188" s="0" t="s">
        <v>810</v>
      </c>
      <c r="M188" s="0" t="s">
        <v>36</v>
      </c>
      <c r="N188" s="0" t="str">
        <f t="shared" si="2"/>
        <v>APINbeKwande</v>
      </c>
    </row>
    <row r="189">
      <c r="E189" s="0" t="s">
        <v>811</v>
      </c>
      <c r="H189" s="0" t="s">
        <v>227</v>
      </c>
      <c r="I189" s="0" t="s">
        <v>38</v>
      </c>
      <c r="J189" s="0" t="s">
        <v>691</v>
      </c>
      <c r="K189" s="83" t="s">
        <v>812</v>
      </c>
      <c r="L189" s="0" t="s">
        <v>813</v>
      </c>
      <c r="M189" s="0" t="s">
        <v>36</v>
      </c>
      <c r="N189" s="0" t="str">
        <f t="shared" si="2"/>
        <v>APINbeKwande</v>
      </c>
    </row>
    <row r="190">
      <c r="E190" s="0" t="s">
        <v>814</v>
      </c>
      <c r="H190" s="0" t="s">
        <v>227</v>
      </c>
      <c r="I190" s="0" t="s">
        <v>38</v>
      </c>
      <c r="J190" s="0" t="s">
        <v>691</v>
      </c>
      <c r="K190" s="83" t="s">
        <v>815</v>
      </c>
      <c r="L190" s="0" t="s">
        <v>816</v>
      </c>
      <c r="M190" s="0" t="s">
        <v>36</v>
      </c>
      <c r="N190" s="0" t="str">
        <f t="shared" si="2"/>
        <v>APINbeKwande</v>
      </c>
    </row>
    <row r="191">
      <c r="E191" s="0" t="s">
        <v>817</v>
      </c>
      <c r="H191" s="0" t="s">
        <v>227</v>
      </c>
      <c r="I191" s="0" t="s">
        <v>38</v>
      </c>
      <c r="J191" s="0" t="s">
        <v>691</v>
      </c>
      <c r="K191" s="83" t="s">
        <v>818</v>
      </c>
      <c r="L191" s="0" t="s">
        <v>819</v>
      </c>
      <c r="M191" s="0" t="s">
        <v>36</v>
      </c>
      <c r="N191" s="0" t="str">
        <f t="shared" si="2"/>
        <v>APINbeKwande</v>
      </c>
    </row>
    <row r="192">
      <c r="E192" s="0" t="s">
        <v>820</v>
      </c>
      <c r="H192" s="0" t="s">
        <v>227</v>
      </c>
      <c r="I192" s="0" t="s">
        <v>38</v>
      </c>
      <c r="J192" s="0" t="s">
        <v>694</v>
      </c>
      <c r="K192" s="83" t="s">
        <v>821</v>
      </c>
      <c r="L192" s="0" t="s">
        <v>822</v>
      </c>
      <c r="M192" s="0" t="s">
        <v>36</v>
      </c>
      <c r="N192" s="0" t="str">
        <f t="shared" si="2"/>
        <v>APINbeLogo</v>
      </c>
    </row>
    <row r="193">
      <c r="E193" s="0" t="s">
        <v>823</v>
      </c>
      <c r="H193" s="0" t="s">
        <v>227</v>
      </c>
      <c r="I193" s="0" t="s">
        <v>38</v>
      </c>
      <c r="J193" s="0" t="s">
        <v>694</v>
      </c>
      <c r="K193" s="83" t="s">
        <v>824</v>
      </c>
      <c r="L193" s="0" t="s">
        <v>825</v>
      </c>
      <c r="M193" s="0" t="s">
        <v>36</v>
      </c>
      <c r="N193" s="0" t="str">
        <f t="shared" si="2"/>
        <v>APINbeLogo</v>
      </c>
    </row>
    <row r="194">
      <c r="E194" s="0" t="s">
        <v>826</v>
      </c>
      <c r="H194" s="0" t="s">
        <v>227</v>
      </c>
      <c r="I194" s="0" t="s">
        <v>38</v>
      </c>
      <c r="J194" s="0" t="s">
        <v>694</v>
      </c>
      <c r="K194" s="83" t="s">
        <v>827</v>
      </c>
      <c r="L194" s="0" t="s">
        <v>828</v>
      </c>
      <c r="M194" s="0" t="s">
        <v>36</v>
      </c>
      <c r="N194" s="0" t="str">
        <f t="shared" si="2"/>
        <v>APINbeLogo</v>
      </c>
    </row>
    <row r="195">
      <c r="E195" s="0" t="s">
        <v>829</v>
      </c>
      <c r="H195" s="0" t="s">
        <v>227</v>
      </c>
      <c r="I195" s="0" t="s">
        <v>38</v>
      </c>
      <c r="J195" s="0" t="s">
        <v>694</v>
      </c>
      <c r="K195" s="83" t="s">
        <v>830</v>
      </c>
      <c r="L195" s="0" t="s">
        <v>831</v>
      </c>
      <c r="M195" s="0" t="s">
        <v>36</v>
      </c>
      <c r="N195" s="0" t="str">
        <f ref="N195:N258" t="shared" si="3">SUBSTITUTE(SUBSTITUTE(M195&amp;J195," ",""),"-","")</f>
        <v>APINbeLogo</v>
      </c>
    </row>
    <row r="196">
      <c r="E196" s="0" t="s">
        <v>832</v>
      </c>
      <c r="H196" s="0" t="s">
        <v>227</v>
      </c>
      <c r="I196" s="0" t="s">
        <v>38</v>
      </c>
      <c r="J196" s="0" t="s">
        <v>694</v>
      </c>
      <c r="K196" s="83" t="s">
        <v>833</v>
      </c>
      <c r="L196" s="0" t="s">
        <v>834</v>
      </c>
      <c r="M196" s="0" t="s">
        <v>36</v>
      </c>
      <c r="N196" s="0" t="str">
        <f t="shared" si="3"/>
        <v>APINbeLogo</v>
      </c>
    </row>
    <row r="197">
      <c r="E197" s="0" t="s">
        <v>835</v>
      </c>
      <c r="H197" s="0" t="s">
        <v>227</v>
      </c>
      <c r="I197" s="0" t="s">
        <v>38</v>
      </c>
      <c r="J197" s="0" t="s">
        <v>694</v>
      </c>
      <c r="K197" s="83" t="s">
        <v>836</v>
      </c>
      <c r="L197" s="0" t="s">
        <v>837</v>
      </c>
      <c r="M197" s="0" t="s">
        <v>36</v>
      </c>
      <c r="N197" s="0" t="str">
        <f t="shared" si="3"/>
        <v>APINbeLogo</v>
      </c>
    </row>
    <row r="198">
      <c r="E198" s="0" t="s">
        <v>838</v>
      </c>
      <c r="H198" s="0" t="s">
        <v>227</v>
      </c>
      <c r="I198" s="0" t="s">
        <v>38</v>
      </c>
      <c r="J198" s="0" t="s">
        <v>694</v>
      </c>
      <c r="K198" s="83" t="s">
        <v>839</v>
      </c>
      <c r="L198" s="0" t="s">
        <v>840</v>
      </c>
      <c r="M198" s="0" t="s">
        <v>36</v>
      </c>
      <c r="N198" s="0" t="str">
        <f t="shared" si="3"/>
        <v>APINbeLogo</v>
      </c>
    </row>
    <row r="199">
      <c r="E199" s="0" t="s">
        <v>841</v>
      </c>
      <c r="H199" s="0" t="s">
        <v>227</v>
      </c>
      <c r="I199" s="0" t="s">
        <v>38</v>
      </c>
      <c r="J199" s="0" t="s">
        <v>694</v>
      </c>
      <c r="K199" s="83" t="s">
        <v>842</v>
      </c>
      <c r="L199" s="0" t="s">
        <v>843</v>
      </c>
      <c r="M199" s="0" t="s">
        <v>36</v>
      </c>
      <c r="N199" s="0" t="str">
        <f t="shared" si="3"/>
        <v>APINbeLogo</v>
      </c>
    </row>
    <row r="200">
      <c r="E200" s="0" t="s">
        <v>844</v>
      </c>
      <c r="H200" s="0" t="s">
        <v>227</v>
      </c>
      <c r="I200" s="0" t="s">
        <v>38</v>
      </c>
      <c r="J200" s="0" t="s">
        <v>694</v>
      </c>
      <c r="K200" s="83" t="s">
        <v>845</v>
      </c>
      <c r="L200" s="0" t="s">
        <v>846</v>
      </c>
      <c r="M200" s="0" t="s">
        <v>36</v>
      </c>
      <c r="N200" s="0" t="str">
        <f t="shared" si="3"/>
        <v>APINbeLogo</v>
      </c>
    </row>
    <row r="201">
      <c r="E201" s="0" t="s">
        <v>847</v>
      </c>
      <c r="H201" s="0" t="s">
        <v>227</v>
      </c>
      <c r="I201" s="0" t="s">
        <v>38</v>
      </c>
      <c r="J201" s="0" t="s">
        <v>694</v>
      </c>
      <c r="K201" s="83" t="s">
        <v>848</v>
      </c>
      <c r="L201" s="0" t="s">
        <v>849</v>
      </c>
      <c r="M201" s="0" t="s">
        <v>36</v>
      </c>
      <c r="N201" s="0" t="str">
        <f t="shared" si="3"/>
        <v>APINbeLogo</v>
      </c>
    </row>
    <row r="202">
      <c r="E202" s="0" t="s">
        <v>850</v>
      </c>
      <c r="H202" s="0" t="s">
        <v>227</v>
      </c>
      <c r="I202" s="0" t="s">
        <v>38</v>
      </c>
      <c r="J202" s="0" t="s">
        <v>694</v>
      </c>
      <c r="K202" s="83" t="s">
        <v>851</v>
      </c>
      <c r="L202" s="0" t="s">
        <v>852</v>
      </c>
      <c r="M202" s="0" t="s">
        <v>36</v>
      </c>
      <c r="N202" s="0" t="str">
        <f t="shared" si="3"/>
        <v>APINbeLogo</v>
      </c>
    </row>
    <row r="203">
      <c r="E203" s="0" t="s">
        <v>853</v>
      </c>
      <c r="H203" s="0" t="s">
        <v>227</v>
      </c>
      <c r="I203" s="0" t="s">
        <v>38</v>
      </c>
      <c r="J203" s="0" t="s">
        <v>694</v>
      </c>
      <c r="K203" s="83" t="s">
        <v>854</v>
      </c>
      <c r="L203" s="0" t="s">
        <v>855</v>
      </c>
      <c r="M203" s="0" t="s">
        <v>36</v>
      </c>
      <c r="N203" s="0" t="str">
        <f t="shared" si="3"/>
        <v>APINbeLogo</v>
      </c>
    </row>
    <row r="204">
      <c r="E204" s="0" t="s">
        <v>856</v>
      </c>
      <c r="H204" s="0" t="s">
        <v>227</v>
      </c>
      <c r="I204" s="0" t="s">
        <v>38</v>
      </c>
      <c r="J204" s="0" t="s">
        <v>694</v>
      </c>
      <c r="K204" s="83" t="s">
        <v>857</v>
      </c>
      <c r="L204" s="0" t="s">
        <v>858</v>
      </c>
      <c r="M204" s="0" t="s">
        <v>36</v>
      </c>
      <c r="N204" s="0" t="str">
        <f t="shared" si="3"/>
        <v>APINbeLogo</v>
      </c>
    </row>
    <row r="205">
      <c r="E205" s="0" t="s">
        <v>859</v>
      </c>
      <c r="H205" s="0" t="s">
        <v>227</v>
      </c>
      <c r="I205" s="0" t="s">
        <v>38</v>
      </c>
      <c r="J205" s="0" t="s">
        <v>694</v>
      </c>
      <c r="K205" s="83" t="s">
        <v>860</v>
      </c>
      <c r="L205" s="0" t="s">
        <v>861</v>
      </c>
      <c r="M205" s="0" t="s">
        <v>36</v>
      </c>
      <c r="N205" s="0" t="str">
        <f t="shared" si="3"/>
        <v>APINbeLogo</v>
      </c>
    </row>
    <row r="206">
      <c r="E206" s="0" t="s">
        <v>862</v>
      </c>
      <c r="H206" s="0" t="s">
        <v>227</v>
      </c>
      <c r="I206" s="0" t="s">
        <v>38</v>
      </c>
      <c r="J206" s="0" t="s">
        <v>694</v>
      </c>
      <c r="K206" s="83" t="s">
        <v>863</v>
      </c>
      <c r="L206" s="0" t="s">
        <v>864</v>
      </c>
      <c r="M206" s="0" t="s">
        <v>36</v>
      </c>
      <c r="N206" s="0" t="str">
        <f t="shared" si="3"/>
        <v>APINbeLogo</v>
      </c>
    </row>
    <row r="207">
      <c r="E207" s="0" t="s">
        <v>865</v>
      </c>
      <c r="H207" s="0" t="s">
        <v>227</v>
      </c>
      <c r="I207" s="0" t="s">
        <v>38</v>
      </c>
      <c r="J207" s="0" t="s">
        <v>694</v>
      </c>
      <c r="K207" s="83" t="s">
        <v>866</v>
      </c>
      <c r="L207" s="0" t="s">
        <v>867</v>
      </c>
      <c r="M207" s="0" t="s">
        <v>36</v>
      </c>
      <c r="N207" s="0" t="str">
        <f t="shared" si="3"/>
        <v>APINbeLogo</v>
      </c>
    </row>
    <row r="208">
      <c r="E208" s="0" t="s">
        <v>868</v>
      </c>
      <c r="H208" s="0" t="s">
        <v>227</v>
      </c>
      <c r="I208" s="0" t="s">
        <v>38</v>
      </c>
      <c r="J208" s="0" t="s">
        <v>694</v>
      </c>
      <c r="K208" s="83" t="s">
        <v>869</v>
      </c>
      <c r="L208" s="0" t="s">
        <v>870</v>
      </c>
      <c r="M208" s="0" t="s">
        <v>36</v>
      </c>
      <c r="N208" s="0" t="str">
        <f t="shared" si="3"/>
        <v>APINbeLogo</v>
      </c>
    </row>
    <row r="209">
      <c r="E209" s="0" t="s">
        <v>871</v>
      </c>
      <c r="H209" s="0" t="s">
        <v>227</v>
      </c>
      <c r="I209" s="0" t="s">
        <v>38</v>
      </c>
      <c r="J209" s="0" t="s">
        <v>694</v>
      </c>
      <c r="K209" s="83" t="s">
        <v>872</v>
      </c>
      <c r="L209" s="0" t="s">
        <v>873</v>
      </c>
      <c r="M209" s="0" t="s">
        <v>36</v>
      </c>
      <c r="N209" s="0" t="str">
        <f t="shared" si="3"/>
        <v>APINbeLogo</v>
      </c>
    </row>
    <row r="210">
      <c r="E210" s="0" t="s">
        <v>874</v>
      </c>
      <c r="H210" s="0" t="s">
        <v>227</v>
      </c>
      <c r="I210" s="0" t="s">
        <v>38</v>
      </c>
      <c r="J210" s="0" t="s">
        <v>694</v>
      </c>
      <c r="K210" s="83" t="s">
        <v>875</v>
      </c>
      <c r="L210" s="0" t="s">
        <v>876</v>
      </c>
      <c r="M210" s="0" t="s">
        <v>36</v>
      </c>
      <c r="N210" s="0" t="str">
        <f t="shared" si="3"/>
        <v>APINbeLogo</v>
      </c>
    </row>
    <row r="211">
      <c r="E211" s="0" t="s">
        <v>877</v>
      </c>
      <c r="H211" s="0" t="s">
        <v>227</v>
      </c>
      <c r="I211" s="0" t="s">
        <v>38</v>
      </c>
      <c r="J211" s="0" t="s">
        <v>694</v>
      </c>
      <c r="K211" s="83" t="s">
        <v>878</v>
      </c>
      <c r="L211" s="0" t="s">
        <v>879</v>
      </c>
      <c r="M211" s="0" t="s">
        <v>36</v>
      </c>
      <c r="N211" s="0" t="str">
        <f t="shared" si="3"/>
        <v>APINbeLogo</v>
      </c>
    </row>
    <row r="212">
      <c r="E212" s="0" t="s">
        <v>880</v>
      </c>
      <c r="H212" s="0" t="s">
        <v>227</v>
      </c>
      <c r="I212" s="0" t="s">
        <v>38</v>
      </c>
      <c r="J212" s="0" t="s">
        <v>694</v>
      </c>
      <c r="K212" s="83" t="s">
        <v>881</v>
      </c>
      <c r="L212" s="0" t="s">
        <v>882</v>
      </c>
      <c r="M212" s="0" t="s">
        <v>36</v>
      </c>
      <c r="N212" s="0" t="str">
        <f t="shared" si="3"/>
        <v>APINbeLogo</v>
      </c>
    </row>
    <row r="213">
      <c r="E213" s="0" t="s">
        <v>883</v>
      </c>
      <c r="H213" s="0" t="s">
        <v>227</v>
      </c>
      <c r="I213" s="0" t="s">
        <v>38</v>
      </c>
      <c r="J213" s="0" t="s">
        <v>694</v>
      </c>
      <c r="K213" s="83" t="s">
        <v>884</v>
      </c>
      <c r="L213" s="0" t="s">
        <v>885</v>
      </c>
      <c r="M213" s="0" t="s">
        <v>36</v>
      </c>
      <c r="N213" s="0" t="str">
        <f t="shared" si="3"/>
        <v>APINbeLogo</v>
      </c>
    </row>
    <row r="214">
      <c r="E214" s="0" t="s">
        <v>886</v>
      </c>
      <c r="H214" s="0" t="s">
        <v>227</v>
      </c>
      <c r="I214" s="0" t="s">
        <v>38</v>
      </c>
      <c r="J214" s="0" t="s">
        <v>694</v>
      </c>
      <c r="K214" s="83" t="s">
        <v>887</v>
      </c>
      <c r="L214" s="0" t="s">
        <v>888</v>
      </c>
      <c r="M214" s="0" t="s">
        <v>36</v>
      </c>
      <c r="N214" s="0" t="str">
        <f t="shared" si="3"/>
        <v>APINbeLogo</v>
      </c>
    </row>
    <row r="215">
      <c r="E215" s="0" t="s">
        <v>889</v>
      </c>
      <c r="H215" s="0" t="s">
        <v>227</v>
      </c>
      <c r="I215" s="0" t="s">
        <v>38</v>
      </c>
      <c r="J215" s="0" t="s">
        <v>694</v>
      </c>
      <c r="K215" s="83" t="s">
        <v>890</v>
      </c>
      <c r="L215" s="0" t="s">
        <v>891</v>
      </c>
      <c r="M215" s="0" t="s">
        <v>36</v>
      </c>
      <c r="N215" s="0" t="str">
        <f t="shared" si="3"/>
        <v>APINbeLogo</v>
      </c>
    </row>
    <row r="216">
      <c r="E216" s="0" t="s">
        <v>892</v>
      </c>
      <c r="H216" s="0" t="s">
        <v>227</v>
      </c>
      <c r="I216" s="0" t="s">
        <v>38</v>
      </c>
      <c r="J216" s="0" t="s">
        <v>694</v>
      </c>
      <c r="K216" s="83" t="s">
        <v>893</v>
      </c>
      <c r="L216" s="0" t="s">
        <v>894</v>
      </c>
      <c r="M216" s="0" t="s">
        <v>36</v>
      </c>
      <c r="N216" s="0" t="str">
        <f t="shared" si="3"/>
        <v>APINbeLogo</v>
      </c>
    </row>
    <row r="217">
      <c r="E217" s="0" t="s">
        <v>895</v>
      </c>
      <c r="H217" s="0" t="s">
        <v>227</v>
      </c>
      <c r="I217" s="0" t="s">
        <v>38</v>
      </c>
      <c r="J217" s="0" t="s">
        <v>694</v>
      </c>
      <c r="K217" s="83" t="s">
        <v>896</v>
      </c>
      <c r="L217" s="0" t="s">
        <v>897</v>
      </c>
      <c r="M217" s="0" t="s">
        <v>36</v>
      </c>
      <c r="N217" s="0" t="str">
        <f t="shared" si="3"/>
        <v>APINbeLogo</v>
      </c>
    </row>
    <row r="218">
      <c r="E218" s="0" t="s">
        <v>898</v>
      </c>
      <c r="H218" s="0" t="s">
        <v>227</v>
      </c>
      <c r="I218" s="0" t="s">
        <v>38</v>
      </c>
      <c r="J218" s="0" t="s">
        <v>694</v>
      </c>
      <c r="K218" s="83" t="s">
        <v>899</v>
      </c>
      <c r="L218" s="0" t="s">
        <v>900</v>
      </c>
      <c r="M218" s="0" t="s">
        <v>36</v>
      </c>
      <c r="N218" s="0" t="str">
        <f t="shared" si="3"/>
        <v>APINbeLogo</v>
      </c>
    </row>
    <row r="219">
      <c r="E219" s="0" t="s">
        <v>901</v>
      </c>
      <c r="H219" s="0" t="s">
        <v>227</v>
      </c>
      <c r="I219" s="0" t="s">
        <v>38</v>
      </c>
      <c r="J219" s="0" t="s">
        <v>694</v>
      </c>
      <c r="K219" s="83" t="s">
        <v>902</v>
      </c>
      <c r="L219" s="0" t="s">
        <v>903</v>
      </c>
      <c r="M219" s="0" t="s">
        <v>36</v>
      </c>
      <c r="N219" s="0" t="str">
        <f t="shared" si="3"/>
        <v>APINbeLogo</v>
      </c>
    </row>
    <row r="220">
      <c r="E220" s="0" t="s">
        <v>904</v>
      </c>
      <c r="H220" s="0" t="s">
        <v>227</v>
      </c>
      <c r="I220" s="0" t="s">
        <v>38</v>
      </c>
      <c r="J220" s="0" t="s">
        <v>694</v>
      </c>
      <c r="K220" s="83" t="s">
        <v>905</v>
      </c>
      <c r="L220" s="0" t="s">
        <v>906</v>
      </c>
      <c r="M220" s="0" t="s">
        <v>36</v>
      </c>
      <c r="N220" s="0" t="str">
        <f t="shared" si="3"/>
        <v>APINbeLogo</v>
      </c>
    </row>
    <row r="221">
      <c r="E221" s="0" t="s">
        <v>907</v>
      </c>
      <c r="H221" s="0" t="s">
        <v>227</v>
      </c>
      <c r="I221" s="0" t="s">
        <v>38</v>
      </c>
      <c r="J221" s="0" t="s">
        <v>694</v>
      </c>
      <c r="K221" s="83" t="s">
        <v>908</v>
      </c>
      <c r="L221" s="0" t="s">
        <v>909</v>
      </c>
      <c r="M221" s="0" t="s">
        <v>36</v>
      </c>
      <c r="N221" s="0" t="str">
        <f t="shared" si="3"/>
        <v>APINbeLogo</v>
      </c>
    </row>
    <row r="222">
      <c r="E222" s="0" t="s">
        <v>910</v>
      </c>
      <c r="H222" s="0" t="s">
        <v>227</v>
      </c>
      <c r="I222" s="0" t="s">
        <v>38</v>
      </c>
      <c r="J222" s="0" t="s">
        <v>694</v>
      </c>
      <c r="K222" s="83" t="s">
        <v>911</v>
      </c>
      <c r="L222" s="0" t="s">
        <v>912</v>
      </c>
      <c r="M222" s="0" t="s">
        <v>36</v>
      </c>
      <c r="N222" s="0" t="str">
        <f t="shared" si="3"/>
        <v>APINbeLogo</v>
      </c>
    </row>
    <row r="223">
      <c r="E223" s="0" t="s">
        <v>913</v>
      </c>
      <c r="H223" s="0" t="s">
        <v>227</v>
      </c>
      <c r="I223" s="0" t="s">
        <v>38</v>
      </c>
      <c r="J223" s="0" t="s">
        <v>694</v>
      </c>
      <c r="K223" s="83" t="s">
        <v>914</v>
      </c>
      <c r="L223" s="0" t="s">
        <v>915</v>
      </c>
      <c r="M223" s="0" t="s">
        <v>36</v>
      </c>
      <c r="N223" s="0" t="str">
        <f t="shared" si="3"/>
        <v>APINbeLogo</v>
      </c>
    </row>
    <row r="224">
      <c r="E224" s="0" t="s">
        <v>916</v>
      </c>
      <c r="H224" s="0" t="s">
        <v>227</v>
      </c>
      <c r="I224" s="0" t="s">
        <v>38</v>
      </c>
      <c r="J224" s="0" t="s">
        <v>694</v>
      </c>
      <c r="K224" s="83" t="s">
        <v>917</v>
      </c>
      <c r="L224" s="0" t="s">
        <v>918</v>
      </c>
      <c r="M224" s="0" t="s">
        <v>36</v>
      </c>
      <c r="N224" s="0" t="str">
        <f t="shared" si="3"/>
        <v>APINbeLogo</v>
      </c>
    </row>
    <row r="225">
      <c r="E225" s="0" t="s">
        <v>919</v>
      </c>
      <c r="H225" s="0" t="s">
        <v>227</v>
      </c>
      <c r="I225" s="0" t="s">
        <v>38</v>
      </c>
      <c r="J225" s="0" t="s">
        <v>694</v>
      </c>
      <c r="K225" s="83" t="s">
        <v>920</v>
      </c>
      <c r="L225" s="0" t="s">
        <v>921</v>
      </c>
      <c r="M225" s="0" t="s">
        <v>36</v>
      </c>
      <c r="N225" s="0" t="str">
        <f t="shared" si="3"/>
        <v>APINbeLogo</v>
      </c>
    </row>
    <row r="226">
      <c r="E226" s="0" t="s">
        <v>922</v>
      </c>
      <c r="H226" s="0" t="s">
        <v>227</v>
      </c>
      <c r="I226" s="0" t="s">
        <v>38</v>
      </c>
      <c r="J226" s="0" t="s">
        <v>694</v>
      </c>
      <c r="K226" s="83" t="s">
        <v>923</v>
      </c>
      <c r="L226" s="0" t="s">
        <v>924</v>
      </c>
      <c r="M226" s="0" t="s">
        <v>36</v>
      </c>
      <c r="N226" s="0" t="str">
        <f t="shared" si="3"/>
        <v>APINbeLogo</v>
      </c>
    </row>
    <row r="227">
      <c r="E227" s="0" t="s">
        <v>925</v>
      </c>
      <c r="H227" s="0" t="s">
        <v>227</v>
      </c>
      <c r="I227" s="0" t="s">
        <v>38</v>
      </c>
      <c r="J227" s="0" t="s">
        <v>697</v>
      </c>
      <c r="K227" s="83" t="s">
        <v>926</v>
      </c>
      <c r="L227" s="0" t="s">
        <v>927</v>
      </c>
      <c r="M227" s="0" t="s">
        <v>36</v>
      </c>
      <c r="N227" s="0" t="str">
        <f t="shared" si="3"/>
        <v>APINbeMakurdi</v>
      </c>
    </row>
    <row r="228">
      <c r="E228" s="0" t="s">
        <v>928</v>
      </c>
      <c r="H228" s="0" t="s">
        <v>227</v>
      </c>
      <c r="I228" s="0" t="s">
        <v>38</v>
      </c>
      <c r="J228" s="0" t="s">
        <v>697</v>
      </c>
      <c r="K228" s="83" t="s">
        <v>929</v>
      </c>
      <c r="L228" s="0" t="s">
        <v>930</v>
      </c>
      <c r="M228" s="0" t="s">
        <v>36</v>
      </c>
      <c r="N228" s="0" t="str">
        <f t="shared" si="3"/>
        <v>APINbeMakurdi</v>
      </c>
    </row>
    <row r="229">
      <c r="E229" s="0" t="s">
        <v>931</v>
      </c>
      <c r="H229" s="0" t="s">
        <v>227</v>
      </c>
      <c r="I229" s="0" t="s">
        <v>38</v>
      </c>
      <c r="J229" s="0" t="s">
        <v>697</v>
      </c>
      <c r="K229" s="83" t="s">
        <v>932</v>
      </c>
      <c r="L229" s="0" t="s">
        <v>933</v>
      </c>
      <c r="M229" s="0" t="s">
        <v>36</v>
      </c>
      <c r="N229" s="0" t="str">
        <f t="shared" si="3"/>
        <v>APINbeMakurdi</v>
      </c>
    </row>
    <row r="230">
      <c r="E230" s="0" t="s">
        <v>934</v>
      </c>
      <c r="H230" s="0" t="s">
        <v>227</v>
      </c>
      <c r="I230" s="0" t="s">
        <v>38</v>
      </c>
      <c r="J230" s="0" t="s">
        <v>697</v>
      </c>
      <c r="K230" s="83" t="s">
        <v>935</v>
      </c>
      <c r="L230" s="0" t="s">
        <v>936</v>
      </c>
      <c r="M230" s="0" t="s">
        <v>36</v>
      </c>
      <c r="N230" s="0" t="str">
        <f t="shared" si="3"/>
        <v>APINbeMakurdi</v>
      </c>
    </row>
    <row r="231">
      <c r="E231" s="0" t="s">
        <v>937</v>
      </c>
      <c r="H231" s="0" t="s">
        <v>227</v>
      </c>
      <c r="I231" s="0" t="s">
        <v>38</v>
      </c>
      <c r="J231" s="0" t="s">
        <v>697</v>
      </c>
      <c r="K231" s="83" t="s">
        <v>938</v>
      </c>
      <c r="L231" s="0" t="s">
        <v>939</v>
      </c>
      <c r="M231" s="0" t="s">
        <v>36</v>
      </c>
      <c r="N231" s="0" t="str">
        <f t="shared" si="3"/>
        <v>APINbeMakurdi</v>
      </c>
    </row>
    <row r="232">
      <c r="E232" s="0" t="s">
        <v>940</v>
      </c>
      <c r="H232" s="0" t="s">
        <v>227</v>
      </c>
      <c r="I232" s="0" t="s">
        <v>38</v>
      </c>
      <c r="J232" s="0" t="s">
        <v>697</v>
      </c>
      <c r="K232" s="83" t="s">
        <v>941</v>
      </c>
      <c r="L232" s="0" t="s">
        <v>942</v>
      </c>
      <c r="M232" s="0" t="s">
        <v>36</v>
      </c>
      <c r="N232" s="0" t="str">
        <f t="shared" si="3"/>
        <v>APINbeMakurdi</v>
      </c>
    </row>
    <row r="233">
      <c r="E233" s="0" t="s">
        <v>943</v>
      </c>
      <c r="H233" s="0" t="s">
        <v>227</v>
      </c>
      <c r="I233" s="0" t="s">
        <v>38</v>
      </c>
      <c r="J233" s="0" t="s">
        <v>697</v>
      </c>
      <c r="K233" s="83" t="s">
        <v>944</v>
      </c>
      <c r="L233" s="0" t="s">
        <v>945</v>
      </c>
      <c r="M233" s="0" t="s">
        <v>36</v>
      </c>
      <c r="N233" s="0" t="str">
        <f t="shared" si="3"/>
        <v>APINbeMakurdi</v>
      </c>
    </row>
    <row r="234">
      <c r="E234" s="0" t="s">
        <v>946</v>
      </c>
      <c r="H234" s="0" t="s">
        <v>227</v>
      </c>
      <c r="I234" s="0" t="s">
        <v>38</v>
      </c>
      <c r="J234" s="0" t="s">
        <v>697</v>
      </c>
      <c r="K234" s="83" t="s">
        <v>947</v>
      </c>
      <c r="L234" s="0" t="s">
        <v>948</v>
      </c>
      <c r="M234" s="0" t="s">
        <v>36</v>
      </c>
      <c r="N234" s="0" t="str">
        <f t="shared" si="3"/>
        <v>APINbeMakurdi</v>
      </c>
    </row>
    <row r="235">
      <c r="E235" s="0" t="s">
        <v>949</v>
      </c>
      <c r="H235" s="0" t="s">
        <v>227</v>
      </c>
      <c r="I235" s="0" t="s">
        <v>38</v>
      </c>
      <c r="J235" s="0" t="s">
        <v>697</v>
      </c>
      <c r="K235" s="83" t="s">
        <v>950</v>
      </c>
      <c r="L235" s="0" t="s">
        <v>951</v>
      </c>
      <c r="M235" s="0" t="s">
        <v>36</v>
      </c>
      <c r="N235" s="0" t="str">
        <f t="shared" si="3"/>
        <v>APINbeMakurdi</v>
      </c>
    </row>
    <row r="236">
      <c r="E236" s="0" t="s">
        <v>952</v>
      </c>
      <c r="H236" s="0" t="s">
        <v>227</v>
      </c>
      <c r="I236" s="0" t="s">
        <v>38</v>
      </c>
      <c r="J236" s="0" t="s">
        <v>697</v>
      </c>
      <c r="K236" s="83" t="s">
        <v>953</v>
      </c>
      <c r="L236" s="0" t="s">
        <v>954</v>
      </c>
      <c r="M236" s="0" t="s">
        <v>36</v>
      </c>
      <c r="N236" s="0" t="str">
        <f t="shared" si="3"/>
        <v>APINbeMakurdi</v>
      </c>
    </row>
    <row r="237">
      <c r="E237" s="0" t="s">
        <v>955</v>
      </c>
      <c r="H237" s="0" t="s">
        <v>227</v>
      </c>
      <c r="I237" s="0" t="s">
        <v>38</v>
      </c>
      <c r="J237" s="0" t="s">
        <v>697</v>
      </c>
      <c r="K237" s="83" t="s">
        <v>956</v>
      </c>
      <c r="L237" s="0" t="s">
        <v>957</v>
      </c>
      <c r="M237" s="0" t="s">
        <v>36</v>
      </c>
      <c r="N237" s="0" t="str">
        <f t="shared" si="3"/>
        <v>APINbeMakurdi</v>
      </c>
    </row>
    <row r="238">
      <c r="E238" s="0" t="s">
        <v>958</v>
      </c>
      <c r="H238" s="0" t="s">
        <v>227</v>
      </c>
      <c r="I238" s="0" t="s">
        <v>38</v>
      </c>
      <c r="J238" s="0" t="s">
        <v>697</v>
      </c>
      <c r="K238" s="83" t="s">
        <v>959</v>
      </c>
      <c r="L238" s="0" t="s">
        <v>960</v>
      </c>
      <c r="M238" s="0" t="s">
        <v>36</v>
      </c>
      <c r="N238" s="0" t="str">
        <f t="shared" si="3"/>
        <v>APINbeMakurdi</v>
      </c>
    </row>
    <row r="239">
      <c r="E239" s="0" t="s">
        <v>961</v>
      </c>
      <c r="H239" s="0" t="s">
        <v>227</v>
      </c>
      <c r="I239" s="0" t="s">
        <v>38</v>
      </c>
      <c r="J239" s="0" t="s">
        <v>697</v>
      </c>
      <c r="K239" s="83" t="s">
        <v>962</v>
      </c>
      <c r="L239" s="0" t="s">
        <v>963</v>
      </c>
      <c r="M239" s="0" t="s">
        <v>36</v>
      </c>
      <c r="N239" s="0" t="str">
        <f t="shared" si="3"/>
        <v>APINbeMakurdi</v>
      </c>
    </row>
    <row r="240">
      <c r="E240" s="0" t="s">
        <v>964</v>
      </c>
      <c r="H240" s="0" t="s">
        <v>227</v>
      </c>
      <c r="I240" s="0" t="s">
        <v>38</v>
      </c>
      <c r="J240" s="0" t="s">
        <v>697</v>
      </c>
      <c r="K240" s="83" t="s">
        <v>965</v>
      </c>
      <c r="L240" s="0" t="s">
        <v>966</v>
      </c>
      <c r="M240" s="0" t="s">
        <v>36</v>
      </c>
      <c r="N240" s="0" t="str">
        <f t="shared" si="3"/>
        <v>APINbeMakurdi</v>
      </c>
    </row>
    <row r="241">
      <c r="E241" s="0" t="s">
        <v>967</v>
      </c>
      <c r="H241" s="0" t="s">
        <v>227</v>
      </c>
      <c r="I241" s="0" t="s">
        <v>38</v>
      </c>
      <c r="J241" s="0" t="s">
        <v>697</v>
      </c>
      <c r="K241" s="83" t="s">
        <v>968</v>
      </c>
      <c r="L241" s="0" t="s">
        <v>969</v>
      </c>
      <c r="M241" s="0" t="s">
        <v>36</v>
      </c>
      <c r="N241" s="0" t="str">
        <f t="shared" si="3"/>
        <v>APINbeMakurdi</v>
      </c>
    </row>
    <row r="242">
      <c r="E242" s="0" t="s">
        <v>970</v>
      </c>
      <c r="H242" s="0" t="s">
        <v>227</v>
      </c>
      <c r="I242" s="0" t="s">
        <v>38</v>
      </c>
      <c r="J242" s="0" t="s">
        <v>697</v>
      </c>
      <c r="K242" s="83" t="s">
        <v>971</v>
      </c>
      <c r="L242" s="0" t="s">
        <v>972</v>
      </c>
      <c r="M242" s="0" t="s">
        <v>36</v>
      </c>
      <c r="N242" s="0" t="str">
        <f t="shared" si="3"/>
        <v>APINbeMakurdi</v>
      </c>
    </row>
    <row r="243">
      <c r="E243" s="0" t="s">
        <v>973</v>
      </c>
      <c r="H243" s="0" t="s">
        <v>227</v>
      </c>
      <c r="I243" s="0" t="s">
        <v>38</v>
      </c>
      <c r="J243" s="0" t="s">
        <v>697</v>
      </c>
      <c r="K243" s="83" t="s">
        <v>974</v>
      </c>
      <c r="L243" s="0" t="s">
        <v>975</v>
      </c>
      <c r="M243" s="0" t="s">
        <v>36</v>
      </c>
      <c r="N243" s="0" t="str">
        <f t="shared" si="3"/>
        <v>APINbeMakurdi</v>
      </c>
    </row>
    <row r="244">
      <c r="E244" s="0" t="s">
        <v>976</v>
      </c>
      <c r="H244" s="0" t="s">
        <v>227</v>
      </c>
      <c r="I244" s="0" t="s">
        <v>38</v>
      </c>
      <c r="J244" s="0" t="s">
        <v>697</v>
      </c>
      <c r="K244" s="83" t="s">
        <v>977</v>
      </c>
      <c r="L244" s="0" t="s">
        <v>978</v>
      </c>
      <c r="M244" s="0" t="s">
        <v>36</v>
      </c>
      <c r="N244" s="0" t="str">
        <f t="shared" si="3"/>
        <v>APINbeMakurdi</v>
      </c>
    </row>
    <row r="245">
      <c r="E245" s="0" t="s">
        <v>979</v>
      </c>
      <c r="H245" s="0" t="s">
        <v>227</v>
      </c>
      <c r="I245" s="0" t="s">
        <v>38</v>
      </c>
      <c r="J245" s="0" t="s">
        <v>697</v>
      </c>
      <c r="K245" s="83" t="s">
        <v>980</v>
      </c>
      <c r="L245" s="0" t="s">
        <v>981</v>
      </c>
      <c r="M245" s="0" t="s">
        <v>36</v>
      </c>
      <c r="N245" s="0" t="str">
        <f t="shared" si="3"/>
        <v>APINbeMakurdi</v>
      </c>
    </row>
    <row r="246">
      <c r="E246" s="0" t="s">
        <v>982</v>
      </c>
      <c r="H246" s="0" t="s">
        <v>227</v>
      </c>
      <c r="I246" s="0" t="s">
        <v>38</v>
      </c>
      <c r="J246" s="0" t="s">
        <v>697</v>
      </c>
      <c r="K246" s="83" t="s">
        <v>983</v>
      </c>
      <c r="L246" s="0" t="s">
        <v>984</v>
      </c>
      <c r="M246" s="0" t="s">
        <v>36</v>
      </c>
      <c r="N246" s="0" t="str">
        <f t="shared" si="3"/>
        <v>APINbeMakurdi</v>
      </c>
    </row>
    <row r="247">
      <c r="E247" s="0" t="s">
        <v>985</v>
      </c>
      <c r="H247" s="0" t="s">
        <v>227</v>
      </c>
      <c r="I247" s="0" t="s">
        <v>38</v>
      </c>
      <c r="J247" s="0" t="s">
        <v>697</v>
      </c>
      <c r="K247" s="83" t="s">
        <v>986</v>
      </c>
      <c r="L247" s="0" t="s">
        <v>987</v>
      </c>
      <c r="M247" s="0" t="s">
        <v>36</v>
      </c>
      <c r="N247" s="0" t="str">
        <f t="shared" si="3"/>
        <v>APINbeMakurdi</v>
      </c>
    </row>
    <row r="248">
      <c r="E248" s="0" t="s">
        <v>988</v>
      </c>
      <c r="H248" s="0" t="s">
        <v>227</v>
      </c>
      <c r="I248" s="0" t="s">
        <v>38</v>
      </c>
      <c r="J248" s="0" t="s">
        <v>697</v>
      </c>
      <c r="K248" s="83" t="s">
        <v>989</v>
      </c>
      <c r="L248" s="0" t="s">
        <v>990</v>
      </c>
      <c r="M248" s="0" t="s">
        <v>36</v>
      </c>
      <c r="N248" s="0" t="str">
        <f t="shared" si="3"/>
        <v>APINbeMakurdi</v>
      </c>
    </row>
    <row r="249">
      <c r="H249" s="0" t="s">
        <v>227</v>
      </c>
      <c r="I249" s="0" t="s">
        <v>38</v>
      </c>
      <c r="J249" s="0" t="s">
        <v>700</v>
      </c>
      <c r="K249" s="83" t="s">
        <v>991</v>
      </c>
      <c r="L249" s="0" t="s">
        <v>992</v>
      </c>
      <c r="M249" s="0" t="s">
        <v>36</v>
      </c>
      <c r="N249" s="0" t="str">
        <f t="shared" si="3"/>
        <v>APINbeObi</v>
      </c>
    </row>
    <row r="250">
      <c r="H250" s="0" t="s">
        <v>227</v>
      </c>
      <c r="I250" s="0" t="s">
        <v>38</v>
      </c>
      <c r="J250" s="0" t="s">
        <v>700</v>
      </c>
      <c r="K250" s="83" t="s">
        <v>993</v>
      </c>
      <c r="L250" s="0" t="s">
        <v>994</v>
      </c>
      <c r="M250" s="0" t="s">
        <v>36</v>
      </c>
      <c r="N250" s="0" t="str">
        <f t="shared" si="3"/>
        <v>APINbeObi</v>
      </c>
    </row>
    <row r="251">
      <c r="H251" s="0" t="s">
        <v>227</v>
      </c>
      <c r="I251" s="0" t="s">
        <v>38</v>
      </c>
      <c r="J251" s="0" t="s">
        <v>700</v>
      </c>
      <c r="K251" s="83" t="s">
        <v>995</v>
      </c>
      <c r="L251" s="0" t="s">
        <v>996</v>
      </c>
      <c r="M251" s="0" t="s">
        <v>36</v>
      </c>
      <c r="N251" s="0" t="str">
        <f t="shared" si="3"/>
        <v>APINbeObi</v>
      </c>
    </row>
    <row r="252">
      <c r="H252" s="0" t="s">
        <v>227</v>
      </c>
      <c r="I252" s="0" t="s">
        <v>38</v>
      </c>
      <c r="J252" s="0" t="s">
        <v>700</v>
      </c>
      <c r="K252" s="83" t="s">
        <v>997</v>
      </c>
      <c r="L252" s="0" t="s">
        <v>998</v>
      </c>
      <c r="M252" s="0" t="s">
        <v>36</v>
      </c>
      <c r="N252" s="0" t="str">
        <f t="shared" si="3"/>
        <v>APINbeObi</v>
      </c>
    </row>
    <row r="253">
      <c r="H253" s="0" t="s">
        <v>227</v>
      </c>
      <c r="I253" s="0" t="s">
        <v>38</v>
      </c>
      <c r="J253" s="0" t="s">
        <v>700</v>
      </c>
      <c r="K253" s="83" t="s">
        <v>999</v>
      </c>
      <c r="L253" s="0" t="s">
        <v>1000</v>
      </c>
      <c r="M253" s="0" t="s">
        <v>36</v>
      </c>
      <c r="N253" s="0" t="str">
        <f t="shared" si="3"/>
        <v>APINbeObi</v>
      </c>
    </row>
    <row r="254">
      <c r="H254" s="0" t="s">
        <v>227</v>
      </c>
      <c r="I254" s="0" t="s">
        <v>38</v>
      </c>
      <c r="J254" s="0" t="s">
        <v>703</v>
      </c>
      <c r="K254" s="83" t="s">
        <v>1001</v>
      </c>
      <c r="L254" s="0" t="s">
        <v>1002</v>
      </c>
      <c r="M254" s="0" t="s">
        <v>36</v>
      </c>
      <c r="N254" s="0" t="str">
        <f t="shared" si="3"/>
        <v>APINbeOgbadibo</v>
      </c>
    </row>
    <row r="255">
      <c r="H255" s="0" t="s">
        <v>227</v>
      </c>
      <c r="I255" s="0" t="s">
        <v>38</v>
      </c>
      <c r="J255" s="0" t="s">
        <v>706</v>
      </c>
      <c r="K255" s="83" t="s">
        <v>1003</v>
      </c>
      <c r="L255" s="0" t="s">
        <v>1004</v>
      </c>
      <c r="M255" s="0" t="s">
        <v>36</v>
      </c>
      <c r="N255" s="0" t="str">
        <f t="shared" si="3"/>
        <v>APINbeOhimini</v>
      </c>
    </row>
    <row r="256">
      <c r="H256" s="0" t="s">
        <v>227</v>
      </c>
      <c r="I256" s="0" t="s">
        <v>38</v>
      </c>
      <c r="J256" s="0" t="s">
        <v>706</v>
      </c>
      <c r="K256" s="83" t="s">
        <v>1005</v>
      </c>
      <c r="L256" s="0" t="s">
        <v>1006</v>
      </c>
      <c r="M256" s="0" t="s">
        <v>36</v>
      </c>
      <c r="N256" s="0" t="str">
        <f t="shared" si="3"/>
        <v>APINbeOhimini</v>
      </c>
    </row>
    <row r="257">
      <c r="H257" s="0" t="s">
        <v>227</v>
      </c>
      <c r="I257" s="0" t="s">
        <v>38</v>
      </c>
      <c r="J257" s="0" t="s">
        <v>709</v>
      </c>
      <c r="K257" s="83" t="s">
        <v>1007</v>
      </c>
      <c r="L257" s="0" t="s">
        <v>1008</v>
      </c>
      <c r="M257" s="0" t="s">
        <v>36</v>
      </c>
      <c r="N257" s="0" t="str">
        <f t="shared" si="3"/>
        <v>APINbeOju</v>
      </c>
    </row>
    <row r="258">
      <c r="H258" s="0" t="s">
        <v>227</v>
      </c>
      <c r="I258" s="0" t="s">
        <v>38</v>
      </c>
      <c r="J258" s="0" t="s">
        <v>709</v>
      </c>
      <c r="K258" s="83" t="s">
        <v>1009</v>
      </c>
      <c r="L258" s="0" t="s">
        <v>1010</v>
      </c>
      <c r="M258" s="0" t="s">
        <v>36</v>
      </c>
      <c r="N258" s="0" t="str">
        <f t="shared" si="3"/>
        <v>APINbeOju</v>
      </c>
    </row>
    <row r="259">
      <c r="H259" s="0" t="s">
        <v>227</v>
      </c>
      <c r="I259" s="0" t="s">
        <v>38</v>
      </c>
      <c r="J259" s="0" t="s">
        <v>712</v>
      </c>
      <c r="K259" s="83" t="s">
        <v>1011</v>
      </c>
      <c r="L259" s="0" t="s">
        <v>1012</v>
      </c>
      <c r="M259" s="0" t="s">
        <v>36</v>
      </c>
      <c r="N259" s="0" t="str">
        <f ref="N259:N322" t="shared" si="4">SUBSTITUTE(SUBSTITUTE(M259&amp;J259," ",""),"-","")</f>
        <v>APINbeOkpokwu</v>
      </c>
    </row>
    <row r="260">
      <c r="H260" s="0" t="s">
        <v>227</v>
      </c>
      <c r="I260" s="0" t="s">
        <v>38</v>
      </c>
      <c r="J260" s="0" t="s">
        <v>712</v>
      </c>
      <c r="K260" s="83" t="s">
        <v>1013</v>
      </c>
      <c r="L260" s="0" t="s">
        <v>1014</v>
      </c>
      <c r="M260" s="0" t="s">
        <v>36</v>
      </c>
      <c r="N260" s="0" t="str">
        <f t="shared" si="4"/>
        <v>APINbeOkpokwu</v>
      </c>
    </row>
    <row r="261">
      <c r="H261" s="0" t="s">
        <v>227</v>
      </c>
      <c r="I261" s="0" t="s">
        <v>38</v>
      </c>
      <c r="J261" s="0" t="s">
        <v>712</v>
      </c>
      <c r="K261" s="83" t="s">
        <v>1015</v>
      </c>
      <c r="L261" s="0" t="s">
        <v>1016</v>
      </c>
      <c r="M261" s="0" t="s">
        <v>36</v>
      </c>
      <c r="N261" s="0" t="str">
        <f t="shared" si="4"/>
        <v>APINbeOkpokwu</v>
      </c>
    </row>
    <row r="262">
      <c r="H262" s="0" t="s">
        <v>227</v>
      </c>
      <c r="I262" s="0" t="s">
        <v>38</v>
      </c>
      <c r="J262" s="0" t="s">
        <v>712</v>
      </c>
      <c r="K262" s="83" t="s">
        <v>1017</v>
      </c>
      <c r="L262" s="0" t="s">
        <v>1018</v>
      </c>
      <c r="M262" s="0" t="s">
        <v>36</v>
      </c>
      <c r="N262" s="0" t="str">
        <f t="shared" si="4"/>
        <v>APINbeOkpokwu</v>
      </c>
    </row>
    <row r="263">
      <c r="H263" s="0" t="s">
        <v>227</v>
      </c>
      <c r="I263" s="0" t="s">
        <v>38</v>
      </c>
      <c r="J263" s="0" t="s">
        <v>712</v>
      </c>
      <c r="K263" s="83" t="s">
        <v>1019</v>
      </c>
      <c r="L263" s="0" t="s">
        <v>1020</v>
      </c>
      <c r="M263" s="0" t="s">
        <v>36</v>
      </c>
      <c r="N263" s="0" t="str">
        <f t="shared" si="4"/>
        <v>APINbeOkpokwu</v>
      </c>
    </row>
    <row r="264">
      <c r="H264" s="0" t="s">
        <v>227</v>
      </c>
      <c r="I264" s="0" t="s">
        <v>38</v>
      </c>
      <c r="J264" s="0" t="s">
        <v>715</v>
      </c>
      <c r="K264" s="83" t="s">
        <v>1021</v>
      </c>
      <c r="L264" s="0" t="s">
        <v>1022</v>
      </c>
      <c r="M264" s="0" t="s">
        <v>36</v>
      </c>
      <c r="N264" s="0" t="str">
        <f t="shared" si="4"/>
        <v>APINbeOtukpo</v>
      </c>
    </row>
    <row r="265">
      <c r="H265" s="0" t="s">
        <v>227</v>
      </c>
      <c r="I265" s="0" t="s">
        <v>38</v>
      </c>
      <c r="J265" s="0" t="s">
        <v>715</v>
      </c>
      <c r="K265" s="83" t="s">
        <v>1023</v>
      </c>
      <c r="L265" s="0" t="s">
        <v>1024</v>
      </c>
      <c r="M265" s="0" t="s">
        <v>36</v>
      </c>
      <c r="N265" s="0" t="str">
        <f t="shared" si="4"/>
        <v>APINbeOtukpo</v>
      </c>
    </row>
    <row r="266">
      <c r="H266" s="0" t="s">
        <v>227</v>
      </c>
      <c r="I266" s="0" t="s">
        <v>38</v>
      </c>
      <c r="J266" s="0" t="s">
        <v>715</v>
      </c>
      <c r="K266" s="83" t="s">
        <v>1025</v>
      </c>
      <c r="L266" s="0" t="s">
        <v>1026</v>
      </c>
      <c r="M266" s="0" t="s">
        <v>36</v>
      </c>
      <c r="N266" s="0" t="str">
        <f t="shared" si="4"/>
        <v>APINbeOtukpo</v>
      </c>
    </row>
    <row r="267">
      <c r="H267" s="0" t="s">
        <v>227</v>
      </c>
      <c r="I267" s="0" t="s">
        <v>38</v>
      </c>
      <c r="J267" s="0" t="s">
        <v>715</v>
      </c>
      <c r="K267" s="83" t="s">
        <v>1027</v>
      </c>
      <c r="L267" s="0" t="s">
        <v>1028</v>
      </c>
      <c r="M267" s="0" t="s">
        <v>36</v>
      </c>
      <c r="N267" s="0" t="str">
        <f t="shared" si="4"/>
        <v>APINbeOtukpo</v>
      </c>
    </row>
    <row r="268">
      <c r="H268" s="0" t="s">
        <v>227</v>
      </c>
      <c r="I268" s="0" t="s">
        <v>38</v>
      </c>
      <c r="J268" s="0" t="s">
        <v>715</v>
      </c>
      <c r="K268" s="83" t="s">
        <v>1029</v>
      </c>
      <c r="L268" s="0" t="s">
        <v>1030</v>
      </c>
      <c r="M268" s="0" t="s">
        <v>36</v>
      </c>
      <c r="N268" s="0" t="str">
        <f t="shared" si="4"/>
        <v>APINbeOtukpo</v>
      </c>
    </row>
    <row r="269">
      <c r="H269" s="0" t="s">
        <v>227</v>
      </c>
      <c r="I269" s="0" t="s">
        <v>38</v>
      </c>
      <c r="J269" s="0" t="s">
        <v>715</v>
      </c>
      <c r="K269" s="83" t="s">
        <v>1031</v>
      </c>
      <c r="L269" s="0" t="s">
        <v>1032</v>
      </c>
      <c r="M269" s="0" t="s">
        <v>36</v>
      </c>
      <c r="N269" s="0" t="str">
        <f t="shared" si="4"/>
        <v>APINbeOtukpo</v>
      </c>
    </row>
    <row r="270">
      <c r="H270" s="0" t="s">
        <v>227</v>
      </c>
      <c r="I270" s="0" t="s">
        <v>38</v>
      </c>
      <c r="J270" s="0" t="s">
        <v>715</v>
      </c>
      <c r="K270" s="83" t="s">
        <v>1033</v>
      </c>
      <c r="L270" s="0" t="s">
        <v>1034</v>
      </c>
      <c r="M270" s="0" t="s">
        <v>36</v>
      </c>
      <c r="N270" s="0" t="str">
        <f t="shared" si="4"/>
        <v>APINbeOtukpo</v>
      </c>
    </row>
    <row r="271">
      <c r="H271" s="0" t="s">
        <v>227</v>
      </c>
      <c r="I271" s="0" t="s">
        <v>38</v>
      </c>
      <c r="J271" s="0" t="s">
        <v>715</v>
      </c>
      <c r="K271" s="83" t="s">
        <v>1035</v>
      </c>
      <c r="L271" s="0" t="s">
        <v>1036</v>
      </c>
      <c r="M271" s="0" t="s">
        <v>36</v>
      </c>
      <c r="N271" s="0" t="str">
        <f t="shared" si="4"/>
        <v>APINbeOtukpo</v>
      </c>
    </row>
    <row r="272">
      <c r="H272" s="0" t="s">
        <v>227</v>
      </c>
      <c r="I272" s="0" t="s">
        <v>38</v>
      </c>
      <c r="J272" s="0" t="s">
        <v>715</v>
      </c>
      <c r="K272" s="83" t="s">
        <v>1037</v>
      </c>
      <c r="L272" s="0" t="s">
        <v>1038</v>
      </c>
      <c r="M272" s="0" t="s">
        <v>36</v>
      </c>
      <c r="N272" s="0" t="str">
        <f t="shared" si="4"/>
        <v>APINbeOtukpo</v>
      </c>
    </row>
    <row r="273">
      <c r="H273" s="0" t="s">
        <v>227</v>
      </c>
      <c r="I273" s="0" t="s">
        <v>38</v>
      </c>
      <c r="J273" s="0" t="s">
        <v>715</v>
      </c>
      <c r="K273" s="83" t="s">
        <v>1039</v>
      </c>
      <c r="L273" s="0" t="s">
        <v>1040</v>
      </c>
      <c r="M273" s="0" t="s">
        <v>36</v>
      </c>
      <c r="N273" s="0" t="str">
        <f t="shared" si="4"/>
        <v>APINbeOtukpo</v>
      </c>
    </row>
    <row r="274">
      <c r="H274" s="0" t="s">
        <v>227</v>
      </c>
      <c r="I274" s="0" t="s">
        <v>38</v>
      </c>
      <c r="J274" s="0" t="s">
        <v>715</v>
      </c>
      <c r="K274" s="83" t="s">
        <v>1041</v>
      </c>
      <c r="L274" s="0" t="s">
        <v>1042</v>
      </c>
      <c r="M274" s="0" t="s">
        <v>36</v>
      </c>
      <c r="N274" s="0" t="str">
        <f t="shared" si="4"/>
        <v>APINbeOtukpo</v>
      </c>
    </row>
    <row r="275">
      <c r="H275" s="0" t="s">
        <v>227</v>
      </c>
      <c r="I275" s="0" t="s">
        <v>38</v>
      </c>
      <c r="J275" s="0" t="s">
        <v>718</v>
      </c>
      <c r="K275" s="83" t="s">
        <v>1043</v>
      </c>
      <c r="L275" s="0" t="s">
        <v>1044</v>
      </c>
      <c r="M275" s="0" t="s">
        <v>36</v>
      </c>
      <c r="N275" s="0" t="str">
        <f t="shared" si="4"/>
        <v>APINbeTarka</v>
      </c>
    </row>
    <row r="276">
      <c r="H276" s="0" t="s">
        <v>227</v>
      </c>
      <c r="I276" s="0" t="s">
        <v>38</v>
      </c>
      <c r="J276" s="0" t="s">
        <v>718</v>
      </c>
      <c r="K276" s="83" t="s">
        <v>1045</v>
      </c>
      <c r="L276" s="0" t="s">
        <v>1046</v>
      </c>
      <c r="M276" s="0" t="s">
        <v>36</v>
      </c>
      <c r="N276" s="0" t="str">
        <f t="shared" si="4"/>
        <v>APINbeTarka</v>
      </c>
    </row>
    <row r="277">
      <c r="H277" s="0" t="s">
        <v>227</v>
      </c>
      <c r="I277" s="0" t="s">
        <v>38</v>
      </c>
      <c r="J277" s="0" t="s">
        <v>718</v>
      </c>
      <c r="K277" s="83" t="s">
        <v>1047</v>
      </c>
      <c r="L277" s="0" t="s">
        <v>1048</v>
      </c>
      <c r="M277" s="0" t="s">
        <v>36</v>
      </c>
      <c r="N277" s="0" t="str">
        <f t="shared" si="4"/>
        <v>APINbeTarka</v>
      </c>
    </row>
    <row r="278">
      <c r="H278" s="0" t="s">
        <v>227</v>
      </c>
      <c r="I278" s="0" t="s">
        <v>38</v>
      </c>
      <c r="J278" s="0" t="s">
        <v>718</v>
      </c>
      <c r="K278" s="83" t="s">
        <v>1049</v>
      </c>
      <c r="L278" s="0" t="s">
        <v>1050</v>
      </c>
      <c r="M278" s="0" t="s">
        <v>36</v>
      </c>
      <c r="N278" s="0" t="str">
        <f t="shared" si="4"/>
        <v>APINbeTarka</v>
      </c>
    </row>
    <row r="279">
      <c r="H279" s="0" t="s">
        <v>227</v>
      </c>
      <c r="I279" s="0" t="s">
        <v>38</v>
      </c>
      <c r="J279" s="0" t="s">
        <v>718</v>
      </c>
      <c r="K279" s="83" t="s">
        <v>1051</v>
      </c>
      <c r="L279" s="0" t="s">
        <v>1052</v>
      </c>
      <c r="M279" s="0" t="s">
        <v>36</v>
      </c>
      <c r="N279" s="0" t="str">
        <f t="shared" si="4"/>
        <v>APINbeTarka</v>
      </c>
    </row>
    <row r="280">
      <c r="H280" s="0" t="s">
        <v>227</v>
      </c>
      <c r="I280" s="0" t="s">
        <v>38</v>
      </c>
      <c r="J280" s="0" t="s">
        <v>718</v>
      </c>
      <c r="K280" s="83" t="s">
        <v>1053</v>
      </c>
      <c r="L280" s="0" t="s">
        <v>1054</v>
      </c>
      <c r="M280" s="0" t="s">
        <v>36</v>
      </c>
      <c r="N280" s="0" t="str">
        <f t="shared" si="4"/>
        <v>APINbeTarka</v>
      </c>
    </row>
    <row r="281">
      <c r="H281" s="0" t="s">
        <v>227</v>
      </c>
      <c r="I281" s="0" t="s">
        <v>38</v>
      </c>
      <c r="J281" s="0" t="s">
        <v>718</v>
      </c>
      <c r="K281" s="83" t="s">
        <v>1055</v>
      </c>
      <c r="L281" s="0" t="s">
        <v>1056</v>
      </c>
      <c r="M281" s="0" t="s">
        <v>36</v>
      </c>
      <c r="N281" s="0" t="str">
        <f t="shared" si="4"/>
        <v>APINbeTarka</v>
      </c>
    </row>
    <row r="282">
      <c r="H282" s="0" t="s">
        <v>227</v>
      </c>
      <c r="I282" s="0" t="s">
        <v>38</v>
      </c>
      <c r="J282" s="0" t="s">
        <v>718</v>
      </c>
      <c r="K282" s="83" t="s">
        <v>1057</v>
      </c>
      <c r="L282" s="0" t="s">
        <v>1058</v>
      </c>
      <c r="M282" s="0" t="s">
        <v>36</v>
      </c>
      <c r="N282" s="0" t="str">
        <f t="shared" si="4"/>
        <v>APINbeTarka</v>
      </c>
    </row>
    <row r="283">
      <c r="H283" s="0" t="s">
        <v>227</v>
      </c>
      <c r="I283" s="0" t="s">
        <v>38</v>
      </c>
      <c r="J283" s="0" t="s">
        <v>718</v>
      </c>
      <c r="K283" s="83" t="s">
        <v>1059</v>
      </c>
      <c r="L283" s="0" t="s">
        <v>1060</v>
      </c>
      <c r="M283" s="0" t="s">
        <v>36</v>
      </c>
      <c r="N283" s="0" t="str">
        <f t="shared" si="4"/>
        <v>APINbeTarka</v>
      </c>
    </row>
    <row r="284">
      <c r="H284" s="0" t="s">
        <v>227</v>
      </c>
      <c r="I284" s="0" t="s">
        <v>38</v>
      </c>
      <c r="J284" s="0" t="s">
        <v>718</v>
      </c>
      <c r="K284" s="83" t="s">
        <v>1061</v>
      </c>
      <c r="L284" s="0" t="s">
        <v>1062</v>
      </c>
      <c r="M284" s="0" t="s">
        <v>36</v>
      </c>
      <c r="N284" s="0" t="str">
        <f t="shared" si="4"/>
        <v>APINbeTarka</v>
      </c>
    </row>
    <row r="285">
      <c r="H285" s="0" t="s">
        <v>227</v>
      </c>
      <c r="I285" s="0" t="s">
        <v>38</v>
      </c>
      <c r="J285" s="0" t="s">
        <v>718</v>
      </c>
      <c r="K285" s="83" t="s">
        <v>1063</v>
      </c>
      <c r="L285" s="0" t="s">
        <v>1064</v>
      </c>
      <c r="M285" s="0" t="s">
        <v>36</v>
      </c>
      <c r="N285" s="0" t="str">
        <f t="shared" si="4"/>
        <v>APINbeTarka</v>
      </c>
    </row>
    <row r="286">
      <c r="H286" s="0" t="s">
        <v>227</v>
      </c>
      <c r="I286" s="0" t="s">
        <v>38</v>
      </c>
      <c r="J286" s="0" t="s">
        <v>718</v>
      </c>
      <c r="K286" s="83" t="s">
        <v>1065</v>
      </c>
      <c r="L286" s="0" t="s">
        <v>1066</v>
      </c>
      <c r="M286" s="0" t="s">
        <v>36</v>
      </c>
      <c r="N286" s="0" t="str">
        <f t="shared" si="4"/>
        <v>APINbeTarka</v>
      </c>
    </row>
    <row r="287">
      <c r="H287" s="0" t="s">
        <v>227</v>
      </c>
      <c r="I287" s="0" t="s">
        <v>38</v>
      </c>
      <c r="J287" s="0" t="s">
        <v>718</v>
      </c>
      <c r="K287" s="83" t="s">
        <v>1067</v>
      </c>
      <c r="L287" s="0" t="s">
        <v>1068</v>
      </c>
      <c r="M287" s="0" t="s">
        <v>36</v>
      </c>
      <c r="N287" s="0" t="str">
        <f t="shared" si="4"/>
        <v>APINbeTarka</v>
      </c>
    </row>
    <row r="288">
      <c r="H288" s="0" t="s">
        <v>227</v>
      </c>
      <c r="I288" s="0" t="s">
        <v>38</v>
      </c>
      <c r="J288" s="0" t="s">
        <v>718</v>
      </c>
      <c r="K288" s="83" t="s">
        <v>1069</v>
      </c>
      <c r="L288" s="0" t="s">
        <v>1070</v>
      </c>
      <c r="M288" s="0" t="s">
        <v>36</v>
      </c>
      <c r="N288" s="0" t="str">
        <f t="shared" si="4"/>
        <v>APINbeTarka</v>
      </c>
    </row>
    <row r="289">
      <c r="H289" s="0" t="s">
        <v>227</v>
      </c>
      <c r="I289" s="0" t="s">
        <v>38</v>
      </c>
      <c r="J289" s="0" t="s">
        <v>718</v>
      </c>
      <c r="K289" s="83" t="s">
        <v>1071</v>
      </c>
      <c r="L289" s="0" t="s">
        <v>1072</v>
      </c>
      <c r="M289" s="0" t="s">
        <v>36</v>
      </c>
      <c r="N289" s="0" t="str">
        <f t="shared" si="4"/>
        <v>APINbeTarka</v>
      </c>
    </row>
    <row r="290">
      <c r="H290" s="0" t="s">
        <v>227</v>
      </c>
      <c r="I290" s="0" t="s">
        <v>38</v>
      </c>
      <c r="J290" s="0" t="s">
        <v>718</v>
      </c>
      <c r="K290" s="83" t="s">
        <v>1073</v>
      </c>
      <c r="L290" s="0" t="s">
        <v>1074</v>
      </c>
      <c r="M290" s="0" t="s">
        <v>36</v>
      </c>
      <c r="N290" s="0" t="str">
        <f t="shared" si="4"/>
        <v>APINbeTarka</v>
      </c>
    </row>
    <row r="291">
      <c r="H291" s="0" t="s">
        <v>227</v>
      </c>
      <c r="I291" s="0" t="s">
        <v>38</v>
      </c>
      <c r="J291" s="0" t="s">
        <v>718</v>
      </c>
      <c r="K291" s="83" t="s">
        <v>1075</v>
      </c>
      <c r="L291" s="0" t="s">
        <v>1076</v>
      </c>
      <c r="M291" s="0" t="s">
        <v>36</v>
      </c>
      <c r="N291" s="0" t="str">
        <f t="shared" si="4"/>
        <v>APINbeTarka</v>
      </c>
    </row>
    <row r="292">
      <c r="H292" s="0" t="s">
        <v>227</v>
      </c>
      <c r="I292" s="0" t="s">
        <v>38</v>
      </c>
      <c r="J292" s="0" t="s">
        <v>718</v>
      </c>
      <c r="K292" s="83" t="s">
        <v>1077</v>
      </c>
      <c r="L292" s="0" t="s">
        <v>1078</v>
      </c>
      <c r="M292" s="0" t="s">
        <v>36</v>
      </c>
      <c r="N292" s="0" t="str">
        <f t="shared" si="4"/>
        <v>APINbeTarka</v>
      </c>
    </row>
    <row r="293">
      <c r="H293" s="0" t="s">
        <v>227</v>
      </c>
      <c r="I293" s="0" t="s">
        <v>38</v>
      </c>
      <c r="J293" s="0" t="s">
        <v>718</v>
      </c>
      <c r="K293" s="83" t="s">
        <v>1079</v>
      </c>
      <c r="L293" s="0" t="s">
        <v>1080</v>
      </c>
      <c r="M293" s="0" t="s">
        <v>36</v>
      </c>
      <c r="N293" s="0" t="str">
        <f t="shared" si="4"/>
        <v>APINbeTarka</v>
      </c>
    </row>
    <row r="294">
      <c r="H294" s="0" t="s">
        <v>227</v>
      </c>
      <c r="I294" s="0" t="s">
        <v>38</v>
      </c>
      <c r="J294" s="0" t="s">
        <v>718</v>
      </c>
      <c r="K294" s="83" t="s">
        <v>1081</v>
      </c>
      <c r="L294" s="0" t="s">
        <v>1082</v>
      </c>
      <c r="M294" s="0" t="s">
        <v>36</v>
      </c>
      <c r="N294" s="0" t="str">
        <f t="shared" si="4"/>
        <v>APINbeTarka</v>
      </c>
    </row>
    <row r="295">
      <c r="H295" s="0" t="s">
        <v>227</v>
      </c>
      <c r="I295" s="0" t="s">
        <v>38</v>
      </c>
      <c r="J295" s="0" t="s">
        <v>718</v>
      </c>
      <c r="K295" s="83" t="s">
        <v>1083</v>
      </c>
      <c r="L295" s="0" t="s">
        <v>1084</v>
      </c>
      <c r="M295" s="0" t="s">
        <v>36</v>
      </c>
      <c r="N295" s="0" t="str">
        <f t="shared" si="4"/>
        <v>APINbeTarka</v>
      </c>
    </row>
    <row r="296">
      <c r="H296" s="0" t="s">
        <v>227</v>
      </c>
      <c r="I296" s="0" t="s">
        <v>38</v>
      </c>
      <c r="J296" s="0" t="s">
        <v>718</v>
      </c>
      <c r="K296" s="83" t="s">
        <v>1085</v>
      </c>
      <c r="L296" s="0" t="s">
        <v>1086</v>
      </c>
      <c r="M296" s="0" t="s">
        <v>36</v>
      </c>
      <c r="N296" s="0" t="str">
        <f t="shared" si="4"/>
        <v>APINbeTarka</v>
      </c>
    </row>
    <row r="297">
      <c r="H297" s="0" t="s">
        <v>227</v>
      </c>
      <c r="I297" s="0" t="s">
        <v>38</v>
      </c>
      <c r="J297" s="0" t="s">
        <v>721</v>
      </c>
      <c r="K297" s="83" t="s">
        <v>1087</v>
      </c>
      <c r="L297" s="0" t="s">
        <v>1088</v>
      </c>
      <c r="M297" s="0" t="s">
        <v>36</v>
      </c>
      <c r="N297" s="0" t="str">
        <f t="shared" si="4"/>
        <v>APINbeUkum</v>
      </c>
    </row>
    <row r="298">
      <c r="H298" s="0" t="s">
        <v>227</v>
      </c>
      <c r="I298" s="0" t="s">
        <v>38</v>
      </c>
      <c r="J298" s="0" t="s">
        <v>721</v>
      </c>
      <c r="K298" s="83" t="s">
        <v>1089</v>
      </c>
      <c r="L298" s="0" t="s">
        <v>1090</v>
      </c>
      <c r="M298" s="0" t="s">
        <v>36</v>
      </c>
      <c r="N298" s="0" t="str">
        <f t="shared" si="4"/>
        <v>APINbeUkum</v>
      </c>
    </row>
    <row r="299">
      <c r="H299" s="0" t="s">
        <v>227</v>
      </c>
      <c r="I299" s="0" t="s">
        <v>38</v>
      </c>
      <c r="J299" s="0" t="s">
        <v>721</v>
      </c>
      <c r="K299" s="83" t="s">
        <v>1091</v>
      </c>
      <c r="L299" s="0" t="s">
        <v>1092</v>
      </c>
      <c r="M299" s="0" t="s">
        <v>36</v>
      </c>
      <c r="N299" s="0" t="str">
        <f t="shared" si="4"/>
        <v>APINbeUkum</v>
      </c>
    </row>
    <row r="300">
      <c r="H300" s="0" t="s">
        <v>227</v>
      </c>
      <c r="I300" s="0" t="s">
        <v>38</v>
      </c>
      <c r="J300" s="0" t="s">
        <v>721</v>
      </c>
      <c r="K300" s="83" t="s">
        <v>1093</v>
      </c>
      <c r="L300" s="0" t="s">
        <v>1094</v>
      </c>
      <c r="M300" s="0" t="s">
        <v>36</v>
      </c>
      <c r="N300" s="0" t="str">
        <f t="shared" si="4"/>
        <v>APINbeUkum</v>
      </c>
    </row>
    <row r="301">
      <c r="H301" s="0" t="s">
        <v>227</v>
      </c>
      <c r="I301" s="0" t="s">
        <v>38</v>
      </c>
      <c r="J301" s="0" t="s">
        <v>721</v>
      </c>
      <c r="K301" s="83" t="s">
        <v>1095</v>
      </c>
      <c r="L301" s="0" t="s">
        <v>1096</v>
      </c>
      <c r="M301" s="0" t="s">
        <v>36</v>
      </c>
      <c r="N301" s="0" t="str">
        <f t="shared" si="4"/>
        <v>APINbeUkum</v>
      </c>
    </row>
    <row r="302">
      <c r="H302" s="0" t="s">
        <v>227</v>
      </c>
      <c r="I302" s="0" t="s">
        <v>38</v>
      </c>
      <c r="J302" s="0" t="s">
        <v>721</v>
      </c>
      <c r="K302" s="83" t="s">
        <v>1097</v>
      </c>
      <c r="L302" s="0" t="s">
        <v>1098</v>
      </c>
      <c r="M302" s="0" t="s">
        <v>36</v>
      </c>
      <c r="N302" s="0" t="str">
        <f t="shared" si="4"/>
        <v>APINbeUkum</v>
      </c>
    </row>
    <row r="303">
      <c r="H303" s="0" t="s">
        <v>227</v>
      </c>
      <c r="I303" s="0" t="s">
        <v>38</v>
      </c>
      <c r="J303" s="0" t="s">
        <v>721</v>
      </c>
      <c r="K303" s="83" t="s">
        <v>1099</v>
      </c>
      <c r="L303" s="0" t="s">
        <v>1100</v>
      </c>
      <c r="M303" s="0" t="s">
        <v>36</v>
      </c>
      <c r="N303" s="0" t="str">
        <f t="shared" si="4"/>
        <v>APINbeUkum</v>
      </c>
    </row>
    <row r="304">
      <c r="H304" s="0" t="s">
        <v>227</v>
      </c>
      <c r="I304" s="0" t="s">
        <v>38</v>
      </c>
      <c r="J304" s="0" t="s">
        <v>721</v>
      </c>
      <c r="K304" s="83" t="s">
        <v>1101</v>
      </c>
      <c r="L304" s="0" t="s">
        <v>1102</v>
      </c>
      <c r="M304" s="0" t="s">
        <v>36</v>
      </c>
      <c r="N304" s="0" t="str">
        <f t="shared" si="4"/>
        <v>APINbeUkum</v>
      </c>
    </row>
    <row r="305">
      <c r="H305" s="0" t="s">
        <v>227</v>
      </c>
      <c r="I305" s="0" t="s">
        <v>38</v>
      </c>
      <c r="J305" s="0" t="s">
        <v>721</v>
      </c>
      <c r="K305" s="83" t="s">
        <v>1103</v>
      </c>
      <c r="L305" s="0" t="s">
        <v>1104</v>
      </c>
      <c r="M305" s="0" t="s">
        <v>36</v>
      </c>
      <c r="N305" s="0" t="str">
        <f t="shared" si="4"/>
        <v>APINbeUkum</v>
      </c>
    </row>
    <row r="306">
      <c r="H306" s="0" t="s">
        <v>227</v>
      </c>
      <c r="I306" s="0" t="s">
        <v>38</v>
      </c>
      <c r="J306" s="0" t="s">
        <v>721</v>
      </c>
      <c r="K306" s="83" t="s">
        <v>1105</v>
      </c>
      <c r="L306" s="0" t="s">
        <v>1106</v>
      </c>
      <c r="M306" s="0" t="s">
        <v>36</v>
      </c>
      <c r="N306" s="0" t="str">
        <f t="shared" si="4"/>
        <v>APINbeUkum</v>
      </c>
    </row>
    <row r="307">
      <c r="H307" s="0" t="s">
        <v>227</v>
      </c>
      <c r="I307" s="0" t="s">
        <v>38</v>
      </c>
      <c r="J307" s="0" t="s">
        <v>721</v>
      </c>
      <c r="K307" s="83" t="s">
        <v>1107</v>
      </c>
      <c r="L307" s="0" t="s">
        <v>1108</v>
      </c>
      <c r="M307" s="0" t="s">
        <v>36</v>
      </c>
      <c r="N307" s="0" t="str">
        <f t="shared" si="4"/>
        <v>APINbeUkum</v>
      </c>
    </row>
    <row r="308">
      <c r="H308" s="0" t="s">
        <v>227</v>
      </c>
      <c r="I308" s="0" t="s">
        <v>38</v>
      </c>
      <c r="J308" s="0" t="s">
        <v>721</v>
      </c>
      <c r="K308" s="83" t="s">
        <v>1109</v>
      </c>
      <c r="L308" s="0" t="s">
        <v>1110</v>
      </c>
      <c r="M308" s="0" t="s">
        <v>36</v>
      </c>
      <c r="N308" s="0" t="str">
        <f t="shared" si="4"/>
        <v>APINbeUkum</v>
      </c>
    </row>
    <row r="309">
      <c r="H309" s="0" t="s">
        <v>227</v>
      </c>
      <c r="I309" s="0" t="s">
        <v>38</v>
      </c>
      <c r="J309" s="0" t="s">
        <v>721</v>
      </c>
      <c r="K309" s="83" t="s">
        <v>1111</v>
      </c>
      <c r="L309" s="0" t="s">
        <v>1112</v>
      </c>
      <c r="M309" s="0" t="s">
        <v>36</v>
      </c>
      <c r="N309" s="0" t="str">
        <f t="shared" si="4"/>
        <v>APINbeUkum</v>
      </c>
    </row>
    <row r="310">
      <c r="H310" s="0" t="s">
        <v>227</v>
      </c>
      <c r="I310" s="0" t="s">
        <v>38</v>
      </c>
      <c r="J310" s="0" t="s">
        <v>721</v>
      </c>
      <c r="K310" s="83" t="s">
        <v>1113</v>
      </c>
      <c r="L310" s="0" t="s">
        <v>1114</v>
      </c>
      <c r="M310" s="0" t="s">
        <v>36</v>
      </c>
      <c r="N310" s="0" t="str">
        <f t="shared" si="4"/>
        <v>APINbeUkum</v>
      </c>
    </row>
    <row r="311">
      <c r="H311" s="0" t="s">
        <v>227</v>
      </c>
      <c r="I311" s="0" t="s">
        <v>38</v>
      </c>
      <c r="J311" s="0" t="s">
        <v>721</v>
      </c>
      <c r="K311" s="83" t="s">
        <v>1115</v>
      </c>
      <c r="L311" s="0" t="s">
        <v>1116</v>
      </c>
      <c r="M311" s="0" t="s">
        <v>36</v>
      </c>
      <c r="N311" s="0" t="str">
        <f t="shared" si="4"/>
        <v>APINbeUkum</v>
      </c>
    </row>
    <row r="312">
      <c r="H312" s="0" t="s">
        <v>227</v>
      </c>
      <c r="I312" s="0" t="s">
        <v>38</v>
      </c>
      <c r="J312" s="0" t="s">
        <v>721</v>
      </c>
      <c r="K312" s="83" t="s">
        <v>1117</v>
      </c>
      <c r="L312" s="0" t="s">
        <v>1118</v>
      </c>
      <c r="M312" s="0" t="s">
        <v>36</v>
      </c>
      <c r="N312" s="0" t="str">
        <f t="shared" si="4"/>
        <v>APINbeUkum</v>
      </c>
    </row>
    <row r="313">
      <c r="H313" s="0" t="s">
        <v>227</v>
      </c>
      <c r="I313" s="0" t="s">
        <v>38</v>
      </c>
      <c r="J313" s="0" t="s">
        <v>721</v>
      </c>
      <c r="K313" s="83" t="s">
        <v>1119</v>
      </c>
      <c r="L313" s="0" t="s">
        <v>1120</v>
      </c>
      <c r="M313" s="0" t="s">
        <v>36</v>
      </c>
      <c r="N313" s="0" t="str">
        <f t="shared" si="4"/>
        <v>APINbeUkum</v>
      </c>
    </row>
    <row r="314">
      <c r="H314" s="0" t="s">
        <v>227</v>
      </c>
      <c r="I314" s="0" t="s">
        <v>38</v>
      </c>
      <c r="J314" s="0" t="s">
        <v>721</v>
      </c>
      <c r="K314" s="83" t="s">
        <v>1121</v>
      </c>
      <c r="L314" s="0" t="s">
        <v>1122</v>
      </c>
      <c r="M314" s="0" t="s">
        <v>36</v>
      </c>
      <c r="N314" s="0" t="str">
        <f t="shared" si="4"/>
        <v>APINbeUkum</v>
      </c>
    </row>
    <row r="315">
      <c r="H315" s="0" t="s">
        <v>227</v>
      </c>
      <c r="I315" s="0" t="s">
        <v>38</v>
      </c>
      <c r="J315" s="0" t="s">
        <v>721</v>
      </c>
      <c r="K315" s="83" t="s">
        <v>1123</v>
      </c>
      <c r="L315" s="0" t="s">
        <v>1124</v>
      </c>
      <c r="M315" s="0" t="s">
        <v>36</v>
      </c>
      <c r="N315" s="0" t="str">
        <f t="shared" si="4"/>
        <v>APINbeUkum</v>
      </c>
    </row>
    <row r="316">
      <c r="H316" s="0" t="s">
        <v>227</v>
      </c>
      <c r="I316" s="0" t="s">
        <v>38</v>
      </c>
      <c r="J316" s="0" t="s">
        <v>724</v>
      </c>
      <c r="K316" s="83" t="s">
        <v>1125</v>
      </c>
      <c r="L316" s="0" t="s">
        <v>1126</v>
      </c>
      <c r="M316" s="0" t="s">
        <v>36</v>
      </c>
      <c r="N316" s="0" t="str">
        <f t="shared" si="4"/>
        <v>APINbeUshongo</v>
      </c>
    </row>
    <row r="317">
      <c r="H317" s="0" t="s">
        <v>227</v>
      </c>
      <c r="I317" s="0" t="s">
        <v>38</v>
      </c>
      <c r="J317" s="0" t="s">
        <v>724</v>
      </c>
      <c r="K317" s="83" t="s">
        <v>1127</v>
      </c>
      <c r="L317" s="0" t="s">
        <v>1128</v>
      </c>
      <c r="M317" s="0" t="s">
        <v>36</v>
      </c>
      <c r="N317" s="0" t="str">
        <f t="shared" si="4"/>
        <v>APINbeUshongo</v>
      </c>
    </row>
    <row r="318">
      <c r="H318" s="0" t="s">
        <v>227</v>
      </c>
      <c r="I318" s="0" t="s">
        <v>38</v>
      </c>
      <c r="J318" s="0" t="s">
        <v>724</v>
      </c>
      <c r="K318" s="83" t="s">
        <v>1129</v>
      </c>
      <c r="L318" s="0" t="s">
        <v>1130</v>
      </c>
      <c r="M318" s="0" t="s">
        <v>36</v>
      </c>
      <c r="N318" s="0" t="str">
        <f t="shared" si="4"/>
        <v>APINbeUshongo</v>
      </c>
    </row>
    <row r="319">
      <c r="H319" s="0" t="s">
        <v>227</v>
      </c>
      <c r="I319" s="0" t="s">
        <v>38</v>
      </c>
      <c r="J319" s="0" t="s">
        <v>724</v>
      </c>
      <c r="K319" s="83" t="s">
        <v>1131</v>
      </c>
      <c r="L319" s="0" t="s">
        <v>1132</v>
      </c>
      <c r="M319" s="0" t="s">
        <v>36</v>
      </c>
      <c r="N319" s="0" t="str">
        <f t="shared" si="4"/>
        <v>APINbeUshongo</v>
      </c>
    </row>
    <row r="320">
      <c r="H320" s="0" t="s">
        <v>227</v>
      </c>
      <c r="I320" s="0" t="s">
        <v>38</v>
      </c>
      <c r="J320" s="0" t="s">
        <v>724</v>
      </c>
      <c r="K320" s="83" t="s">
        <v>1133</v>
      </c>
      <c r="L320" s="0" t="s">
        <v>1134</v>
      </c>
      <c r="M320" s="0" t="s">
        <v>36</v>
      </c>
      <c r="N320" s="0" t="str">
        <f t="shared" si="4"/>
        <v>APINbeUshongo</v>
      </c>
    </row>
    <row r="321">
      <c r="H321" s="0" t="s">
        <v>227</v>
      </c>
      <c r="I321" s="0" t="s">
        <v>38</v>
      </c>
      <c r="J321" s="0" t="s">
        <v>724</v>
      </c>
      <c r="K321" s="83" t="s">
        <v>1135</v>
      </c>
      <c r="L321" s="0" t="s">
        <v>1136</v>
      </c>
      <c r="M321" s="0" t="s">
        <v>36</v>
      </c>
      <c r="N321" s="0" t="str">
        <f t="shared" si="4"/>
        <v>APINbeUshongo</v>
      </c>
    </row>
    <row r="322">
      <c r="H322" s="0" t="s">
        <v>227</v>
      </c>
      <c r="I322" s="0" t="s">
        <v>38</v>
      </c>
      <c r="J322" s="0" t="s">
        <v>724</v>
      </c>
      <c r="K322" s="83" t="s">
        <v>1137</v>
      </c>
      <c r="L322" s="0" t="s">
        <v>1138</v>
      </c>
      <c r="M322" s="0" t="s">
        <v>36</v>
      </c>
      <c r="N322" s="0" t="str">
        <f t="shared" si="4"/>
        <v>APINbeUshongo</v>
      </c>
    </row>
    <row r="323">
      <c r="H323" s="0" t="s">
        <v>227</v>
      </c>
      <c r="I323" s="0" t="s">
        <v>38</v>
      </c>
      <c r="J323" s="0" t="s">
        <v>724</v>
      </c>
      <c r="K323" s="83" t="s">
        <v>1139</v>
      </c>
      <c r="L323" s="0" t="s">
        <v>1140</v>
      </c>
      <c r="M323" s="0" t="s">
        <v>36</v>
      </c>
      <c r="N323" s="0" t="str">
        <f ref="N323:N386" t="shared" si="5">SUBSTITUTE(SUBSTITUTE(M323&amp;J323," ",""),"-","")</f>
        <v>APINbeUshongo</v>
      </c>
    </row>
    <row r="324">
      <c r="H324" s="0" t="s">
        <v>227</v>
      </c>
      <c r="I324" s="0" t="s">
        <v>38</v>
      </c>
      <c r="J324" s="0" t="s">
        <v>724</v>
      </c>
      <c r="K324" s="83" t="s">
        <v>1141</v>
      </c>
      <c r="L324" s="0" t="s">
        <v>1142</v>
      </c>
      <c r="M324" s="0" t="s">
        <v>36</v>
      </c>
      <c r="N324" s="0" t="str">
        <f t="shared" si="5"/>
        <v>APINbeUshongo</v>
      </c>
    </row>
    <row r="325">
      <c r="H325" s="0" t="s">
        <v>227</v>
      </c>
      <c r="I325" s="0" t="s">
        <v>38</v>
      </c>
      <c r="J325" s="0" t="s">
        <v>724</v>
      </c>
      <c r="K325" s="83" t="s">
        <v>1143</v>
      </c>
      <c r="L325" s="0" t="s">
        <v>1144</v>
      </c>
      <c r="M325" s="0" t="s">
        <v>36</v>
      </c>
      <c r="N325" s="0" t="str">
        <f t="shared" si="5"/>
        <v>APINbeUshongo</v>
      </c>
    </row>
    <row r="326">
      <c r="H326" s="0" t="s">
        <v>227</v>
      </c>
      <c r="I326" s="0" t="s">
        <v>38</v>
      </c>
      <c r="J326" s="0" t="s">
        <v>724</v>
      </c>
      <c r="K326" s="83" t="s">
        <v>403</v>
      </c>
      <c r="L326" s="0" t="s">
        <v>1145</v>
      </c>
      <c r="M326" s="0" t="s">
        <v>36</v>
      </c>
      <c r="N326" s="0" t="str">
        <f t="shared" si="5"/>
        <v>APINbeUshongo</v>
      </c>
    </row>
    <row r="327">
      <c r="H327" s="0" t="s">
        <v>227</v>
      </c>
      <c r="I327" s="0" t="s">
        <v>38</v>
      </c>
      <c r="J327" s="0" t="s">
        <v>724</v>
      </c>
      <c r="K327" s="83" t="s">
        <v>1146</v>
      </c>
      <c r="L327" s="0" t="s">
        <v>1147</v>
      </c>
      <c r="M327" s="0" t="s">
        <v>36</v>
      </c>
      <c r="N327" s="0" t="str">
        <f t="shared" si="5"/>
        <v>APINbeUshongo</v>
      </c>
    </row>
    <row r="328">
      <c r="H328" s="0" t="s">
        <v>227</v>
      </c>
      <c r="I328" s="0" t="s">
        <v>38</v>
      </c>
      <c r="J328" s="0" t="s">
        <v>724</v>
      </c>
      <c r="K328" s="83" t="s">
        <v>1148</v>
      </c>
      <c r="L328" s="0" t="s">
        <v>1149</v>
      </c>
      <c r="M328" s="0" t="s">
        <v>36</v>
      </c>
      <c r="N328" s="0" t="str">
        <f t="shared" si="5"/>
        <v>APINbeUshongo</v>
      </c>
    </row>
    <row r="329">
      <c r="H329" s="0" t="s">
        <v>227</v>
      </c>
      <c r="I329" s="0" t="s">
        <v>38</v>
      </c>
      <c r="J329" s="0" t="s">
        <v>724</v>
      </c>
      <c r="K329" s="83" t="s">
        <v>1150</v>
      </c>
      <c r="L329" s="0" t="s">
        <v>1151</v>
      </c>
      <c r="M329" s="0" t="s">
        <v>36</v>
      </c>
      <c r="N329" s="0" t="str">
        <f t="shared" si="5"/>
        <v>APINbeUshongo</v>
      </c>
    </row>
    <row r="330">
      <c r="H330" s="0" t="s">
        <v>227</v>
      </c>
      <c r="I330" s="0" t="s">
        <v>38</v>
      </c>
      <c r="J330" s="0" t="s">
        <v>724</v>
      </c>
      <c r="K330" s="83" t="s">
        <v>1152</v>
      </c>
      <c r="L330" s="0" t="s">
        <v>1153</v>
      </c>
      <c r="M330" s="0" t="s">
        <v>36</v>
      </c>
      <c r="N330" s="0" t="str">
        <f t="shared" si="5"/>
        <v>APINbeUshongo</v>
      </c>
    </row>
    <row r="331">
      <c r="H331" s="0" t="s">
        <v>227</v>
      </c>
      <c r="I331" s="0" t="s">
        <v>38</v>
      </c>
      <c r="J331" s="0" t="s">
        <v>724</v>
      </c>
      <c r="K331" s="83" t="s">
        <v>1154</v>
      </c>
      <c r="L331" s="0" t="s">
        <v>1155</v>
      </c>
      <c r="M331" s="0" t="s">
        <v>36</v>
      </c>
      <c r="N331" s="0" t="str">
        <f t="shared" si="5"/>
        <v>APINbeUshongo</v>
      </c>
    </row>
    <row r="332">
      <c r="H332" s="0" t="s">
        <v>227</v>
      </c>
      <c r="I332" s="0" t="s">
        <v>38</v>
      </c>
      <c r="J332" s="0" t="s">
        <v>724</v>
      </c>
      <c r="K332" s="83" t="s">
        <v>1156</v>
      </c>
      <c r="L332" s="0" t="s">
        <v>1157</v>
      </c>
      <c r="M332" s="0" t="s">
        <v>36</v>
      </c>
      <c r="N332" s="0" t="str">
        <f t="shared" si="5"/>
        <v>APINbeUshongo</v>
      </c>
    </row>
    <row r="333">
      <c r="H333" s="0" t="s">
        <v>227</v>
      </c>
      <c r="I333" s="0" t="s">
        <v>38</v>
      </c>
      <c r="J333" s="0" t="s">
        <v>724</v>
      </c>
      <c r="K333" s="83" t="s">
        <v>1158</v>
      </c>
      <c r="L333" s="0" t="s">
        <v>1159</v>
      </c>
      <c r="M333" s="0" t="s">
        <v>36</v>
      </c>
      <c r="N333" s="0" t="str">
        <f t="shared" si="5"/>
        <v>APINbeUshongo</v>
      </c>
    </row>
    <row r="334">
      <c r="H334" s="0" t="s">
        <v>227</v>
      </c>
      <c r="I334" s="0" t="s">
        <v>38</v>
      </c>
      <c r="J334" s="0" t="s">
        <v>724</v>
      </c>
      <c r="K334" s="83" t="s">
        <v>1160</v>
      </c>
      <c r="L334" s="0" t="s">
        <v>1161</v>
      </c>
      <c r="M334" s="0" t="s">
        <v>36</v>
      </c>
      <c r="N334" s="0" t="str">
        <f t="shared" si="5"/>
        <v>APINbeUshongo</v>
      </c>
    </row>
    <row r="335">
      <c r="H335" s="0" t="s">
        <v>227</v>
      </c>
      <c r="I335" s="0" t="s">
        <v>38</v>
      </c>
      <c r="J335" s="0" t="s">
        <v>724</v>
      </c>
      <c r="K335" s="83" t="s">
        <v>1162</v>
      </c>
      <c r="L335" s="0" t="s">
        <v>1163</v>
      </c>
      <c r="M335" s="0" t="s">
        <v>36</v>
      </c>
      <c r="N335" s="0" t="str">
        <f t="shared" si="5"/>
        <v>APINbeUshongo</v>
      </c>
    </row>
    <row r="336">
      <c r="H336" s="0" t="s">
        <v>227</v>
      </c>
      <c r="I336" s="0" t="s">
        <v>38</v>
      </c>
      <c r="J336" s="0" t="s">
        <v>724</v>
      </c>
      <c r="K336" s="83" t="s">
        <v>1164</v>
      </c>
      <c r="L336" s="0" t="s">
        <v>1165</v>
      </c>
      <c r="M336" s="0" t="s">
        <v>36</v>
      </c>
      <c r="N336" s="0" t="str">
        <f t="shared" si="5"/>
        <v>APINbeUshongo</v>
      </c>
    </row>
    <row r="337">
      <c r="H337" s="0" t="s">
        <v>227</v>
      </c>
      <c r="I337" s="0" t="s">
        <v>38</v>
      </c>
      <c r="J337" s="0" t="s">
        <v>724</v>
      </c>
      <c r="K337" s="83" t="s">
        <v>1166</v>
      </c>
      <c r="L337" s="0" t="s">
        <v>1167</v>
      </c>
      <c r="M337" s="0" t="s">
        <v>36</v>
      </c>
      <c r="N337" s="0" t="str">
        <f t="shared" si="5"/>
        <v>APINbeUshongo</v>
      </c>
    </row>
    <row r="338">
      <c r="H338" s="0" t="s">
        <v>227</v>
      </c>
      <c r="I338" s="0" t="s">
        <v>38</v>
      </c>
      <c r="J338" s="0" t="s">
        <v>724</v>
      </c>
      <c r="K338" s="83" t="s">
        <v>1168</v>
      </c>
      <c r="L338" s="0" t="s">
        <v>1169</v>
      </c>
      <c r="M338" s="0" t="s">
        <v>36</v>
      </c>
      <c r="N338" s="0" t="str">
        <f t="shared" si="5"/>
        <v>APINbeUshongo</v>
      </c>
    </row>
    <row r="339">
      <c r="H339" s="0" t="s">
        <v>227</v>
      </c>
      <c r="I339" s="0" t="s">
        <v>38</v>
      </c>
      <c r="J339" s="0" t="s">
        <v>724</v>
      </c>
      <c r="K339" s="83" t="s">
        <v>1170</v>
      </c>
      <c r="L339" s="0" t="s">
        <v>1171</v>
      </c>
      <c r="M339" s="0" t="s">
        <v>36</v>
      </c>
      <c r="N339" s="0" t="str">
        <f t="shared" si="5"/>
        <v>APINbeUshongo</v>
      </c>
    </row>
    <row r="340">
      <c r="H340" s="0" t="s">
        <v>227</v>
      </c>
      <c r="I340" s="0" t="s">
        <v>38</v>
      </c>
      <c r="J340" s="0" t="s">
        <v>724</v>
      </c>
      <c r="K340" s="83" t="s">
        <v>1172</v>
      </c>
      <c r="L340" s="0" t="s">
        <v>1173</v>
      </c>
      <c r="M340" s="0" t="s">
        <v>36</v>
      </c>
      <c r="N340" s="0" t="str">
        <f t="shared" si="5"/>
        <v>APINbeUshongo</v>
      </c>
    </row>
    <row r="341">
      <c r="H341" s="0" t="s">
        <v>227</v>
      </c>
      <c r="I341" s="0" t="s">
        <v>38</v>
      </c>
      <c r="J341" s="0" t="s">
        <v>724</v>
      </c>
      <c r="K341" s="83" t="s">
        <v>1174</v>
      </c>
      <c r="L341" s="0" t="s">
        <v>1175</v>
      </c>
      <c r="M341" s="0" t="s">
        <v>36</v>
      </c>
      <c r="N341" s="0" t="str">
        <f t="shared" si="5"/>
        <v>APINbeUshongo</v>
      </c>
    </row>
    <row r="342">
      <c r="H342" s="0" t="s">
        <v>227</v>
      </c>
      <c r="I342" s="0" t="s">
        <v>38</v>
      </c>
      <c r="J342" s="0" t="s">
        <v>724</v>
      </c>
      <c r="K342" s="83" t="s">
        <v>1176</v>
      </c>
      <c r="L342" s="0" t="s">
        <v>1177</v>
      </c>
      <c r="M342" s="0" t="s">
        <v>36</v>
      </c>
      <c r="N342" s="0" t="str">
        <f t="shared" si="5"/>
        <v>APINbeUshongo</v>
      </c>
    </row>
    <row r="343">
      <c r="H343" s="0" t="s">
        <v>227</v>
      </c>
      <c r="I343" s="0" t="s">
        <v>38</v>
      </c>
      <c r="J343" s="0" t="s">
        <v>724</v>
      </c>
      <c r="K343" s="83" t="s">
        <v>1178</v>
      </c>
      <c r="L343" s="0" t="s">
        <v>1179</v>
      </c>
      <c r="M343" s="0" t="s">
        <v>36</v>
      </c>
      <c r="N343" s="0" t="str">
        <f t="shared" si="5"/>
        <v>APINbeUshongo</v>
      </c>
    </row>
    <row r="344">
      <c r="H344" s="0" t="s">
        <v>227</v>
      </c>
      <c r="I344" s="0" t="s">
        <v>38</v>
      </c>
      <c r="J344" s="0" t="s">
        <v>724</v>
      </c>
      <c r="K344" s="83" t="s">
        <v>1180</v>
      </c>
      <c r="L344" s="0" t="s">
        <v>1181</v>
      </c>
      <c r="M344" s="0" t="s">
        <v>36</v>
      </c>
      <c r="N344" s="0" t="str">
        <f t="shared" si="5"/>
        <v>APINbeUshongo</v>
      </c>
    </row>
    <row r="345">
      <c r="H345" s="0" t="s">
        <v>227</v>
      </c>
      <c r="I345" s="0" t="s">
        <v>38</v>
      </c>
      <c r="J345" s="0" t="s">
        <v>724</v>
      </c>
      <c r="K345" s="83" t="s">
        <v>1182</v>
      </c>
      <c r="L345" s="0" t="s">
        <v>1183</v>
      </c>
      <c r="M345" s="0" t="s">
        <v>36</v>
      </c>
      <c r="N345" s="0" t="str">
        <f t="shared" si="5"/>
        <v>APINbeUshongo</v>
      </c>
    </row>
    <row r="346">
      <c r="H346" s="0" t="s">
        <v>227</v>
      </c>
      <c r="I346" s="0" t="s">
        <v>38</v>
      </c>
      <c r="J346" s="0" t="s">
        <v>724</v>
      </c>
      <c r="K346" s="83" t="s">
        <v>1184</v>
      </c>
      <c r="L346" s="0" t="s">
        <v>1185</v>
      </c>
      <c r="M346" s="0" t="s">
        <v>36</v>
      </c>
      <c r="N346" s="0" t="str">
        <f t="shared" si="5"/>
        <v>APINbeUshongo</v>
      </c>
    </row>
    <row r="347">
      <c r="H347" s="0" t="s">
        <v>227</v>
      </c>
      <c r="I347" s="0" t="s">
        <v>38</v>
      </c>
      <c r="J347" s="0" t="s">
        <v>724</v>
      </c>
      <c r="K347" s="83" t="s">
        <v>1186</v>
      </c>
      <c r="L347" s="0" t="s">
        <v>1187</v>
      </c>
      <c r="M347" s="0" t="s">
        <v>36</v>
      </c>
      <c r="N347" s="0" t="str">
        <f t="shared" si="5"/>
        <v>APINbeUshongo</v>
      </c>
    </row>
    <row r="348">
      <c r="H348" s="0" t="s">
        <v>227</v>
      </c>
      <c r="I348" s="0" t="s">
        <v>38</v>
      </c>
      <c r="J348" s="0" t="s">
        <v>724</v>
      </c>
      <c r="K348" s="83" t="s">
        <v>1188</v>
      </c>
      <c r="L348" s="0" t="s">
        <v>1189</v>
      </c>
      <c r="M348" s="0" t="s">
        <v>36</v>
      </c>
      <c r="N348" s="0" t="str">
        <f t="shared" si="5"/>
        <v>APINbeUshongo</v>
      </c>
    </row>
    <row r="349">
      <c r="H349" s="0" t="s">
        <v>227</v>
      </c>
      <c r="I349" s="0" t="s">
        <v>38</v>
      </c>
      <c r="J349" s="0" t="s">
        <v>724</v>
      </c>
      <c r="K349" s="83" t="s">
        <v>1190</v>
      </c>
      <c r="L349" s="0" t="s">
        <v>1191</v>
      </c>
      <c r="M349" s="0" t="s">
        <v>36</v>
      </c>
      <c r="N349" s="0" t="str">
        <f t="shared" si="5"/>
        <v>APINbeUshongo</v>
      </c>
    </row>
    <row r="350">
      <c r="H350" s="0" t="s">
        <v>227</v>
      </c>
      <c r="I350" s="0" t="s">
        <v>38</v>
      </c>
      <c r="J350" s="0" t="s">
        <v>724</v>
      </c>
      <c r="K350" s="83" t="s">
        <v>1192</v>
      </c>
      <c r="L350" s="0" t="s">
        <v>1193</v>
      </c>
      <c r="M350" s="0" t="s">
        <v>36</v>
      </c>
      <c r="N350" s="0" t="str">
        <f t="shared" si="5"/>
        <v>APINbeUshongo</v>
      </c>
    </row>
    <row r="351">
      <c r="H351" s="0" t="s">
        <v>227</v>
      </c>
      <c r="I351" s="0" t="s">
        <v>38</v>
      </c>
      <c r="J351" s="0" t="s">
        <v>724</v>
      </c>
      <c r="K351" s="83" t="s">
        <v>1194</v>
      </c>
      <c r="L351" s="0" t="s">
        <v>1195</v>
      </c>
      <c r="M351" s="0" t="s">
        <v>36</v>
      </c>
      <c r="N351" s="0" t="str">
        <f t="shared" si="5"/>
        <v>APINbeUshongo</v>
      </c>
    </row>
    <row r="352">
      <c r="H352" s="0" t="s">
        <v>227</v>
      </c>
      <c r="I352" s="0" t="s">
        <v>38</v>
      </c>
      <c r="J352" s="0" t="s">
        <v>724</v>
      </c>
      <c r="K352" s="83" t="s">
        <v>1196</v>
      </c>
      <c r="L352" s="0" t="s">
        <v>1197</v>
      </c>
      <c r="M352" s="0" t="s">
        <v>36</v>
      </c>
      <c r="N352" s="0" t="str">
        <f t="shared" si="5"/>
        <v>APINbeUshongo</v>
      </c>
    </row>
    <row r="353">
      <c r="H353" s="0" t="s">
        <v>227</v>
      </c>
      <c r="I353" s="0" t="s">
        <v>38</v>
      </c>
      <c r="J353" s="0" t="s">
        <v>724</v>
      </c>
      <c r="K353" s="83" t="s">
        <v>1198</v>
      </c>
      <c r="L353" s="0" t="s">
        <v>1199</v>
      </c>
      <c r="M353" s="0" t="s">
        <v>36</v>
      </c>
      <c r="N353" s="0" t="str">
        <f t="shared" si="5"/>
        <v>APINbeUshongo</v>
      </c>
    </row>
    <row r="354">
      <c r="H354" s="0" t="s">
        <v>227</v>
      </c>
      <c r="I354" s="0" t="s">
        <v>38</v>
      </c>
      <c r="J354" s="0" t="s">
        <v>724</v>
      </c>
      <c r="K354" s="83" t="s">
        <v>1200</v>
      </c>
      <c r="L354" s="0" t="s">
        <v>1201</v>
      </c>
      <c r="M354" s="0" t="s">
        <v>36</v>
      </c>
      <c r="N354" s="0" t="str">
        <f t="shared" si="5"/>
        <v>APINbeUshongo</v>
      </c>
    </row>
    <row r="355">
      <c r="H355" s="0" t="s">
        <v>227</v>
      </c>
      <c r="I355" s="0" t="s">
        <v>38</v>
      </c>
      <c r="J355" s="0" t="s">
        <v>727</v>
      </c>
      <c r="K355" s="83" t="s">
        <v>1202</v>
      </c>
      <c r="L355" s="0" t="s">
        <v>1203</v>
      </c>
      <c r="M355" s="0" t="s">
        <v>36</v>
      </c>
      <c r="N355" s="0" t="str">
        <f t="shared" si="5"/>
        <v>APINbeVandeikya</v>
      </c>
    </row>
    <row r="356">
      <c r="H356" s="0" t="s">
        <v>227</v>
      </c>
      <c r="I356" s="0" t="s">
        <v>38</v>
      </c>
      <c r="J356" s="0" t="s">
        <v>727</v>
      </c>
      <c r="K356" s="83" t="s">
        <v>1204</v>
      </c>
      <c r="L356" s="0" t="s">
        <v>1205</v>
      </c>
      <c r="M356" s="0" t="s">
        <v>36</v>
      </c>
      <c r="N356" s="0" t="str">
        <f t="shared" si="5"/>
        <v>APINbeVandeikya</v>
      </c>
    </row>
    <row r="357">
      <c r="H357" s="0" t="s">
        <v>227</v>
      </c>
      <c r="I357" s="0" t="s">
        <v>38</v>
      </c>
      <c r="J357" s="0" t="s">
        <v>727</v>
      </c>
      <c r="K357" s="83" t="s">
        <v>1206</v>
      </c>
      <c r="L357" s="0" t="s">
        <v>1207</v>
      </c>
      <c r="M357" s="0" t="s">
        <v>36</v>
      </c>
      <c r="N357" s="0" t="str">
        <f t="shared" si="5"/>
        <v>APINbeVandeikya</v>
      </c>
    </row>
    <row r="358">
      <c r="H358" s="0" t="s">
        <v>227</v>
      </c>
      <c r="I358" s="0" t="s">
        <v>38</v>
      </c>
      <c r="J358" s="0" t="s">
        <v>727</v>
      </c>
      <c r="K358" s="83" t="s">
        <v>1208</v>
      </c>
      <c r="L358" s="0" t="s">
        <v>1209</v>
      </c>
      <c r="M358" s="0" t="s">
        <v>36</v>
      </c>
      <c r="N358" s="0" t="str">
        <f t="shared" si="5"/>
        <v>APINbeVandeikya</v>
      </c>
    </row>
    <row r="359">
      <c r="H359" s="0" t="s">
        <v>227</v>
      </c>
      <c r="I359" s="0" t="s">
        <v>38</v>
      </c>
      <c r="J359" s="0" t="s">
        <v>727</v>
      </c>
      <c r="K359" s="83" t="s">
        <v>1210</v>
      </c>
      <c r="L359" s="0" t="s">
        <v>1211</v>
      </c>
      <c r="M359" s="0" t="s">
        <v>36</v>
      </c>
      <c r="N359" s="0" t="str">
        <f t="shared" si="5"/>
        <v>APINbeVandeikya</v>
      </c>
    </row>
    <row r="360">
      <c r="H360" s="0" t="s">
        <v>227</v>
      </c>
      <c r="I360" s="0" t="s">
        <v>38</v>
      </c>
      <c r="J360" s="0" t="s">
        <v>727</v>
      </c>
      <c r="K360" s="83" t="s">
        <v>1212</v>
      </c>
      <c r="L360" s="0" t="s">
        <v>1213</v>
      </c>
      <c r="M360" s="0" t="s">
        <v>36</v>
      </c>
      <c r="N360" s="0" t="str">
        <f t="shared" si="5"/>
        <v>APINbeVandeikya</v>
      </c>
    </row>
    <row r="361">
      <c r="H361" s="0" t="s">
        <v>227</v>
      </c>
      <c r="I361" s="0" t="s">
        <v>38</v>
      </c>
      <c r="J361" s="0" t="s">
        <v>727</v>
      </c>
      <c r="K361" s="83" t="s">
        <v>1214</v>
      </c>
      <c r="L361" s="0" t="s">
        <v>1215</v>
      </c>
      <c r="M361" s="0" t="s">
        <v>36</v>
      </c>
      <c r="N361" s="0" t="str">
        <f t="shared" si="5"/>
        <v>APINbeVandeikya</v>
      </c>
    </row>
    <row r="362">
      <c r="H362" s="0" t="s">
        <v>227</v>
      </c>
      <c r="I362" s="0" t="s">
        <v>38</v>
      </c>
      <c r="J362" s="0" t="s">
        <v>727</v>
      </c>
      <c r="K362" s="83" t="s">
        <v>1216</v>
      </c>
      <c r="L362" s="0" t="s">
        <v>1217</v>
      </c>
      <c r="M362" s="0" t="s">
        <v>36</v>
      </c>
      <c r="N362" s="0" t="str">
        <f t="shared" si="5"/>
        <v>APINbeVandeikya</v>
      </c>
    </row>
    <row r="363">
      <c r="H363" s="0" t="s">
        <v>227</v>
      </c>
      <c r="I363" s="0" t="s">
        <v>38</v>
      </c>
      <c r="J363" s="0" t="s">
        <v>727</v>
      </c>
      <c r="K363" s="83" t="s">
        <v>1218</v>
      </c>
      <c r="L363" s="0" t="s">
        <v>1219</v>
      </c>
      <c r="M363" s="0" t="s">
        <v>36</v>
      </c>
      <c r="N363" s="0" t="str">
        <f t="shared" si="5"/>
        <v>APINbeVandeikya</v>
      </c>
    </row>
    <row r="364">
      <c r="H364" s="0" t="s">
        <v>227</v>
      </c>
      <c r="I364" s="0" t="s">
        <v>38</v>
      </c>
      <c r="J364" s="0" t="s">
        <v>727</v>
      </c>
      <c r="K364" s="83" t="s">
        <v>1220</v>
      </c>
      <c r="L364" s="0" t="s">
        <v>1221</v>
      </c>
      <c r="M364" s="0" t="s">
        <v>36</v>
      </c>
      <c r="N364" s="0" t="str">
        <f t="shared" si="5"/>
        <v>APINbeVandeikya</v>
      </c>
    </row>
    <row r="365">
      <c r="H365" s="0" t="s">
        <v>227</v>
      </c>
      <c r="I365" s="0" t="s">
        <v>38</v>
      </c>
      <c r="J365" s="0" t="s">
        <v>727</v>
      </c>
      <c r="K365" s="83" t="s">
        <v>1222</v>
      </c>
      <c r="L365" s="0" t="s">
        <v>1223</v>
      </c>
      <c r="M365" s="0" t="s">
        <v>36</v>
      </c>
      <c r="N365" s="0" t="str">
        <f t="shared" si="5"/>
        <v>APINbeVandeikya</v>
      </c>
    </row>
    <row r="366">
      <c r="H366" s="0" t="s">
        <v>227</v>
      </c>
      <c r="I366" s="0" t="s">
        <v>38</v>
      </c>
      <c r="J366" s="0" t="s">
        <v>727</v>
      </c>
      <c r="K366" s="83" t="s">
        <v>1224</v>
      </c>
      <c r="L366" s="0" t="s">
        <v>1225</v>
      </c>
      <c r="M366" s="0" t="s">
        <v>36</v>
      </c>
      <c r="N366" s="0" t="str">
        <f t="shared" si="5"/>
        <v>APINbeVandeikya</v>
      </c>
    </row>
    <row r="367">
      <c r="H367" s="0" t="s">
        <v>227</v>
      </c>
      <c r="I367" s="0" t="s">
        <v>38</v>
      </c>
      <c r="J367" s="0" t="s">
        <v>727</v>
      </c>
      <c r="K367" s="83" t="s">
        <v>1226</v>
      </c>
      <c r="L367" s="0" t="s">
        <v>1227</v>
      </c>
      <c r="M367" s="0" t="s">
        <v>36</v>
      </c>
      <c r="N367" s="0" t="str">
        <f t="shared" si="5"/>
        <v>APINbeVandeikya</v>
      </c>
    </row>
    <row r="368">
      <c r="H368" s="0" t="s">
        <v>227</v>
      </c>
      <c r="I368" s="0" t="s">
        <v>38</v>
      </c>
      <c r="J368" s="0" t="s">
        <v>727</v>
      </c>
      <c r="K368" s="83" t="s">
        <v>1228</v>
      </c>
      <c r="L368" s="0" t="s">
        <v>1229</v>
      </c>
      <c r="M368" s="0" t="s">
        <v>36</v>
      </c>
      <c r="N368" s="0" t="str">
        <f t="shared" si="5"/>
        <v>APINbeVandeikya</v>
      </c>
    </row>
    <row r="369">
      <c r="H369" s="0" t="s">
        <v>227</v>
      </c>
      <c r="I369" s="0" t="s">
        <v>38</v>
      </c>
      <c r="J369" s="0" t="s">
        <v>727</v>
      </c>
      <c r="K369" s="83" t="s">
        <v>1230</v>
      </c>
      <c r="L369" s="0" t="s">
        <v>1231</v>
      </c>
      <c r="M369" s="0" t="s">
        <v>36</v>
      </c>
      <c r="N369" s="0" t="str">
        <f t="shared" si="5"/>
        <v>APINbeVandeikya</v>
      </c>
    </row>
    <row r="370">
      <c r="H370" s="0" t="s">
        <v>227</v>
      </c>
      <c r="I370" s="0" t="s">
        <v>38</v>
      </c>
      <c r="J370" s="0" t="s">
        <v>727</v>
      </c>
      <c r="K370" s="83" t="s">
        <v>1232</v>
      </c>
      <c r="L370" s="0" t="s">
        <v>1233</v>
      </c>
      <c r="M370" s="0" t="s">
        <v>36</v>
      </c>
      <c r="N370" s="0" t="str">
        <f t="shared" si="5"/>
        <v>APINbeVandeikya</v>
      </c>
    </row>
    <row r="371">
      <c r="H371" s="0" t="s">
        <v>227</v>
      </c>
      <c r="I371" s="0" t="s">
        <v>38</v>
      </c>
      <c r="J371" s="0" t="s">
        <v>727</v>
      </c>
      <c r="K371" s="83" t="s">
        <v>1234</v>
      </c>
      <c r="L371" s="0" t="s">
        <v>1235</v>
      </c>
      <c r="M371" s="0" t="s">
        <v>36</v>
      </c>
      <c r="N371" s="0" t="str">
        <f t="shared" si="5"/>
        <v>APINbeVandeikya</v>
      </c>
    </row>
    <row r="372">
      <c r="H372" s="0" t="s">
        <v>227</v>
      </c>
      <c r="I372" s="0" t="s">
        <v>38</v>
      </c>
      <c r="J372" s="0" t="s">
        <v>727</v>
      </c>
      <c r="K372" s="83" t="s">
        <v>1236</v>
      </c>
      <c r="L372" s="0" t="s">
        <v>1237</v>
      </c>
      <c r="M372" s="0" t="s">
        <v>36</v>
      </c>
      <c r="N372" s="0" t="str">
        <f t="shared" si="5"/>
        <v>APINbeVandeikya</v>
      </c>
    </row>
    <row r="373">
      <c r="H373" s="0" t="s">
        <v>227</v>
      </c>
      <c r="I373" s="0" t="s">
        <v>38</v>
      </c>
      <c r="J373" s="0" t="s">
        <v>727</v>
      </c>
      <c r="K373" s="83" t="s">
        <v>1238</v>
      </c>
      <c r="L373" s="0" t="s">
        <v>1239</v>
      </c>
      <c r="M373" s="0" t="s">
        <v>36</v>
      </c>
      <c r="N373" s="0" t="str">
        <f t="shared" si="5"/>
        <v>APINbeVandeikya</v>
      </c>
    </row>
    <row r="374">
      <c r="H374" s="0" t="s">
        <v>227</v>
      </c>
      <c r="I374" s="0" t="s">
        <v>38</v>
      </c>
      <c r="J374" s="0" t="s">
        <v>727</v>
      </c>
      <c r="K374" s="83" t="s">
        <v>1240</v>
      </c>
      <c r="L374" s="0" t="s">
        <v>1241</v>
      </c>
      <c r="M374" s="0" t="s">
        <v>36</v>
      </c>
      <c r="N374" s="0" t="str">
        <f t="shared" si="5"/>
        <v>APINbeVandeikya</v>
      </c>
    </row>
    <row r="375">
      <c r="H375" s="0" t="s">
        <v>227</v>
      </c>
      <c r="I375" s="0" t="s">
        <v>38</v>
      </c>
      <c r="J375" s="0" t="s">
        <v>727</v>
      </c>
      <c r="K375" s="83" t="s">
        <v>1242</v>
      </c>
      <c r="L375" s="0" t="s">
        <v>1243</v>
      </c>
      <c r="M375" s="0" t="s">
        <v>36</v>
      </c>
      <c r="N375" s="0" t="str">
        <f t="shared" si="5"/>
        <v>APINbeVandeikya</v>
      </c>
    </row>
    <row r="376">
      <c r="H376" s="0" t="s">
        <v>227</v>
      </c>
      <c r="I376" s="0" t="s">
        <v>250</v>
      </c>
      <c r="J376" s="0" t="s">
        <v>334</v>
      </c>
      <c r="K376" s="83" t="s">
        <v>1244</v>
      </c>
      <c r="L376" s="0" t="s">
        <v>1245</v>
      </c>
      <c r="M376" s="0" t="s">
        <v>231</v>
      </c>
      <c r="N376" s="0" t="str">
        <f t="shared" si="5"/>
        <v>CCFNdeAniochaNorth</v>
      </c>
    </row>
    <row r="377">
      <c r="H377" s="0" t="s">
        <v>227</v>
      </c>
      <c r="I377" s="0" t="s">
        <v>250</v>
      </c>
      <c r="J377" s="0" t="s">
        <v>337</v>
      </c>
      <c r="K377" s="83" t="s">
        <v>1246</v>
      </c>
      <c r="L377" s="0" t="s">
        <v>1247</v>
      </c>
      <c r="M377" s="0" t="s">
        <v>231</v>
      </c>
      <c r="N377" s="0" t="str">
        <f t="shared" si="5"/>
        <v>CCFNdeEthiopeEast</v>
      </c>
    </row>
    <row r="378">
      <c r="H378" s="0" t="s">
        <v>227</v>
      </c>
      <c r="I378" s="0" t="s">
        <v>250</v>
      </c>
      <c r="J378" s="0" t="s">
        <v>337</v>
      </c>
      <c r="K378" s="83" t="s">
        <v>1248</v>
      </c>
      <c r="L378" s="0" t="s">
        <v>1249</v>
      </c>
      <c r="M378" s="0" t="s">
        <v>231</v>
      </c>
      <c r="N378" s="0" t="str">
        <f t="shared" si="5"/>
        <v>CCFNdeEthiopeEast</v>
      </c>
    </row>
    <row r="379">
      <c r="H379" s="0" t="s">
        <v>227</v>
      </c>
      <c r="I379" s="0" t="s">
        <v>250</v>
      </c>
      <c r="J379" s="0" t="s">
        <v>337</v>
      </c>
      <c r="K379" s="83" t="s">
        <v>1250</v>
      </c>
      <c r="L379" s="0" t="s">
        <v>1251</v>
      </c>
      <c r="M379" s="0" t="s">
        <v>231</v>
      </c>
      <c r="N379" s="0" t="str">
        <f t="shared" si="5"/>
        <v>CCFNdeEthiopeEast</v>
      </c>
    </row>
    <row r="380">
      <c r="H380" s="0" t="s">
        <v>227</v>
      </c>
      <c r="I380" s="0" t="s">
        <v>250</v>
      </c>
      <c r="J380" s="0" t="s">
        <v>340</v>
      </c>
      <c r="K380" s="83" t="s">
        <v>1252</v>
      </c>
      <c r="L380" s="0" t="s">
        <v>1253</v>
      </c>
      <c r="M380" s="0" t="s">
        <v>231</v>
      </c>
      <c r="N380" s="0" t="str">
        <f t="shared" si="5"/>
        <v>CCFNdeIkaSouth</v>
      </c>
    </row>
    <row r="381">
      <c r="H381" s="0" t="s">
        <v>227</v>
      </c>
      <c r="I381" s="0" t="s">
        <v>250</v>
      </c>
      <c r="J381" s="0" t="s">
        <v>343</v>
      </c>
      <c r="K381" s="83" t="s">
        <v>1254</v>
      </c>
      <c r="L381" s="0" t="s">
        <v>1255</v>
      </c>
      <c r="M381" s="0" t="s">
        <v>231</v>
      </c>
      <c r="N381" s="0" t="str">
        <f t="shared" si="5"/>
        <v>CCFNdeOshimiliSouth</v>
      </c>
    </row>
    <row r="382">
      <c r="H382" s="0" t="s">
        <v>227</v>
      </c>
      <c r="I382" s="0" t="s">
        <v>250</v>
      </c>
      <c r="J382" s="0" t="s">
        <v>343</v>
      </c>
      <c r="K382" s="83" t="s">
        <v>1256</v>
      </c>
      <c r="L382" s="0" t="s">
        <v>1257</v>
      </c>
      <c r="M382" s="0" t="s">
        <v>231</v>
      </c>
      <c r="N382" s="0" t="str">
        <f t="shared" si="5"/>
        <v>CCFNdeOshimiliSouth</v>
      </c>
    </row>
    <row r="383">
      <c r="H383" s="0" t="s">
        <v>227</v>
      </c>
      <c r="I383" s="0" t="s">
        <v>250</v>
      </c>
      <c r="J383" s="0" t="s">
        <v>346</v>
      </c>
      <c r="K383" s="83" t="s">
        <v>1258</v>
      </c>
      <c r="L383" s="0" t="s">
        <v>1259</v>
      </c>
      <c r="M383" s="0" t="s">
        <v>231</v>
      </c>
      <c r="N383" s="0" t="str">
        <f t="shared" si="5"/>
        <v>CCFNdeSapele</v>
      </c>
    </row>
    <row r="384">
      <c r="H384" s="0" t="s">
        <v>227</v>
      </c>
      <c r="I384" s="0" t="s">
        <v>250</v>
      </c>
      <c r="J384" s="0" t="s">
        <v>349</v>
      </c>
      <c r="K384" s="83" t="s">
        <v>1260</v>
      </c>
      <c r="L384" s="0" t="s">
        <v>1261</v>
      </c>
      <c r="M384" s="0" t="s">
        <v>231</v>
      </c>
      <c r="N384" s="0" t="str">
        <f t="shared" si="5"/>
        <v>CCFNdeUvwie</v>
      </c>
    </row>
    <row r="385">
      <c r="H385" s="0" t="s">
        <v>227</v>
      </c>
      <c r="I385" s="0" t="s">
        <v>250</v>
      </c>
      <c r="J385" s="0" t="s">
        <v>352</v>
      </c>
      <c r="K385" s="83" t="s">
        <v>1262</v>
      </c>
      <c r="L385" s="0" t="s">
        <v>1263</v>
      </c>
      <c r="M385" s="0" t="s">
        <v>231</v>
      </c>
      <c r="N385" s="0" t="str">
        <f t="shared" si="5"/>
        <v>CCFNdeWarriNorth</v>
      </c>
    </row>
    <row r="386">
      <c r="H386" s="0" t="s">
        <v>227</v>
      </c>
      <c r="I386" s="0" t="s">
        <v>255</v>
      </c>
      <c r="J386" s="0" t="s">
        <v>355</v>
      </c>
      <c r="K386" s="83" t="s">
        <v>1264</v>
      </c>
      <c r="L386" s="0" t="s">
        <v>1265</v>
      </c>
      <c r="M386" s="0" t="s">
        <v>231</v>
      </c>
      <c r="N386" s="0" t="str">
        <f t="shared" si="5"/>
        <v>CCFNebAbakaliki</v>
      </c>
    </row>
    <row r="387">
      <c r="H387" s="0" t="s">
        <v>227</v>
      </c>
      <c r="I387" s="0" t="s">
        <v>255</v>
      </c>
      <c r="J387" s="0" t="s">
        <v>355</v>
      </c>
      <c r="K387" s="83" t="s">
        <v>1266</v>
      </c>
      <c r="L387" s="0" t="s">
        <v>1267</v>
      </c>
      <c r="M387" s="0" t="s">
        <v>231</v>
      </c>
      <c r="N387" s="0" t="str">
        <f ref="N387:N450" t="shared" si="6">SUBSTITUTE(SUBSTITUTE(M387&amp;J387," ",""),"-","")</f>
        <v>CCFNebAbakaliki</v>
      </c>
    </row>
    <row r="388">
      <c r="H388" s="0" t="s">
        <v>227</v>
      </c>
      <c r="I388" s="0" t="s">
        <v>255</v>
      </c>
      <c r="J388" s="0" t="s">
        <v>355</v>
      </c>
      <c r="K388" s="83" t="s">
        <v>1268</v>
      </c>
      <c r="L388" s="0" t="s">
        <v>1269</v>
      </c>
      <c r="M388" s="0" t="s">
        <v>231</v>
      </c>
      <c r="N388" s="0" t="str">
        <f t="shared" si="6"/>
        <v>CCFNebAbakaliki</v>
      </c>
    </row>
    <row r="389">
      <c r="H389" s="0" t="s">
        <v>227</v>
      </c>
      <c r="I389" s="0" t="s">
        <v>255</v>
      </c>
      <c r="J389" s="0" t="s">
        <v>355</v>
      </c>
      <c r="K389" s="83" t="s">
        <v>1270</v>
      </c>
      <c r="L389" s="0" t="s">
        <v>1271</v>
      </c>
      <c r="M389" s="0" t="s">
        <v>231</v>
      </c>
      <c r="N389" s="0" t="str">
        <f t="shared" si="6"/>
        <v>CCFNebAbakaliki</v>
      </c>
    </row>
    <row r="390">
      <c r="H390" s="0" t="s">
        <v>227</v>
      </c>
      <c r="I390" s="0" t="s">
        <v>255</v>
      </c>
      <c r="J390" s="0" t="s">
        <v>355</v>
      </c>
      <c r="K390" s="83" t="s">
        <v>1272</v>
      </c>
      <c r="L390" s="0" t="s">
        <v>1273</v>
      </c>
      <c r="M390" s="0" t="s">
        <v>231</v>
      </c>
      <c r="N390" s="0" t="str">
        <f t="shared" si="6"/>
        <v>CCFNebAbakaliki</v>
      </c>
    </row>
    <row r="391">
      <c r="H391" s="0" t="s">
        <v>227</v>
      </c>
      <c r="I391" s="0" t="s">
        <v>255</v>
      </c>
      <c r="J391" s="0" t="s">
        <v>355</v>
      </c>
      <c r="K391" s="83" t="s">
        <v>1274</v>
      </c>
      <c r="L391" s="0" t="s">
        <v>1275</v>
      </c>
      <c r="M391" s="0" t="s">
        <v>231</v>
      </c>
      <c r="N391" s="0" t="str">
        <f t="shared" si="6"/>
        <v>CCFNebAbakaliki</v>
      </c>
    </row>
    <row r="392">
      <c r="H392" s="0" t="s">
        <v>227</v>
      </c>
      <c r="I392" s="0" t="s">
        <v>255</v>
      </c>
      <c r="J392" s="0" t="s">
        <v>355</v>
      </c>
      <c r="K392" s="83" t="s">
        <v>1276</v>
      </c>
      <c r="L392" s="0" t="s">
        <v>1277</v>
      </c>
      <c r="M392" s="0" t="s">
        <v>231</v>
      </c>
      <c r="N392" s="0" t="str">
        <f t="shared" si="6"/>
        <v>CCFNebAbakaliki</v>
      </c>
    </row>
    <row r="393">
      <c r="H393" s="0" t="s">
        <v>227</v>
      </c>
      <c r="I393" s="0" t="s">
        <v>255</v>
      </c>
      <c r="J393" s="0" t="s">
        <v>356</v>
      </c>
      <c r="K393" s="83" t="s">
        <v>1278</v>
      </c>
      <c r="L393" s="0" t="s">
        <v>1279</v>
      </c>
      <c r="M393" s="0" t="s">
        <v>231</v>
      </c>
      <c r="N393" s="0" t="str">
        <f t="shared" si="6"/>
        <v>CCFNebAfikpoNorth</v>
      </c>
    </row>
    <row r="394">
      <c r="H394" s="0" t="s">
        <v>227</v>
      </c>
      <c r="I394" s="0" t="s">
        <v>255</v>
      </c>
      <c r="J394" s="0" t="s">
        <v>356</v>
      </c>
      <c r="K394" s="83" t="s">
        <v>1280</v>
      </c>
      <c r="L394" s="0" t="s">
        <v>1281</v>
      </c>
      <c r="M394" s="0" t="s">
        <v>231</v>
      </c>
      <c r="N394" s="0" t="str">
        <f t="shared" si="6"/>
        <v>CCFNebAfikpoNorth</v>
      </c>
    </row>
    <row r="395">
      <c r="H395" s="0" t="s">
        <v>227</v>
      </c>
      <c r="I395" s="0" t="s">
        <v>255</v>
      </c>
      <c r="J395" s="0" t="s">
        <v>356</v>
      </c>
      <c r="K395" s="83" t="s">
        <v>1282</v>
      </c>
      <c r="L395" s="0" t="s">
        <v>1283</v>
      </c>
      <c r="M395" s="0" t="s">
        <v>231</v>
      </c>
      <c r="N395" s="0" t="str">
        <f t="shared" si="6"/>
        <v>CCFNebAfikpoNorth</v>
      </c>
    </row>
    <row r="396">
      <c r="H396" s="0" t="s">
        <v>227</v>
      </c>
      <c r="I396" s="0" t="s">
        <v>255</v>
      </c>
      <c r="J396" s="0" t="s">
        <v>356</v>
      </c>
      <c r="K396" s="83" t="s">
        <v>1284</v>
      </c>
      <c r="L396" s="0" t="s">
        <v>1285</v>
      </c>
      <c r="M396" s="0" t="s">
        <v>231</v>
      </c>
      <c r="N396" s="0" t="str">
        <f t="shared" si="6"/>
        <v>CCFNebAfikpoNorth</v>
      </c>
    </row>
    <row r="397">
      <c r="H397" s="0" t="s">
        <v>227</v>
      </c>
      <c r="I397" s="0" t="s">
        <v>255</v>
      </c>
      <c r="J397" s="0" t="s">
        <v>356</v>
      </c>
      <c r="K397" s="83" t="s">
        <v>1286</v>
      </c>
      <c r="L397" s="0" t="s">
        <v>1287</v>
      </c>
      <c r="M397" s="0" t="s">
        <v>231</v>
      </c>
      <c r="N397" s="0" t="str">
        <f t="shared" si="6"/>
        <v>CCFNebAfikpoNorth</v>
      </c>
    </row>
    <row r="398">
      <c r="H398" s="0" t="s">
        <v>227</v>
      </c>
      <c r="I398" s="0" t="s">
        <v>255</v>
      </c>
      <c r="J398" s="0" t="s">
        <v>356</v>
      </c>
      <c r="K398" s="83" t="s">
        <v>1288</v>
      </c>
      <c r="L398" s="0" t="s">
        <v>1289</v>
      </c>
      <c r="M398" s="0" t="s">
        <v>231</v>
      </c>
      <c r="N398" s="0" t="str">
        <f t="shared" si="6"/>
        <v>CCFNebAfikpoNorth</v>
      </c>
    </row>
    <row r="399">
      <c r="H399" s="0" t="s">
        <v>227</v>
      </c>
      <c r="I399" s="0" t="s">
        <v>255</v>
      </c>
      <c r="J399" s="0" t="s">
        <v>356</v>
      </c>
      <c r="K399" s="83" t="s">
        <v>1290</v>
      </c>
      <c r="L399" s="0" t="s">
        <v>1291</v>
      </c>
      <c r="M399" s="0" t="s">
        <v>231</v>
      </c>
      <c r="N399" s="0" t="str">
        <f t="shared" si="6"/>
        <v>CCFNebAfikpoNorth</v>
      </c>
    </row>
    <row r="400">
      <c r="H400" s="0" t="s">
        <v>227</v>
      </c>
      <c r="I400" s="0" t="s">
        <v>255</v>
      </c>
      <c r="J400" s="0" t="s">
        <v>356</v>
      </c>
      <c r="K400" s="83" t="s">
        <v>1292</v>
      </c>
      <c r="L400" s="0" t="s">
        <v>1293</v>
      </c>
      <c r="M400" s="0" t="s">
        <v>231</v>
      </c>
      <c r="N400" s="0" t="str">
        <f t="shared" si="6"/>
        <v>CCFNebAfikpoNorth</v>
      </c>
    </row>
    <row r="401">
      <c r="H401" s="0" t="s">
        <v>227</v>
      </c>
      <c r="I401" s="0" t="s">
        <v>255</v>
      </c>
      <c r="J401" s="0" t="s">
        <v>359</v>
      </c>
      <c r="K401" s="83" t="s">
        <v>1294</v>
      </c>
      <c r="L401" s="0" t="s">
        <v>1295</v>
      </c>
      <c r="M401" s="0" t="s">
        <v>231</v>
      </c>
      <c r="N401" s="0" t="str">
        <f t="shared" si="6"/>
        <v>CCFNebAfikpoSouth</v>
      </c>
    </row>
    <row r="402">
      <c r="H402" s="0" t="s">
        <v>227</v>
      </c>
      <c r="I402" s="0" t="s">
        <v>255</v>
      </c>
      <c r="J402" s="0" t="s">
        <v>359</v>
      </c>
      <c r="K402" s="83" t="s">
        <v>1296</v>
      </c>
      <c r="L402" s="0" t="s">
        <v>1297</v>
      </c>
      <c r="M402" s="0" t="s">
        <v>231</v>
      </c>
      <c r="N402" s="0" t="str">
        <f t="shared" si="6"/>
        <v>CCFNebAfikpoSouth</v>
      </c>
    </row>
    <row r="403">
      <c r="H403" s="0" t="s">
        <v>227</v>
      </c>
      <c r="I403" s="0" t="s">
        <v>255</v>
      </c>
      <c r="J403" s="0" t="s">
        <v>362</v>
      </c>
      <c r="K403" s="83" t="s">
        <v>1298</v>
      </c>
      <c r="L403" s="0" t="s">
        <v>1299</v>
      </c>
      <c r="M403" s="0" t="s">
        <v>231</v>
      </c>
      <c r="N403" s="0" t="str">
        <f t="shared" si="6"/>
        <v>CCFNebEbonyi</v>
      </c>
    </row>
    <row r="404">
      <c r="H404" s="0" t="s">
        <v>227</v>
      </c>
      <c r="I404" s="0" t="s">
        <v>255</v>
      </c>
      <c r="J404" s="0" t="s">
        <v>362</v>
      </c>
      <c r="K404" s="83" t="s">
        <v>1300</v>
      </c>
      <c r="L404" s="0" t="s">
        <v>1301</v>
      </c>
      <c r="M404" s="0" t="s">
        <v>231</v>
      </c>
      <c r="N404" s="0" t="str">
        <f t="shared" si="6"/>
        <v>CCFNebEbonyi</v>
      </c>
    </row>
    <row r="405">
      <c r="H405" s="0" t="s">
        <v>227</v>
      </c>
      <c r="I405" s="0" t="s">
        <v>255</v>
      </c>
      <c r="J405" s="0" t="s">
        <v>362</v>
      </c>
      <c r="K405" s="83" t="s">
        <v>1302</v>
      </c>
      <c r="L405" s="0" t="s">
        <v>1303</v>
      </c>
      <c r="M405" s="0" t="s">
        <v>231</v>
      </c>
      <c r="N405" s="0" t="str">
        <f t="shared" si="6"/>
        <v>CCFNebEbonyi</v>
      </c>
    </row>
    <row r="406">
      <c r="H406" s="0" t="s">
        <v>227</v>
      </c>
      <c r="I406" s="0" t="s">
        <v>255</v>
      </c>
      <c r="J406" s="0" t="s">
        <v>362</v>
      </c>
      <c r="K406" s="83" t="s">
        <v>1304</v>
      </c>
      <c r="L406" s="0" t="s">
        <v>1305</v>
      </c>
      <c r="M406" s="0" t="s">
        <v>231</v>
      </c>
      <c r="N406" s="0" t="str">
        <f t="shared" si="6"/>
        <v>CCFNebEbonyi</v>
      </c>
    </row>
    <row r="407">
      <c r="H407" s="0" t="s">
        <v>227</v>
      </c>
      <c r="I407" s="0" t="s">
        <v>255</v>
      </c>
      <c r="J407" s="0" t="s">
        <v>362</v>
      </c>
      <c r="K407" s="83" t="s">
        <v>1306</v>
      </c>
      <c r="L407" s="0" t="s">
        <v>1307</v>
      </c>
      <c r="M407" s="0" t="s">
        <v>231</v>
      </c>
      <c r="N407" s="0" t="str">
        <f t="shared" si="6"/>
        <v>CCFNebEbonyi</v>
      </c>
    </row>
    <row r="408">
      <c r="H408" s="0" t="s">
        <v>227</v>
      </c>
      <c r="I408" s="0" t="s">
        <v>255</v>
      </c>
      <c r="J408" s="0" t="s">
        <v>362</v>
      </c>
      <c r="K408" s="83" t="s">
        <v>1308</v>
      </c>
      <c r="L408" s="0" t="s">
        <v>1309</v>
      </c>
      <c r="M408" s="0" t="s">
        <v>231</v>
      </c>
      <c r="N408" s="0" t="str">
        <f t="shared" si="6"/>
        <v>CCFNebEbonyi</v>
      </c>
    </row>
    <row r="409">
      <c r="H409" s="0" t="s">
        <v>227</v>
      </c>
      <c r="I409" s="0" t="s">
        <v>255</v>
      </c>
      <c r="J409" s="0" t="s">
        <v>365</v>
      </c>
      <c r="K409" s="83" t="s">
        <v>1310</v>
      </c>
      <c r="L409" s="0" t="s">
        <v>1311</v>
      </c>
      <c r="M409" s="0" t="s">
        <v>231</v>
      </c>
      <c r="N409" s="0" t="str">
        <f t="shared" si="6"/>
        <v>CCFNebEzzaNorth</v>
      </c>
    </row>
    <row r="410">
      <c r="H410" s="0" t="s">
        <v>227</v>
      </c>
      <c r="I410" s="0" t="s">
        <v>255</v>
      </c>
      <c r="J410" s="0" t="s">
        <v>368</v>
      </c>
      <c r="K410" s="83" t="s">
        <v>1312</v>
      </c>
      <c r="L410" s="0" t="s">
        <v>1313</v>
      </c>
      <c r="M410" s="0" t="s">
        <v>231</v>
      </c>
      <c r="N410" s="0" t="str">
        <f t="shared" si="6"/>
        <v>CCFNebEzzaSouth</v>
      </c>
    </row>
    <row r="411">
      <c r="H411" s="0" t="s">
        <v>227</v>
      </c>
      <c r="I411" s="0" t="s">
        <v>255</v>
      </c>
      <c r="J411" s="0" t="s">
        <v>368</v>
      </c>
      <c r="K411" s="83" t="s">
        <v>1314</v>
      </c>
      <c r="L411" s="0" t="s">
        <v>1315</v>
      </c>
      <c r="M411" s="0" t="s">
        <v>231</v>
      </c>
      <c r="N411" s="0" t="str">
        <f t="shared" si="6"/>
        <v>CCFNebEzzaSouth</v>
      </c>
    </row>
    <row r="412">
      <c r="H412" s="0" t="s">
        <v>227</v>
      </c>
      <c r="I412" s="0" t="s">
        <v>255</v>
      </c>
      <c r="J412" s="0" t="s">
        <v>368</v>
      </c>
      <c r="K412" s="83" t="s">
        <v>1316</v>
      </c>
      <c r="L412" s="0" t="s">
        <v>1317</v>
      </c>
      <c r="M412" s="0" t="s">
        <v>231</v>
      </c>
      <c r="N412" s="0" t="str">
        <f t="shared" si="6"/>
        <v>CCFNebEzzaSouth</v>
      </c>
    </row>
    <row r="413">
      <c r="H413" s="0" t="s">
        <v>227</v>
      </c>
      <c r="I413" s="0" t="s">
        <v>255</v>
      </c>
      <c r="J413" s="0" t="s">
        <v>371</v>
      </c>
      <c r="K413" s="83" t="s">
        <v>1318</v>
      </c>
      <c r="L413" s="0" t="s">
        <v>1319</v>
      </c>
      <c r="M413" s="0" t="s">
        <v>231</v>
      </c>
      <c r="N413" s="0" t="str">
        <f t="shared" si="6"/>
        <v>CCFNebIkwo</v>
      </c>
    </row>
    <row r="414">
      <c r="H414" s="0" t="s">
        <v>227</v>
      </c>
      <c r="I414" s="0" t="s">
        <v>255</v>
      </c>
      <c r="J414" s="0" t="s">
        <v>371</v>
      </c>
      <c r="K414" s="83" t="s">
        <v>1320</v>
      </c>
      <c r="L414" s="0" t="s">
        <v>1321</v>
      </c>
      <c r="M414" s="0" t="s">
        <v>231</v>
      </c>
      <c r="N414" s="0" t="str">
        <f t="shared" si="6"/>
        <v>CCFNebIkwo</v>
      </c>
    </row>
    <row r="415">
      <c r="H415" s="0" t="s">
        <v>227</v>
      </c>
      <c r="I415" s="0" t="s">
        <v>255</v>
      </c>
      <c r="J415" s="0" t="s">
        <v>371</v>
      </c>
      <c r="K415" s="83" t="s">
        <v>1322</v>
      </c>
      <c r="L415" s="0" t="s">
        <v>1323</v>
      </c>
      <c r="M415" s="0" t="s">
        <v>231</v>
      </c>
      <c r="N415" s="0" t="str">
        <f t="shared" si="6"/>
        <v>CCFNebIkwo</v>
      </c>
    </row>
    <row r="416">
      <c r="H416" s="0" t="s">
        <v>227</v>
      </c>
      <c r="I416" s="0" t="s">
        <v>255</v>
      </c>
      <c r="J416" s="0" t="s">
        <v>374</v>
      </c>
      <c r="K416" s="83" t="s">
        <v>1324</v>
      </c>
      <c r="L416" s="0" t="s">
        <v>1325</v>
      </c>
      <c r="M416" s="0" t="s">
        <v>231</v>
      </c>
      <c r="N416" s="0" t="str">
        <f t="shared" si="6"/>
        <v>CCFNebIshielu</v>
      </c>
    </row>
    <row r="417">
      <c r="H417" s="0" t="s">
        <v>227</v>
      </c>
      <c r="I417" s="0" t="s">
        <v>255</v>
      </c>
      <c r="J417" s="0" t="s">
        <v>374</v>
      </c>
      <c r="K417" s="83" t="s">
        <v>1326</v>
      </c>
      <c r="L417" s="0" t="s">
        <v>1327</v>
      </c>
      <c r="M417" s="0" t="s">
        <v>231</v>
      </c>
      <c r="N417" s="0" t="str">
        <f t="shared" si="6"/>
        <v>CCFNebIshielu</v>
      </c>
    </row>
    <row r="418">
      <c r="H418" s="0" t="s">
        <v>227</v>
      </c>
      <c r="I418" s="0" t="s">
        <v>255</v>
      </c>
      <c r="J418" s="0" t="s">
        <v>377</v>
      </c>
      <c r="K418" s="83" t="s">
        <v>1328</v>
      </c>
      <c r="L418" s="0" t="s">
        <v>1329</v>
      </c>
      <c r="M418" s="0" t="s">
        <v>231</v>
      </c>
      <c r="N418" s="0" t="str">
        <f t="shared" si="6"/>
        <v>CCFNebIvo</v>
      </c>
    </row>
    <row r="419">
      <c r="H419" s="0" t="s">
        <v>227</v>
      </c>
      <c r="I419" s="0" t="s">
        <v>255</v>
      </c>
      <c r="J419" s="0" t="s">
        <v>377</v>
      </c>
      <c r="K419" s="83" t="s">
        <v>1330</v>
      </c>
      <c r="L419" s="0" t="s">
        <v>1331</v>
      </c>
      <c r="M419" s="0" t="s">
        <v>231</v>
      </c>
      <c r="N419" s="0" t="str">
        <f t="shared" si="6"/>
        <v>CCFNebIvo</v>
      </c>
    </row>
    <row r="420">
      <c r="H420" s="0" t="s">
        <v>227</v>
      </c>
      <c r="I420" s="0" t="s">
        <v>255</v>
      </c>
      <c r="J420" s="0" t="s">
        <v>377</v>
      </c>
      <c r="K420" s="83" t="s">
        <v>1332</v>
      </c>
      <c r="L420" s="0" t="s">
        <v>1333</v>
      </c>
      <c r="M420" s="0" t="s">
        <v>231</v>
      </c>
      <c r="N420" s="0" t="str">
        <f t="shared" si="6"/>
        <v>CCFNebIvo</v>
      </c>
    </row>
    <row r="421">
      <c r="H421" s="0" t="s">
        <v>227</v>
      </c>
      <c r="I421" s="0" t="s">
        <v>255</v>
      </c>
      <c r="J421" s="0" t="s">
        <v>377</v>
      </c>
      <c r="K421" s="83" t="s">
        <v>1334</v>
      </c>
      <c r="L421" s="0" t="s">
        <v>1335</v>
      </c>
      <c r="M421" s="0" t="s">
        <v>231</v>
      </c>
      <c r="N421" s="0" t="str">
        <f t="shared" si="6"/>
        <v>CCFNebIvo</v>
      </c>
    </row>
    <row r="422">
      <c r="H422" s="0" t="s">
        <v>227</v>
      </c>
      <c r="I422" s="0" t="s">
        <v>255</v>
      </c>
      <c r="J422" s="0" t="s">
        <v>377</v>
      </c>
      <c r="K422" s="83" t="s">
        <v>1336</v>
      </c>
      <c r="L422" s="0" t="s">
        <v>1337</v>
      </c>
      <c r="M422" s="0" t="s">
        <v>231</v>
      </c>
      <c r="N422" s="0" t="str">
        <f t="shared" si="6"/>
        <v>CCFNebIvo</v>
      </c>
    </row>
    <row r="423">
      <c r="H423" s="0" t="s">
        <v>227</v>
      </c>
      <c r="I423" s="0" t="s">
        <v>255</v>
      </c>
      <c r="J423" s="0" t="s">
        <v>377</v>
      </c>
      <c r="K423" s="83" t="s">
        <v>1338</v>
      </c>
      <c r="L423" s="0" t="s">
        <v>1339</v>
      </c>
      <c r="M423" s="0" t="s">
        <v>231</v>
      </c>
      <c r="N423" s="0" t="str">
        <f t="shared" si="6"/>
        <v>CCFNebIvo</v>
      </c>
    </row>
    <row r="424">
      <c r="H424" s="0" t="s">
        <v>227</v>
      </c>
      <c r="I424" s="0" t="s">
        <v>255</v>
      </c>
      <c r="J424" s="0" t="s">
        <v>380</v>
      </c>
      <c r="K424" s="83" t="s">
        <v>1340</v>
      </c>
      <c r="L424" s="0" t="s">
        <v>1341</v>
      </c>
      <c r="M424" s="0" t="s">
        <v>231</v>
      </c>
      <c r="N424" s="0" t="str">
        <f t="shared" si="6"/>
        <v>CCFNebIzzi</v>
      </c>
    </row>
    <row r="425">
      <c r="H425" s="0" t="s">
        <v>227</v>
      </c>
      <c r="I425" s="0" t="s">
        <v>255</v>
      </c>
      <c r="J425" s="0" t="s">
        <v>380</v>
      </c>
      <c r="K425" s="83" t="s">
        <v>1342</v>
      </c>
      <c r="L425" s="0" t="s">
        <v>1343</v>
      </c>
      <c r="M425" s="0" t="s">
        <v>231</v>
      </c>
      <c r="N425" s="0" t="str">
        <f t="shared" si="6"/>
        <v>CCFNebIzzi</v>
      </c>
    </row>
    <row r="426">
      <c r="H426" s="0" t="s">
        <v>227</v>
      </c>
      <c r="I426" s="0" t="s">
        <v>255</v>
      </c>
      <c r="J426" s="0" t="s">
        <v>380</v>
      </c>
      <c r="K426" s="83" t="s">
        <v>1344</v>
      </c>
      <c r="L426" s="0" t="s">
        <v>1345</v>
      </c>
      <c r="M426" s="0" t="s">
        <v>231</v>
      </c>
      <c r="N426" s="0" t="str">
        <f t="shared" si="6"/>
        <v>CCFNebIzzi</v>
      </c>
    </row>
    <row r="427">
      <c r="H427" s="0" t="s">
        <v>227</v>
      </c>
      <c r="I427" s="0" t="s">
        <v>255</v>
      </c>
      <c r="J427" s="0" t="s">
        <v>384</v>
      </c>
      <c r="K427" s="83" t="s">
        <v>1346</v>
      </c>
      <c r="L427" s="0" t="s">
        <v>1347</v>
      </c>
      <c r="M427" s="0" t="s">
        <v>231</v>
      </c>
      <c r="N427" s="0" t="str">
        <f t="shared" si="6"/>
        <v>CCFNebOhaozara</v>
      </c>
    </row>
    <row r="428">
      <c r="H428" s="0" t="s">
        <v>227</v>
      </c>
      <c r="I428" s="0" t="s">
        <v>255</v>
      </c>
      <c r="J428" s="0" t="s">
        <v>384</v>
      </c>
      <c r="K428" s="83" t="s">
        <v>1348</v>
      </c>
      <c r="L428" s="0" t="s">
        <v>1349</v>
      </c>
      <c r="M428" s="0" t="s">
        <v>231</v>
      </c>
      <c r="N428" s="0" t="str">
        <f t="shared" si="6"/>
        <v>CCFNebOhaozara</v>
      </c>
    </row>
    <row r="429">
      <c r="H429" s="0" t="s">
        <v>227</v>
      </c>
      <c r="I429" s="0" t="s">
        <v>255</v>
      </c>
      <c r="J429" s="0" t="s">
        <v>384</v>
      </c>
      <c r="K429" s="83" t="s">
        <v>1350</v>
      </c>
      <c r="L429" s="0" t="s">
        <v>1351</v>
      </c>
      <c r="M429" s="0" t="s">
        <v>231</v>
      </c>
      <c r="N429" s="0" t="str">
        <f t="shared" si="6"/>
        <v>CCFNebOhaozara</v>
      </c>
    </row>
    <row r="430">
      <c r="H430" s="0" t="s">
        <v>227</v>
      </c>
      <c r="I430" s="0" t="s">
        <v>255</v>
      </c>
      <c r="J430" s="0" t="s">
        <v>384</v>
      </c>
      <c r="K430" s="83" t="s">
        <v>1352</v>
      </c>
      <c r="L430" s="0" t="s">
        <v>1353</v>
      </c>
      <c r="M430" s="0" t="s">
        <v>231</v>
      </c>
      <c r="N430" s="0" t="str">
        <f t="shared" si="6"/>
        <v>CCFNebOhaozara</v>
      </c>
    </row>
    <row r="431">
      <c r="H431" s="0" t="s">
        <v>227</v>
      </c>
      <c r="I431" s="0" t="s">
        <v>255</v>
      </c>
      <c r="J431" s="0" t="s">
        <v>384</v>
      </c>
      <c r="K431" s="83" t="s">
        <v>1354</v>
      </c>
      <c r="L431" s="0" t="s">
        <v>1355</v>
      </c>
      <c r="M431" s="0" t="s">
        <v>231</v>
      </c>
      <c r="N431" s="0" t="str">
        <f t="shared" si="6"/>
        <v>CCFNebOhaozara</v>
      </c>
    </row>
    <row r="432">
      <c r="H432" s="0" t="s">
        <v>227</v>
      </c>
      <c r="I432" s="0" t="s">
        <v>255</v>
      </c>
      <c r="J432" s="0" t="s">
        <v>387</v>
      </c>
      <c r="K432" s="83" t="s">
        <v>1356</v>
      </c>
      <c r="L432" s="0" t="s">
        <v>1357</v>
      </c>
      <c r="M432" s="0" t="s">
        <v>231</v>
      </c>
      <c r="N432" s="0" t="str">
        <f t="shared" si="6"/>
        <v>CCFNebOhaukwu</v>
      </c>
    </row>
    <row r="433">
      <c r="H433" s="0" t="s">
        <v>227</v>
      </c>
      <c r="I433" s="0" t="s">
        <v>255</v>
      </c>
      <c r="J433" s="0" t="s">
        <v>387</v>
      </c>
      <c r="K433" s="83" t="s">
        <v>1358</v>
      </c>
      <c r="L433" s="0" t="s">
        <v>1359</v>
      </c>
      <c r="M433" s="0" t="s">
        <v>231</v>
      </c>
      <c r="N433" s="0" t="str">
        <f t="shared" si="6"/>
        <v>CCFNebOhaukwu</v>
      </c>
    </row>
    <row r="434">
      <c r="H434" s="0" t="s">
        <v>227</v>
      </c>
      <c r="I434" s="0" t="s">
        <v>255</v>
      </c>
      <c r="J434" s="0" t="s">
        <v>387</v>
      </c>
      <c r="K434" s="83" t="s">
        <v>1360</v>
      </c>
      <c r="L434" s="0" t="s">
        <v>1361</v>
      </c>
      <c r="M434" s="0" t="s">
        <v>231</v>
      </c>
      <c r="N434" s="0" t="str">
        <f t="shared" si="6"/>
        <v>CCFNebOhaukwu</v>
      </c>
    </row>
    <row r="435">
      <c r="H435" s="0" t="s">
        <v>227</v>
      </c>
      <c r="I435" s="0" t="s">
        <v>255</v>
      </c>
      <c r="J435" s="0" t="s">
        <v>387</v>
      </c>
      <c r="K435" s="83" t="s">
        <v>1362</v>
      </c>
      <c r="L435" s="0" t="s">
        <v>1363</v>
      </c>
      <c r="M435" s="0" t="s">
        <v>231</v>
      </c>
      <c r="N435" s="0" t="str">
        <f t="shared" si="6"/>
        <v>CCFNebOhaukwu</v>
      </c>
    </row>
    <row r="436">
      <c r="H436" s="0" t="s">
        <v>227</v>
      </c>
      <c r="I436" s="0" t="s">
        <v>255</v>
      </c>
      <c r="J436" s="0" t="s">
        <v>387</v>
      </c>
      <c r="K436" s="83" t="s">
        <v>1364</v>
      </c>
      <c r="L436" s="0" t="s">
        <v>1365</v>
      </c>
      <c r="M436" s="0" t="s">
        <v>231</v>
      </c>
      <c r="N436" s="0" t="str">
        <f t="shared" si="6"/>
        <v>CCFNebOhaukwu</v>
      </c>
    </row>
    <row r="437">
      <c r="H437" s="0" t="s">
        <v>227</v>
      </c>
      <c r="I437" s="0" t="s">
        <v>255</v>
      </c>
      <c r="J437" s="0" t="s">
        <v>390</v>
      </c>
      <c r="K437" s="83" t="s">
        <v>1366</v>
      </c>
      <c r="L437" s="0" t="s">
        <v>1367</v>
      </c>
      <c r="M437" s="0" t="s">
        <v>231</v>
      </c>
      <c r="N437" s="0" t="str">
        <f t="shared" si="6"/>
        <v>CCFNebOnicha</v>
      </c>
    </row>
    <row r="438">
      <c r="H438" s="0" t="s">
        <v>227</v>
      </c>
      <c r="I438" s="0" t="s">
        <v>255</v>
      </c>
      <c r="J438" s="0" t="s">
        <v>390</v>
      </c>
      <c r="K438" s="83" t="s">
        <v>1368</v>
      </c>
      <c r="L438" s="0" t="s">
        <v>1369</v>
      </c>
      <c r="M438" s="0" t="s">
        <v>231</v>
      </c>
      <c r="N438" s="0" t="str">
        <f t="shared" si="6"/>
        <v>CCFNebOnicha</v>
      </c>
    </row>
    <row r="439">
      <c r="H439" s="0" t="s">
        <v>227</v>
      </c>
      <c r="I439" s="0" t="s">
        <v>255</v>
      </c>
      <c r="J439" s="0" t="s">
        <v>390</v>
      </c>
      <c r="K439" s="83" t="s">
        <v>1370</v>
      </c>
      <c r="L439" s="0" t="s">
        <v>1371</v>
      </c>
      <c r="M439" s="0" t="s">
        <v>231</v>
      </c>
      <c r="N439" s="0" t="str">
        <f t="shared" si="6"/>
        <v>CCFNebOnicha</v>
      </c>
    </row>
    <row r="440">
      <c r="H440" s="0" t="s">
        <v>227</v>
      </c>
      <c r="I440" s="0" t="s">
        <v>255</v>
      </c>
      <c r="J440" s="0" t="s">
        <v>390</v>
      </c>
      <c r="K440" s="83" t="s">
        <v>1372</v>
      </c>
      <c r="L440" s="0" t="s">
        <v>1373</v>
      </c>
      <c r="M440" s="0" t="s">
        <v>231</v>
      </c>
      <c r="N440" s="0" t="str">
        <f t="shared" si="6"/>
        <v>CCFNebOnicha</v>
      </c>
    </row>
    <row r="441">
      <c r="H441" s="0" t="s">
        <v>227</v>
      </c>
      <c r="I441" s="0" t="s">
        <v>285</v>
      </c>
      <c r="J441" s="0" t="s">
        <v>730</v>
      </c>
      <c r="K441" s="83" t="s">
        <v>1374</v>
      </c>
      <c r="L441" s="0" t="s">
        <v>1375</v>
      </c>
      <c r="M441" s="0" t="s">
        <v>36</v>
      </c>
      <c r="N441" s="0" t="str">
        <f t="shared" si="6"/>
        <v>APINekAdoEkiti</v>
      </c>
    </row>
    <row r="442">
      <c r="H442" s="0" t="s">
        <v>227</v>
      </c>
      <c r="I442" s="0" t="s">
        <v>285</v>
      </c>
      <c r="J442" s="0" t="s">
        <v>730</v>
      </c>
      <c r="K442" s="83" t="s">
        <v>1376</v>
      </c>
      <c r="L442" s="0" t="s">
        <v>1377</v>
      </c>
      <c r="M442" s="0" t="s">
        <v>36</v>
      </c>
      <c r="N442" s="0" t="str">
        <f t="shared" si="6"/>
        <v>APINekAdoEkiti</v>
      </c>
    </row>
    <row r="443">
      <c r="H443" s="0" t="s">
        <v>227</v>
      </c>
      <c r="I443" s="0" t="s">
        <v>285</v>
      </c>
      <c r="J443" s="0" t="s">
        <v>733</v>
      </c>
      <c r="K443" s="83" t="s">
        <v>1378</v>
      </c>
      <c r="L443" s="0" t="s">
        <v>1379</v>
      </c>
      <c r="M443" s="0" t="s">
        <v>36</v>
      </c>
      <c r="N443" s="0" t="str">
        <f t="shared" si="6"/>
        <v>APINekEkitiEast</v>
      </c>
    </row>
    <row r="444">
      <c r="H444" s="0" t="s">
        <v>227</v>
      </c>
      <c r="I444" s="0" t="s">
        <v>285</v>
      </c>
      <c r="J444" s="0" t="s">
        <v>736</v>
      </c>
      <c r="K444" s="83" t="s">
        <v>1380</v>
      </c>
      <c r="L444" s="0" t="s">
        <v>1381</v>
      </c>
      <c r="M444" s="0" t="s">
        <v>36</v>
      </c>
      <c r="N444" s="0" t="str">
        <f t="shared" si="6"/>
        <v>APINekIdoOsi</v>
      </c>
    </row>
    <row r="445">
      <c r="H445" s="0" t="s">
        <v>227</v>
      </c>
      <c r="I445" s="0" t="s">
        <v>285</v>
      </c>
      <c r="J445" s="0" t="s">
        <v>739</v>
      </c>
      <c r="K445" s="83" t="s">
        <v>1382</v>
      </c>
      <c r="L445" s="0" t="s">
        <v>1383</v>
      </c>
      <c r="M445" s="0" t="s">
        <v>36</v>
      </c>
      <c r="N445" s="0" t="str">
        <f t="shared" si="6"/>
        <v>APINekIlejemeje</v>
      </c>
    </row>
    <row r="446">
      <c r="H446" s="83" t="s">
        <v>227</v>
      </c>
      <c r="I446" s="83" t="s">
        <v>285</v>
      </c>
      <c r="J446" s="83" t="s">
        <v>742</v>
      </c>
      <c r="K446" s="83" t="s">
        <v>1384</v>
      </c>
      <c r="L446" s="83" t="s">
        <v>1385</v>
      </c>
      <c r="M446" s="0" t="s">
        <v>36</v>
      </c>
      <c r="N446" s="0" t="str">
        <f t="shared" si="6"/>
        <v>APINekIrepodunIfelodun</v>
      </c>
    </row>
    <row r="447">
      <c r="H447" s="0" t="s">
        <v>227</v>
      </c>
      <c r="I447" s="0" t="s">
        <v>285</v>
      </c>
      <c r="J447" s="0" t="s">
        <v>745</v>
      </c>
      <c r="K447" s="83" t="s">
        <v>1386</v>
      </c>
      <c r="L447" s="0" t="s">
        <v>1387</v>
      </c>
      <c r="M447" s="0" t="s">
        <v>36</v>
      </c>
      <c r="N447" s="0" t="str">
        <f t="shared" si="6"/>
        <v>APINekOye</v>
      </c>
    </row>
    <row r="448">
      <c r="H448" s="0" t="s">
        <v>227</v>
      </c>
      <c r="I448" s="0" t="s">
        <v>259</v>
      </c>
      <c r="J448" s="0" t="s">
        <v>393</v>
      </c>
      <c r="K448" s="83" t="s">
        <v>1388</v>
      </c>
      <c r="L448" s="0" t="s">
        <v>1389</v>
      </c>
      <c r="M448" s="0" t="s">
        <v>231</v>
      </c>
      <c r="N448" s="0" t="str">
        <f t="shared" si="6"/>
        <v>CCFNenAninri</v>
      </c>
    </row>
    <row r="449">
      <c r="H449" s="0" t="s">
        <v>227</v>
      </c>
      <c r="I449" s="0" t="s">
        <v>259</v>
      </c>
      <c r="J449" s="0" t="s">
        <v>393</v>
      </c>
      <c r="K449" s="83" t="s">
        <v>1390</v>
      </c>
      <c r="L449" s="0" t="s">
        <v>1391</v>
      </c>
      <c r="M449" s="0" t="s">
        <v>231</v>
      </c>
      <c r="N449" s="0" t="str">
        <f t="shared" si="6"/>
        <v>CCFNenAninri</v>
      </c>
    </row>
    <row r="450">
      <c r="H450" s="0" t="s">
        <v>227</v>
      </c>
      <c r="I450" s="0" t="s">
        <v>259</v>
      </c>
      <c r="J450" s="0" t="s">
        <v>393</v>
      </c>
      <c r="K450" s="83" t="s">
        <v>1392</v>
      </c>
      <c r="L450" s="0" t="s">
        <v>1393</v>
      </c>
      <c r="M450" s="0" t="s">
        <v>231</v>
      </c>
      <c r="N450" s="0" t="str">
        <f t="shared" si="6"/>
        <v>CCFNenAninri</v>
      </c>
    </row>
    <row r="451">
      <c r="H451" s="0" t="s">
        <v>227</v>
      </c>
      <c r="I451" s="0" t="s">
        <v>259</v>
      </c>
      <c r="J451" s="0" t="s">
        <v>393</v>
      </c>
      <c r="K451" s="83" t="s">
        <v>1394</v>
      </c>
      <c r="L451" s="0" t="s">
        <v>1395</v>
      </c>
      <c r="M451" s="0" t="s">
        <v>231</v>
      </c>
      <c r="N451" s="0" t="str">
        <f ref="N451:N514" t="shared" si="7">SUBSTITUTE(SUBSTITUTE(M451&amp;J451," ",""),"-","")</f>
        <v>CCFNenAninri</v>
      </c>
    </row>
    <row r="452">
      <c r="H452" s="0" t="s">
        <v>227</v>
      </c>
      <c r="I452" s="0" t="s">
        <v>259</v>
      </c>
      <c r="J452" s="0" t="s">
        <v>393</v>
      </c>
      <c r="K452" s="83" t="s">
        <v>1396</v>
      </c>
      <c r="L452" s="0" t="s">
        <v>1397</v>
      </c>
      <c r="M452" s="0" t="s">
        <v>231</v>
      </c>
      <c r="N452" s="0" t="str">
        <f t="shared" si="7"/>
        <v>CCFNenAninri</v>
      </c>
    </row>
    <row r="453">
      <c r="H453" s="0" t="s">
        <v>227</v>
      </c>
      <c r="I453" s="0" t="s">
        <v>259</v>
      </c>
      <c r="J453" s="0" t="s">
        <v>393</v>
      </c>
      <c r="K453" s="83" t="s">
        <v>1398</v>
      </c>
      <c r="L453" s="0" t="s">
        <v>1399</v>
      </c>
      <c r="M453" s="0" t="s">
        <v>231</v>
      </c>
      <c r="N453" s="0" t="str">
        <f t="shared" si="7"/>
        <v>CCFNenAninri</v>
      </c>
    </row>
    <row r="454">
      <c r="H454" s="0" t="s">
        <v>227</v>
      </c>
      <c r="I454" s="0" t="s">
        <v>259</v>
      </c>
      <c r="J454" s="0" t="s">
        <v>393</v>
      </c>
      <c r="K454" s="83" t="s">
        <v>1400</v>
      </c>
      <c r="L454" s="0" t="s">
        <v>1401</v>
      </c>
      <c r="M454" s="0" t="s">
        <v>231</v>
      </c>
      <c r="N454" s="0" t="str">
        <f t="shared" si="7"/>
        <v>CCFNenAninri</v>
      </c>
    </row>
    <row r="455">
      <c r="H455" s="0" t="s">
        <v>227</v>
      </c>
      <c r="I455" s="0" t="s">
        <v>259</v>
      </c>
      <c r="J455" s="0" t="s">
        <v>396</v>
      </c>
      <c r="K455" s="83" t="s">
        <v>1402</v>
      </c>
      <c r="L455" s="0" t="s">
        <v>1403</v>
      </c>
      <c r="M455" s="0" t="s">
        <v>231</v>
      </c>
      <c r="N455" s="0" t="str">
        <f t="shared" si="7"/>
        <v>CCFNenAwgu</v>
      </c>
    </row>
    <row r="456">
      <c r="H456" s="0" t="s">
        <v>227</v>
      </c>
      <c r="I456" s="0" t="s">
        <v>259</v>
      </c>
      <c r="J456" s="0" t="s">
        <v>396</v>
      </c>
      <c r="K456" s="83" t="s">
        <v>1404</v>
      </c>
      <c r="L456" s="0" t="s">
        <v>1405</v>
      </c>
      <c r="M456" s="0" t="s">
        <v>231</v>
      </c>
      <c r="N456" s="0" t="str">
        <f t="shared" si="7"/>
        <v>CCFNenAwgu</v>
      </c>
    </row>
    <row r="457">
      <c r="H457" s="0" t="s">
        <v>227</v>
      </c>
      <c r="I457" s="0" t="s">
        <v>259</v>
      </c>
      <c r="J457" s="0" t="s">
        <v>396</v>
      </c>
      <c r="K457" s="83" t="s">
        <v>1406</v>
      </c>
      <c r="L457" s="0" t="s">
        <v>1407</v>
      </c>
      <c r="M457" s="0" t="s">
        <v>231</v>
      </c>
      <c r="N457" s="0" t="str">
        <f t="shared" si="7"/>
        <v>CCFNenAwgu</v>
      </c>
    </row>
    <row r="458">
      <c r="H458" s="0" t="s">
        <v>227</v>
      </c>
      <c r="I458" s="0" t="s">
        <v>259</v>
      </c>
      <c r="J458" s="0" t="s">
        <v>396</v>
      </c>
      <c r="K458" s="83" t="s">
        <v>1408</v>
      </c>
      <c r="L458" s="0" t="s">
        <v>1409</v>
      </c>
      <c r="M458" s="0" t="s">
        <v>231</v>
      </c>
      <c r="N458" s="0" t="str">
        <f t="shared" si="7"/>
        <v>CCFNenAwgu</v>
      </c>
    </row>
    <row r="459">
      <c r="H459" s="0" t="s">
        <v>227</v>
      </c>
      <c r="I459" s="0" t="s">
        <v>259</v>
      </c>
      <c r="J459" s="0" t="s">
        <v>399</v>
      </c>
      <c r="K459" s="83" t="s">
        <v>1410</v>
      </c>
      <c r="L459" s="0" t="s">
        <v>1411</v>
      </c>
      <c r="M459" s="0" t="s">
        <v>231</v>
      </c>
      <c r="N459" s="0" t="str">
        <f t="shared" si="7"/>
        <v>CCFNenEnuguEast</v>
      </c>
    </row>
    <row r="460">
      <c r="H460" s="0" t="s">
        <v>227</v>
      </c>
      <c r="I460" s="0" t="s">
        <v>259</v>
      </c>
      <c r="J460" s="0" t="s">
        <v>399</v>
      </c>
      <c r="K460" s="83" t="s">
        <v>1412</v>
      </c>
      <c r="L460" s="0" t="s">
        <v>1413</v>
      </c>
      <c r="M460" s="0" t="s">
        <v>231</v>
      </c>
      <c r="N460" s="0" t="str">
        <f t="shared" si="7"/>
        <v>CCFNenEnuguEast</v>
      </c>
    </row>
    <row r="461">
      <c r="H461" s="0" t="s">
        <v>227</v>
      </c>
      <c r="I461" s="0" t="s">
        <v>259</v>
      </c>
      <c r="J461" s="0" t="s">
        <v>399</v>
      </c>
      <c r="K461" s="83" t="s">
        <v>1414</v>
      </c>
      <c r="L461" s="0" t="s">
        <v>1415</v>
      </c>
      <c r="M461" s="0" t="s">
        <v>231</v>
      </c>
      <c r="N461" s="0" t="str">
        <f t="shared" si="7"/>
        <v>CCFNenEnuguEast</v>
      </c>
    </row>
    <row r="462">
      <c r="H462" s="0" t="s">
        <v>227</v>
      </c>
      <c r="I462" s="0" t="s">
        <v>259</v>
      </c>
      <c r="J462" s="0" t="s">
        <v>399</v>
      </c>
      <c r="K462" s="83" t="s">
        <v>1416</v>
      </c>
      <c r="L462" s="0" t="s">
        <v>1417</v>
      </c>
      <c r="M462" s="0" t="s">
        <v>231</v>
      </c>
      <c r="N462" s="0" t="str">
        <f t="shared" si="7"/>
        <v>CCFNenEnuguEast</v>
      </c>
    </row>
    <row r="463">
      <c r="H463" s="0" t="s">
        <v>227</v>
      </c>
      <c r="I463" s="0" t="s">
        <v>259</v>
      </c>
      <c r="J463" s="0" t="s">
        <v>399</v>
      </c>
      <c r="K463" s="83" t="s">
        <v>1418</v>
      </c>
      <c r="L463" s="0" t="s">
        <v>1419</v>
      </c>
      <c r="M463" s="0" t="s">
        <v>231</v>
      </c>
      <c r="N463" s="0" t="str">
        <f t="shared" si="7"/>
        <v>CCFNenEnuguEast</v>
      </c>
    </row>
    <row r="464">
      <c r="H464" s="0" t="s">
        <v>227</v>
      </c>
      <c r="I464" s="0" t="s">
        <v>259</v>
      </c>
      <c r="J464" s="0" t="s">
        <v>399</v>
      </c>
      <c r="K464" s="83" t="s">
        <v>1420</v>
      </c>
      <c r="L464" s="0" t="s">
        <v>1421</v>
      </c>
      <c r="M464" s="0" t="s">
        <v>231</v>
      </c>
      <c r="N464" s="0" t="str">
        <f t="shared" si="7"/>
        <v>CCFNenEnuguEast</v>
      </c>
    </row>
    <row r="465">
      <c r="H465" s="0" t="s">
        <v>227</v>
      </c>
      <c r="I465" s="0" t="s">
        <v>259</v>
      </c>
      <c r="J465" s="0" t="s">
        <v>399</v>
      </c>
      <c r="K465" s="83" t="s">
        <v>1422</v>
      </c>
      <c r="L465" s="0" t="s">
        <v>1423</v>
      </c>
      <c r="M465" s="0" t="s">
        <v>231</v>
      </c>
      <c r="N465" s="0" t="str">
        <f t="shared" si="7"/>
        <v>CCFNenEnuguEast</v>
      </c>
    </row>
    <row r="466">
      <c r="H466" s="0" t="s">
        <v>227</v>
      </c>
      <c r="I466" s="0" t="s">
        <v>259</v>
      </c>
      <c r="J466" s="0" t="s">
        <v>399</v>
      </c>
      <c r="K466" s="83" t="s">
        <v>1424</v>
      </c>
      <c r="L466" s="0" t="s">
        <v>1425</v>
      </c>
      <c r="M466" s="0" t="s">
        <v>231</v>
      </c>
      <c r="N466" s="0" t="str">
        <f t="shared" si="7"/>
        <v>CCFNenEnuguEast</v>
      </c>
    </row>
    <row r="467">
      <c r="H467" s="0" t="s">
        <v>227</v>
      </c>
      <c r="I467" s="0" t="s">
        <v>259</v>
      </c>
      <c r="J467" s="0" t="s">
        <v>399</v>
      </c>
      <c r="K467" s="83" t="s">
        <v>1426</v>
      </c>
      <c r="L467" s="0" t="s">
        <v>1427</v>
      </c>
      <c r="M467" s="0" t="s">
        <v>231</v>
      </c>
      <c r="N467" s="0" t="str">
        <f t="shared" si="7"/>
        <v>CCFNenEnuguEast</v>
      </c>
    </row>
    <row r="468">
      <c r="H468" s="0" t="s">
        <v>227</v>
      </c>
      <c r="I468" s="0" t="s">
        <v>259</v>
      </c>
      <c r="J468" s="0" t="s">
        <v>399</v>
      </c>
      <c r="K468" s="83" t="s">
        <v>1428</v>
      </c>
      <c r="L468" s="0" t="s">
        <v>1429</v>
      </c>
      <c r="M468" s="0" t="s">
        <v>231</v>
      </c>
      <c r="N468" s="0" t="str">
        <f t="shared" si="7"/>
        <v>CCFNenEnuguEast</v>
      </c>
    </row>
    <row r="469">
      <c r="H469" s="0" t="s">
        <v>227</v>
      </c>
      <c r="I469" s="0" t="s">
        <v>259</v>
      </c>
      <c r="J469" s="0" t="s">
        <v>402</v>
      </c>
      <c r="K469" s="83" t="s">
        <v>1430</v>
      </c>
      <c r="L469" s="0" t="s">
        <v>1431</v>
      </c>
      <c r="M469" s="0" t="s">
        <v>231</v>
      </c>
      <c r="N469" s="0" t="str">
        <f t="shared" si="7"/>
        <v>CCFNenEnuguNorth</v>
      </c>
    </row>
    <row r="470">
      <c r="H470" s="0" t="s">
        <v>227</v>
      </c>
      <c r="I470" s="0" t="s">
        <v>259</v>
      </c>
      <c r="J470" s="0" t="s">
        <v>402</v>
      </c>
      <c r="K470" s="83" t="s">
        <v>1432</v>
      </c>
      <c r="L470" s="0" t="s">
        <v>1433</v>
      </c>
      <c r="M470" s="0" t="s">
        <v>231</v>
      </c>
      <c r="N470" s="0" t="str">
        <f t="shared" si="7"/>
        <v>CCFNenEnuguNorth</v>
      </c>
    </row>
    <row r="471">
      <c r="H471" s="0" t="s">
        <v>227</v>
      </c>
      <c r="I471" s="0" t="s">
        <v>259</v>
      </c>
      <c r="J471" s="0" t="s">
        <v>402</v>
      </c>
      <c r="K471" s="83" t="s">
        <v>1434</v>
      </c>
      <c r="L471" s="0" t="s">
        <v>1435</v>
      </c>
      <c r="M471" s="0" t="s">
        <v>231</v>
      </c>
      <c r="N471" s="0" t="str">
        <f t="shared" si="7"/>
        <v>CCFNenEnuguNorth</v>
      </c>
    </row>
    <row r="472">
      <c r="H472" s="0" t="s">
        <v>227</v>
      </c>
      <c r="I472" s="0" t="s">
        <v>259</v>
      </c>
      <c r="J472" s="0" t="s">
        <v>402</v>
      </c>
      <c r="K472" s="83" t="s">
        <v>1436</v>
      </c>
      <c r="L472" s="0" t="s">
        <v>1437</v>
      </c>
      <c r="M472" s="0" t="s">
        <v>231</v>
      </c>
      <c r="N472" s="0" t="str">
        <f t="shared" si="7"/>
        <v>CCFNenEnuguNorth</v>
      </c>
    </row>
    <row r="473">
      <c r="H473" s="0" t="s">
        <v>227</v>
      </c>
      <c r="I473" s="0" t="s">
        <v>259</v>
      </c>
      <c r="J473" s="0" t="s">
        <v>402</v>
      </c>
      <c r="K473" s="83" t="s">
        <v>1438</v>
      </c>
      <c r="L473" s="0" t="s">
        <v>1439</v>
      </c>
      <c r="M473" s="0" t="s">
        <v>231</v>
      </c>
      <c r="N473" s="0" t="str">
        <f t="shared" si="7"/>
        <v>CCFNenEnuguNorth</v>
      </c>
    </row>
    <row r="474">
      <c r="H474" s="0" t="s">
        <v>227</v>
      </c>
      <c r="I474" s="0" t="s">
        <v>259</v>
      </c>
      <c r="J474" s="0" t="s">
        <v>402</v>
      </c>
      <c r="K474" s="83" t="s">
        <v>1440</v>
      </c>
      <c r="L474" s="0" t="s">
        <v>1441</v>
      </c>
      <c r="M474" s="0" t="s">
        <v>231</v>
      </c>
      <c r="N474" s="0" t="str">
        <f t="shared" si="7"/>
        <v>CCFNenEnuguNorth</v>
      </c>
    </row>
    <row r="475">
      <c r="H475" s="0" t="s">
        <v>227</v>
      </c>
      <c r="I475" s="0" t="s">
        <v>259</v>
      </c>
      <c r="J475" s="0" t="s">
        <v>405</v>
      </c>
      <c r="K475" s="83" t="s">
        <v>1442</v>
      </c>
      <c r="L475" s="0" t="s">
        <v>1443</v>
      </c>
      <c r="M475" s="0" t="s">
        <v>231</v>
      </c>
      <c r="N475" s="0" t="str">
        <f t="shared" si="7"/>
        <v>CCFNenEnuguSouth</v>
      </c>
    </row>
    <row r="476">
      <c r="H476" s="0" t="s">
        <v>227</v>
      </c>
      <c r="I476" s="0" t="s">
        <v>259</v>
      </c>
      <c r="J476" s="0" t="s">
        <v>405</v>
      </c>
      <c r="K476" s="83" t="s">
        <v>1444</v>
      </c>
      <c r="L476" s="0" t="s">
        <v>1445</v>
      </c>
      <c r="M476" s="0" t="s">
        <v>231</v>
      </c>
      <c r="N476" s="0" t="str">
        <f t="shared" si="7"/>
        <v>CCFNenEnuguSouth</v>
      </c>
    </row>
    <row r="477">
      <c r="H477" s="0" t="s">
        <v>227</v>
      </c>
      <c r="I477" s="0" t="s">
        <v>259</v>
      </c>
      <c r="J477" s="0" t="s">
        <v>405</v>
      </c>
      <c r="K477" s="83" t="s">
        <v>1446</v>
      </c>
      <c r="L477" s="0" t="s">
        <v>1447</v>
      </c>
      <c r="M477" s="0" t="s">
        <v>231</v>
      </c>
      <c r="N477" s="0" t="str">
        <f t="shared" si="7"/>
        <v>CCFNenEnuguSouth</v>
      </c>
    </row>
    <row r="478">
      <c r="H478" s="0" t="s">
        <v>227</v>
      </c>
      <c r="I478" s="0" t="s">
        <v>259</v>
      </c>
      <c r="J478" s="0" t="s">
        <v>405</v>
      </c>
      <c r="K478" s="83" t="s">
        <v>1448</v>
      </c>
      <c r="L478" s="0" t="s">
        <v>1449</v>
      </c>
      <c r="M478" s="0" t="s">
        <v>231</v>
      </c>
      <c r="N478" s="0" t="str">
        <f t="shared" si="7"/>
        <v>CCFNenEnuguSouth</v>
      </c>
    </row>
    <row r="479">
      <c r="H479" s="0" t="s">
        <v>227</v>
      </c>
      <c r="I479" s="0" t="s">
        <v>259</v>
      </c>
      <c r="J479" s="0" t="s">
        <v>405</v>
      </c>
      <c r="K479" s="83" t="s">
        <v>1450</v>
      </c>
      <c r="L479" s="0" t="s">
        <v>1451</v>
      </c>
      <c r="M479" s="0" t="s">
        <v>231</v>
      </c>
      <c r="N479" s="0" t="str">
        <f t="shared" si="7"/>
        <v>CCFNenEnuguSouth</v>
      </c>
    </row>
    <row r="480">
      <c r="H480" s="0" t="s">
        <v>227</v>
      </c>
      <c r="I480" s="0" t="s">
        <v>259</v>
      </c>
      <c r="J480" s="0" t="s">
        <v>405</v>
      </c>
      <c r="K480" s="83" t="s">
        <v>1452</v>
      </c>
      <c r="L480" s="0" t="s">
        <v>1453</v>
      </c>
      <c r="M480" s="0" t="s">
        <v>231</v>
      </c>
      <c r="N480" s="0" t="str">
        <f t="shared" si="7"/>
        <v>CCFNenEnuguSouth</v>
      </c>
    </row>
    <row r="481">
      <c r="H481" s="0" t="s">
        <v>227</v>
      </c>
      <c r="I481" s="0" t="s">
        <v>259</v>
      </c>
      <c r="J481" s="0" t="s">
        <v>408</v>
      </c>
      <c r="K481" s="83" t="s">
        <v>1454</v>
      </c>
      <c r="L481" s="0" t="s">
        <v>1455</v>
      </c>
      <c r="M481" s="0" t="s">
        <v>231</v>
      </c>
      <c r="N481" s="0" t="str">
        <f t="shared" si="7"/>
        <v>CCFNenEzeagu</v>
      </c>
    </row>
    <row r="482">
      <c r="H482" s="0" t="s">
        <v>227</v>
      </c>
      <c r="I482" s="0" t="s">
        <v>259</v>
      </c>
      <c r="J482" s="0" t="s">
        <v>408</v>
      </c>
      <c r="K482" s="83" t="s">
        <v>1456</v>
      </c>
      <c r="L482" s="0" t="s">
        <v>1457</v>
      </c>
      <c r="M482" s="0" t="s">
        <v>231</v>
      </c>
      <c r="N482" s="0" t="str">
        <f t="shared" si="7"/>
        <v>CCFNenEzeagu</v>
      </c>
    </row>
    <row r="483">
      <c r="H483" s="0" t="s">
        <v>227</v>
      </c>
      <c r="I483" s="0" t="s">
        <v>259</v>
      </c>
      <c r="J483" s="0" t="s">
        <v>411</v>
      </c>
      <c r="K483" s="83" t="s">
        <v>1458</v>
      </c>
      <c r="L483" s="0" t="s">
        <v>1459</v>
      </c>
      <c r="M483" s="0" t="s">
        <v>231</v>
      </c>
      <c r="N483" s="0" t="str">
        <f t="shared" si="7"/>
        <v>CCFNenIgboEtiti</v>
      </c>
    </row>
    <row r="484">
      <c r="H484" s="0" t="s">
        <v>227</v>
      </c>
      <c r="I484" s="0" t="s">
        <v>259</v>
      </c>
      <c r="J484" s="0" t="s">
        <v>411</v>
      </c>
      <c r="K484" s="83" t="s">
        <v>1460</v>
      </c>
      <c r="L484" s="0" t="s">
        <v>1461</v>
      </c>
      <c r="M484" s="0" t="s">
        <v>231</v>
      </c>
      <c r="N484" s="0" t="str">
        <f t="shared" si="7"/>
        <v>CCFNenIgboEtiti</v>
      </c>
    </row>
    <row r="485">
      <c r="H485" s="0" t="s">
        <v>227</v>
      </c>
      <c r="I485" s="0" t="s">
        <v>259</v>
      </c>
      <c r="J485" s="0" t="s">
        <v>411</v>
      </c>
      <c r="K485" s="83" t="s">
        <v>1462</v>
      </c>
      <c r="L485" s="0" t="s">
        <v>1463</v>
      </c>
      <c r="M485" s="0" t="s">
        <v>231</v>
      </c>
      <c r="N485" s="0" t="str">
        <f t="shared" si="7"/>
        <v>CCFNenIgboEtiti</v>
      </c>
    </row>
    <row r="486">
      <c r="H486" s="0" t="s">
        <v>227</v>
      </c>
      <c r="I486" s="0" t="s">
        <v>259</v>
      </c>
      <c r="J486" s="0" t="s">
        <v>411</v>
      </c>
      <c r="K486" s="83" t="s">
        <v>1464</v>
      </c>
      <c r="L486" s="0" t="s">
        <v>1465</v>
      </c>
      <c r="M486" s="0" t="s">
        <v>231</v>
      </c>
      <c r="N486" s="0" t="str">
        <f t="shared" si="7"/>
        <v>CCFNenIgboEtiti</v>
      </c>
    </row>
    <row r="487">
      <c r="H487" s="0" t="s">
        <v>227</v>
      </c>
      <c r="I487" s="0" t="s">
        <v>259</v>
      </c>
      <c r="J487" s="0" t="s">
        <v>411</v>
      </c>
      <c r="K487" s="83" t="s">
        <v>1466</v>
      </c>
      <c r="L487" s="0" t="s">
        <v>1467</v>
      </c>
      <c r="M487" s="0" t="s">
        <v>231</v>
      </c>
      <c r="N487" s="0" t="str">
        <f t="shared" si="7"/>
        <v>CCFNenIgboEtiti</v>
      </c>
    </row>
    <row r="488">
      <c r="H488" s="0" t="s">
        <v>227</v>
      </c>
      <c r="I488" s="0" t="s">
        <v>259</v>
      </c>
      <c r="J488" s="0" t="s">
        <v>414</v>
      </c>
      <c r="K488" s="83" t="s">
        <v>1468</v>
      </c>
      <c r="L488" s="0" t="s">
        <v>1469</v>
      </c>
      <c r="M488" s="0" t="s">
        <v>231</v>
      </c>
      <c r="N488" s="0" t="str">
        <f t="shared" si="7"/>
        <v>CCFNenIgboEzeNorth</v>
      </c>
    </row>
    <row r="489">
      <c r="H489" s="0" t="s">
        <v>227</v>
      </c>
      <c r="I489" s="0" t="s">
        <v>259</v>
      </c>
      <c r="J489" s="0" t="s">
        <v>414</v>
      </c>
      <c r="K489" s="83" t="s">
        <v>1470</v>
      </c>
      <c r="L489" s="0" t="s">
        <v>1471</v>
      </c>
      <c r="M489" s="0" t="s">
        <v>231</v>
      </c>
      <c r="N489" s="0" t="str">
        <f t="shared" si="7"/>
        <v>CCFNenIgboEzeNorth</v>
      </c>
    </row>
    <row r="490">
      <c r="H490" s="0" t="s">
        <v>227</v>
      </c>
      <c r="I490" s="0" t="s">
        <v>259</v>
      </c>
      <c r="J490" s="0" t="s">
        <v>414</v>
      </c>
      <c r="K490" s="83" t="s">
        <v>1472</v>
      </c>
      <c r="L490" s="0" t="s">
        <v>1473</v>
      </c>
      <c r="M490" s="0" t="s">
        <v>231</v>
      </c>
      <c r="N490" s="0" t="str">
        <f t="shared" si="7"/>
        <v>CCFNenIgboEzeNorth</v>
      </c>
    </row>
    <row r="491">
      <c r="H491" s="0" t="s">
        <v>227</v>
      </c>
      <c r="I491" s="0" t="s">
        <v>259</v>
      </c>
      <c r="J491" s="0" t="s">
        <v>414</v>
      </c>
      <c r="K491" s="83" t="s">
        <v>1474</v>
      </c>
      <c r="L491" s="0" t="s">
        <v>1475</v>
      </c>
      <c r="M491" s="0" t="s">
        <v>231</v>
      </c>
      <c r="N491" s="0" t="str">
        <f t="shared" si="7"/>
        <v>CCFNenIgboEzeNorth</v>
      </c>
    </row>
    <row r="492">
      <c r="H492" s="0" t="s">
        <v>227</v>
      </c>
      <c r="I492" s="0" t="s">
        <v>259</v>
      </c>
      <c r="J492" s="0" t="s">
        <v>414</v>
      </c>
      <c r="K492" s="83" t="s">
        <v>1476</v>
      </c>
      <c r="L492" s="0" t="s">
        <v>1477</v>
      </c>
      <c r="M492" s="0" t="s">
        <v>231</v>
      </c>
      <c r="N492" s="0" t="str">
        <f t="shared" si="7"/>
        <v>CCFNenIgboEzeNorth</v>
      </c>
    </row>
    <row r="493">
      <c r="H493" s="0" t="s">
        <v>227</v>
      </c>
      <c r="I493" s="0" t="s">
        <v>259</v>
      </c>
      <c r="J493" s="0" t="s">
        <v>414</v>
      </c>
      <c r="K493" s="83" t="s">
        <v>1478</v>
      </c>
      <c r="L493" s="0" t="s">
        <v>1479</v>
      </c>
      <c r="M493" s="0" t="s">
        <v>231</v>
      </c>
      <c r="N493" s="0" t="str">
        <f t="shared" si="7"/>
        <v>CCFNenIgboEzeNorth</v>
      </c>
    </row>
    <row r="494">
      <c r="H494" s="0" t="s">
        <v>227</v>
      </c>
      <c r="I494" s="0" t="s">
        <v>259</v>
      </c>
      <c r="J494" s="0" t="s">
        <v>414</v>
      </c>
      <c r="K494" s="83" t="s">
        <v>1480</v>
      </c>
      <c r="L494" s="0" t="s">
        <v>1481</v>
      </c>
      <c r="M494" s="0" t="s">
        <v>231</v>
      </c>
      <c r="N494" s="0" t="str">
        <f t="shared" si="7"/>
        <v>CCFNenIgboEzeNorth</v>
      </c>
    </row>
    <row r="495">
      <c r="H495" s="0" t="s">
        <v>227</v>
      </c>
      <c r="I495" s="0" t="s">
        <v>259</v>
      </c>
      <c r="J495" s="0" t="s">
        <v>417</v>
      </c>
      <c r="K495" s="83" t="s">
        <v>1482</v>
      </c>
      <c r="L495" s="0" t="s">
        <v>1483</v>
      </c>
      <c r="M495" s="0" t="s">
        <v>231</v>
      </c>
      <c r="N495" s="0" t="str">
        <f t="shared" si="7"/>
        <v>CCFNenIgboEzeSouth</v>
      </c>
    </row>
    <row r="496">
      <c r="H496" s="0" t="s">
        <v>227</v>
      </c>
      <c r="I496" s="0" t="s">
        <v>259</v>
      </c>
      <c r="J496" s="0" t="s">
        <v>417</v>
      </c>
      <c r="K496" s="83" t="s">
        <v>1484</v>
      </c>
      <c r="L496" s="0" t="s">
        <v>1485</v>
      </c>
      <c r="M496" s="0" t="s">
        <v>231</v>
      </c>
      <c r="N496" s="0" t="str">
        <f t="shared" si="7"/>
        <v>CCFNenIgboEzeSouth</v>
      </c>
    </row>
    <row r="497">
      <c r="H497" s="0" t="s">
        <v>227</v>
      </c>
      <c r="I497" s="0" t="s">
        <v>259</v>
      </c>
      <c r="J497" s="0" t="s">
        <v>417</v>
      </c>
      <c r="K497" s="83" t="s">
        <v>1486</v>
      </c>
      <c r="L497" s="0" t="s">
        <v>1487</v>
      </c>
      <c r="M497" s="0" t="s">
        <v>231</v>
      </c>
      <c r="N497" s="0" t="str">
        <f t="shared" si="7"/>
        <v>CCFNenIgboEzeSouth</v>
      </c>
    </row>
    <row r="498">
      <c r="H498" s="0" t="s">
        <v>227</v>
      </c>
      <c r="I498" s="0" t="s">
        <v>259</v>
      </c>
      <c r="J498" s="0" t="s">
        <v>420</v>
      </c>
      <c r="K498" s="83" t="s">
        <v>1488</v>
      </c>
      <c r="L498" s="0" t="s">
        <v>1489</v>
      </c>
      <c r="M498" s="0" t="s">
        <v>231</v>
      </c>
      <c r="N498" s="0" t="str">
        <f t="shared" si="7"/>
        <v>CCFNenIsiuzo</v>
      </c>
    </row>
    <row r="499">
      <c r="H499" s="0" t="s">
        <v>227</v>
      </c>
      <c r="I499" s="0" t="s">
        <v>259</v>
      </c>
      <c r="J499" s="0" t="s">
        <v>420</v>
      </c>
      <c r="K499" s="83" t="s">
        <v>1490</v>
      </c>
      <c r="L499" s="0" t="s">
        <v>1491</v>
      </c>
      <c r="M499" s="0" t="s">
        <v>231</v>
      </c>
      <c r="N499" s="0" t="str">
        <f t="shared" si="7"/>
        <v>CCFNenIsiuzo</v>
      </c>
    </row>
    <row r="500">
      <c r="H500" s="0" t="s">
        <v>227</v>
      </c>
      <c r="I500" s="0" t="s">
        <v>259</v>
      </c>
      <c r="J500" s="0" t="s">
        <v>420</v>
      </c>
      <c r="K500" s="83" t="s">
        <v>1492</v>
      </c>
      <c r="L500" s="0" t="s">
        <v>1493</v>
      </c>
      <c r="M500" s="0" t="s">
        <v>231</v>
      </c>
      <c r="N500" s="0" t="str">
        <f t="shared" si="7"/>
        <v>CCFNenIsiuzo</v>
      </c>
    </row>
    <row r="501">
      <c r="H501" s="0" t="s">
        <v>227</v>
      </c>
      <c r="I501" s="0" t="s">
        <v>259</v>
      </c>
      <c r="J501" s="0" t="s">
        <v>420</v>
      </c>
      <c r="K501" s="83" t="s">
        <v>1494</v>
      </c>
      <c r="L501" s="0" t="s">
        <v>1495</v>
      </c>
      <c r="M501" s="0" t="s">
        <v>231</v>
      </c>
      <c r="N501" s="0" t="str">
        <f t="shared" si="7"/>
        <v>CCFNenIsiuzo</v>
      </c>
    </row>
    <row r="502">
      <c r="H502" s="0" t="s">
        <v>227</v>
      </c>
      <c r="I502" s="0" t="s">
        <v>259</v>
      </c>
      <c r="J502" s="0" t="s">
        <v>420</v>
      </c>
      <c r="K502" s="83" t="s">
        <v>1496</v>
      </c>
      <c r="L502" s="0" t="s">
        <v>1497</v>
      </c>
      <c r="M502" s="0" t="s">
        <v>231</v>
      </c>
      <c r="N502" s="0" t="str">
        <f t="shared" si="7"/>
        <v>CCFNenIsiuzo</v>
      </c>
    </row>
    <row r="503">
      <c r="H503" s="0" t="s">
        <v>227</v>
      </c>
      <c r="I503" s="0" t="s">
        <v>259</v>
      </c>
      <c r="J503" s="0" t="s">
        <v>423</v>
      </c>
      <c r="K503" s="83" t="s">
        <v>1498</v>
      </c>
      <c r="L503" s="0" t="s">
        <v>1499</v>
      </c>
      <c r="M503" s="0" t="s">
        <v>231</v>
      </c>
      <c r="N503" s="0" t="str">
        <f t="shared" si="7"/>
        <v>CCFNenNkanuEast</v>
      </c>
    </row>
    <row r="504">
      <c r="H504" s="0" t="s">
        <v>227</v>
      </c>
      <c r="I504" s="0" t="s">
        <v>259</v>
      </c>
      <c r="J504" s="0" t="s">
        <v>426</v>
      </c>
      <c r="K504" s="83" t="s">
        <v>1500</v>
      </c>
      <c r="L504" s="0" t="s">
        <v>1501</v>
      </c>
      <c r="M504" s="0" t="s">
        <v>231</v>
      </c>
      <c r="N504" s="0" t="str">
        <f t="shared" si="7"/>
        <v>CCFNenNkanuWest</v>
      </c>
    </row>
    <row r="505">
      <c r="H505" s="0" t="s">
        <v>227</v>
      </c>
      <c r="I505" s="0" t="s">
        <v>259</v>
      </c>
      <c r="J505" s="0" t="s">
        <v>426</v>
      </c>
      <c r="K505" s="83" t="s">
        <v>1502</v>
      </c>
      <c r="L505" s="0" t="s">
        <v>1503</v>
      </c>
      <c r="M505" s="0" t="s">
        <v>231</v>
      </c>
      <c r="N505" s="0" t="str">
        <f t="shared" si="7"/>
        <v>CCFNenNkanuWest</v>
      </c>
    </row>
    <row r="506">
      <c r="H506" s="0" t="s">
        <v>227</v>
      </c>
      <c r="I506" s="0" t="s">
        <v>259</v>
      </c>
      <c r="J506" s="0" t="s">
        <v>426</v>
      </c>
      <c r="K506" s="83" t="s">
        <v>1504</v>
      </c>
      <c r="L506" s="0" t="s">
        <v>1505</v>
      </c>
      <c r="M506" s="0" t="s">
        <v>231</v>
      </c>
      <c r="N506" s="0" t="str">
        <f t="shared" si="7"/>
        <v>CCFNenNkanuWest</v>
      </c>
    </row>
    <row r="507">
      <c r="H507" s="0" t="s">
        <v>227</v>
      </c>
      <c r="I507" s="0" t="s">
        <v>259</v>
      </c>
      <c r="J507" s="0" t="s">
        <v>429</v>
      </c>
      <c r="K507" s="83" t="s">
        <v>1506</v>
      </c>
      <c r="L507" s="0" t="s">
        <v>1507</v>
      </c>
      <c r="M507" s="0" t="s">
        <v>231</v>
      </c>
      <c r="N507" s="0" t="str">
        <f t="shared" si="7"/>
        <v>CCFNenNsukka</v>
      </c>
    </row>
    <row r="508">
      <c r="H508" s="0" t="s">
        <v>227</v>
      </c>
      <c r="I508" s="0" t="s">
        <v>259</v>
      </c>
      <c r="J508" s="0" t="s">
        <v>429</v>
      </c>
      <c r="K508" s="83" t="s">
        <v>1508</v>
      </c>
      <c r="L508" s="0" t="s">
        <v>1509</v>
      </c>
      <c r="M508" s="0" t="s">
        <v>231</v>
      </c>
      <c r="N508" s="0" t="str">
        <f t="shared" si="7"/>
        <v>CCFNenNsukka</v>
      </c>
    </row>
    <row r="509">
      <c r="H509" s="0" t="s">
        <v>227</v>
      </c>
      <c r="I509" s="0" t="s">
        <v>259</v>
      </c>
      <c r="J509" s="0" t="s">
        <v>429</v>
      </c>
      <c r="K509" s="83" t="s">
        <v>1510</v>
      </c>
      <c r="L509" s="0" t="s">
        <v>1511</v>
      </c>
      <c r="M509" s="0" t="s">
        <v>231</v>
      </c>
      <c r="N509" s="0" t="str">
        <f t="shared" si="7"/>
        <v>CCFNenNsukka</v>
      </c>
    </row>
    <row r="510">
      <c r="H510" s="0" t="s">
        <v>227</v>
      </c>
      <c r="I510" s="0" t="s">
        <v>259</v>
      </c>
      <c r="J510" s="0" t="s">
        <v>429</v>
      </c>
      <c r="K510" s="83" t="s">
        <v>1512</v>
      </c>
      <c r="L510" s="0" t="s">
        <v>1513</v>
      </c>
      <c r="M510" s="0" t="s">
        <v>231</v>
      </c>
      <c r="N510" s="0" t="str">
        <f t="shared" si="7"/>
        <v>CCFNenNsukka</v>
      </c>
    </row>
    <row r="511">
      <c r="H511" s="0" t="s">
        <v>227</v>
      </c>
      <c r="I511" s="0" t="s">
        <v>259</v>
      </c>
      <c r="J511" s="0" t="s">
        <v>429</v>
      </c>
      <c r="K511" s="83" t="s">
        <v>1514</v>
      </c>
      <c r="L511" s="0" t="s">
        <v>1515</v>
      </c>
      <c r="M511" s="0" t="s">
        <v>231</v>
      </c>
      <c r="N511" s="0" t="str">
        <f t="shared" si="7"/>
        <v>CCFNenNsukka</v>
      </c>
    </row>
    <row r="512">
      <c r="H512" s="0" t="s">
        <v>227</v>
      </c>
      <c r="I512" s="0" t="s">
        <v>259</v>
      </c>
      <c r="J512" s="0" t="s">
        <v>429</v>
      </c>
      <c r="K512" s="83" t="s">
        <v>1516</v>
      </c>
      <c r="L512" s="0" t="s">
        <v>1517</v>
      </c>
      <c r="M512" s="0" t="s">
        <v>231</v>
      </c>
      <c r="N512" s="0" t="str">
        <f t="shared" si="7"/>
        <v>CCFNenNsukka</v>
      </c>
    </row>
    <row r="513">
      <c r="H513" s="0" t="s">
        <v>227</v>
      </c>
      <c r="I513" s="0" t="s">
        <v>259</v>
      </c>
      <c r="J513" s="0" t="s">
        <v>429</v>
      </c>
      <c r="K513" s="83" t="s">
        <v>1518</v>
      </c>
      <c r="L513" s="0" t="s">
        <v>1519</v>
      </c>
      <c r="M513" s="0" t="s">
        <v>231</v>
      </c>
      <c r="N513" s="0" t="str">
        <f t="shared" si="7"/>
        <v>CCFNenNsukka</v>
      </c>
    </row>
    <row r="514">
      <c r="H514" s="0" t="s">
        <v>227</v>
      </c>
      <c r="I514" s="0" t="s">
        <v>259</v>
      </c>
      <c r="J514" s="0" t="s">
        <v>429</v>
      </c>
      <c r="K514" s="83" t="s">
        <v>1520</v>
      </c>
      <c r="L514" s="0" t="s">
        <v>1521</v>
      </c>
      <c r="M514" s="0" t="s">
        <v>231</v>
      </c>
      <c r="N514" s="0" t="str">
        <f t="shared" si="7"/>
        <v>CCFNenNsukka</v>
      </c>
    </row>
    <row r="515">
      <c r="H515" s="0" t="s">
        <v>227</v>
      </c>
      <c r="I515" s="0" t="s">
        <v>259</v>
      </c>
      <c r="J515" s="0" t="s">
        <v>429</v>
      </c>
      <c r="K515" s="83" t="s">
        <v>1522</v>
      </c>
      <c r="L515" s="0" t="s">
        <v>1523</v>
      </c>
      <c r="M515" s="0" t="s">
        <v>231</v>
      </c>
      <c r="N515" s="0" t="str">
        <f ref="N515:N578" t="shared" si="8">SUBSTITUTE(SUBSTITUTE(M515&amp;J515," ",""),"-","")</f>
        <v>CCFNenNsukka</v>
      </c>
    </row>
    <row r="516">
      <c r="H516" s="0" t="s">
        <v>227</v>
      </c>
      <c r="I516" s="0" t="s">
        <v>259</v>
      </c>
      <c r="J516" s="0" t="s">
        <v>429</v>
      </c>
      <c r="K516" s="83" t="s">
        <v>1524</v>
      </c>
      <c r="L516" s="0" t="s">
        <v>1525</v>
      </c>
      <c r="M516" s="0" t="s">
        <v>231</v>
      </c>
      <c r="N516" s="0" t="str">
        <f t="shared" si="8"/>
        <v>CCFNenNsukka</v>
      </c>
    </row>
    <row r="517">
      <c r="H517" s="0" t="s">
        <v>227</v>
      </c>
      <c r="I517" s="0" t="s">
        <v>259</v>
      </c>
      <c r="J517" s="0" t="s">
        <v>432</v>
      </c>
      <c r="K517" s="83" t="s">
        <v>1526</v>
      </c>
      <c r="L517" s="0" t="s">
        <v>1527</v>
      </c>
      <c r="M517" s="0" t="s">
        <v>231</v>
      </c>
      <c r="N517" s="0" t="str">
        <f t="shared" si="8"/>
        <v>CCFNenOjiRiver</v>
      </c>
    </row>
    <row r="518">
      <c r="H518" s="0" t="s">
        <v>227</v>
      </c>
      <c r="I518" s="0" t="s">
        <v>259</v>
      </c>
      <c r="J518" s="0" t="s">
        <v>432</v>
      </c>
      <c r="K518" s="83" t="s">
        <v>1528</v>
      </c>
      <c r="L518" s="0" t="s">
        <v>1529</v>
      </c>
      <c r="M518" s="0" t="s">
        <v>231</v>
      </c>
      <c r="N518" s="0" t="str">
        <f t="shared" si="8"/>
        <v>CCFNenOjiRiver</v>
      </c>
    </row>
    <row r="519">
      <c r="H519" s="0" t="s">
        <v>227</v>
      </c>
      <c r="I519" s="0" t="s">
        <v>259</v>
      </c>
      <c r="J519" s="0" t="s">
        <v>432</v>
      </c>
      <c r="K519" s="83" t="s">
        <v>1530</v>
      </c>
      <c r="L519" s="0" t="s">
        <v>1531</v>
      </c>
      <c r="M519" s="0" t="s">
        <v>231</v>
      </c>
      <c r="N519" s="0" t="str">
        <f t="shared" si="8"/>
        <v>CCFNenOjiRiver</v>
      </c>
    </row>
    <row r="520">
      <c r="H520" s="0" t="s">
        <v>227</v>
      </c>
      <c r="I520" s="0" t="s">
        <v>259</v>
      </c>
      <c r="J520" s="0" t="s">
        <v>432</v>
      </c>
      <c r="K520" s="83" t="s">
        <v>1532</v>
      </c>
      <c r="L520" s="0" t="s">
        <v>1533</v>
      </c>
      <c r="M520" s="0" t="s">
        <v>231</v>
      </c>
      <c r="N520" s="0" t="str">
        <f t="shared" si="8"/>
        <v>CCFNenOjiRiver</v>
      </c>
    </row>
    <row r="521">
      <c r="H521" s="0" t="s">
        <v>227</v>
      </c>
      <c r="I521" s="0" t="s">
        <v>259</v>
      </c>
      <c r="J521" s="0" t="s">
        <v>435</v>
      </c>
      <c r="K521" s="83" t="s">
        <v>1534</v>
      </c>
      <c r="L521" s="0" t="s">
        <v>1535</v>
      </c>
      <c r="M521" s="0" t="s">
        <v>231</v>
      </c>
      <c r="N521" s="0" t="str">
        <f t="shared" si="8"/>
        <v>CCFNenUdenu</v>
      </c>
    </row>
    <row r="522">
      <c r="H522" s="0" t="s">
        <v>227</v>
      </c>
      <c r="I522" s="0" t="s">
        <v>259</v>
      </c>
      <c r="J522" s="0" t="s">
        <v>435</v>
      </c>
      <c r="K522" s="83" t="s">
        <v>1536</v>
      </c>
      <c r="L522" s="0" t="s">
        <v>1537</v>
      </c>
      <c r="M522" s="0" t="s">
        <v>231</v>
      </c>
      <c r="N522" s="0" t="str">
        <f t="shared" si="8"/>
        <v>CCFNenUdenu</v>
      </c>
    </row>
    <row r="523">
      <c r="H523" s="0" t="s">
        <v>227</v>
      </c>
      <c r="I523" s="0" t="s">
        <v>259</v>
      </c>
      <c r="J523" s="0" t="s">
        <v>435</v>
      </c>
      <c r="K523" s="83" t="s">
        <v>1538</v>
      </c>
      <c r="L523" s="0" t="s">
        <v>1539</v>
      </c>
      <c r="M523" s="0" t="s">
        <v>231</v>
      </c>
      <c r="N523" s="0" t="str">
        <f t="shared" si="8"/>
        <v>CCFNenUdenu</v>
      </c>
    </row>
    <row r="524">
      <c r="H524" s="0" t="s">
        <v>227</v>
      </c>
      <c r="I524" s="0" t="s">
        <v>259</v>
      </c>
      <c r="J524" s="0" t="s">
        <v>435</v>
      </c>
      <c r="K524" s="83" t="s">
        <v>1540</v>
      </c>
      <c r="L524" s="0" t="s">
        <v>1541</v>
      </c>
      <c r="M524" s="0" t="s">
        <v>231</v>
      </c>
      <c r="N524" s="0" t="str">
        <f t="shared" si="8"/>
        <v>CCFNenUdenu</v>
      </c>
    </row>
    <row r="525">
      <c r="H525" s="0" t="s">
        <v>227</v>
      </c>
      <c r="I525" s="0" t="s">
        <v>259</v>
      </c>
      <c r="J525" s="0" t="s">
        <v>435</v>
      </c>
      <c r="K525" s="83" t="s">
        <v>1542</v>
      </c>
      <c r="L525" s="0" t="s">
        <v>1543</v>
      </c>
      <c r="M525" s="0" t="s">
        <v>231</v>
      </c>
      <c r="N525" s="0" t="str">
        <f t="shared" si="8"/>
        <v>CCFNenUdenu</v>
      </c>
    </row>
    <row r="526">
      <c r="H526" s="0" t="s">
        <v>227</v>
      </c>
      <c r="I526" s="0" t="s">
        <v>259</v>
      </c>
      <c r="J526" s="0" t="s">
        <v>435</v>
      </c>
      <c r="K526" s="83" t="s">
        <v>1544</v>
      </c>
      <c r="L526" s="0" t="s">
        <v>1545</v>
      </c>
      <c r="M526" s="0" t="s">
        <v>231</v>
      </c>
      <c r="N526" s="0" t="str">
        <f t="shared" si="8"/>
        <v>CCFNenUdenu</v>
      </c>
    </row>
    <row r="527">
      <c r="H527" s="0" t="s">
        <v>227</v>
      </c>
      <c r="I527" s="0" t="s">
        <v>259</v>
      </c>
      <c r="J527" s="0" t="s">
        <v>435</v>
      </c>
      <c r="K527" s="83" t="s">
        <v>1546</v>
      </c>
      <c r="L527" s="0" t="s">
        <v>1547</v>
      </c>
      <c r="M527" s="0" t="s">
        <v>231</v>
      </c>
      <c r="N527" s="0" t="str">
        <f t="shared" si="8"/>
        <v>CCFNenUdenu</v>
      </c>
    </row>
    <row r="528">
      <c r="H528" s="0" t="s">
        <v>227</v>
      </c>
      <c r="I528" s="0" t="s">
        <v>259</v>
      </c>
      <c r="J528" s="0" t="s">
        <v>435</v>
      </c>
      <c r="K528" s="83" t="s">
        <v>1548</v>
      </c>
      <c r="L528" s="0" t="s">
        <v>1549</v>
      </c>
      <c r="M528" s="0" t="s">
        <v>231</v>
      </c>
      <c r="N528" s="0" t="str">
        <f t="shared" si="8"/>
        <v>CCFNenUdenu</v>
      </c>
    </row>
    <row r="529">
      <c r="H529" s="0" t="s">
        <v>227</v>
      </c>
      <c r="I529" s="0" t="s">
        <v>259</v>
      </c>
      <c r="J529" s="0" t="s">
        <v>435</v>
      </c>
      <c r="K529" s="83" t="s">
        <v>1550</v>
      </c>
      <c r="L529" s="0" t="s">
        <v>1551</v>
      </c>
      <c r="M529" s="0" t="s">
        <v>231</v>
      </c>
      <c r="N529" s="0" t="str">
        <f t="shared" si="8"/>
        <v>CCFNenUdenu</v>
      </c>
    </row>
    <row r="530">
      <c r="H530" s="0" t="s">
        <v>227</v>
      </c>
      <c r="I530" s="0" t="s">
        <v>259</v>
      </c>
      <c r="J530" s="0" t="s">
        <v>438</v>
      </c>
      <c r="K530" s="83" t="s">
        <v>1552</v>
      </c>
      <c r="L530" s="0" t="s">
        <v>1553</v>
      </c>
      <c r="M530" s="0" t="s">
        <v>231</v>
      </c>
      <c r="N530" s="0" t="str">
        <f t="shared" si="8"/>
        <v>CCFNenUdi</v>
      </c>
    </row>
    <row r="531">
      <c r="H531" s="0" t="s">
        <v>227</v>
      </c>
      <c r="I531" s="0" t="s">
        <v>259</v>
      </c>
      <c r="J531" s="0" t="s">
        <v>438</v>
      </c>
      <c r="K531" s="83" t="s">
        <v>1554</v>
      </c>
      <c r="L531" s="0" t="s">
        <v>1555</v>
      </c>
      <c r="M531" s="0" t="s">
        <v>231</v>
      </c>
      <c r="N531" s="0" t="str">
        <f t="shared" si="8"/>
        <v>CCFNenUdi</v>
      </c>
    </row>
    <row r="532">
      <c r="H532" s="0" t="s">
        <v>227</v>
      </c>
      <c r="I532" s="0" t="s">
        <v>259</v>
      </c>
      <c r="J532" s="0" t="s">
        <v>438</v>
      </c>
      <c r="K532" s="83" t="s">
        <v>1556</v>
      </c>
      <c r="L532" s="0" t="s">
        <v>1557</v>
      </c>
      <c r="M532" s="0" t="s">
        <v>231</v>
      </c>
      <c r="N532" s="0" t="str">
        <f t="shared" si="8"/>
        <v>CCFNenUdi</v>
      </c>
    </row>
    <row r="533">
      <c r="H533" s="0" t="s">
        <v>227</v>
      </c>
      <c r="I533" s="0" t="s">
        <v>259</v>
      </c>
      <c r="J533" s="0" t="s">
        <v>438</v>
      </c>
      <c r="K533" s="83" t="s">
        <v>1558</v>
      </c>
      <c r="L533" s="0" t="s">
        <v>1559</v>
      </c>
      <c r="M533" s="0" t="s">
        <v>231</v>
      </c>
      <c r="N533" s="0" t="str">
        <f t="shared" si="8"/>
        <v>CCFNenUdi</v>
      </c>
    </row>
    <row r="534">
      <c r="H534" s="0" t="s">
        <v>227</v>
      </c>
      <c r="I534" s="0" t="s">
        <v>259</v>
      </c>
      <c r="J534" s="0" t="s">
        <v>438</v>
      </c>
      <c r="K534" s="83" t="s">
        <v>1560</v>
      </c>
      <c r="L534" s="0" t="s">
        <v>1561</v>
      </c>
      <c r="M534" s="0" t="s">
        <v>231</v>
      </c>
      <c r="N534" s="0" t="str">
        <f t="shared" si="8"/>
        <v>CCFNenUdi</v>
      </c>
    </row>
    <row r="535">
      <c r="H535" s="0" t="s">
        <v>227</v>
      </c>
      <c r="I535" s="0" t="s">
        <v>259</v>
      </c>
      <c r="J535" s="0" t="s">
        <v>438</v>
      </c>
      <c r="K535" s="83" t="s">
        <v>1562</v>
      </c>
      <c r="L535" s="0" t="s">
        <v>1563</v>
      </c>
      <c r="M535" s="0" t="s">
        <v>231</v>
      </c>
      <c r="N535" s="0" t="str">
        <f t="shared" si="8"/>
        <v>CCFNenUdi</v>
      </c>
    </row>
    <row r="536">
      <c r="H536" s="0" t="s">
        <v>227</v>
      </c>
      <c r="I536" s="0" t="s">
        <v>259</v>
      </c>
      <c r="J536" s="0" t="s">
        <v>438</v>
      </c>
      <c r="K536" s="83" t="s">
        <v>1564</v>
      </c>
      <c r="L536" s="0" t="s">
        <v>1565</v>
      </c>
      <c r="M536" s="0" t="s">
        <v>231</v>
      </c>
      <c r="N536" s="0" t="str">
        <f t="shared" si="8"/>
        <v>CCFNenUdi</v>
      </c>
    </row>
    <row r="537">
      <c r="H537" s="0" t="s">
        <v>227</v>
      </c>
      <c r="I537" s="0" t="s">
        <v>259</v>
      </c>
      <c r="J537" s="0" t="s">
        <v>438</v>
      </c>
      <c r="K537" s="83" t="s">
        <v>1566</v>
      </c>
      <c r="L537" s="0" t="s">
        <v>1567</v>
      </c>
      <c r="M537" s="0" t="s">
        <v>231</v>
      </c>
      <c r="N537" s="0" t="str">
        <f t="shared" si="8"/>
        <v>CCFNenUdi</v>
      </c>
    </row>
    <row r="538">
      <c r="H538" s="0" t="s">
        <v>227</v>
      </c>
      <c r="I538" s="0" t="s">
        <v>259</v>
      </c>
      <c r="J538" s="0" t="s">
        <v>438</v>
      </c>
      <c r="K538" s="83" t="s">
        <v>1568</v>
      </c>
      <c r="L538" s="0" t="s">
        <v>1569</v>
      </c>
      <c r="M538" s="0" t="s">
        <v>231</v>
      </c>
      <c r="N538" s="0" t="str">
        <f t="shared" si="8"/>
        <v>CCFNenUdi</v>
      </c>
    </row>
    <row r="539">
      <c r="H539" s="0" t="s">
        <v>227</v>
      </c>
      <c r="I539" s="0" t="s">
        <v>259</v>
      </c>
      <c r="J539" s="0" t="s">
        <v>438</v>
      </c>
      <c r="K539" s="83" t="s">
        <v>1570</v>
      </c>
      <c r="L539" s="0" t="s">
        <v>1571</v>
      </c>
      <c r="M539" s="0" t="s">
        <v>231</v>
      </c>
      <c r="N539" s="0" t="str">
        <f t="shared" si="8"/>
        <v>CCFNenUdi</v>
      </c>
    </row>
    <row r="540">
      <c r="H540" s="0" t="s">
        <v>227</v>
      </c>
      <c r="I540" s="0" t="s">
        <v>225</v>
      </c>
      <c r="J540" s="0" t="s">
        <v>226</v>
      </c>
      <c r="K540" s="83" t="s">
        <v>1572</v>
      </c>
      <c r="L540" s="0" t="s">
        <v>1573</v>
      </c>
      <c r="M540" s="0" t="s">
        <v>244</v>
      </c>
      <c r="N540" s="0" t="str">
        <f t="shared" si="8"/>
        <v>IHVNfcAbaji</v>
      </c>
    </row>
    <row r="541">
      <c r="H541" s="0" t="s">
        <v>227</v>
      </c>
      <c r="I541" s="0" t="s">
        <v>225</v>
      </c>
      <c r="J541" s="0" t="s">
        <v>226</v>
      </c>
      <c r="K541" s="83" t="s">
        <v>1574</v>
      </c>
      <c r="L541" s="0" t="s">
        <v>1575</v>
      </c>
      <c r="M541" s="0" t="s">
        <v>244</v>
      </c>
      <c r="N541" s="0" t="str">
        <f t="shared" si="8"/>
        <v>IHVNfcAbaji</v>
      </c>
    </row>
    <row r="542">
      <c r="H542" s="0" t="s">
        <v>227</v>
      </c>
      <c r="I542" s="0" t="s">
        <v>225</v>
      </c>
      <c r="J542" s="0" t="s">
        <v>234</v>
      </c>
      <c r="K542" s="83" t="s">
        <v>1576</v>
      </c>
      <c r="L542" s="0" t="s">
        <v>1577</v>
      </c>
      <c r="M542" s="0" t="s">
        <v>244</v>
      </c>
      <c r="N542" s="0" t="str">
        <f t="shared" si="8"/>
        <v>IHVNfcAMAC</v>
      </c>
    </row>
    <row r="543">
      <c r="H543" s="0" t="s">
        <v>227</v>
      </c>
      <c r="I543" s="0" t="s">
        <v>225</v>
      </c>
      <c r="J543" s="0" t="s">
        <v>234</v>
      </c>
      <c r="K543" s="83" t="s">
        <v>1578</v>
      </c>
      <c r="L543" s="0" t="s">
        <v>1579</v>
      </c>
      <c r="M543" s="0" t="s">
        <v>244</v>
      </c>
      <c r="N543" s="0" t="str">
        <f t="shared" si="8"/>
        <v>IHVNfcAMAC</v>
      </c>
    </row>
    <row r="544">
      <c r="H544" s="0" t="s">
        <v>227</v>
      </c>
      <c r="I544" s="0" t="s">
        <v>225</v>
      </c>
      <c r="J544" s="0" t="s">
        <v>234</v>
      </c>
      <c r="K544" s="83" t="s">
        <v>1580</v>
      </c>
      <c r="L544" s="0" t="s">
        <v>1581</v>
      </c>
      <c r="M544" s="0" t="s">
        <v>244</v>
      </c>
      <c r="N544" s="0" t="str">
        <f t="shared" si="8"/>
        <v>IHVNfcAMAC</v>
      </c>
    </row>
    <row r="545">
      <c r="H545" s="0" t="s">
        <v>227</v>
      </c>
      <c r="I545" s="0" t="s">
        <v>225</v>
      </c>
      <c r="J545" s="0" t="s">
        <v>234</v>
      </c>
      <c r="K545" s="83" t="s">
        <v>1582</v>
      </c>
      <c r="L545" s="0" t="s">
        <v>1583</v>
      </c>
      <c r="M545" s="0" t="s">
        <v>244</v>
      </c>
      <c r="N545" s="0" t="str">
        <f t="shared" si="8"/>
        <v>IHVNfcAMAC</v>
      </c>
    </row>
    <row r="546">
      <c r="H546" s="0" t="s">
        <v>227</v>
      </c>
      <c r="I546" s="0" t="s">
        <v>225</v>
      </c>
      <c r="J546" s="0" t="s">
        <v>234</v>
      </c>
      <c r="K546" s="83" t="s">
        <v>1584</v>
      </c>
      <c r="L546" s="0" t="s">
        <v>1585</v>
      </c>
      <c r="M546" s="0" t="s">
        <v>244</v>
      </c>
      <c r="N546" s="0" t="str">
        <f t="shared" si="8"/>
        <v>IHVNfcAMAC</v>
      </c>
    </row>
    <row r="547">
      <c r="H547" s="0" t="s">
        <v>227</v>
      </c>
      <c r="I547" s="0" t="s">
        <v>225</v>
      </c>
      <c r="J547" s="0" t="s">
        <v>234</v>
      </c>
      <c r="K547" s="83" t="s">
        <v>1586</v>
      </c>
      <c r="L547" s="0" t="s">
        <v>1587</v>
      </c>
      <c r="M547" s="0" t="s">
        <v>244</v>
      </c>
      <c r="N547" s="0" t="str">
        <f t="shared" si="8"/>
        <v>IHVNfcAMAC</v>
      </c>
    </row>
    <row r="548">
      <c r="H548" s="0" t="s">
        <v>227</v>
      </c>
      <c r="I548" s="0" t="s">
        <v>225</v>
      </c>
      <c r="J548" s="0" t="s">
        <v>234</v>
      </c>
      <c r="K548" s="83" t="s">
        <v>1588</v>
      </c>
      <c r="L548" s="0" t="s">
        <v>1589</v>
      </c>
      <c r="M548" s="0" t="s">
        <v>244</v>
      </c>
      <c r="N548" s="0" t="str">
        <f t="shared" si="8"/>
        <v>IHVNfcAMAC</v>
      </c>
    </row>
    <row r="549">
      <c r="H549" s="0" t="s">
        <v>227</v>
      </c>
      <c r="I549" s="0" t="s">
        <v>225</v>
      </c>
      <c r="J549" s="0" t="s">
        <v>234</v>
      </c>
      <c r="K549" s="83" t="s">
        <v>1590</v>
      </c>
      <c r="L549" s="0" t="s">
        <v>1591</v>
      </c>
      <c r="M549" s="0" t="s">
        <v>244</v>
      </c>
      <c r="N549" s="0" t="str">
        <f t="shared" si="8"/>
        <v>IHVNfcAMAC</v>
      </c>
    </row>
    <row r="550">
      <c r="H550" s="0" t="s">
        <v>227</v>
      </c>
      <c r="I550" s="0" t="s">
        <v>225</v>
      </c>
      <c r="J550" s="0" t="s">
        <v>234</v>
      </c>
      <c r="K550" s="83" t="s">
        <v>1592</v>
      </c>
      <c r="L550" s="0" t="s">
        <v>1593</v>
      </c>
      <c r="M550" s="0" t="s">
        <v>244</v>
      </c>
      <c r="N550" s="0" t="str">
        <f t="shared" si="8"/>
        <v>IHVNfcAMAC</v>
      </c>
    </row>
    <row r="551">
      <c r="H551" s="0" t="s">
        <v>227</v>
      </c>
      <c r="I551" s="0" t="s">
        <v>225</v>
      </c>
      <c r="J551" s="0" t="s">
        <v>234</v>
      </c>
      <c r="K551" s="83" t="s">
        <v>1594</v>
      </c>
      <c r="L551" s="0" t="s">
        <v>1595</v>
      </c>
      <c r="M551" s="0" t="s">
        <v>244</v>
      </c>
      <c r="N551" s="0" t="str">
        <f t="shared" si="8"/>
        <v>IHVNfcAMAC</v>
      </c>
    </row>
    <row r="552">
      <c r="H552" s="0" t="s">
        <v>227</v>
      </c>
      <c r="I552" s="0" t="s">
        <v>225</v>
      </c>
      <c r="J552" s="0" t="s">
        <v>234</v>
      </c>
      <c r="K552" s="83" t="s">
        <v>1596</v>
      </c>
      <c r="L552" s="0" t="s">
        <v>1597</v>
      </c>
      <c r="M552" s="0" t="s">
        <v>244</v>
      </c>
      <c r="N552" s="0" t="str">
        <f t="shared" si="8"/>
        <v>IHVNfcAMAC</v>
      </c>
    </row>
    <row r="553">
      <c r="H553" s="0" t="s">
        <v>227</v>
      </c>
      <c r="I553" s="0" t="s">
        <v>225</v>
      </c>
      <c r="J553" s="0" t="s">
        <v>234</v>
      </c>
      <c r="K553" s="83" t="s">
        <v>1598</v>
      </c>
      <c r="L553" s="0" t="s">
        <v>1599</v>
      </c>
      <c r="M553" s="0" t="s">
        <v>244</v>
      </c>
      <c r="N553" s="0" t="str">
        <f t="shared" si="8"/>
        <v>IHVNfcAMAC</v>
      </c>
    </row>
    <row r="554">
      <c r="H554" s="0" t="s">
        <v>227</v>
      </c>
      <c r="I554" s="0" t="s">
        <v>225</v>
      </c>
      <c r="J554" s="0" t="s">
        <v>234</v>
      </c>
      <c r="K554" s="83" t="s">
        <v>1600</v>
      </c>
      <c r="L554" s="0" t="s">
        <v>1601</v>
      </c>
      <c r="M554" s="0" t="s">
        <v>244</v>
      </c>
      <c r="N554" s="0" t="str">
        <f t="shared" si="8"/>
        <v>IHVNfcAMAC</v>
      </c>
    </row>
    <row r="555">
      <c r="H555" s="0" t="s">
        <v>227</v>
      </c>
      <c r="I555" s="0" t="s">
        <v>225</v>
      </c>
      <c r="J555" s="0" t="s">
        <v>234</v>
      </c>
      <c r="K555" s="83" t="s">
        <v>1602</v>
      </c>
      <c r="L555" s="0" t="s">
        <v>1603</v>
      </c>
      <c r="M555" s="0" t="s">
        <v>244</v>
      </c>
      <c r="N555" s="0" t="str">
        <f t="shared" si="8"/>
        <v>IHVNfcAMAC</v>
      </c>
    </row>
    <row r="556">
      <c r="H556" s="0" t="s">
        <v>227</v>
      </c>
      <c r="I556" s="0" t="s">
        <v>225</v>
      </c>
      <c r="J556" s="0" t="s">
        <v>234</v>
      </c>
      <c r="K556" s="83" t="s">
        <v>1604</v>
      </c>
      <c r="L556" s="0" t="s">
        <v>1605</v>
      </c>
      <c r="M556" s="0" t="s">
        <v>244</v>
      </c>
      <c r="N556" s="0" t="str">
        <f t="shared" si="8"/>
        <v>IHVNfcAMAC</v>
      </c>
    </row>
    <row r="557">
      <c r="H557" s="0" t="s">
        <v>227</v>
      </c>
      <c r="I557" s="0" t="s">
        <v>225</v>
      </c>
      <c r="J557" s="0" t="s">
        <v>234</v>
      </c>
      <c r="K557" s="83" t="s">
        <v>1606</v>
      </c>
      <c r="L557" s="0" t="s">
        <v>1607</v>
      </c>
      <c r="M557" s="0" t="s">
        <v>244</v>
      </c>
      <c r="N557" s="0" t="str">
        <f t="shared" si="8"/>
        <v>IHVNfcAMAC</v>
      </c>
    </row>
    <row r="558">
      <c r="H558" s="0" t="s">
        <v>227</v>
      </c>
      <c r="I558" s="0" t="s">
        <v>225</v>
      </c>
      <c r="J558" s="0" t="s">
        <v>234</v>
      </c>
      <c r="K558" s="83" t="s">
        <v>1608</v>
      </c>
      <c r="L558" s="0" t="s">
        <v>1609</v>
      </c>
      <c r="M558" s="0" t="s">
        <v>244</v>
      </c>
      <c r="N558" s="0" t="str">
        <f t="shared" si="8"/>
        <v>IHVNfcAMAC</v>
      </c>
    </row>
    <row r="559">
      <c r="H559" s="0" t="s">
        <v>227</v>
      </c>
      <c r="I559" s="0" t="s">
        <v>225</v>
      </c>
      <c r="J559" s="0" t="s">
        <v>234</v>
      </c>
      <c r="K559" s="83" t="s">
        <v>1610</v>
      </c>
      <c r="L559" s="0" t="s">
        <v>1611</v>
      </c>
      <c r="M559" s="0" t="s">
        <v>244</v>
      </c>
      <c r="N559" s="0" t="str">
        <f t="shared" si="8"/>
        <v>IHVNfcAMAC</v>
      </c>
    </row>
    <row r="560">
      <c r="H560" s="0" t="s">
        <v>227</v>
      </c>
      <c r="I560" s="0" t="s">
        <v>225</v>
      </c>
      <c r="J560" s="0" t="s">
        <v>234</v>
      </c>
      <c r="K560" s="83" t="s">
        <v>1612</v>
      </c>
      <c r="L560" s="0" t="s">
        <v>1613</v>
      </c>
      <c r="M560" s="0" t="s">
        <v>244</v>
      </c>
      <c r="N560" s="0" t="str">
        <f t="shared" si="8"/>
        <v>IHVNfcAMAC</v>
      </c>
    </row>
    <row r="561">
      <c r="H561" s="0" t="s">
        <v>227</v>
      </c>
      <c r="I561" s="0" t="s">
        <v>225</v>
      </c>
      <c r="J561" s="0" t="s">
        <v>234</v>
      </c>
      <c r="K561" s="83" t="s">
        <v>1614</v>
      </c>
      <c r="L561" s="0" t="s">
        <v>1615</v>
      </c>
      <c r="M561" s="0" t="s">
        <v>244</v>
      </c>
      <c r="N561" s="0" t="str">
        <f t="shared" si="8"/>
        <v>IHVNfcAMAC</v>
      </c>
    </row>
    <row r="562">
      <c r="H562" s="0" t="s">
        <v>227</v>
      </c>
      <c r="I562" s="0" t="s">
        <v>225</v>
      </c>
      <c r="J562" s="0" t="s">
        <v>234</v>
      </c>
      <c r="K562" s="83" t="s">
        <v>1616</v>
      </c>
      <c r="L562" s="0" t="s">
        <v>1617</v>
      </c>
      <c r="M562" s="0" t="s">
        <v>244</v>
      </c>
      <c r="N562" s="0" t="str">
        <f t="shared" si="8"/>
        <v>IHVNfcAMAC</v>
      </c>
    </row>
    <row r="563">
      <c r="H563" s="0" t="s">
        <v>227</v>
      </c>
      <c r="I563" s="0" t="s">
        <v>225</v>
      </c>
      <c r="J563" s="0" t="s">
        <v>234</v>
      </c>
      <c r="K563" s="83" t="s">
        <v>1618</v>
      </c>
      <c r="L563" s="0" t="s">
        <v>1619</v>
      </c>
      <c r="M563" s="0" t="s">
        <v>244</v>
      </c>
      <c r="N563" s="0" t="str">
        <f t="shared" si="8"/>
        <v>IHVNfcAMAC</v>
      </c>
    </row>
    <row r="564">
      <c r="H564" s="0" t="s">
        <v>227</v>
      </c>
      <c r="I564" s="0" t="s">
        <v>225</v>
      </c>
      <c r="J564" s="0" t="s">
        <v>234</v>
      </c>
      <c r="K564" s="83" t="s">
        <v>1620</v>
      </c>
      <c r="L564" s="0" t="s">
        <v>1621</v>
      </c>
      <c r="M564" s="0" t="s">
        <v>244</v>
      </c>
      <c r="N564" s="0" t="str">
        <f t="shared" si="8"/>
        <v>IHVNfcAMAC</v>
      </c>
    </row>
    <row r="565">
      <c r="H565" s="0" t="s">
        <v>227</v>
      </c>
      <c r="I565" s="0" t="s">
        <v>225</v>
      </c>
      <c r="J565" s="0" t="s">
        <v>234</v>
      </c>
      <c r="K565" s="83" t="s">
        <v>1622</v>
      </c>
      <c r="L565" s="0" t="s">
        <v>1623</v>
      </c>
      <c r="M565" s="0" t="s">
        <v>244</v>
      </c>
      <c r="N565" s="0" t="str">
        <f t="shared" si="8"/>
        <v>IHVNfcAMAC</v>
      </c>
    </row>
    <row r="566">
      <c r="H566" s="0" t="s">
        <v>227</v>
      </c>
      <c r="I566" s="0" t="s">
        <v>225</v>
      </c>
      <c r="J566" s="0" t="s">
        <v>234</v>
      </c>
      <c r="K566" s="83" t="s">
        <v>1624</v>
      </c>
      <c r="L566" s="0" t="s">
        <v>1625</v>
      </c>
      <c r="M566" s="0" t="s">
        <v>244</v>
      </c>
      <c r="N566" s="0" t="str">
        <f t="shared" si="8"/>
        <v>IHVNfcAMAC</v>
      </c>
    </row>
    <row r="567">
      <c r="H567" s="0" t="s">
        <v>227</v>
      </c>
      <c r="I567" s="0" t="s">
        <v>225</v>
      </c>
      <c r="J567" s="0" t="s">
        <v>234</v>
      </c>
      <c r="K567" s="83" t="s">
        <v>1626</v>
      </c>
      <c r="L567" s="0" t="s">
        <v>1627</v>
      </c>
      <c r="M567" s="0" t="s">
        <v>244</v>
      </c>
      <c r="N567" s="0" t="str">
        <f t="shared" si="8"/>
        <v>IHVNfcAMAC</v>
      </c>
    </row>
    <row r="568">
      <c r="H568" s="0" t="s">
        <v>227</v>
      </c>
      <c r="I568" s="0" t="s">
        <v>225</v>
      </c>
      <c r="J568" s="0" t="s">
        <v>234</v>
      </c>
      <c r="K568" s="83" t="s">
        <v>1628</v>
      </c>
      <c r="L568" s="0" t="s">
        <v>1629</v>
      </c>
      <c r="M568" s="0" t="s">
        <v>244</v>
      </c>
      <c r="N568" s="0" t="str">
        <f t="shared" si="8"/>
        <v>IHVNfcAMAC</v>
      </c>
    </row>
    <row r="569">
      <c r="H569" s="0" t="s">
        <v>227</v>
      </c>
      <c r="I569" s="0" t="s">
        <v>225</v>
      </c>
      <c r="J569" s="0" t="s">
        <v>234</v>
      </c>
      <c r="K569" s="83" t="s">
        <v>1630</v>
      </c>
      <c r="L569" s="0" t="s">
        <v>1631</v>
      </c>
      <c r="M569" s="0" t="s">
        <v>244</v>
      </c>
      <c r="N569" s="0" t="str">
        <f t="shared" si="8"/>
        <v>IHVNfcAMAC</v>
      </c>
    </row>
    <row r="570">
      <c r="H570" s="0" t="s">
        <v>227</v>
      </c>
      <c r="I570" s="0" t="s">
        <v>225</v>
      </c>
      <c r="J570" s="0" t="s">
        <v>234</v>
      </c>
      <c r="K570" s="83" t="s">
        <v>1632</v>
      </c>
      <c r="L570" s="0" t="s">
        <v>1633</v>
      </c>
      <c r="M570" s="0" t="s">
        <v>244</v>
      </c>
      <c r="N570" s="0" t="str">
        <f t="shared" si="8"/>
        <v>IHVNfcAMAC</v>
      </c>
    </row>
    <row r="571">
      <c r="H571" s="0" t="s">
        <v>227</v>
      </c>
      <c r="I571" s="0" t="s">
        <v>225</v>
      </c>
      <c r="J571" s="0" t="s">
        <v>234</v>
      </c>
      <c r="K571" s="83" t="s">
        <v>1634</v>
      </c>
      <c r="L571" s="0" t="s">
        <v>1635</v>
      </c>
      <c r="M571" s="0" t="s">
        <v>244</v>
      </c>
      <c r="N571" s="0" t="str">
        <f t="shared" si="8"/>
        <v>IHVNfcAMAC</v>
      </c>
    </row>
    <row r="572">
      <c r="H572" s="0" t="s">
        <v>227</v>
      </c>
      <c r="I572" s="0" t="s">
        <v>225</v>
      </c>
      <c r="J572" s="0" t="s">
        <v>234</v>
      </c>
      <c r="K572" s="83" t="s">
        <v>1636</v>
      </c>
      <c r="L572" s="0" t="s">
        <v>1637</v>
      </c>
      <c r="M572" s="0" t="s">
        <v>244</v>
      </c>
      <c r="N572" s="0" t="str">
        <f t="shared" si="8"/>
        <v>IHVNfcAMAC</v>
      </c>
    </row>
    <row r="573">
      <c r="H573" s="0" t="s">
        <v>227</v>
      </c>
      <c r="I573" s="0" t="s">
        <v>225</v>
      </c>
      <c r="J573" s="0" t="s">
        <v>234</v>
      </c>
      <c r="K573" s="83" t="s">
        <v>1638</v>
      </c>
      <c r="L573" s="0" t="s">
        <v>1639</v>
      </c>
      <c r="M573" s="0" t="s">
        <v>244</v>
      </c>
      <c r="N573" s="0" t="str">
        <f t="shared" si="8"/>
        <v>IHVNfcAMAC</v>
      </c>
    </row>
    <row r="574">
      <c r="H574" s="0" t="s">
        <v>227</v>
      </c>
      <c r="I574" s="0" t="s">
        <v>225</v>
      </c>
      <c r="J574" s="0" t="s">
        <v>234</v>
      </c>
      <c r="K574" s="83" t="s">
        <v>1640</v>
      </c>
      <c r="L574" s="0" t="s">
        <v>1641</v>
      </c>
      <c r="M574" s="0" t="s">
        <v>244</v>
      </c>
      <c r="N574" s="0" t="str">
        <f t="shared" si="8"/>
        <v>IHVNfcAMAC</v>
      </c>
    </row>
    <row r="575">
      <c r="H575" s="0" t="s">
        <v>227</v>
      </c>
      <c r="I575" s="0" t="s">
        <v>225</v>
      </c>
      <c r="J575" s="0" t="s">
        <v>234</v>
      </c>
      <c r="K575" s="83" t="s">
        <v>1642</v>
      </c>
      <c r="L575" s="0" t="s">
        <v>1643</v>
      </c>
      <c r="M575" s="0" t="s">
        <v>244</v>
      </c>
      <c r="N575" s="0" t="str">
        <f t="shared" si="8"/>
        <v>IHVNfcAMAC</v>
      </c>
    </row>
    <row r="576">
      <c r="H576" s="0" t="s">
        <v>227</v>
      </c>
      <c r="I576" s="0" t="s">
        <v>225</v>
      </c>
      <c r="J576" s="0" t="s">
        <v>234</v>
      </c>
      <c r="K576" s="83" t="s">
        <v>1644</v>
      </c>
      <c r="L576" s="0" t="s">
        <v>1645</v>
      </c>
      <c r="M576" s="0" t="s">
        <v>244</v>
      </c>
      <c r="N576" s="0" t="str">
        <f t="shared" si="8"/>
        <v>IHVNfcAMAC</v>
      </c>
    </row>
    <row r="577">
      <c r="H577" s="0" t="s">
        <v>227</v>
      </c>
      <c r="I577" s="0" t="s">
        <v>225</v>
      </c>
      <c r="J577" s="0" t="s">
        <v>234</v>
      </c>
      <c r="K577" s="83" t="s">
        <v>1646</v>
      </c>
      <c r="L577" s="0" t="s">
        <v>1647</v>
      </c>
      <c r="M577" s="0" t="s">
        <v>244</v>
      </c>
      <c r="N577" s="0" t="str">
        <f t="shared" si="8"/>
        <v>IHVNfcAMAC</v>
      </c>
    </row>
    <row r="578">
      <c r="H578" s="0" t="s">
        <v>227</v>
      </c>
      <c r="I578" s="0" t="s">
        <v>225</v>
      </c>
      <c r="J578" s="0" t="s">
        <v>234</v>
      </c>
      <c r="K578" s="83" t="s">
        <v>1648</v>
      </c>
      <c r="L578" s="0" t="s">
        <v>1649</v>
      </c>
      <c r="M578" s="0" t="s">
        <v>244</v>
      </c>
      <c r="N578" s="0" t="str">
        <f t="shared" si="8"/>
        <v>IHVNfcAMAC</v>
      </c>
    </row>
    <row r="579">
      <c r="H579" s="0" t="s">
        <v>227</v>
      </c>
      <c r="I579" s="0" t="s">
        <v>225</v>
      </c>
      <c r="J579" s="0" t="s">
        <v>234</v>
      </c>
      <c r="K579" s="83" t="s">
        <v>1650</v>
      </c>
      <c r="L579" s="0" t="s">
        <v>1651</v>
      </c>
      <c r="M579" s="0" t="s">
        <v>244</v>
      </c>
      <c r="N579" s="0" t="str">
        <f ref="N579:N642" t="shared" si="9">SUBSTITUTE(SUBSTITUTE(M579&amp;J579," ",""),"-","")</f>
        <v>IHVNfcAMAC</v>
      </c>
    </row>
    <row r="580">
      <c r="H580" s="0" t="s">
        <v>227</v>
      </c>
      <c r="I580" s="0" t="s">
        <v>225</v>
      </c>
      <c r="J580" s="0" t="s">
        <v>234</v>
      </c>
      <c r="K580" s="83" t="s">
        <v>1652</v>
      </c>
      <c r="L580" s="0" t="s">
        <v>1653</v>
      </c>
      <c r="M580" s="0" t="s">
        <v>244</v>
      </c>
      <c r="N580" s="0" t="str">
        <f t="shared" si="9"/>
        <v>IHVNfcAMAC</v>
      </c>
    </row>
    <row r="581">
      <c r="H581" s="0" t="s">
        <v>227</v>
      </c>
      <c r="I581" s="0" t="s">
        <v>225</v>
      </c>
      <c r="J581" s="0" t="s">
        <v>234</v>
      </c>
      <c r="K581" s="83" t="s">
        <v>1654</v>
      </c>
      <c r="L581" s="0" t="s">
        <v>1655</v>
      </c>
      <c r="M581" s="0" t="s">
        <v>244</v>
      </c>
      <c r="N581" s="0" t="str">
        <f t="shared" si="9"/>
        <v>IHVNfcAMAC</v>
      </c>
    </row>
    <row r="582">
      <c r="H582" s="0" t="s">
        <v>227</v>
      </c>
      <c r="I582" s="0" t="s">
        <v>225</v>
      </c>
      <c r="J582" s="0" t="s">
        <v>234</v>
      </c>
      <c r="K582" s="83" t="s">
        <v>1656</v>
      </c>
      <c r="L582" s="0" t="s">
        <v>1657</v>
      </c>
      <c r="M582" s="0" t="s">
        <v>244</v>
      </c>
      <c r="N582" s="0" t="str">
        <f t="shared" si="9"/>
        <v>IHVNfcAMAC</v>
      </c>
    </row>
    <row r="583">
      <c r="H583" s="0" t="s">
        <v>227</v>
      </c>
      <c r="I583" s="0" t="s">
        <v>225</v>
      </c>
      <c r="J583" s="0" t="s">
        <v>234</v>
      </c>
      <c r="K583" s="83" t="s">
        <v>1658</v>
      </c>
      <c r="L583" s="0" t="s">
        <v>1659</v>
      </c>
      <c r="M583" s="0" t="s">
        <v>244</v>
      </c>
      <c r="N583" s="0" t="str">
        <f t="shared" si="9"/>
        <v>IHVNfcAMAC</v>
      </c>
    </row>
    <row r="584">
      <c r="H584" s="0" t="s">
        <v>227</v>
      </c>
      <c r="I584" s="0" t="s">
        <v>225</v>
      </c>
      <c r="J584" s="0" t="s">
        <v>234</v>
      </c>
      <c r="K584" s="83" t="s">
        <v>1660</v>
      </c>
      <c r="L584" s="0" t="s">
        <v>1661</v>
      </c>
      <c r="M584" s="0" t="s">
        <v>244</v>
      </c>
      <c r="N584" s="0" t="str">
        <f t="shared" si="9"/>
        <v>IHVNfcAMAC</v>
      </c>
    </row>
    <row r="585">
      <c r="H585" s="0" t="s">
        <v>227</v>
      </c>
      <c r="I585" s="0" t="s">
        <v>225</v>
      </c>
      <c r="J585" s="0" t="s">
        <v>234</v>
      </c>
      <c r="K585" s="83" t="s">
        <v>1662</v>
      </c>
      <c r="L585" s="0" t="s">
        <v>1663</v>
      </c>
      <c r="M585" s="0" t="s">
        <v>244</v>
      </c>
      <c r="N585" s="0" t="str">
        <f t="shared" si="9"/>
        <v>IHVNfcAMAC</v>
      </c>
    </row>
    <row r="586">
      <c r="H586" s="0" t="s">
        <v>227</v>
      </c>
      <c r="I586" s="0" t="s">
        <v>225</v>
      </c>
      <c r="J586" s="0" t="s">
        <v>234</v>
      </c>
      <c r="K586" s="83" t="s">
        <v>1664</v>
      </c>
      <c r="L586" s="0" t="s">
        <v>1665</v>
      </c>
      <c r="M586" s="0" t="s">
        <v>244</v>
      </c>
      <c r="N586" s="0" t="str">
        <f t="shared" si="9"/>
        <v>IHVNfcAMAC</v>
      </c>
    </row>
    <row r="587">
      <c r="H587" s="0" t="s">
        <v>227</v>
      </c>
      <c r="I587" s="0" t="s">
        <v>225</v>
      </c>
      <c r="J587" s="0" t="s">
        <v>234</v>
      </c>
      <c r="K587" s="83" t="s">
        <v>1666</v>
      </c>
      <c r="L587" s="0" t="s">
        <v>1667</v>
      </c>
      <c r="M587" s="0" t="s">
        <v>244</v>
      </c>
      <c r="N587" s="0" t="str">
        <f t="shared" si="9"/>
        <v>IHVNfcAMAC</v>
      </c>
    </row>
    <row r="588">
      <c r="H588" s="0" t="s">
        <v>227</v>
      </c>
      <c r="I588" s="0" t="s">
        <v>225</v>
      </c>
      <c r="J588" s="0" t="s">
        <v>234</v>
      </c>
      <c r="K588" s="83" t="s">
        <v>1668</v>
      </c>
      <c r="L588" s="0" t="s">
        <v>1669</v>
      </c>
      <c r="M588" s="0" t="s">
        <v>244</v>
      </c>
      <c r="N588" s="0" t="str">
        <f t="shared" si="9"/>
        <v>IHVNfcAMAC</v>
      </c>
    </row>
    <row r="589">
      <c r="H589" s="0" t="s">
        <v>227</v>
      </c>
      <c r="I589" s="0" t="s">
        <v>225</v>
      </c>
      <c r="J589" s="0" t="s">
        <v>234</v>
      </c>
      <c r="K589" s="83" t="s">
        <v>1670</v>
      </c>
      <c r="L589" s="0" t="s">
        <v>1671</v>
      </c>
      <c r="M589" s="0" t="s">
        <v>244</v>
      </c>
      <c r="N589" s="0" t="str">
        <f t="shared" si="9"/>
        <v>IHVNfcAMAC</v>
      </c>
    </row>
    <row r="590">
      <c r="H590" s="0" t="s">
        <v>227</v>
      </c>
      <c r="I590" s="0" t="s">
        <v>225</v>
      </c>
      <c r="J590" s="0" t="s">
        <v>234</v>
      </c>
      <c r="K590" s="83" t="s">
        <v>1672</v>
      </c>
      <c r="L590" s="0" t="s">
        <v>1673</v>
      </c>
      <c r="M590" s="0" t="s">
        <v>244</v>
      </c>
      <c r="N590" s="0" t="str">
        <f t="shared" si="9"/>
        <v>IHVNfcAMAC</v>
      </c>
    </row>
    <row r="591">
      <c r="H591" s="0" t="s">
        <v>227</v>
      </c>
      <c r="I591" s="0" t="s">
        <v>225</v>
      </c>
      <c r="J591" s="0" t="s">
        <v>234</v>
      </c>
      <c r="K591" s="83" t="s">
        <v>1674</v>
      </c>
      <c r="L591" s="0" t="s">
        <v>1675</v>
      </c>
      <c r="M591" s="0" t="s">
        <v>244</v>
      </c>
      <c r="N591" s="0" t="str">
        <f t="shared" si="9"/>
        <v>IHVNfcAMAC</v>
      </c>
    </row>
    <row r="592">
      <c r="H592" s="0" t="s">
        <v>227</v>
      </c>
      <c r="I592" s="0" t="s">
        <v>225</v>
      </c>
      <c r="J592" s="0" t="s">
        <v>234</v>
      </c>
      <c r="K592" s="83" t="s">
        <v>1676</v>
      </c>
      <c r="L592" s="0" t="s">
        <v>1677</v>
      </c>
      <c r="M592" s="0" t="s">
        <v>244</v>
      </c>
      <c r="N592" s="0" t="str">
        <f t="shared" si="9"/>
        <v>IHVNfcAMAC</v>
      </c>
    </row>
    <row r="593">
      <c r="H593" s="0" t="s">
        <v>227</v>
      </c>
      <c r="I593" s="0" t="s">
        <v>225</v>
      </c>
      <c r="J593" s="0" t="s">
        <v>234</v>
      </c>
      <c r="K593" s="83" t="s">
        <v>1678</v>
      </c>
      <c r="L593" s="0" t="s">
        <v>1679</v>
      </c>
      <c r="M593" s="0" t="s">
        <v>244</v>
      </c>
      <c r="N593" s="0" t="str">
        <f t="shared" si="9"/>
        <v>IHVNfcAMAC</v>
      </c>
    </row>
    <row r="594">
      <c r="H594" s="0" t="s">
        <v>227</v>
      </c>
      <c r="I594" s="0" t="s">
        <v>225</v>
      </c>
      <c r="J594" s="0" t="s">
        <v>234</v>
      </c>
      <c r="K594" s="83" t="s">
        <v>1680</v>
      </c>
      <c r="L594" s="0" t="s">
        <v>1681</v>
      </c>
      <c r="M594" s="0" t="s">
        <v>244</v>
      </c>
      <c r="N594" s="0" t="str">
        <f t="shared" si="9"/>
        <v>IHVNfcAMAC</v>
      </c>
    </row>
    <row r="595">
      <c r="H595" s="0" t="s">
        <v>227</v>
      </c>
      <c r="I595" s="0" t="s">
        <v>225</v>
      </c>
      <c r="J595" s="0" t="s">
        <v>234</v>
      </c>
      <c r="K595" s="83" t="s">
        <v>1682</v>
      </c>
      <c r="L595" s="0" t="s">
        <v>1683</v>
      </c>
      <c r="M595" s="0" t="s">
        <v>244</v>
      </c>
      <c r="N595" s="0" t="str">
        <f t="shared" si="9"/>
        <v>IHVNfcAMAC</v>
      </c>
    </row>
    <row r="596">
      <c r="H596" s="0" t="s">
        <v>227</v>
      </c>
      <c r="I596" s="0" t="s">
        <v>225</v>
      </c>
      <c r="J596" s="0" t="s">
        <v>234</v>
      </c>
      <c r="K596" s="83" t="s">
        <v>1684</v>
      </c>
      <c r="L596" s="0" t="s">
        <v>1685</v>
      </c>
      <c r="M596" s="0" t="s">
        <v>244</v>
      </c>
      <c r="N596" s="0" t="str">
        <f t="shared" si="9"/>
        <v>IHVNfcAMAC</v>
      </c>
    </row>
    <row r="597">
      <c r="H597" s="0" t="s">
        <v>227</v>
      </c>
      <c r="I597" s="0" t="s">
        <v>225</v>
      </c>
      <c r="J597" s="0" t="s">
        <v>234</v>
      </c>
      <c r="K597" s="83" t="s">
        <v>1686</v>
      </c>
      <c r="L597" s="0" t="s">
        <v>1687</v>
      </c>
      <c r="M597" s="0" t="s">
        <v>244</v>
      </c>
      <c r="N597" s="0" t="str">
        <f t="shared" si="9"/>
        <v>IHVNfcAMAC</v>
      </c>
    </row>
    <row r="598">
      <c r="H598" s="0" t="s">
        <v>227</v>
      </c>
      <c r="I598" s="0" t="s">
        <v>225</v>
      </c>
      <c r="J598" s="0" t="s">
        <v>234</v>
      </c>
      <c r="K598" s="83" t="s">
        <v>1688</v>
      </c>
      <c r="L598" s="0" t="s">
        <v>1689</v>
      </c>
      <c r="M598" s="0" t="s">
        <v>244</v>
      </c>
      <c r="N598" s="0" t="str">
        <f t="shared" si="9"/>
        <v>IHVNfcAMAC</v>
      </c>
    </row>
    <row r="599">
      <c r="H599" s="0" t="s">
        <v>227</v>
      </c>
      <c r="I599" s="0" t="s">
        <v>225</v>
      </c>
      <c r="J599" s="0" t="s">
        <v>234</v>
      </c>
      <c r="K599" s="83" t="s">
        <v>1690</v>
      </c>
      <c r="L599" s="0" t="s">
        <v>1691</v>
      </c>
      <c r="M599" s="0" t="s">
        <v>244</v>
      </c>
      <c r="N599" s="0" t="str">
        <f t="shared" si="9"/>
        <v>IHVNfcAMAC</v>
      </c>
    </row>
    <row r="600">
      <c r="H600" s="0" t="s">
        <v>227</v>
      </c>
      <c r="I600" s="0" t="s">
        <v>225</v>
      </c>
      <c r="J600" s="0" t="s">
        <v>234</v>
      </c>
      <c r="K600" s="83" t="s">
        <v>1692</v>
      </c>
      <c r="L600" s="0" t="s">
        <v>1693</v>
      </c>
      <c r="M600" s="0" t="s">
        <v>244</v>
      </c>
      <c r="N600" s="0" t="str">
        <f t="shared" si="9"/>
        <v>IHVNfcAMAC</v>
      </c>
    </row>
    <row r="601">
      <c r="H601" s="0" t="s">
        <v>227</v>
      </c>
      <c r="I601" s="0" t="s">
        <v>225</v>
      </c>
      <c r="J601" s="0" t="s">
        <v>234</v>
      </c>
      <c r="K601" s="83" t="s">
        <v>1694</v>
      </c>
      <c r="L601" s="0" t="s">
        <v>1695</v>
      </c>
      <c r="M601" s="0" t="s">
        <v>244</v>
      </c>
      <c r="N601" s="0" t="str">
        <f t="shared" si="9"/>
        <v>IHVNfcAMAC</v>
      </c>
    </row>
    <row r="602">
      <c r="H602" s="0" t="s">
        <v>227</v>
      </c>
      <c r="I602" s="0" t="s">
        <v>225</v>
      </c>
      <c r="J602" s="0" t="s">
        <v>234</v>
      </c>
      <c r="K602" s="83" t="s">
        <v>1696</v>
      </c>
      <c r="L602" s="0" t="s">
        <v>1697</v>
      </c>
      <c r="M602" s="0" t="s">
        <v>244</v>
      </c>
      <c r="N602" s="0" t="str">
        <f t="shared" si="9"/>
        <v>IHVNfcAMAC</v>
      </c>
    </row>
    <row r="603">
      <c r="H603" s="0" t="s">
        <v>227</v>
      </c>
      <c r="I603" s="0" t="s">
        <v>225</v>
      </c>
      <c r="J603" s="0" t="s">
        <v>234</v>
      </c>
      <c r="K603" s="83" t="s">
        <v>1698</v>
      </c>
      <c r="L603" s="0" t="s">
        <v>1699</v>
      </c>
      <c r="M603" s="0" t="s">
        <v>244</v>
      </c>
      <c r="N603" s="0" t="str">
        <f t="shared" si="9"/>
        <v>IHVNfcAMAC</v>
      </c>
    </row>
    <row r="604">
      <c r="H604" s="0" t="s">
        <v>227</v>
      </c>
      <c r="I604" s="0" t="s">
        <v>225</v>
      </c>
      <c r="J604" s="0" t="s">
        <v>234</v>
      </c>
      <c r="K604" s="83" t="s">
        <v>1700</v>
      </c>
      <c r="L604" s="0" t="s">
        <v>1701</v>
      </c>
      <c r="M604" s="0" t="s">
        <v>244</v>
      </c>
      <c r="N604" s="0" t="str">
        <f t="shared" si="9"/>
        <v>IHVNfcAMAC</v>
      </c>
    </row>
    <row r="605">
      <c r="H605" s="0" t="s">
        <v>227</v>
      </c>
      <c r="I605" s="0" t="s">
        <v>225</v>
      </c>
      <c r="J605" s="0" t="s">
        <v>234</v>
      </c>
      <c r="K605" s="83" t="s">
        <v>1702</v>
      </c>
      <c r="L605" s="0" t="s">
        <v>1703</v>
      </c>
      <c r="M605" s="0" t="s">
        <v>244</v>
      </c>
      <c r="N605" s="0" t="str">
        <f t="shared" si="9"/>
        <v>IHVNfcAMAC</v>
      </c>
    </row>
    <row r="606">
      <c r="H606" s="0" t="s">
        <v>227</v>
      </c>
      <c r="I606" s="0" t="s">
        <v>225</v>
      </c>
      <c r="J606" s="0" t="s">
        <v>234</v>
      </c>
      <c r="K606" s="83" t="s">
        <v>1704</v>
      </c>
      <c r="L606" s="0" t="s">
        <v>1705</v>
      </c>
      <c r="M606" s="0" t="s">
        <v>244</v>
      </c>
      <c r="N606" s="0" t="str">
        <f t="shared" si="9"/>
        <v>IHVNfcAMAC</v>
      </c>
    </row>
    <row r="607">
      <c r="H607" s="0" t="s">
        <v>227</v>
      </c>
      <c r="I607" s="0" t="s">
        <v>225</v>
      </c>
      <c r="J607" s="0" t="s">
        <v>234</v>
      </c>
      <c r="K607" s="83" t="s">
        <v>1706</v>
      </c>
      <c r="L607" s="0" t="s">
        <v>1707</v>
      </c>
      <c r="M607" s="0" t="s">
        <v>244</v>
      </c>
      <c r="N607" s="0" t="str">
        <f t="shared" si="9"/>
        <v>IHVNfcAMAC</v>
      </c>
    </row>
    <row r="608">
      <c r="H608" s="0" t="s">
        <v>227</v>
      </c>
      <c r="I608" s="0" t="s">
        <v>225</v>
      </c>
      <c r="J608" s="0" t="s">
        <v>234</v>
      </c>
      <c r="K608" s="83" t="s">
        <v>1708</v>
      </c>
      <c r="L608" s="0" t="s">
        <v>1709</v>
      </c>
      <c r="M608" s="0" t="s">
        <v>244</v>
      </c>
      <c r="N608" s="0" t="str">
        <f t="shared" si="9"/>
        <v>IHVNfcAMAC</v>
      </c>
    </row>
    <row r="609">
      <c r="H609" s="0" t="s">
        <v>227</v>
      </c>
      <c r="I609" s="0" t="s">
        <v>225</v>
      </c>
      <c r="J609" s="0" t="s">
        <v>234</v>
      </c>
      <c r="K609" s="83" t="s">
        <v>1710</v>
      </c>
      <c r="L609" s="0" t="s">
        <v>1711</v>
      </c>
      <c r="M609" s="0" t="s">
        <v>244</v>
      </c>
      <c r="N609" s="0" t="str">
        <f t="shared" si="9"/>
        <v>IHVNfcAMAC</v>
      </c>
    </row>
    <row r="610">
      <c r="H610" s="0" t="s">
        <v>227</v>
      </c>
      <c r="I610" s="0" t="s">
        <v>225</v>
      </c>
      <c r="J610" s="0" t="s">
        <v>234</v>
      </c>
      <c r="K610" s="83" t="s">
        <v>1712</v>
      </c>
      <c r="L610" s="0" t="s">
        <v>1713</v>
      </c>
      <c r="M610" s="0" t="s">
        <v>244</v>
      </c>
      <c r="N610" s="0" t="str">
        <f t="shared" si="9"/>
        <v>IHVNfcAMAC</v>
      </c>
    </row>
    <row r="611">
      <c r="H611" s="0" t="s">
        <v>227</v>
      </c>
      <c r="I611" s="0" t="s">
        <v>225</v>
      </c>
      <c r="J611" s="0" t="s">
        <v>234</v>
      </c>
      <c r="K611" s="83" t="s">
        <v>1714</v>
      </c>
      <c r="L611" s="0" t="s">
        <v>1715</v>
      </c>
      <c r="M611" s="0" t="s">
        <v>244</v>
      </c>
      <c r="N611" s="0" t="str">
        <f t="shared" si="9"/>
        <v>IHVNfcAMAC</v>
      </c>
    </row>
    <row r="612">
      <c r="H612" s="0" t="s">
        <v>227</v>
      </c>
      <c r="I612" s="0" t="s">
        <v>225</v>
      </c>
      <c r="J612" s="0" t="s">
        <v>234</v>
      </c>
      <c r="K612" s="83" t="s">
        <v>1716</v>
      </c>
      <c r="L612" s="0" t="s">
        <v>1717</v>
      </c>
      <c r="M612" s="0" t="s">
        <v>244</v>
      </c>
      <c r="N612" s="0" t="str">
        <f t="shared" si="9"/>
        <v>IHVNfcAMAC</v>
      </c>
    </row>
    <row r="613">
      <c r="H613" s="0" t="s">
        <v>227</v>
      </c>
      <c r="I613" s="0" t="s">
        <v>225</v>
      </c>
      <c r="J613" s="0" t="s">
        <v>234</v>
      </c>
      <c r="K613" s="83" t="s">
        <v>1718</v>
      </c>
      <c r="L613" s="0" t="s">
        <v>1719</v>
      </c>
      <c r="M613" s="0" t="s">
        <v>244</v>
      </c>
      <c r="N613" s="0" t="str">
        <f t="shared" si="9"/>
        <v>IHVNfcAMAC</v>
      </c>
    </row>
    <row r="614">
      <c r="H614" s="0" t="s">
        <v>227</v>
      </c>
      <c r="I614" s="0" t="s">
        <v>225</v>
      </c>
      <c r="J614" s="0" t="s">
        <v>234</v>
      </c>
      <c r="K614" s="83" t="s">
        <v>1720</v>
      </c>
      <c r="L614" s="0" t="s">
        <v>1721</v>
      </c>
      <c r="M614" s="0" t="s">
        <v>244</v>
      </c>
      <c r="N614" s="0" t="str">
        <f t="shared" si="9"/>
        <v>IHVNfcAMAC</v>
      </c>
    </row>
    <row r="615">
      <c r="H615" s="0" t="s">
        <v>227</v>
      </c>
      <c r="I615" s="0" t="s">
        <v>225</v>
      </c>
      <c r="J615" s="0" t="s">
        <v>234</v>
      </c>
      <c r="K615" s="83" t="s">
        <v>1722</v>
      </c>
      <c r="L615" s="0" t="s">
        <v>1723</v>
      </c>
      <c r="M615" s="0" t="s">
        <v>244</v>
      </c>
      <c r="N615" s="0" t="str">
        <f t="shared" si="9"/>
        <v>IHVNfcAMAC</v>
      </c>
    </row>
    <row r="616">
      <c r="H616" s="0" t="s">
        <v>227</v>
      </c>
      <c r="I616" s="0" t="s">
        <v>225</v>
      </c>
      <c r="J616" s="0" t="s">
        <v>234</v>
      </c>
      <c r="K616" s="83" t="s">
        <v>1724</v>
      </c>
      <c r="L616" s="0" t="s">
        <v>1725</v>
      </c>
      <c r="M616" s="0" t="s">
        <v>244</v>
      </c>
      <c r="N616" s="0" t="str">
        <f t="shared" si="9"/>
        <v>IHVNfcAMAC</v>
      </c>
    </row>
    <row r="617">
      <c r="H617" s="0" t="s">
        <v>227</v>
      </c>
      <c r="I617" s="0" t="s">
        <v>225</v>
      </c>
      <c r="J617" s="0" t="s">
        <v>234</v>
      </c>
      <c r="K617" s="83" t="s">
        <v>1726</v>
      </c>
      <c r="L617" s="0" t="s">
        <v>1727</v>
      </c>
      <c r="M617" s="0" t="s">
        <v>244</v>
      </c>
      <c r="N617" s="0" t="str">
        <f t="shared" si="9"/>
        <v>IHVNfcAMAC</v>
      </c>
    </row>
    <row r="618">
      <c r="H618" s="0" t="s">
        <v>227</v>
      </c>
      <c r="I618" s="0" t="s">
        <v>225</v>
      </c>
      <c r="J618" s="0" t="s">
        <v>234</v>
      </c>
      <c r="K618" s="83" t="s">
        <v>1728</v>
      </c>
      <c r="L618" s="0" t="s">
        <v>1729</v>
      </c>
      <c r="M618" s="0" t="s">
        <v>244</v>
      </c>
      <c r="N618" s="0" t="str">
        <f t="shared" si="9"/>
        <v>IHVNfcAMAC</v>
      </c>
    </row>
    <row r="619">
      <c r="H619" s="0" t="s">
        <v>227</v>
      </c>
      <c r="I619" s="0" t="s">
        <v>225</v>
      </c>
      <c r="J619" s="0" t="s">
        <v>234</v>
      </c>
      <c r="K619" s="83" t="s">
        <v>1730</v>
      </c>
      <c r="L619" s="0" t="s">
        <v>1731</v>
      </c>
      <c r="M619" s="0" t="s">
        <v>244</v>
      </c>
      <c r="N619" s="0" t="str">
        <f t="shared" si="9"/>
        <v>IHVNfcAMAC</v>
      </c>
    </row>
    <row r="620">
      <c r="H620" s="0" t="s">
        <v>227</v>
      </c>
      <c r="I620" s="0" t="s">
        <v>225</v>
      </c>
      <c r="J620" s="0" t="s">
        <v>234</v>
      </c>
      <c r="K620" s="83" t="s">
        <v>1732</v>
      </c>
      <c r="L620" s="0" t="s">
        <v>1733</v>
      </c>
      <c r="M620" s="0" t="s">
        <v>244</v>
      </c>
      <c r="N620" s="0" t="str">
        <f t="shared" si="9"/>
        <v>IHVNfcAMAC</v>
      </c>
    </row>
    <row r="621">
      <c r="H621" s="0" t="s">
        <v>227</v>
      </c>
      <c r="I621" s="0" t="s">
        <v>225</v>
      </c>
      <c r="J621" s="0" t="s">
        <v>234</v>
      </c>
      <c r="K621" s="83" t="s">
        <v>1734</v>
      </c>
      <c r="L621" s="0" t="s">
        <v>1735</v>
      </c>
      <c r="M621" s="0" t="s">
        <v>244</v>
      </c>
      <c r="N621" s="0" t="str">
        <f t="shared" si="9"/>
        <v>IHVNfcAMAC</v>
      </c>
    </row>
    <row r="622">
      <c r="H622" s="0" t="s">
        <v>227</v>
      </c>
      <c r="I622" s="0" t="s">
        <v>225</v>
      </c>
      <c r="J622" s="0" t="s">
        <v>234</v>
      </c>
      <c r="K622" s="83" t="s">
        <v>1736</v>
      </c>
      <c r="L622" s="0" t="s">
        <v>1737</v>
      </c>
      <c r="M622" s="0" t="s">
        <v>244</v>
      </c>
      <c r="N622" s="0" t="str">
        <f t="shared" si="9"/>
        <v>IHVNfcAMAC</v>
      </c>
    </row>
    <row r="623">
      <c r="H623" s="0" t="s">
        <v>227</v>
      </c>
      <c r="I623" s="0" t="s">
        <v>225</v>
      </c>
      <c r="J623" s="0" t="s">
        <v>234</v>
      </c>
      <c r="K623" s="83" t="s">
        <v>1738</v>
      </c>
      <c r="L623" s="0" t="s">
        <v>1739</v>
      </c>
      <c r="M623" s="0" t="s">
        <v>244</v>
      </c>
      <c r="N623" s="0" t="str">
        <f t="shared" si="9"/>
        <v>IHVNfcAMAC</v>
      </c>
    </row>
    <row r="624">
      <c r="H624" s="0" t="s">
        <v>227</v>
      </c>
      <c r="I624" s="0" t="s">
        <v>225</v>
      </c>
      <c r="J624" s="0" t="s">
        <v>234</v>
      </c>
      <c r="K624" s="83" t="s">
        <v>1740</v>
      </c>
      <c r="L624" s="0" t="s">
        <v>1741</v>
      </c>
      <c r="M624" s="0" t="s">
        <v>244</v>
      </c>
      <c r="N624" s="0" t="str">
        <f t="shared" si="9"/>
        <v>IHVNfcAMAC</v>
      </c>
    </row>
    <row r="625">
      <c r="H625" s="0" t="s">
        <v>227</v>
      </c>
      <c r="I625" s="0" t="s">
        <v>225</v>
      </c>
      <c r="J625" s="0" t="s">
        <v>234</v>
      </c>
      <c r="K625" s="83" t="s">
        <v>1742</v>
      </c>
      <c r="L625" s="0" t="s">
        <v>1743</v>
      </c>
      <c r="M625" s="0" t="s">
        <v>244</v>
      </c>
      <c r="N625" s="0" t="str">
        <f t="shared" si="9"/>
        <v>IHVNfcAMAC</v>
      </c>
    </row>
    <row r="626">
      <c r="H626" s="0" t="s">
        <v>227</v>
      </c>
      <c r="I626" s="0" t="s">
        <v>225</v>
      </c>
      <c r="J626" s="0" t="s">
        <v>234</v>
      </c>
      <c r="K626" s="83" t="s">
        <v>1744</v>
      </c>
      <c r="L626" s="0" t="s">
        <v>1745</v>
      </c>
      <c r="M626" s="0" t="s">
        <v>244</v>
      </c>
      <c r="N626" s="0" t="str">
        <f t="shared" si="9"/>
        <v>IHVNfcAMAC</v>
      </c>
    </row>
    <row r="627">
      <c r="H627" s="0" t="s">
        <v>227</v>
      </c>
      <c r="I627" s="0" t="s">
        <v>225</v>
      </c>
      <c r="J627" s="0" t="s">
        <v>234</v>
      </c>
      <c r="K627" s="83" t="s">
        <v>1746</v>
      </c>
      <c r="L627" s="0" t="s">
        <v>1747</v>
      </c>
      <c r="M627" s="0" t="s">
        <v>244</v>
      </c>
      <c r="N627" s="0" t="str">
        <f t="shared" si="9"/>
        <v>IHVNfcAMAC</v>
      </c>
    </row>
    <row r="628">
      <c r="H628" s="0" t="s">
        <v>227</v>
      </c>
      <c r="I628" s="0" t="s">
        <v>225</v>
      </c>
      <c r="J628" s="0" t="s">
        <v>234</v>
      </c>
      <c r="K628" s="83" t="s">
        <v>1748</v>
      </c>
      <c r="L628" s="0" t="s">
        <v>1749</v>
      </c>
      <c r="M628" s="0" t="s">
        <v>244</v>
      </c>
      <c r="N628" s="0" t="str">
        <f t="shared" si="9"/>
        <v>IHVNfcAMAC</v>
      </c>
    </row>
    <row r="629">
      <c r="H629" s="0" t="s">
        <v>227</v>
      </c>
      <c r="I629" s="0" t="s">
        <v>225</v>
      </c>
      <c r="J629" s="0" t="s">
        <v>234</v>
      </c>
      <c r="K629" s="83" t="s">
        <v>1750</v>
      </c>
      <c r="L629" s="0" t="s">
        <v>1751</v>
      </c>
      <c r="M629" s="0" t="s">
        <v>244</v>
      </c>
      <c r="N629" s="0" t="str">
        <f t="shared" si="9"/>
        <v>IHVNfcAMAC</v>
      </c>
    </row>
    <row r="630">
      <c r="H630" s="0" t="s">
        <v>227</v>
      </c>
      <c r="I630" s="0" t="s">
        <v>225</v>
      </c>
      <c r="J630" s="0" t="s">
        <v>234</v>
      </c>
      <c r="K630" s="83" t="s">
        <v>1752</v>
      </c>
      <c r="L630" s="0" t="s">
        <v>1753</v>
      </c>
      <c r="M630" s="0" t="s">
        <v>244</v>
      </c>
      <c r="N630" s="0" t="str">
        <f t="shared" si="9"/>
        <v>IHVNfcAMAC</v>
      </c>
    </row>
    <row r="631">
      <c r="H631" s="0" t="s">
        <v>227</v>
      </c>
      <c r="I631" s="0" t="s">
        <v>225</v>
      </c>
      <c r="J631" s="0" t="s">
        <v>234</v>
      </c>
      <c r="K631" s="83" t="s">
        <v>1754</v>
      </c>
      <c r="L631" s="0" t="s">
        <v>1755</v>
      </c>
      <c r="M631" s="0" t="s">
        <v>244</v>
      </c>
      <c r="N631" s="0" t="str">
        <f t="shared" si="9"/>
        <v>IHVNfcAMAC</v>
      </c>
    </row>
    <row r="632">
      <c r="H632" s="0" t="s">
        <v>227</v>
      </c>
      <c r="I632" s="0" t="s">
        <v>225</v>
      </c>
      <c r="J632" s="0" t="s">
        <v>234</v>
      </c>
      <c r="K632" s="83" t="s">
        <v>1756</v>
      </c>
      <c r="L632" s="0" t="s">
        <v>1757</v>
      </c>
      <c r="M632" s="0" t="s">
        <v>244</v>
      </c>
      <c r="N632" s="0" t="str">
        <f t="shared" si="9"/>
        <v>IHVNfcAMAC</v>
      </c>
    </row>
    <row r="633">
      <c r="H633" s="0" t="s">
        <v>227</v>
      </c>
      <c r="I633" s="0" t="s">
        <v>225</v>
      </c>
      <c r="J633" s="0" t="s">
        <v>234</v>
      </c>
      <c r="K633" s="83" t="s">
        <v>1758</v>
      </c>
      <c r="L633" s="0" t="s">
        <v>1759</v>
      </c>
      <c r="M633" s="0" t="s">
        <v>244</v>
      </c>
      <c r="N633" s="0" t="str">
        <f t="shared" si="9"/>
        <v>IHVNfcAMAC</v>
      </c>
    </row>
    <row r="634">
      <c r="H634" s="0" t="s">
        <v>227</v>
      </c>
      <c r="I634" s="0" t="s">
        <v>225</v>
      </c>
      <c r="J634" s="0" t="s">
        <v>234</v>
      </c>
      <c r="K634" s="83" t="s">
        <v>1760</v>
      </c>
      <c r="L634" s="0" t="s">
        <v>1761</v>
      </c>
      <c r="M634" s="0" t="s">
        <v>244</v>
      </c>
      <c r="N634" s="0" t="str">
        <f t="shared" si="9"/>
        <v>IHVNfcAMAC</v>
      </c>
    </row>
    <row r="635">
      <c r="H635" s="0" t="s">
        <v>227</v>
      </c>
      <c r="I635" s="0" t="s">
        <v>225</v>
      </c>
      <c r="J635" s="0" t="s">
        <v>234</v>
      </c>
      <c r="K635" s="83" t="s">
        <v>1762</v>
      </c>
      <c r="L635" s="0" t="s">
        <v>1763</v>
      </c>
      <c r="M635" s="0" t="s">
        <v>244</v>
      </c>
      <c r="N635" s="0" t="str">
        <f t="shared" si="9"/>
        <v>IHVNfcAMAC</v>
      </c>
    </row>
    <row r="636">
      <c r="H636" s="0" t="s">
        <v>227</v>
      </c>
      <c r="I636" s="0" t="s">
        <v>225</v>
      </c>
      <c r="J636" s="0" t="s">
        <v>234</v>
      </c>
      <c r="K636" s="83" t="s">
        <v>1764</v>
      </c>
      <c r="L636" s="0" t="s">
        <v>1765</v>
      </c>
      <c r="M636" s="0" t="s">
        <v>244</v>
      </c>
      <c r="N636" s="0" t="str">
        <f t="shared" si="9"/>
        <v>IHVNfcAMAC</v>
      </c>
    </row>
    <row r="637">
      <c r="H637" s="0" t="s">
        <v>227</v>
      </c>
      <c r="I637" s="0" t="s">
        <v>225</v>
      </c>
      <c r="J637" s="0" t="s">
        <v>234</v>
      </c>
      <c r="K637" s="83" t="s">
        <v>1766</v>
      </c>
      <c r="L637" s="0" t="s">
        <v>1767</v>
      </c>
      <c r="M637" s="0" t="s">
        <v>244</v>
      </c>
      <c r="N637" s="0" t="str">
        <f t="shared" si="9"/>
        <v>IHVNfcAMAC</v>
      </c>
    </row>
    <row r="638">
      <c r="H638" s="0" t="s">
        <v>227</v>
      </c>
      <c r="I638" s="0" t="s">
        <v>225</v>
      </c>
      <c r="J638" s="0" t="s">
        <v>240</v>
      </c>
      <c r="K638" s="83" t="s">
        <v>1768</v>
      </c>
      <c r="L638" s="0" t="s">
        <v>1769</v>
      </c>
      <c r="M638" s="0" t="s">
        <v>244</v>
      </c>
      <c r="N638" s="0" t="str">
        <f t="shared" si="9"/>
        <v>IHVNfcBwari</v>
      </c>
    </row>
    <row r="639">
      <c r="H639" s="0" t="s">
        <v>227</v>
      </c>
      <c r="I639" s="0" t="s">
        <v>225</v>
      </c>
      <c r="J639" s="0" t="s">
        <v>240</v>
      </c>
      <c r="K639" s="83" t="s">
        <v>1770</v>
      </c>
      <c r="L639" s="0" t="s">
        <v>1771</v>
      </c>
      <c r="M639" s="0" t="s">
        <v>244</v>
      </c>
      <c r="N639" s="0" t="str">
        <f t="shared" si="9"/>
        <v>IHVNfcBwari</v>
      </c>
    </row>
    <row r="640">
      <c r="H640" s="0" t="s">
        <v>227</v>
      </c>
      <c r="I640" s="0" t="s">
        <v>225</v>
      </c>
      <c r="J640" s="0" t="s">
        <v>240</v>
      </c>
      <c r="K640" s="83" t="s">
        <v>1772</v>
      </c>
      <c r="L640" s="0" t="s">
        <v>1773</v>
      </c>
      <c r="M640" s="0" t="s">
        <v>244</v>
      </c>
      <c r="N640" s="0" t="str">
        <f t="shared" si="9"/>
        <v>IHVNfcBwari</v>
      </c>
    </row>
    <row r="641">
      <c r="H641" s="0" t="s">
        <v>227</v>
      </c>
      <c r="I641" s="0" t="s">
        <v>225</v>
      </c>
      <c r="J641" s="0" t="s">
        <v>240</v>
      </c>
      <c r="K641" s="83" t="s">
        <v>1774</v>
      </c>
      <c r="L641" s="0" t="s">
        <v>1775</v>
      </c>
      <c r="M641" s="0" t="s">
        <v>244</v>
      </c>
      <c r="N641" s="0" t="str">
        <f t="shared" si="9"/>
        <v>IHVNfcBwari</v>
      </c>
    </row>
    <row r="642">
      <c r="H642" s="0" t="s">
        <v>227</v>
      </c>
      <c r="I642" s="0" t="s">
        <v>225</v>
      </c>
      <c r="J642" s="0" t="s">
        <v>240</v>
      </c>
      <c r="K642" s="83" t="s">
        <v>1776</v>
      </c>
      <c r="L642" s="0" t="s">
        <v>1777</v>
      </c>
      <c r="M642" s="0" t="s">
        <v>244</v>
      </c>
      <c r="N642" s="0" t="str">
        <f t="shared" si="9"/>
        <v>IHVNfcBwari</v>
      </c>
    </row>
    <row r="643">
      <c r="H643" s="0" t="s">
        <v>227</v>
      </c>
      <c r="I643" s="0" t="s">
        <v>225</v>
      </c>
      <c r="J643" s="0" t="s">
        <v>240</v>
      </c>
      <c r="K643" s="83" t="s">
        <v>1778</v>
      </c>
      <c r="L643" s="0" t="s">
        <v>1779</v>
      </c>
      <c r="M643" s="0" t="s">
        <v>244</v>
      </c>
      <c r="N643" s="0" t="str">
        <f ref="N643:N706" t="shared" si="10">SUBSTITUTE(SUBSTITUTE(M643&amp;J643," ",""),"-","")</f>
        <v>IHVNfcBwari</v>
      </c>
    </row>
    <row r="644">
      <c r="H644" s="0" t="s">
        <v>227</v>
      </c>
      <c r="I644" s="0" t="s">
        <v>225</v>
      </c>
      <c r="J644" s="0" t="s">
        <v>240</v>
      </c>
      <c r="K644" s="83" t="s">
        <v>1780</v>
      </c>
      <c r="L644" s="0" t="s">
        <v>1781</v>
      </c>
      <c r="M644" s="0" t="s">
        <v>244</v>
      </c>
      <c r="N644" s="0" t="str">
        <f t="shared" si="10"/>
        <v>IHVNfcBwari</v>
      </c>
    </row>
    <row r="645">
      <c r="H645" s="0" t="s">
        <v>227</v>
      </c>
      <c r="I645" s="0" t="s">
        <v>225</v>
      </c>
      <c r="J645" s="0" t="s">
        <v>240</v>
      </c>
      <c r="K645" s="83" t="s">
        <v>1782</v>
      </c>
      <c r="L645" s="0" t="s">
        <v>1783</v>
      </c>
      <c r="M645" s="0" t="s">
        <v>244</v>
      </c>
      <c r="N645" s="0" t="str">
        <f t="shared" si="10"/>
        <v>IHVNfcBwari</v>
      </c>
    </row>
    <row r="646">
      <c r="H646" s="0" t="s">
        <v>227</v>
      </c>
      <c r="I646" s="0" t="s">
        <v>225</v>
      </c>
      <c r="J646" s="0" t="s">
        <v>240</v>
      </c>
      <c r="K646" s="83" t="s">
        <v>1784</v>
      </c>
      <c r="L646" s="0" t="s">
        <v>1785</v>
      </c>
      <c r="M646" s="0" t="s">
        <v>244</v>
      </c>
      <c r="N646" s="0" t="str">
        <f t="shared" si="10"/>
        <v>IHVNfcBwari</v>
      </c>
    </row>
    <row r="647">
      <c r="H647" s="0" t="s">
        <v>227</v>
      </c>
      <c r="I647" s="0" t="s">
        <v>225</v>
      </c>
      <c r="J647" s="0" t="s">
        <v>240</v>
      </c>
      <c r="K647" s="83" t="s">
        <v>1786</v>
      </c>
      <c r="L647" s="0" t="s">
        <v>1787</v>
      </c>
      <c r="M647" s="0" t="s">
        <v>244</v>
      </c>
      <c r="N647" s="0" t="str">
        <f t="shared" si="10"/>
        <v>IHVNfcBwari</v>
      </c>
    </row>
    <row r="648">
      <c r="H648" s="0" t="s">
        <v>227</v>
      </c>
      <c r="I648" s="0" t="s">
        <v>225</v>
      </c>
      <c r="J648" s="0" t="s">
        <v>240</v>
      </c>
      <c r="K648" s="83" t="s">
        <v>1788</v>
      </c>
      <c r="L648" s="0" t="s">
        <v>1789</v>
      </c>
      <c r="M648" s="0" t="s">
        <v>244</v>
      </c>
      <c r="N648" s="0" t="str">
        <f t="shared" si="10"/>
        <v>IHVNfcBwari</v>
      </c>
    </row>
    <row r="649">
      <c r="H649" s="0" t="s">
        <v>227</v>
      </c>
      <c r="I649" s="0" t="s">
        <v>225</v>
      </c>
      <c r="J649" s="0" t="s">
        <v>240</v>
      </c>
      <c r="K649" s="83" t="s">
        <v>1790</v>
      </c>
      <c r="L649" s="0" t="s">
        <v>1791</v>
      </c>
      <c r="M649" s="0" t="s">
        <v>244</v>
      </c>
      <c r="N649" s="0" t="str">
        <f t="shared" si="10"/>
        <v>IHVNfcBwari</v>
      </c>
    </row>
    <row r="650">
      <c r="H650" s="0" t="s">
        <v>227</v>
      </c>
      <c r="I650" s="0" t="s">
        <v>225</v>
      </c>
      <c r="J650" s="0" t="s">
        <v>240</v>
      </c>
      <c r="K650" s="83" t="s">
        <v>1792</v>
      </c>
      <c r="L650" s="0" t="s">
        <v>1793</v>
      </c>
      <c r="M650" s="0" t="s">
        <v>244</v>
      </c>
      <c r="N650" s="0" t="str">
        <f t="shared" si="10"/>
        <v>IHVNfcBwari</v>
      </c>
    </row>
    <row r="651">
      <c r="H651" s="0" t="s">
        <v>227</v>
      </c>
      <c r="I651" s="0" t="s">
        <v>225</v>
      </c>
      <c r="J651" s="0" t="s">
        <v>240</v>
      </c>
      <c r="K651" s="83" t="s">
        <v>1794</v>
      </c>
      <c r="L651" s="0" t="s">
        <v>1795</v>
      </c>
      <c r="M651" s="0" t="s">
        <v>244</v>
      </c>
      <c r="N651" s="0" t="str">
        <f t="shared" si="10"/>
        <v>IHVNfcBwari</v>
      </c>
    </row>
    <row r="652">
      <c r="H652" s="0" t="s">
        <v>227</v>
      </c>
      <c r="I652" s="0" t="s">
        <v>225</v>
      </c>
      <c r="J652" s="0" t="s">
        <v>240</v>
      </c>
      <c r="K652" s="83" t="s">
        <v>1796</v>
      </c>
      <c r="L652" s="0" t="s">
        <v>1797</v>
      </c>
      <c r="M652" s="0" t="s">
        <v>244</v>
      </c>
      <c r="N652" s="0" t="str">
        <f t="shared" si="10"/>
        <v>IHVNfcBwari</v>
      </c>
    </row>
    <row r="653">
      <c r="H653" s="0" t="s">
        <v>227</v>
      </c>
      <c r="I653" s="0" t="s">
        <v>225</v>
      </c>
      <c r="J653" s="0" t="s">
        <v>240</v>
      </c>
      <c r="K653" s="83" t="s">
        <v>1798</v>
      </c>
      <c r="L653" s="0" t="s">
        <v>1799</v>
      </c>
      <c r="M653" s="0" t="s">
        <v>244</v>
      </c>
      <c r="N653" s="0" t="str">
        <f t="shared" si="10"/>
        <v>IHVNfcBwari</v>
      </c>
    </row>
    <row r="654">
      <c r="H654" s="0" t="s">
        <v>227</v>
      </c>
      <c r="I654" s="0" t="s">
        <v>225</v>
      </c>
      <c r="J654" s="0" t="s">
        <v>240</v>
      </c>
      <c r="K654" s="83" t="s">
        <v>1800</v>
      </c>
      <c r="L654" s="0" t="s">
        <v>1801</v>
      </c>
      <c r="M654" s="0" t="s">
        <v>244</v>
      </c>
      <c r="N654" s="0" t="str">
        <f t="shared" si="10"/>
        <v>IHVNfcBwari</v>
      </c>
    </row>
    <row r="655">
      <c r="H655" s="0" t="s">
        <v>227</v>
      </c>
      <c r="I655" s="0" t="s">
        <v>225</v>
      </c>
      <c r="J655" s="0" t="s">
        <v>240</v>
      </c>
      <c r="K655" s="83" t="s">
        <v>1802</v>
      </c>
      <c r="L655" s="0" t="s">
        <v>1803</v>
      </c>
      <c r="M655" s="0" t="s">
        <v>244</v>
      </c>
      <c r="N655" s="0" t="str">
        <f t="shared" si="10"/>
        <v>IHVNfcBwari</v>
      </c>
    </row>
    <row r="656">
      <c r="H656" s="0" t="s">
        <v>227</v>
      </c>
      <c r="I656" s="0" t="s">
        <v>225</v>
      </c>
      <c r="J656" s="0" t="s">
        <v>240</v>
      </c>
      <c r="K656" s="83" t="s">
        <v>1804</v>
      </c>
      <c r="L656" s="0" t="s">
        <v>1805</v>
      </c>
      <c r="M656" s="0" t="s">
        <v>244</v>
      </c>
      <c r="N656" s="0" t="str">
        <f t="shared" si="10"/>
        <v>IHVNfcBwari</v>
      </c>
    </row>
    <row r="657">
      <c r="H657" s="0" t="s">
        <v>227</v>
      </c>
      <c r="I657" s="0" t="s">
        <v>225</v>
      </c>
      <c r="J657" s="0" t="s">
        <v>240</v>
      </c>
      <c r="K657" s="83" t="s">
        <v>1806</v>
      </c>
      <c r="L657" s="0" t="s">
        <v>1807</v>
      </c>
      <c r="M657" s="0" t="s">
        <v>244</v>
      </c>
      <c r="N657" s="0" t="str">
        <f t="shared" si="10"/>
        <v>IHVNfcBwari</v>
      </c>
    </row>
    <row r="658">
      <c r="H658" s="0" t="s">
        <v>227</v>
      </c>
      <c r="I658" s="0" t="s">
        <v>225</v>
      </c>
      <c r="J658" s="0" t="s">
        <v>240</v>
      </c>
      <c r="K658" s="83" t="s">
        <v>1808</v>
      </c>
      <c r="L658" s="0" t="s">
        <v>1809</v>
      </c>
      <c r="M658" s="0" t="s">
        <v>244</v>
      </c>
      <c r="N658" s="0" t="str">
        <f t="shared" si="10"/>
        <v>IHVNfcBwari</v>
      </c>
    </row>
    <row r="659">
      <c r="H659" s="0" t="s">
        <v>227</v>
      </c>
      <c r="I659" s="0" t="s">
        <v>225</v>
      </c>
      <c r="J659" s="0" t="s">
        <v>240</v>
      </c>
      <c r="K659" s="83" t="s">
        <v>1810</v>
      </c>
      <c r="L659" s="0" t="s">
        <v>1811</v>
      </c>
      <c r="M659" s="0" t="s">
        <v>244</v>
      </c>
      <c r="N659" s="0" t="str">
        <f t="shared" si="10"/>
        <v>IHVNfcBwari</v>
      </c>
    </row>
    <row r="660">
      <c r="H660" s="0" t="s">
        <v>227</v>
      </c>
      <c r="I660" s="0" t="s">
        <v>225</v>
      </c>
      <c r="J660" s="0" t="s">
        <v>240</v>
      </c>
      <c r="K660" s="83" t="s">
        <v>1812</v>
      </c>
      <c r="L660" s="0" t="s">
        <v>1813</v>
      </c>
      <c r="M660" s="0" t="s">
        <v>244</v>
      </c>
      <c r="N660" s="0" t="str">
        <f t="shared" si="10"/>
        <v>IHVNfcBwari</v>
      </c>
    </row>
    <row r="661">
      <c r="H661" s="0" t="s">
        <v>227</v>
      </c>
      <c r="I661" s="0" t="s">
        <v>225</v>
      </c>
      <c r="J661" s="0" t="s">
        <v>240</v>
      </c>
      <c r="K661" s="83" t="s">
        <v>1814</v>
      </c>
      <c r="L661" s="0" t="s">
        <v>1815</v>
      </c>
      <c r="M661" s="0" t="s">
        <v>244</v>
      </c>
      <c r="N661" s="0" t="str">
        <f t="shared" si="10"/>
        <v>IHVNfcBwari</v>
      </c>
    </row>
    <row r="662">
      <c r="H662" s="0" t="s">
        <v>227</v>
      </c>
      <c r="I662" s="0" t="s">
        <v>225</v>
      </c>
      <c r="J662" s="0" t="s">
        <v>240</v>
      </c>
      <c r="K662" s="83" t="s">
        <v>1816</v>
      </c>
      <c r="L662" s="0" t="s">
        <v>1817</v>
      </c>
      <c r="M662" s="0" t="s">
        <v>244</v>
      </c>
      <c r="N662" s="0" t="str">
        <f t="shared" si="10"/>
        <v>IHVNfcBwari</v>
      </c>
    </row>
    <row r="663">
      <c r="H663" s="0" t="s">
        <v>227</v>
      </c>
      <c r="I663" s="0" t="s">
        <v>225</v>
      </c>
      <c r="J663" s="0" t="s">
        <v>240</v>
      </c>
      <c r="K663" s="83" t="s">
        <v>1818</v>
      </c>
      <c r="L663" s="0" t="s">
        <v>1819</v>
      </c>
      <c r="M663" s="0" t="s">
        <v>244</v>
      </c>
      <c r="N663" s="0" t="str">
        <f t="shared" si="10"/>
        <v>IHVNfcBwari</v>
      </c>
    </row>
    <row r="664">
      <c r="H664" s="0" t="s">
        <v>227</v>
      </c>
      <c r="I664" s="0" t="s">
        <v>225</v>
      </c>
      <c r="J664" s="0" t="s">
        <v>240</v>
      </c>
      <c r="K664" s="83" t="s">
        <v>1820</v>
      </c>
      <c r="L664" s="0" t="s">
        <v>1821</v>
      </c>
      <c r="M664" s="0" t="s">
        <v>244</v>
      </c>
      <c r="N664" s="0" t="str">
        <f t="shared" si="10"/>
        <v>IHVNfcBwari</v>
      </c>
    </row>
    <row r="665">
      <c r="H665" s="0" t="s">
        <v>227</v>
      </c>
      <c r="I665" s="0" t="s">
        <v>225</v>
      </c>
      <c r="J665" s="0" t="s">
        <v>240</v>
      </c>
      <c r="K665" s="83" t="s">
        <v>1822</v>
      </c>
      <c r="L665" s="0" t="s">
        <v>1823</v>
      </c>
      <c r="M665" s="0" t="s">
        <v>244</v>
      </c>
      <c r="N665" s="0" t="str">
        <f t="shared" si="10"/>
        <v>IHVNfcBwari</v>
      </c>
    </row>
    <row r="666">
      <c r="H666" s="0" t="s">
        <v>227</v>
      </c>
      <c r="I666" s="0" t="s">
        <v>225</v>
      </c>
      <c r="J666" s="0" t="s">
        <v>240</v>
      </c>
      <c r="K666" s="83" t="s">
        <v>1824</v>
      </c>
      <c r="L666" s="0" t="s">
        <v>1825</v>
      </c>
      <c r="M666" s="0" t="s">
        <v>244</v>
      </c>
      <c r="N666" s="0" t="str">
        <f t="shared" si="10"/>
        <v>IHVNfcBwari</v>
      </c>
    </row>
    <row r="667">
      <c r="H667" s="0" t="s">
        <v>227</v>
      </c>
      <c r="I667" s="0" t="s">
        <v>225</v>
      </c>
      <c r="J667" s="0" t="s">
        <v>240</v>
      </c>
      <c r="K667" s="83" t="s">
        <v>1826</v>
      </c>
      <c r="L667" s="0" t="s">
        <v>1827</v>
      </c>
      <c r="M667" s="0" t="s">
        <v>244</v>
      </c>
      <c r="N667" s="0" t="str">
        <f t="shared" si="10"/>
        <v>IHVNfcBwari</v>
      </c>
    </row>
    <row r="668">
      <c r="H668" s="0" t="s">
        <v>227</v>
      </c>
      <c r="I668" s="0" t="s">
        <v>225</v>
      </c>
      <c r="J668" s="0" t="s">
        <v>240</v>
      </c>
      <c r="K668" s="83" t="s">
        <v>1828</v>
      </c>
      <c r="L668" s="0" t="s">
        <v>1829</v>
      </c>
      <c r="M668" s="0" t="s">
        <v>244</v>
      </c>
      <c r="N668" s="0" t="str">
        <f t="shared" si="10"/>
        <v>IHVNfcBwari</v>
      </c>
    </row>
    <row r="669">
      <c r="H669" s="0" t="s">
        <v>227</v>
      </c>
      <c r="I669" s="0" t="s">
        <v>225</v>
      </c>
      <c r="J669" s="0" t="s">
        <v>240</v>
      </c>
      <c r="K669" s="83" t="s">
        <v>1830</v>
      </c>
      <c r="L669" s="0" t="s">
        <v>1831</v>
      </c>
      <c r="M669" s="0" t="s">
        <v>244</v>
      </c>
      <c r="N669" s="0" t="str">
        <f t="shared" si="10"/>
        <v>IHVNfcBwari</v>
      </c>
    </row>
    <row r="670">
      <c r="H670" s="0" t="s">
        <v>227</v>
      </c>
      <c r="I670" s="0" t="s">
        <v>225</v>
      </c>
      <c r="J670" s="0" t="s">
        <v>240</v>
      </c>
      <c r="K670" s="83" t="s">
        <v>1832</v>
      </c>
      <c r="L670" s="0" t="s">
        <v>1833</v>
      </c>
      <c r="M670" s="0" t="s">
        <v>244</v>
      </c>
      <c r="N670" s="0" t="str">
        <f t="shared" si="10"/>
        <v>IHVNfcBwari</v>
      </c>
    </row>
    <row r="671">
      <c r="H671" s="0" t="s">
        <v>227</v>
      </c>
      <c r="I671" s="0" t="s">
        <v>225</v>
      </c>
      <c r="J671" s="0" t="s">
        <v>240</v>
      </c>
      <c r="K671" s="83" t="s">
        <v>1834</v>
      </c>
      <c r="L671" s="0" t="s">
        <v>1835</v>
      </c>
      <c r="M671" s="0" t="s">
        <v>244</v>
      </c>
      <c r="N671" s="0" t="str">
        <f t="shared" si="10"/>
        <v>IHVNfcBwari</v>
      </c>
    </row>
    <row r="672">
      <c r="H672" s="0" t="s">
        <v>227</v>
      </c>
      <c r="I672" s="0" t="s">
        <v>225</v>
      </c>
      <c r="J672" s="0" t="s">
        <v>240</v>
      </c>
      <c r="K672" s="83" t="s">
        <v>1836</v>
      </c>
      <c r="L672" s="0" t="s">
        <v>1837</v>
      </c>
      <c r="M672" s="0" t="s">
        <v>244</v>
      </c>
      <c r="N672" s="0" t="str">
        <f t="shared" si="10"/>
        <v>IHVNfcBwari</v>
      </c>
    </row>
    <row r="673">
      <c r="H673" s="0" t="s">
        <v>227</v>
      </c>
      <c r="I673" s="0" t="s">
        <v>225</v>
      </c>
      <c r="J673" s="0" t="s">
        <v>240</v>
      </c>
      <c r="K673" s="83" t="s">
        <v>1838</v>
      </c>
      <c r="L673" s="0" t="s">
        <v>1839</v>
      </c>
      <c r="M673" s="0" t="s">
        <v>244</v>
      </c>
      <c r="N673" s="0" t="str">
        <f t="shared" si="10"/>
        <v>IHVNfcBwari</v>
      </c>
    </row>
    <row r="674">
      <c r="H674" s="0" t="s">
        <v>227</v>
      </c>
      <c r="I674" s="0" t="s">
        <v>225</v>
      </c>
      <c r="J674" s="0" t="s">
        <v>240</v>
      </c>
      <c r="K674" s="83" t="s">
        <v>1840</v>
      </c>
      <c r="L674" s="0" t="s">
        <v>1841</v>
      </c>
      <c r="M674" s="0" t="s">
        <v>244</v>
      </c>
      <c r="N674" s="0" t="str">
        <f t="shared" si="10"/>
        <v>IHVNfcBwari</v>
      </c>
    </row>
    <row r="675">
      <c r="H675" s="0" t="s">
        <v>227</v>
      </c>
      <c r="I675" s="0" t="s">
        <v>225</v>
      </c>
      <c r="J675" s="0" t="s">
        <v>240</v>
      </c>
      <c r="K675" s="83" t="s">
        <v>1842</v>
      </c>
      <c r="L675" s="0" t="s">
        <v>1843</v>
      </c>
      <c r="M675" s="0" t="s">
        <v>244</v>
      </c>
      <c r="N675" s="0" t="str">
        <f t="shared" si="10"/>
        <v>IHVNfcBwari</v>
      </c>
    </row>
    <row r="676">
      <c r="H676" s="0" t="s">
        <v>227</v>
      </c>
      <c r="I676" s="0" t="s">
        <v>225</v>
      </c>
      <c r="J676" s="0" t="s">
        <v>240</v>
      </c>
      <c r="K676" s="83" t="s">
        <v>1844</v>
      </c>
      <c r="L676" s="0" t="s">
        <v>1845</v>
      </c>
      <c r="M676" s="0" t="s">
        <v>244</v>
      </c>
      <c r="N676" s="0" t="str">
        <f t="shared" si="10"/>
        <v>IHVNfcBwari</v>
      </c>
    </row>
    <row r="677">
      <c r="H677" s="0" t="s">
        <v>227</v>
      </c>
      <c r="I677" s="0" t="s">
        <v>225</v>
      </c>
      <c r="J677" s="0" t="s">
        <v>240</v>
      </c>
      <c r="K677" s="83" t="s">
        <v>1846</v>
      </c>
      <c r="L677" s="0" t="s">
        <v>1847</v>
      </c>
      <c r="M677" s="0" t="s">
        <v>244</v>
      </c>
      <c r="N677" s="0" t="str">
        <f t="shared" si="10"/>
        <v>IHVNfcBwari</v>
      </c>
    </row>
    <row r="678">
      <c r="H678" s="0" t="s">
        <v>227</v>
      </c>
      <c r="I678" s="0" t="s">
        <v>225</v>
      </c>
      <c r="J678" s="0" t="s">
        <v>240</v>
      </c>
      <c r="K678" s="83" t="s">
        <v>1848</v>
      </c>
      <c r="L678" s="0" t="s">
        <v>1849</v>
      </c>
      <c r="M678" s="0" t="s">
        <v>244</v>
      </c>
      <c r="N678" s="0" t="str">
        <f t="shared" si="10"/>
        <v>IHVNfcBwari</v>
      </c>
    </row>
    <row r="679">
      <c r="H679" s="0" t="s">
        <v>227</v>
      </c>
      <c r="I679" s="0" t="s">
        <v>225</v>
      </c>
      <c r="J679" s="0" t="s">
        <v>240</v>
      </c>
      <c r="K679" s="83" t="s">
        <v>1850</v>
      </c>
      <c r="L679" s="0" t="s">
        <v>1851</v>
      </c>
      <c r="M679" s="0" t="s">
        <v>244</v>
      </c>
      <c r="N679" s="0" t="str">
        <f t="shared" si="10"/>
        <v>IHVNfcBwari</v>
      </c>
    </row>
    <row r="680">
      <c r="H680" s="0" t="s">
        <v>227</v>
      </c>
      <c r="I680" s="0" t="s">
        <v>225</v>
      </c>
      <c r="J680" s="0" t="s">
        <v>240</v>
      </c>
      <c r="K680" s="83" t="s">
        <v>1852</v>
      </c>
      <c r="L680" s="0" t="s">
        <v>1853</v>
      </c>
      <c r="M680" s="0" t="s">
        <v>244</v>
      </c>
      <c r="N680" s="0" t="str">
        <f t="shared" si="10"/>
        <v>IHVNfcBwari</v>
      </c>
    </row>
    <row r="681">
      <c r="H681" s="0" t="s">
        <v>227</v>
      </c>
      <c r="I681" s="0" t="s">
        <v>225</v>
      </c>
      <c r="J681" s="0" t="s">
        <v>240</v>
      </c>
      <c r="K681" s="83" t="s">
        <v>1854</v>
      </c>
      <c r="L681" s="0" t="s">
        <v>1855</v>
      </c>
      <c r="M681" s="0" t="s">
        <v>244</v>
      </c>
      <c r="N681" s="0" t="str">
        <f t="shared" si="10"/>
        <v>IHVNfcBwari</v>
      </c>
    </row>
    <row r="682">
      <c r="H682" s="0" t="s">
        <v>227</v>
      </c>
      <c r="I682" s="0" t="s">
        <v>225</v>
      </c>
      <c r="J682" s="0" t="s">
        <v>240</v>
      </c>
      <c r="K682" s="83" t="s">
        <v>1856</v>
      </c>
      <c r="L682" s="0" t="s">
        <v>1857</v>
      </c>
      <c r="M682" s="0" t="s">
        <v>244</v>
      </c>
      <c r="N682" s="0" t="str">
        <f t="shared" si="10"/>
        <v>IHVNfcBwari</v>
      </c>
    </row>
    <row r="683">
      <c r="H683" s="0" t="s">
        <v>227</v>
      </c>
      <c r="I683" s="0" t="s">
        <v>225</v>
      </c>
      <c r="J683" s="0" t="s">
        <v>240</v>
      </c>
      <c r="K683" s="83" t="s">
        <v>1858</v>
      </c>
      <c r="L683" s="0" t="s">
        <v>1859</v>
      </c>
      <c r="M683" s="0" t="s">
        <v>244</v>
      </c>
      <c r="N683" s="0" t="str">
        <f t="shared" si="10"/>
        <v>IHVNfcBwari</v>
      </c>
    </row>
    <row r="684">
      <c r="H684" s="0" t="s">
        <v>227</v>
      </c>
      <c r="I684" s="0" t="s">
        <v>225</v>
      </c>
      <c r="J684" s="0" t="s">
        <v>240</v>
      </c>
      <c r="K684" s="83" t="s">
        <v>1860</v>
      </c>
      <c r="L684" s="0" t="s">
        <v>1861</v>
      </c>
      <c r="M684" s="0" t="s">
        <v>244</v>
      </c>
      <c r="N684" s="0" t="str">
        <f t="shared" si="10"/>
        <v>IHVNfcBwari</v>
      </c>
    </row>
    <row r="685">
      <c r="H685" s="0" t="s">
        <v>227</v>
      </c>
      <c r="I685" s="0" t="s">
        <v>225</v>
      </c>
      <c r="J685" s="0" t="s">
        <v>240</v>
      </c>
      <c r="K685" s="83" t="s">
        <v>1862</v>
      </c>
      <c r="L685" s="0" t="s">
        <v>1863</v>
      </c>
      <c r="M685" s="0" t="s">
        <v>244</v>
      </c>
      <c r="N685" s="0" t="str">
        <f t="shared" si="10"/>
        <v>IHVNfcBwari</v>
      </c>
    </row>
    <row r="686">
      <c r="H686" s="0" t="s">
        <v>227</v>
      </c>
      <c r="I686" s="0" t="s">
        <v>225</v>
      </c>
      <c r="J686" s="0" t="s">
        <v>240</v>
      </c>
      <c r="K686" s="83" t="s">
        <v>1864</v>
      </c>
      <c r="L686" s="0" t="s">
        <v>1865</v>
      </c>
      <c r="M686" s="0" t="s">
        <v>244</v>
      </c>
      <c r="N686" s="0" t="str">
        <f t="shared" si="10"/>
        <v>IHVNfcBwari</v>
      </c>
    </row>
    <row r="687">
      <c r="H687" s="0" t="s">
        <v>227</v>
      </c>
      <c r="I687" s="0" t="s">
        <v>225</v>
      </c>
      <c r="J687" s="0" t="s">
        <v>247</v>
      </c>
      <c r="K687" s="83" t="s">
        <v>1866</v>
      </c>
      <c r="L687" s="0" t="s">
        <v>1867</v>
      </c>
      <c r="M687" s="0" t="s">
        <v>244</v>
      </c>
      <c r="N687" s="0" t="str">
        <f t="shared" si="10"/>
        <v>IHVNfcGwagwalada</v>
      </c>
    </row>
    <row r="688">
      <c r="H688" s="0" t="s">
        <v>227</v>
      </c>
      <c r="I688" s="0" t="s">
        <v>225</v>
      </c>
      <c r="J688" s="0" t="s">
        <v>247</v>
      </c>
      <c r="K688" s="83" t="s">
        <v>1868</v>
      </c>
      <c r="L688" s="0" t="s">
        <v>1869</v>
      </c>
      <c r="M688" s="0" t="s">
        <v>244</v>
      </c>
      <c r="N688" s="0" t="str">
        <f t="shared" si="10"/>
        <v>IHVNfcGwagwalada</v>
      </c>
    </row>
    <row r="689">
      <c r="H689" s="0" t="s">
        <v>227</v>
      </c>
      <c r="I689" s="0" t="s">
        <v>225</v>
      </c>
      <c r="J689" s="0" t="s">
        <v>247</v>
      </c>
      <c r="K689" s="83" t="s">
        <v>1870</v>
      </c>
      <c r="L689" s="0" t="s">
        <v>1871</v>
      </c>
      <c r="M689" s="0" t="s">
        <v>244</v>
      </c>
      <c r="N689" s="0" t="str">
        <f t="shared" si="10"/>
        <v>IHVNfcGwagwalada</v>
      </c>
    </row>
    <row r="690">
      <c r="H690" s="0" t="s">
        <v>227</v>
      </c>
      <c r="I690" s="0" t="s">
        <v>225</v>
      </c>
      <c r="J690" s="0" t="s">
        <v>247</v>
      </c>
      <c r="K690" s="83" t="s">
        <v>1872</v>
      </c>
      <c r="L690" s="0" t="s">
        <v>1873</v>
      </c>
      <c r="M690" s="0" t="s">
        <v>244</v>
      </c>
      <c r="N690" s="0" t="str">
        <f t="shared" si="10"/>
        <v>IHVNfcGwagwalada</v>
      </c>
    </row>
    <row r="691">
      <c r="H691" s="0" t="s">
        <v>227</v>
      </c>
      <c r="I691" s="0" t="s">
        <v>225</v>
      </c>
      <c r="J691" s="0" t="s">
        <v>247</v>
      </c>
      <c r="K691" s="83" t="s">
        <v>1874</v>
      </c>
      <c r="L691" s="0" t="s">
        <v>1875</v>
      </c>
      <c r="M691" s="0" t="s">
        <v>244</v>
      </c>
      <c r="N691" s="0" t="str">
        <f t="shared" si="10"/>
        <v>IHVNfcGwagwalada</v>
      </c>
    </row>
    <row r="692">
      <c r="H692" s="0" t="s">
        <v>227</v>
      </c>
      <c r="I692" s="0" t="s">
        <v>225</v>
      </c>
      <c r="J692" s="0" t="s">
        <v>247</v>
      </c>
      <c r="K692" s="83" t="s">
        <v>1876</v>
      </c>
      <c r="L692" s="0" t="s">
        <v>1877</v>
      </c>
      <c r="M692" s="0" t="s">
        <v>244</v>
      </c>
      <c r="N692" s="0" t="str">
        <f t="shared" si="10"/>
        <v>IHVNfcGwagwalada</v>
      </c>
    </row>
    <row r="693">
      <c r="H693" s="0" t="s">
        <v>227</v>
      </c>
      <c r="I693" s="0" t="s">
        <v>225</v>
      </c>
      <c r="J693" s="0" t="s">
        <v>251</v>
      </c>
      <c r="K693" s="83" t="s">
        <v>1878</v>
      </c>
      <c r="L693" s="0" t="s">
        <v>1879</v>
      </c>
      <c r="M693" s="0" t="s">
        <v>244</v>
      </c>
      <c r="N693" s="0" t="str">
        <f t="shared" si="10"/>
        <v>IHVNfcKuje</v>
      </c>
    </row>
    <row r="694">
      <c r="H694" s="0" t="s">
        <v>227</v>
      </c>
      <c r="I694" s="0" t="s">
        <v>225</v>
      </c>
      <c r="J694" s="0" t="s">
        <v>251</v>
      </c>
      <c r="K694" s="83" t="s">
        <v>1880</v>
      </c>
      <c r="L694" s="0" t="s">
        <v>1881</v>
      </c>
      <c r="M694" s="0" t="s">
        <v>244</v>
      </c>
      <c r="N694" s="0" t="str">
        <f t="shared" si="10"/>
        <v>IHVNfcKuje</v>
      </c>
    </row>
    <row r="695">
      <c r="H695" s="0" t="s">
        <v>227</v>
      </c>
      <c r="I695" s="0" t="s">
        <v>225</v>
      </c>
      <c r="J695" s="0" t="s">
        <v>256</v>
      </c>
      <c r="K695" s="83" t="s">
        <v>1882</v>
      </c>
      <c r="L695" s="0" t="s">
        <v>1883</v>
      </c>
      <c r="M695" s="0" t="s">
        <v>244</v>
      </c>
      <c r="N695" s="0" t="str">
        <f t="shared" si="10"/>
        <v>IHVNfcKwali</v>
      </c>
    </row>
    <row r="696">
      <c r="H696" s="0" t="s">
        <v>227</v>
      </c>
      <c r="I696" s="0" t="s">
        <v>225</v>
      </c>
      <c r="J696" s="0" t="s">
        <v>256</v>
      </c>
      <c r="K696" s="83" t="s">
        <v>1884</v>
      </c>
      <c r="L696" s="0" t="s">
        <v>1885</v>
      </c>
      <c r="M696" s="0" t="s">
        <v>244</v>
      </c>
      <c r="N696" s="0" t="str">
        <f t="shared" si="10"/>
        <v>IHVNfcKwali</v>
      </c>
    </row>
    <row r="697">
      <c r="H697" s="0" t="s">
        <v>227</v>
      </c>
      <c r="I697" s="0" t="s">
        <v>225</v>
      </c>
      <c r="J697" s="0" t="s">
        <v>256</v>
      </c>
      <c r="K697" s="83" t="s">
        <v>1886</v>
      </c>
      <c r="L697" s="0" t="s">
        <v>1887</v>
      </c>
      <c r="M697" s="0" t="s">
        <v>244</v>
      </c>
      <c r="N697" s="0" t="str">
        <f t="shared" si="10"/>
        <v>IHVNfcKwali</v>
      </c>
    </row>
    <row r="698">
      <c r="H698" s="0" t="s">
        <v>227</v>
      </c>
      <c r="I698" s="0" t="s">
        <v>225</v>
      </c>
      <c r="J698" s="0" t="s">
        <v>256</v>
      </c>
      <c r="K698" s="83" t="s">
        <v>1888</v>
      </c>
      <c r="L698" s="0" t="s">
        <v>1889</v>
      </c>
      <c r="M698" s="0" t="s">
        <v>244</v>
      </c>
      <c r="N698" s="0" t="str">
        <f t="shared" si="10"/>
        <v>IHVNfcKwali</v>
      </c>
    </row>
    <row r="699">
      <c r="H699" s="0" t="s">
        <v>227</v>
      </c>
      <c r="I699" s="0" t="s">
        <v>225</v>
      </c>
      <c r="J699" s="0" t="s">
        <v>256</v>
      </c>
      <c r="K699" s="83" t="s">
        <v>1890</v>
      </c>
      <c r="L699" s="0" t="s">
        <v>1891</v>
      </c>
      <c r="M699" s="0" t="s">
        <v>244</v>
      </c>
      <c r="N699" s="0" t="str">
        <f t="shared" si="10"/>
        <v>IHVNfcKwali</v>
      </c>
    </row>
    <row r="700">
      <c r="H700" s="0" t="s">
        <v>227</v>
      </c>
      <c r="I700" s="0" t="s">
        <v>269</v>
      </c>
      <c r="J700" s="0" t="s">
        <v>525</v>
      </c>
      <c r="K700" s="83" t="s">
        <v>1892</v>
      </c>
      <c r="L700" s="0" t="s">
        <v>1893</v>
      </c>
      <c r="M700" s="0" t="s">
        <v>237</v>
      </c>
      <c r="N700" s="0" t="str">
        <f t="shared" si="10"/>
        <v>CIHPgoAkko</v>
      </c>
    </row>
    <row r="701">
      <c r="H701" s="0" t="s">
        <v>227</v>
      </c>
      <c r="I701" s="0" t="s">
        <v>269</v>
      </c>
      <c r="J701" s="0" t="s">
        <v>525</v>
      </c>
      <c r="K701" s="83" t="s">
        <v>1894</v>
      </c>
      <c r="L701" s="0" t="s">
        <v>1895</v>
      </c>
      <c r="M701" s="0" t="s">
        <v>237</v>
      </c>
      <c r="N701" s="0" t="str">
        <f t="shared" si="10"/>
        <v>CIHPgoAkko</v>
      </c>
    </row>
    <row r="702">
      <c r="H702" s="0" t="s">
        <v>227</v>
      </c>
      <c r="I702" s="0" t="s">
        <v>269</v>
      </c>
      <c r="J702" s="0" t="s">
        <v>525</v>
      </c>
      <c r="K702" s="83" t="s">
        <v>1896</v>
      </c>
      <c r="L702" s="0" t="s">
        <v>1897</v>
      </c>
      <c r="M702" s="0" t="s">
        <v>237</v>
      </c>
      <c r="N702" s="0" t="str">
        <f t="shared" si="10"/>
        <v>CIHPgoAkko</v>
      </c>
    </row>
    <row r="703">
      <c r="H703" s="0" t="s">
        <v>227</v>
      </c>
      <c r="I703" s="0" t="s">
        <v>269</v>
      </c>
      <c r="J703" s="0" t="s">
        <v>525</v>
      </c>
      <c r="K703" s="83" t="s">
        <v>1898</v>
      </c>
      <c r="L703" s="0" t="s">
        <v>1899</v>
      </c>
      <c r="M703" s="0" t="s">
        <v>237</v>
      </c>
      <c r="N703" s="0" t="str">
        <f t="shared" si="10"/>
        <v>CIHPgoAkko</v>
      </c>
    </row>
    <row r="704">
      <c r="H704" s="0" t="s">
        <v>227</v>
      </c>
      <c r="I704" s="0" t="s">
        <v>269</v>
      </c>
      <c r="J704" s="0" t="s">
        <v>525</v>
      </c>
      <c r="K704" s="83" t="s">
        <v>1900</v>
      </c>
      <c r="L704" s="0" t="s">
        <v>1901</v>
      </c>
      <c r="M704" s="0" t="s">
        <v>237</v>
      </c>
      <c r="N704" s="0" t="str">
        <f t="shared" si="10"/>
        <v>CIHPgoAkko</v>
      </c>
    </row>
    <row r="705">
      <c r="H705" s="0" t="s">
        <v>227</v>
      </c>
      <c r="I705" s="0" t="s">
        <v>269</v>
      </c>
      <c r="J705" s="0" t="s">
        <v>525</v>
      </c>
      <c r="K705" s="83" t="s">
        <v>1902</v>
      </c>
      <c r="L705" s="0" t="s">
        <v>1903</v>
      </c>
      <c r="M705" s="0" t="s">
        <v>237</v>
      </c>
      <c r="N705" s="0" t="str">
        <f t="shared" si="10"/>
        <v>CIHPgoAkko</v>
      </c>
    </row>
    <row r="706">
      <c r="H706" s="0" t="s">
        <v>227</v>
      </c>
      <c r="I706" s="0" t="s">
        <v>269</v>
      </c>
      <c r="J706" s="0" t="s">
        <v>525</v>
      </c>
      <c r="K706" s="83" t="s">
        <v>1904</v>
      </c>
      <c r="L706" s="0" t="s">
        <v>1905</v>
      </c>
      <c r="M706" s="0" t="s">
        <v>237</v>
      </c>
      <c r="N706" s="0" t="str">
        <f t="shared" si="10"/>
        <v>CIHPgoAkko</v>
      </c>
    </row>
    <row r="707">
      <c r="H707" s="0" t="s">
        <v>227</v>
      </c>
      <c r="I707" s="0" t="s">
        <v>269</v>
      </c>
      <c r="J707" s="0" t="s">
        <v>525</v>
      </c>
      <c r="K707" s="83" t="s">
        <v>1906</v>
      </c>
      <c r="L707" s="0" t="s">
        <v>1907</v>
      </c>
      <c r="M707" s="0" t="s">
        <v>237</v>
      </c>
      <c r="N707" s="0" t="str">
        <f ref="N707:N770" t="shared" si="11">SUBSTITUTE(SUBSTITUTE(M707&amp;J707," ",""),"-","")</f>
        <v>CIHPgoAkko</v>
      </c>
    </row>
    <row r="708">
      <c r="H708" s="0" t="s">
        <v>227</v>
      </c>
      <c r="I708" s="0" t="s">
        <v>269</v>
      </c>
      <c r="J708" s="0" t="s">
        <v>525</v>
      </c>
      <c r="K708" s="83" t="s">
        <v>1908</v>
      </c>
      <c r="L708" s="0" t="s">
        <v>1909</v>
      </c>
      <c r="M708" s="0" t="s">
        <v>237</v>
      </c>
      <c r="N708" s="0" t="str">
        <f t="shared" si="11"/>
        <v>CIHPgoAkko</v>
      </c>
    </row>
    <row r="709">
      <c r="H709" s="0" t="s">
        <v>227</v>
      </c>
      <c r="I709" s="0" t="s">
        <v>269</v>
      </c>
      <c r="J709" s="0" t="s">
        <v>525</v>
      </c>
      <c r="K709" s="83" t="s">
        <v>1910</v>
      </c>
      <c r="L709" s="0" t="s">
        <v>1911</v>
      </c>
      <c r="M709" s="0" t="s">
        <v>237</v>
      </c>
      <c r="N709" s="0" t="str">
        <f t="shared" si="11"/>
        <v>CIHPgoAkko</v>
      </c>
    </row>
    <row r="710">
      <c r="H710" s="0" t="s">
        <v>227</v>
      </c>
      <c r="I710" s="0" t="s">
        <v>269</v>
      </c>
      <c r="J710" s="0" t="s">
        <v>525</v>
      </c>
      <c r="K710" s="83" t="s">
        <v>1912</v>
      </c>
      <c r="L710" s="0" t="s">
        <v>1913</v>
      </c>
      <c r="M710" s="0" t="s">
        <v>237</v>
      </c>
      <c r="N710" s="0" t="str">
        <f t="shared" si="11"/>
        <v>CIHPgoAkko</v>
      </c>
    </row>
    <row r="711">
      <c r="H711" s="0" t="s">
        <v>227</v>
      </c>
      <c r="I711" s="0" t="s">
        <v>269</v>
      </c>
      <c r="J711" s="0" t="s">
        <v>528</v>
      </c>
      <c r="K711" s="83" t="s">
        <v>1914</v>
      </c>
      <c r="L711" s="0" t="s">
        <v>1915</v>
      </c>
      <c r="M711" s="0" t="s">
        <v>237</v>
      </c>
      <c r="N711" s="0" t="str">
        <f t="shared" si="11"/>
        <v>CIHPgoBalanga</v>
      </c>
    </row>
    <row r="712">
      <c r="H712" s="0" t="s">
        <v>227</v>
      </c>
      <c r="I712" s="0" t="s">
        <v>269</v>
      </c>
      <c r="J712" s="0" t="s">
        <v>528</v>
      </c>
      <c r="K712" s="83" t="s">
        <v>1916</v>
      </c>
      <c r="L712" s="0" t="s">
        <v>1917</v>
      </c>
      <c r="M712" s="0" t="s">
        <v>237</v>
      </c>
      <c r="N712" s="0" t="str">
        <f t="shared" si="11"/>
        <v>CIHPgoBalanga</v>
      </c>
    </row>
    <row r="713">
      <c r="H713" s="0" t="s">
        <v>227</v>
      </c>
      <c r="I713" s="0" t="s">
        <v>269</v>
      </c>
      <c r="J713" s="0" t="s">
        <v>528</v>
      </c>
      <c r="K713" s="83" t="s">
        <v>1918</v>
      </c>
      <c r="L713" s="0" t="s">
        <v>1919</v>
      </c>
      <c r="M713" s="0" t="s">
        <v>237</v>
      </c>
      <c r="N713" s="0" t="str">
        <f t="shared" si="11"/>
        <v>CIHPgoBalanga</v>
      </c>
    </row>
    <row r="714">
      <c r="H714" s="0" t="s">
        <v>227</v>
      </c>
      <c r="I714" s="0" t="s">
        <v>269</v>
      </c>
      <c r="J714" s="0" t="s">
        <v>528</v>
      </c>
      <c r="K714" s="83" t="s">
        <v>1920</v>
      </c>
      <c r="L714" s="0" t="s">
        <v>1921</v>
      </c>
      <c r="M714" s="0" t="s">
        <v>237</v>
      </c>
      <c r="N714" s="0" t="str">
        <f t="shared" si="11"/>
        <v>CIHPgoBalanga</v>
      </c>
    </row>
    <row r="715">
      <c r="H715" s="0" t="s">
        <v>227</v>
      </c>
      <c r="I715" s="0" t="s">
        <v>269</v>
      </c>
      <c r="J715" s="0" t="s">
        <v>531</v>
      </c>
      <c r="K715" s="83" t="s">
        <v>1922</v>
      </c>
      <c r="L715" s="0" t="s">
        <v>1923</v>
      </c>
      <c r="M715" s="0" t="s">
        <v>237</v>
      </c>
      <c r="N715" s="0" t="str">
        <f t="shared" si="11"/>
        <v>CIHPgoBilliri</v>
      </c>
    </row>
    <row r="716">
      <c r="H716" s="0" t="s">
        <v>227</v>
      </c>
      <c r="I716" s="0" t="s">
        <v>269</v>
      </c>
      <c r="J716" s="0" t="s">
        <v>531</v>
      </c>
      <c r="K716" s="83" t="s">
        <v>1924</v>
      </c>
      <c r="L716" s="0" t="s">
        <v>1925</v>
      </c>
      <c r="M716" s="0" t="s">
        <v>237</v>
      </c>
      <c r="N716" s="0" t="str">
        <f t="shared" si="11"/>
        <v>CIHPgoBilliri</v>
      </c>
    </row>
    <row r="717">
      <c r="H717" s="0" t="s">
        <v>227</v>
      </c>
      <c r="I717" s="0" t="s">
        <v>269</v>
      </c>
      <c r="J717" s="0" t="s">
        <v>531</v>
      </c>
      <c r="K717" s="83" t="s">
        <v>1926</v>
      </c>
      <c r="L717" s="0" t="s">
        <v>1927</v>
      </c>
      <c r="M717" s="0" t="s">
        <v>237</v>
      </c>
      <c r="N717" s="0" t="str">
        <f t="shared" si="11"/>
        <v>CIHPgoBilliri</v>
      </c>
    </row>
    <row r="718">
      <c r="H718" s="0" t="s">
        <v>227</v>
      </c>
      <c r="I718" s="0" t="s">
        <v>269</v>
      </c>
      <c r="J718" s="0" t="s">
        <v>531</v>
      </c>
      <c r="K718" s="83" t="s">
        <v>1928</v>
      </c>
      <c r="L718" s="0" t="s">
        <v>1929</v>
      </c>
      <c r="M718" s="0" t="s">
        <v>237</v>
      </c>
      <c r="N718" s="0" t="str">
        <f t="shared" si="11"/>
        <v>CIHPgoBilliri</v>
      </c>
    </row>
    <row r="719">
      <c r="H719" s="0" t="s">
        <v>227</v>
      </c>
      <c r="I719" s="0" t="s">
        <v>269</v>
      </c>
      <c r="J719" s="0" t="s">
        <v>534</v>
      </c>
      <c r="K719" s="83" t="s">
        <v>1930</v>
      </c>
      <c r="L719" s="0" t="s">
        <v>1931</v>
      </c>
      <c r="M719" s="0" t="s">
        <v>237</v>
      </c>
      <c r="N719" s="0" t="str">
        <f t="shared" si="11"/>
        <v>CIHPgoDukku</v>
      </c>
    </row>
    <row r="720">
      <c r="H720" s="0" t="s">
        <v>227</v>
      </c>
      <c r="I720" s="0" t="s">
        <v>269</v>
      </c>
      <c r="J720" s="0" t="s">
        <v>534</v>
      </c>
      <c r="K720" s="83" t="s">
        <v>1932</v>
      </c>
      <c r="L720" s="0" t="s">
        <v>1933</v>
      </c>
      <c r="M720" s="0" t="s">
        <v>237</v>
      </c>
      <c r="N720" s="0" t="str">
        <f t="shared" si="11"/>
        <v>CIHPgoDukku</v>
      </c>
    </row>
    <row r="721">
      <c r="H721" s="0" t="s">
        <v>227</v>
      </c>
      <c r="I721" s="0" t="s">
        <v>269</v>
      </c>
      <c r="J721" s="0" t="s">
        <v>537</v>
      </c>
      <c r="K721" s="83" t="s">
        <v>1934</v>
      </c>
      <c r="L721" s="0" t="s">
        <v>1935</v>
      </c>
      <c r="M721" s="0" t="s">
        <v>237</v>
      </c>
      <c r="N721" s="0" t="str">
        <f t="shared" si="11"/>
        <v>CIHPgoFunakaye</v>
      </c>
    </row>
    <row r="722">
      <c r="H722" s="0" t="s">
        <v>227</v>
      </c>
      <c r="I722" s="0" t="s">
        <v>269</v>
      </c>
      <c r="J722" s="0" t="s">
        <v>537</v>
      </c>
      <c r="K722" s="83" t="s">
        <v>1936</v>
      </c>
      <c r="L722" s="0" t="s">
        <v>1937</v>
      </c>
      <c r="M722" s="0" t="s">
        <v>237</v>
      </c>
      <c r="N722" s="0" t="str">
        <f t="shared" si="11"/>
        <v>CIHPgoFunakaye</v>
      </c>
    </row>
    <row r="723">
      <c r="H723" s="0" t="s">
        <v>227</v>
      </c>
      <c r="I723" s="0" t="s">
        <v>269</v>
      </c>
      <c r="J723" s="0" t="s">
        <v>537</v>
      </c>
      <c r="K723" s="83" t="s">
        <v>1938</v>
      </c>
      <c r="L723" s="0" t="s">
        <v>1939</v>
      </c>
      <c r="M723" s="0" t="s">
        <v>237</v>
      </c>
      <c r="N723" s="0" t="str">
        <f t="shared" si="11"/>
        <v>CIHPgoFunakaye</v>
      </c>
    </row>
    <row r="724">
      <c r="H724" s="0" t="s">
        <v>227</v>
      </c>
      <c r="I724" s="0" t="s">
        <v>269</v>
      </c>
      <c r="J724" s="0" t="s">
        <v>540</v>
      </c>
      <c r="K724" s="83" t="s">
        <v>1940</v>
      </c>
      <c r="L724" s="0" t="s">
        <v>1941</v>
      </c>
      <c r="M724" s="0" t="s">
        <v>237</v>
      </c>
      <c r="N724" s="0" t="str">
        <f t="shared" si="11"/>
        <v>CIHPgoGombe</v>
      </c>
    </row>
    <row r="725">
      <c r="H725" s="0" t="s">
        <v>227</v>
      </c>
      <c r="I725" s="0" t="s">
        <v>269</v>
      </c>
      <c r="J725" s="0" t="s">
        <v>540</v>
      </c>
      <c r="K725" s="83" t="s">
        <v>1942</v>
      </c>
      <c r="L725" s="0" t="s">
        <v>1943</v>
      </c>
      <c r="M725" s="0" t="s">
        <v>237</v>
      </c>
      <c r="N725" s="0" t="str">
        <f t="shared" si="11"/>
        <v>CIHPgoGombe</v>
      </c>
    </row>
    <row r="726">
      <c r="H726" s="0" t="s">
        <v>227</v>
      </c>
      <c r="I726" s="0" t="s">
        <v>269</v>
      </c>
      <c r="J726" s="0" t="s">
        <v>540</v>
      </c>
      <c r="K726" s="83" t="s">
        <v>1944</v>
      </c>
      <c r="L726" s="0" t="s">
        <v>1945</v>
      </c>
      <c r="M726" s="0" t="s">
        <v>237</v>
      </c>
      <c r="N726" s="0" t="str">
        <f t="shared" si="11"/>
        <v>CIHPgoGombe</v>
      </c>
    </row>
    <row r="727">
      <c r="H727" s="0" t="s">
        <v>227</v>
      </c>
      <c r="I727" s="0" t="s">
        <v>269</v>
      </c>
      <c r="J727" s="0" t="s">
        <v>540</v>
      </c>
      <c r="K727" s="83" t="s">
        <v>1946</v>
      </c>
      <c r="L727" s="0" t="s">
        <v>1947</v>
      </c>
      <c r="M727" s="0" t="s">
        <v>237</v>
      </c>
      <c r="N727" s="0" t="str">
        <f t="shared" si="11"/>
        <v>CIHPgoGombe</v>
      </c>
    </row>
    <row r="728">
      <c r="H728" s="0" t="s">
        <v>227</v>
      </c>
      <c r="I728" s="0" t="s">
        <v>269</v>
      </c>
      <c r="J728" s="0" t="s">
        <v>540</v>
      </c>
      <c r="K728" s="83" t="s">
        <v>1948</v>
      </c>
      <c r="L728" s="0" t="s">
        <v>1949</v>
      </c>
      <c r="M728" s="0" t="s">
        <v>237</v>
      </c>
      <c r="N728" s="0" t="str">
        <f t="shared" si="11"/>
        <v>CIHPgoGombe</v>
      </c>
    </row>
    <row r="729">
      <c r="H729" s="0" t="s">
        <v>227</v>
      </c>
      <c r="I729" s="0" t="s">
        <v>269</v>
      </c>
      <c r="J729" s="0" t="s">
        <v>540</v>
      </c>
      <c r="K729" s="83" t="s">
        <v>1950</v>
      </c>
      <c r="L729" s="0" t="s">
        <v>1951</v>
      </c>
      <c r="M729" s="0" t="s">
        <v>237</v>
      </c>
      <c r="N729" s="0" t="str">
        <f t="shared" si="11"/>
        <v>CIHPgoGombe</v>
      </c>
    </row>
    <row r="730">
      <c r="H730" s="0" t="s">
        <v>227</v>
      </c>
      <c r="I730" s="0" t="s">
        <v>269</v>
      </c>
      <c r="J730" s="0" t="s">
        <v>540</v>
      </c>
      <c r="K730" s="83" t="s">
        <v>1952</v>
      </c>
      <c r="L730" s="0" t="s">
        <v>1953</v>
      </c>
      <c r="M730" s="0" t="s">
        <v>237</v>
      </c>
      <c r="N730" s="0" t="str">
        <f t="shared" si="11"/>
        <v>CIHPgoGombe</v>
      </c>
    </row>
    <row r="731">
      <c r="H731" s="0" t="s">
        <v>227</v>
      </c>
      <c r="I731" s="0" t="s">
        <v>269</v>
      </c>
      <c r="J731" s="0" t="s">
        <v>540</v>
      </c>
      <c r="K731" s="83" t="s">
        <v>1954</v>
      </c>
      <c r="L731" s="0" t="s">
        <v>1955</v>
      </c>
      <c r="M731" s="0" t="s">
        <v>237</v>
      </c>
      <c r="N731" s="0" t="str">
        <f t="shared" si="11"/>
        <v>CIHPgoGombe</v>
      </c>
    </row>
    <row r="732">
      <c r="H732" s="0" t="s">
        <v>227</v>
      </c>
      <c r="I732" s="0" t="s">
        <v>269</v>
      </c>
      <c r="J732" s="0" t="s">
        <v>540</v>
      </c>
      <c r="K732" s="83" t="s">
        <v>1956</v>
      </c>
      <c r="L732" s="0" t="s">
        <v>1957</v>
      </c>
      <c r="M732" s="0" t="s">
        <v>237</v>
      </c>
      <c r="N732" s="0" t="str">
        <f t="shared" si="11"/>
        <v>CIHPgoGombe</v>
      </c>
    </row>
    <row r="733">
      <c r="H733" s="0" t="s">
        <v>227</v>
      </c>
      <c r="I733" s="0" t="s">
        <v>269</v>
      </c>
      <c r="J733" s="0" t="s">
        <v>540</v>
      </c>
      <c r="K733" s="83" t="s">
        <v>1958</v>
      </c>
      <c r="L733" s="0" t="s">
        <v>1959</v>
      </c>
      <c r="M733" s="0" t="s">
        <v>237</v>
      </c>
      <c r="N733" s="0" t="str">
        <f t="shared" si="11"/>
        <v>CIHPgoGombe</v>
      </c>
    </row>
    <row r="734">
      <c r="H734" s="0" t="s">
        <v>227</v>
      </c>
      <c r="I734" s="0" t="s">
        <v>269</v>
      </c>
      <c r="J734" s="0" t="s">
        <v>540</v>
      </c>
      <c r="K734" s="83" t="s">
        <v>1960</v>
      </c>
      <c r="L734" s="0" t="s">
        <v>1961</v>
      </c>
      <c r="M734" s="0" t="s">
        <v>237</v>
      </c>
      <c r="N734" s="0" t="str">
        <f t="shared" si="11"/>
        <v>CIHPgoGombe</v>
      </c>
    </row>
    <row r="735">
      <c r="H735" s="0" t="s">
        <v>227</v>
      </c>
      <c r="I735" s="0" t="s">
        <v>269</v>
      </c>
      <c r="J735" s="0" t="s">
        <v>540</v>
      </c>
      <c r="K735" s="83" t="s">
        <v>1962</v>
      </c>
      <c r="L735" s="0" t="s">
        <v>1963</v>
      </c>
      <c r="M735" s="0" t="s">
        <v>237</v>
      </c>
      <c r="N735" s="0" t="str">
        <f t="shared" si="11"/>
        <v>CIHPgoGombe</v>
      </c>
    </row>
    <row r="736">
      <c r="H736" s="0" t="s">
        <v>227</v>
      </c>
      <c r="I736" s="0" t="s">
        <v>269</v>
      </c>
      <c r="J736" s="0" t="s">
        <v>540</v>
      </c>
      <c r="K736" s="83" t="s">
        <v>1964</v>
      </c>
      <c r="L736" s="0" t="s">
        <v>1965</v>
      </c>
      <c r="M736" s="0" t="s">
        <v>237</v>
      </c>
      <c r="N736" s="0" t="str">
        <f t="shared" si="11"/>
        <v>CIHPgoGombe</v>
      </c>
    </row>
    <row r="737">
      <c r="H737" s="0" t="s">
        <v>227</v>
      </c>
      <c r="I737" s="0" t="s">
        <v>269</v>
      </c>
      <c r="J737" s="0" t="s">
        <v>540</v>
      </c>
      <c r="K737" s="83" t="s">
        <v>1966</v>
      </c>
      <c r="L737" s="0" t="s">
        <v>1967</v>
      </c>
      <c r="M737" s="0" t="s">
        <v>237</v>
      </c>
      <c r="N737" s="0" t="str">
        <f t="shared" si="11"/>
        <v>CIHPgoGombe</v>
      </c>
    </row>
    <row r="738">
      <c r="H738" s="0" t="s">
        <v>227</v>
      </c>
      <c r="I738" s="0" t="s">
        <v>269</v>
      </c>
      <c r="J738" s="0" t="s">
        <v>540</v>
      </c>
      <c r="K738" s="83" t="s">
        <v>1968</v>
      </c>
      <c r="L738" s="0" t="s">
        <v>1969</v>
      </c>
      <c r="M738" s="0" t="s">
        <v>237</v>
      </c>
      <c r="N738" s="0" t="str">
        <f t="shared" si="11"/>
        <v>CIHPgoGombe</v>
      </c>
    </row>
    <row r="739">
      <c r="H739" s="0" t="s">
        <v>227</v>
      </c>
      <c r="I739" s="0" t="s">
        <v>269</v>
      </c>
      <c r="J739" s="0" t="s">
        <v>543</v>
      </c>
      <c r="K739" s="83" t="s">
        <v>1970</v>
      </c>
      <c r="L739" s="0" t="s">
        <v>1971</v>
      </c>
      <c r="M739" s="0" t="s">
        <v>237</v>
      </c>
      <c r="N739" s="0" t="str">
        <f t="shared" si="11"/>
        <v>CIHPgoKaltungo</v>
      </c>
    </row>
    <row r="740">
      <c r="H740" s="0" t="s">
        <v>227</v>
      </c>
      <c r="I740" s="0" t="s">
        <v>269</v>
      </c>
      <c r="J740" s="0" t="s">
        <v>543</v>
      </c>
      <c r="K740" s="83" t="s">
        <v>1972</v>
      </c>
      <c r="L740" s="0" t="s">
        <v>1973</v>
      </c>
      <c r="M740" s="0" t="s">
        <v>237</v>
      </c>
      <c r="N740" s="0" t="str">
        <f t="shared" si="11"/>
        <v>CIHPgoKaltungo</v>
      </c>
    </row>
    <row r="741">
      <c r="H741" s="0" t="s">
        <v>227</v>
      </c>
      <c r="I741" s="0" t="s">
        <v>269</v>
      </c>
      <c r="J741" s="0" t="s">
        <v>543</v>
      </c>
      <c r="K741" s="83" t="s">
        <v>1974</v>
      </c>
      <c r="L741" s="0" t="s">
        <v>1975</v>
      </c>
      <c r="M741" s="0" t="s">
        <v>237</v>
      </c>
      <c r="N741" s="0" t="str">
        <f t="shared" si="11"/>
        <v>CIHPgoKaltungo</v>
      </c>
    </row>
    <row r="742">
      <c r="H742" s="0" t="s">
        <v>227</v>
      </c>
      <c r="I742" s="0" t="s">
        <v>269</v>
      </c>
      <c r="J742" s="0" t="s">
        <v>543</v>
      </c>
      <c r="K742" s="83" t="s">
        <v>1976</v>
      </c>
      <c r="L742" s="0" t="s">
        <v>1977</v>
      </c>
      <c r="M742" s="0" t="s">
        <v>237</v>
      </c>
      <c r="N742" s="0" t="str">
        <f t="shared" si="11"/>
        <v>CIHPgoKaltungo</v>
      </c>
    </row>
    <row r="743">
      <c r="H743" s="0" t="s">
        <v>227</v>
      </c>
      <c r="I743" s="0" t="s">
        <v>269</v>
      </c>
      <c r="J743" s="0" t="s">
        <v>543</v>
      </c>
      <c r="K743" s="83" t="s">
        <v>1978</v>
      </c>
      <c r="L743" s="0" t="s">
        <v>1979</v>
      </c>
      <c r="M743" s="0" t="s">
        <v>237</v>
      </c>
      <c r="N743" s="0" t="str">
        <f t="shared" si="11"/>
        <v>CIHPgoKaltungo</v>
      </c>
    </row>
    <row r="744">
      <c r="H744" s="0" t="s">
        <v>227</v>
      </c>
      <c r="I744" s="0" t="s">
        <v>269</v>
      </c>
      <c r="J744" s="0" t="s">
        <v>543</v>
      </c>
      <c r="K744" s="83" t="s">
        <v>1980</v>
      </c>
      <c r="L744" s="0" t="s">
        <v>1981</v>
      </c>
      <c r="M744" s="0" t="s">
        <v>237</v>
      </c>
      <c r="N744" s="0" t="str">
        <f t="shared" si="11"/>
        <v>CIHPgoKaltungo</v>
      </c>
    </row>
    <row r="745">
      <c r="H745" s="0" t="s">
        <v>227</v>
      </c>
      <c r="I745" s="0" t="s">
        <v>269</v>
      </c>
      <c r="J745" s="0" t="s">
        <v>543</v>
      </c>
      <c r="K745" s="83" t="s">
        <v>1982</v>
      </c>
      <c r="L745" s="0" t="s">
        <v>1983</v>
      </c>
      <c r="M745" s="0" t="s">
        <v>237</v>
      </c>
      <c r="N745" s="0" t="str">
        <f t="shared" si="11"/>
        <v>CIHPgoKaltungo</v>
      </c>
    </row>
    <row r="746">
      <c r="H746" s="0" t="s">
        <v>227</v>
      </c>
      <c r="I746" s="0" t="s">
        <v>269</v>
      </c>
      <c r="J746" s="0" t="s">
        <v>546</v>
      </c>
      <c r="K746" s="83" t="s">
        <v>1984</v>
      </c>
      <c r="L746" s="0" t="s">
        <v>1985</v>
      </c>
      <c r="M746" s="0" t="s">
        <v>237</v>
      </c>
      <c r="N746" s="0" t="str">
        <f t="shared" si="11"/>
        <v>CIHPgoKwami</v>
      </c>
    </row>
    <row r="747">
      <c r="H747" s="0" t="s">
        <v>227</v>
      </c>
      <c r="I747" s="0" t="s">
        <v>269</v>
      </c>
      <c r="J747" s="0" t="s">
        <v>546</v>
      </c>
      <c r="K747" s="83" t="s">
        <v>1986</v>
      </c>
      <c r="L747" s="0" t="s">
        <v>1987</v>
      </c>
      <c r="M747" s="0" t="s">
        <v>237</v>
      </c>
      <c r="N747" s="0" t="str">
        <f t="shared" si="11"/>
        <v>CIHPgoKwami</v>
      </c>
    </row>
    <row r="748">
      <c r="H748" s="83" t="s">
        <v>227</v>
      </c>
      <c r="I748" s="83" t="s">
        <v>269</v>
      </c>
      <c r="J748" s="83" t="s">
        <v>549</v>
      </c>
      <c r="K748" s="83" t="s">
        <v>1988</v>
      </c>
      <c r="L748" s="83" t="s">
        <v>1989</v>
      </c>
      <c r="M748" s="0" t="s">
        <v>237</v>
      </c>
      <c r="N748" s="0" t="str">
        <f t="shared" si="11"/>
        <v>CIHPgoNafadaBajoga</v>
      </c>
    </row>
    <row r="749">
      <c r="H749" s="0" t="s">
        <v>227</v>
      </c>
      <c r="I749" s="0" t="s">
        <v>269</v>
      </c>
      <c r="J749" s="0" t="s">
        <v>552</v>
      </c>
      <c r="K749" s="83" t="s">
        <v>1990</v>
      </c>
      <c r="L749" s="0" t="s">
        <v>1991</v>
      </c>
      <c r="M749" s="0" t="s">
        <v>237</v>
      </c>
      <c r="N749" s="0" t="str">
        <f t="shared" si="11"/>
        <v>CIHPgoShongom</v>
      </c>
    </row>
    <row r="750">
      <c r="H750" s="0" t="s">
        <v>227</v>
      </c>
      <c r="I750" s="0" t="s">
        <v>269</v>
      </c>
      <c r="J750" s="0" t="s">
        <v>552</v>
      </c>
      <c r="K750" s="83" t="s">
        <v>1992</v>
      </c>
      <c r="L750" s="0" t="s">
        <v>1993</v>
      </c>
      <c r="M750" s="0" t="s">
        <v>237</v>
      </c>
      <c r="N750" s="0" t="str">
        <f t="shared" si="11"/>
        <v>CIHPgoShongom</v>
      </c>
    </row>
    <row r="751">
      <c r="H751" s="0" t="s">
        <v>227</v>
      </c>
      <c r="I751" s="0" t="s">
        <v>269</v>
      </c>
      <c r="J751" s="0" t="s">
        <v>555</v>
      </c>
      <c r="K751" s="83" t="s">
        <v>1994</v>
      </c>
      <c r="L751" s="0" t="s">
        <v>1995</v>
      </c>
      <c r="M751" s="0" t="s">
        <v>237</v>
      </c>
      <c r="N751" s="0" t="str">
        <f t="shared" si="11"/>
        <v>CIHPgoYamaltuDeba</v>
      </c>
    </row>
    <row r="752">
      <c r="H752" s="0" t="s">
        <v>227</v>
      </c>
      <c r="I752" s="0" t="s">
        <v>269</v>
      </c>
      <c r="J752" s="0" t="s">
        <v>555</v>
      </c>
      <c r="K752" s="83" t="s">
        <v>1996</v>
      </c>
      <c r="L752" s="0" t="s">
        <v>1997</v>
      </c>
      <c r="M752" s="0" t="s">
        <v>237</v>
      </c>
      <c r="N752" s="0" t="str">
        <f t="shared" si="11"/>
        <v>CIHPgoYamaltuDeba</v>
      </c>
    </row>
    <row r="753">
      <c r="H753" s="0" t="s">
        <v>227</v>
      </c>
      <c r="I753" s="0" t="s">
        <v>269</v>
      </c>
      <c r="J753" s="0" t="s">
        <v>555</v>
      </c>
      <c r="K753" s="83" t="s">
        <v>1998</v>
      </c>
      <c r="L753" s="0" t="s">
        <v>1999</v>
      </c>
      <c r="M753" s="0" t="s">
        <v>237</v>
      </c>
      <c r="N753" s="0" t="str">
        <f t="shared" si="11"/>
        <v>CIHPgoYamaltuDeba</v>
      </c>
    </row>
    <row r="754">
      <c r="H754" s="0" t="s">
        <v>227</v>
      </c>
      <c r="I754" s="0" t="s">
        <v>269</v>
      </c>
      <c r="J754" s="0" t="s">
        <v>555</v>
      </c>
      <c r="K754" s="83" t="s">
        <v>2000</v>
      </c>
      <c r="L754" s="0" t="s">
        <v>2001</v>
      </c>
      <c r="M754" s="0" t="s">
        <v>237</v>
      </c>
      <c r="N754" s="0" t="str">
        <f t="shared" si="11"/>
        <v>CIHPgoYamaltuDeba</v>
      </c>
    </row>
    <row r="755">
      <c r="H755" s="0" t="s">
        <v>227</v>
      </c>
      <c r="I755" s="0" t="s">
        <v>269</v>
      </c>
      <c r="J755" s="0" t="s">
        <v>555</v>
      </c>
      <c r="K755" s="83" t="s">
        <v>2002</v>
      </c>
      <c r="L755" s="0" t="s">
        <v>2003</v>
      </c>
      <c r="M755" s="0" t="s">
        <v>237</v>
      </c>
      <c r="N755" s="0" t="str">
        <f t="shared" si="11"/>
        <v>CIHPgoYamaltuDeba</v>
      </c>
    </row>
    <row r="756">
      <c r="H756" s="0" t="s">
        <v>227</v>
      </c>
      <c r="I756" s="0" t="s">
        <v>269</v>
      </c>
      <c r="J756" s="0" t="s">
        <v>555</v>
      </c>
      <c r="K756" s="83" t="s">
        <v>2004</v>
      </c>
      <c r="L756" s="0" t="s">
        <v>2005</v>
      </c>
      <c r="M756" s="0" t="s">
        <v>237</v>
      </c>
      <c r="N756" s="0" t="str">
        <f t="shared" si="11"/>
        <v>CIHPgoYamaltuDeba</v>
      </c>
    </row>
    <row r="757">
      <c r="H757" s="0" t="s">
        <v>227</v>
      </c>
      <c r="I757" s="0" t="s">
        <v>269</v>
      </c>
      <c r="J757" s="0" t="s">
        <v>555</v>
      </c>
      <c r="K757" s="83" t="s">
        <v>2006</v>
      </c>
      <c r="L757" s="0" t="s">
        <v>2007</v>
      </c>
      <c r="M757" s="0" t="s">
        <v>237</v>
      </c>
      <c r="N757" s="0" t="str">
        <f t="shared" si="11"/>
        <v>CIHPgoYamaltuDeba</v>
      </c>
    </row>
    <row r="758">
      <c r="H758" s="0" t="s">
        <v>227</v>
      </c>
      <c r="I758" s="0" t="s">
        <v>269</v>
      </c>
      <c r="J758" s="0" t="s">
        <v>555</v>
      </c>
      <c r="K758" s="83" t="s">
        <v>2008</v>
      </c>
      <c r="L758" s="0" t="s">
        <v>2009</v>
      </c>
      <c r="M758" s="0" t="s">
        <v>237</v>
      </c>
      <c r="N758" s="0" t="str">
        <f t="shared" si="11"/>
        <v>CIHPgoYamaltuDeba</v>
      </c>
    </row>
    <row r="759">
      <c r="H759" s="0" t="s">
        <v>227</v>
      </c>
      <c r="I759" s="0" t="s">
        <v>269</v>
      </c>
      <c r="J759" s="0" t="s">
        <v>555</v>
      </c>
      <c r="K759" s="83" t="s">
        <v>2010</v>
      </c>
      <c r="L759" s="0" t="s">
        <v>2011</v>
      </c>
      <c r="M759" s="0" t="s">
        <v>237</v>
      </c>
      <c r="N759" s="0" t="str">
        <f t="shared" si="11"/>
        <v>CIHPgoYamaltuDeba</v>
      </c>
    </row>
    <row r="760">
      <c r="H760" s="0" t="s">
        <v>227</v>
      </c>
      <c r="I760" s="0" t="s">
        <v>269</v>
      </c>
      <c r="J760" s="0" t="s">
        <v>555</v>
      </c>
      <c r="K760" s="83" t="s">
        <v>2012</v>
      </c>
      <c r="L760" s="0" t="s">
        <v>2013</v>
      </c>
      <c r="M760" s="0" t="s">
        <v>237</v>
      </c>
      <c r="N760" s="0" t="str">
        <f t="shared" si="11"/>
        <v>CIHPgoYamaltuDeba</v>
      </c>
    </row>
    <row r="761">
      <c r="H761" s="0" t="s">
        <v>227</v>
      </c>
      <c r="I761" s="0" t="s">
        <v>269</v>
      </c>
      <c r="J761" s="0" t="s">
        <v>555</v>
      </c>
      <c r="K761" s="83" t="s">
        <v>2014</v>
      </c>
      <c r="L761" s="0" t="s">
        <v>2015</v>
      </c>
      <c r="M761" s="0" t="s">
        <v>237</v>
      </c>
      <c r="N761" s="0" t="str">
        <f t="shared" si="11"/>
        <v>CIHPgoYamaltuDeba</v>
      </c>
    </row>
    <row r="762">
      <c r="H762" s="0" t="s">
        <v>227</v>
      </c>
      <c r="I762" s="0" t="s">
        <v>269</v>
      </c>
      <c r="J762" s="0" t="s">
        <v>555</v>
      </c>
      <c r="K762" s="83" t="s">
        <v>2016</v>
      </c>
      <c r="L762" s="0" t="s">
        <v>2017</v>
      </c>
      <c r="M762" s="0" t="s">
        <v>237</v>
      </c>
      <c r="N762" s="0" t="str">
        <f t="shared" si="11"/>
        <v>CIHPgoYamaltuDeba</v>
      </c>
    </row>
    <row r="763">
      <c r="H763" s="0" t="s">
        <v>227</v>
      </c>
      <c r="I763" s="0" t="s">
        <v>265</v>
      </c>
      <c r="J763" s="0" t="s">
        <v>441</v>
      </c>
      <c r="K763" s="83" t="s">
        <v>2018</v>
      </c>
      <c r="L763" s="0" t="s">
        <v>2019</v>
      </c>
      <c r="M763" s="0" t="s">
        <v>231</v>
      </c>
      <c r="N763" s="0" t="str">
        <f t="shared" si="11"/>
        <v>CCFNimAbohMbaise</v>
      </c>
    </row>
    <row r="764">
      <c r="H764" s="0" t="s">
        <v>227</v>
      </c>
      <c r="I764" s="0" t="s">
        <v>265</v>
      </c>
      <c r="J764" s="0" t="s">
        <v>441</v>
      </c>
      <c r="K764" s="83" t="s">
        <v>2020</v>
      </c>
      <c r="L764" s="0" t="s">
        <v>2021</v>
      </c>
      <c r="M764" s="0" t="s">
        <v>231</v>
      </c>
      <c r="N764" s="0" t="str">
        <f t="shared" si="11"/>
        <v>CCFNimAbohMbaise</v>
      </c>
    </row>
    <row r="765">
      <c r="H765" s="0" t="s">
        <v>227</v>
      </c>
      <c r="I765" s="0" t="s">
        <v>265</v>
      </c>
      <c r="J765" s="0" t="s">
        <v>441</v>
      </c>
      <c r="K765" s="83" t="s">
        <v>2022</v>
      </c>
      <c r="L765" s="0" t="s">
        <v>2023</v>
      </c>
      <c r="M765" s="0" t="s">
        <v>231</v>
      </c>
      <c r="N765" s="0" t="str">
        <f t="shared" si="11"/>
        <v>CCFNimAbohMbaise</v>
      </c>
    </row>
    <row r="766">
      <c r="H766" s="0" t="s">
        <v>227</v>
      </c>
      <c r="I766" s="0" t="s">
        <v>265</v>
      </c>
      <c r="J766" s="0" t="s">
        <v>441</v>
      </c>
      <c r="K766" s="83" t="s">
        <v>2024</v>
      </c>
      <c r="L766" s="0" t="s">
        <v>2025</v>
      </c>
      <c r="M766" s="0" t="s">
        <v>231</v>
      </c>
      <c r="N766" s="0" t="str">
        <f t="shared" si="11"/>
        <v>CCFNimAbohMbaise</v>
      </c>
    </row>
    <row r="767">
      <c r="H767" s="0" t="s">
        <v>227</v>
      </c>
      <c r="I767" s="0" t="s">
        <v>265</v>
      </c>
      <c r="J767" s="0" t="s">
        <v>441</v>
      </c>
      <c r="K767" s="83" t="s">
        <v>2026</v>
      </c>
      <c r="L767" s="0" t="s">
        <v>2027</v>
      </c>
      <c r="M767" s="0" t="s">
        <v>231</v>
      </c>
      <c r="N767" s="0" t="str">
        <f t="shared" si="11"/>
        <v>CCFNimAbohMbaise</v>
      </c>
    </row>
    <row r="768">
      <c r="H768" s="0" t="s">
        <v>227</v>
      </c>
      <c r="I768" s="0" t="s">
        <v>265</v>
      </c>
      <c r="J768" s="0" t="s">
        <v>444</v>
      </c>
      <c r="K768" s="83" t="s">
        <v>2028</v>
      </c>
      <c r="L768" s="0" t="s">
        <v>2029</v>
      </c>
      <c r="M768" s="0" t="s">
        <v>231</v>
      </c>
      <c r="N768" s="0" t="str">
        <f t="shared" si="11"/>
        <v>CCFNimAhiazuMbaise</v>
      </c>
    </row>
    <row r="769">
      <c r="H769" s="0" t="s">
        <v>227</v>
      </c>
      <c r="I769" s="0" t="s">
        <v>265</v>
      </c>
      <c r="J769" s="0" t="s">
        <v>444</v>
      </c>
      <c r="K769" s="83" t="s">
        <v>2030</v>
      </c>
      <c r="L769" s="0" t="s">
        <v>2031</v>
      </c>
      <c r="M769" s="0" t="s">
        <v>231</v>
      </c>
      <c r="N769" s="0" t="str">
        <f t="shared" si="11"/>
        <v>CCFNimAhiazuMbaise</v>
      </c>
    </row>
    <row r="770">
      <c r="H770" s="0" t="s">
        <v>227</v>
      </c>
      <c r="I770" s="0" t="s">
        <v>265</v>
      </c>
      <c r="J770" s="0" t="s">
        <v>444</v>
      </c>
      <c r="K770" s="83" t="s">
        <v>2032</v>
      </c>
      <c r="L770" s="0" t="s">
        <v>2033</v>
      </c>
      <c r="M770" s="0" t="s">
        <v>231</v>
      </c>
      <c r="N770" s="0" t="str">
        <f t="shared" si="11"/>
        <v>CCFNimAhiazuMbaise</v>
      </c>
    </row>
    <row r="771">
      <c r="H771" s="0" t="s">
        <v>227</v>
      </c>
      <c r="I771" s="0" t="s">
        <v>265</v>
      </c>
      <c r="J771" s="0" t="s">
        <v>447</v>
      </c>
      <c r="K771" s="83" t="s">
        <v>2034</v>
      </c>
      <c r="L771" s="0" t="s">
        <v>2035</v>
      </c>
      <c r="M771" s="0" t="s">
        <v>231</v>
      </c>
      <c r="N771" s="0" t="str">
        <f ref="N771:N834" t="shared" si="12">SUBSTITUTE(SUBSTITUTE(M771&amp;J771," ",""),"-","")</f>
        <v>CCFNimEhimeMbano</v>
      </c>
    </row>
    <row r="772">
      <c r="H772" s="0" t="s">
        <v>227</v>
      </c>
      <c r="I772" s="0" t="s">
        <v>265</v>
      </c>
      <c r="J772" s="0" t="s">
        <v>447</v>
      </c>
      <c r="K772" s="83" t="s">
        <v>2036</v>
      </c>
      <c r="L772" s="0" t="s">
        <v>2037</v>
      </c>
      <c r="M772" s="0" t="s">
        <v>231</v>
      </c>
      <c r="N772" s="0" t="str">
        <f t="shared" si="12"/>
        <v>CCFNimEhimeMbano</v>
      </c>
    </row>
    <row r="773">
      <c r="H773" s="0" t="s">
        <v>227</v>
      </c>
      <c r="I773" s="0" t="s">
        <v>265</v>
      </c>
      <c r="J773" s="0" t="s">
        <v>447</v>
      </c>
      <c r="K773" s="83" t="s">
        <v>2038</v>
      </c>
      <c r="L773" s="0" t="s">
        <v>2039</v>
      </c>
      <c r="M773" s="0" t="s">
        <v>231</v>
      </c>
      <c r="N773" s="0" t="str">
        <f t="shared" si="12"/>
        <v>CCFNimEhimeMbano</v>
      </c>
    </row>
    <row r="774">
      <c r="H774" s="0" t="s">
        <v>227</v>
      </c>
      <c r="I774" s="0" t="s">
        <v>265</v>
      </c>
      <c r="J774" s="0" t="s">
        <v>447</v>
      </c>
      <c r="K774" s="83" t="s">
        <v>2040</v>
      </c>
      <c r="L774" s="0" t="s">
        <v>2041</v>
      </c>
      <c r="M774" s="0" t="s">
        <v>231</v>
      </c>
      <c r="N774" s="0" t="str">
        <f t="shared" si="12"/>
        <v>CCFNimEhimeMbano</v>
      </c>
    </row>
    <row r="775">
      <c r="H775" s="0" t="s">
        <v>227</v>
      </c>
      <c r="I775" s="0" t="s">
        <v>265</v>
      </c>
      <c r="J775" s="0" t="s">
        <v>450</v>
      </c>
      <c r="K775" s="83" t="s">
        <v>2042</v>
      </c>
      <c r="L775" s="0" t="s">
        <v>2043</v>
      </c>
      <c r="M775" s="0" t="s">
        <v>231</v>
      </c>
      <c r="N775" s="0" t="str">
        <f t="shared" si="12"/>
        <v>CCFNimEzinihitte</v>
      </c>
    </row>
    <row r="776">
      <c r="H776" s="0" t="s">
        <v>227</v>
      </c>
      <c r="I776" s="0" t="s">
        <v>265</v>
      </c>
      <c r="J776" s="0" t="s">
        <v>450</v>
      </c>
      <c r="K776" s="83" t="s">
        <v>2044</v>
      </c>
      <c r="L776" s="0" t="s">
        <v>2045</v>
      </c>
      <c r="M776" s="0" t="s">
        <v>231</v>
      </c>
      <c r="N776" s="0" t="str">
        <f t="shared" si="12"/>
        <v>CCFNimEzinihitte</v>
      </c>
    </row>
    <row r="777">
      <c r="H777" s="0" t="s">
        <v>227</v>
      </c>
      <c r="I777" s="0" t="s">
        <v>265</v>
      </c>
      <c r="J777" s="0" t="s">
        <v>450</v>
      </c>
      <c r="K777" s="83" t="s">
        <v>2046</v>
      </c>
      <c r="L777" s="0" t="s">
        <v>2047</v>
      </c>
      <c r="M777" s="0" t="s">
        <v>231</v>
      </c>
      <c r="N777" s="0" t="str">
        <f t="shared" si="12"/>
        <v>CCFNimEzinihitte</v>
      </c>
    </row>
    <row r="778">
      <c r="H778" s="0" t="s">
        <v>227</v>
      </c>
      <c r="I778" s="0" t="s">
        <v>265</v>
      </c>
      <c r="J778" s="0" t="s">
        <v>453</v>
      </c>
      <c r="K778" s="83" t="s">
        <v>2048</v>
      </c>
      <c r="L778" s="0" t="s">
        <v>2049</v>
      </c>
      <c r="M778" s="0" t="s">
        <v>231</v>
      </c>
      <c r="N778" s="0" t="str">
        <f t="shared" si="12"/>
        <v>CCFNimIdeatoNorth</v>
      </c>
    </row>
    <row r="779">
      <c r="H779" s="0" t="s">
        <v>227</v>
      </c>
      <c r="I779" s="0" t="s">
        <v>265</v>
      </c>
      <c r="J779" s="0" t="s">
        <v>453</v>
      </c>
      <c r="K779" s="83" t="s">
        <v>2050</v>
      </c>
      <c r="L779" s="0" t="s">
        <v>2051</v>
      </c>
      <c r="M779" s="0" t="s">
        <v>231</v>
      </c>
      <c r="N779" s="0" t="str">
        <f t="shared" si="12"/>
        <v>CCFNimIdeatoNorth</v>
      </c>
    </row>
    <row r="780">
      <c r="H780" s="0" t="s">
        <v>227</v>
      </c>
      <c r="I780" s="0" t="s">
        <v>265</v>
      </c>
      <c r="J780" s="0" t="s">
        <v>453</v>
      </c>
      <c r="K780" s="83" t="s">
        <v>2052</v>
      </c>
      <c r="L780" s="0" t="s">
        <v>2053</v>
      </c>
      <c r="M780" s="0" t="s">
        <v>231</v>
      </c>
      <c r="N780" s="0" t="str">
        <f t="shared" si="12"/>
        <v>CCFNimIdeatoNorth</v>
      </c>
    </row>
    <row r="781">
      <c r="H781" s="0" t="s">
        <v>227</v>
      </c>
      <c r="I781" s="0" t="s">
        <v>265</v>
      </c>
      <c r="J781" s="0" t="s">
        <v>453</v>
      </c>
      <c r="K781" s="83" t="s">
        <v>2054</v>
      </c>
      <c r="L781" s="0" t="s">
        <v>2055</v>
      </c>
      <c r="M781" s="0" t="s">
        <v>231</v>
      </c>
      <c r="N781" s="0" t="str">
        <f t="shared" si="12"/>
        <v>CCFNimIdeatoNorth</v>
      </c>
    </row>
    <row r="782">
      <c r="H782" s="0" t="s">
        <v>227</v>
      </c>
      <c r="I782" s="0" t="s">
        <v>265</v>
      </c>
      <c r="J782" s="0" t="s">
        <v>453</v>
      </c>
      <c r="K782" s="83" t="s">
        <v>2056</v>
      </c>
      <c r="L782" s="0" t="s">
        <v>2057</v>
      </c>
      <c r="M782" s="0" t="s">
        <v>231</v>
      </c>
      <c r="N782" s="0" t="str">
        <f t="shared" si="12"/>
        <v>CCFNimIdeatoNorth</v>
      </c>
    </row>
    <row r="783">
      <c r="H783" s="0" t="s">
        <v>227</v>
      </c>
      <c r="I783" s="0" t="s">
        <v>265</v>
      </c>
      <c r="J783" s="0" t="s">
        <v>456</v>
      </c>
      <c r="K783" s="83" t="s">
        <v>2058</v>
      </c>
      <c r="L783" s="0" t="s">
        <v>2059</v>
      </c>
      <c r="M783" s="0" t="s">
        <v>231</v>
      </c>
      <c r="N783" s="0" t="str">
        <f t="shared" si="12"/>
        <v>CCFNimIdeatoSouth</v>
      </c>
    </row>
    <row r="784">
      <c r="H784" s="0" t="s">
        <v>227</v>
      </c>
      <c r="I784" s="0" t="s">
        <v>265</v>
      </c>
      <c r="J784" s="0" t="s">
        <v>459</v>
      </c>
      <c r="K784" s="83" t="s">
        <v>2060</v>
      </c>
      <c r="L784" s="0" t="s">
        <v>2061</v>
      </c>
      <c r="M784" s="0" t="s">
        <v>231</v>
      </c>
      <c r="N784" s="0" t="str">
        <f t="shared" si="12"/>
        <v>CCFNimIhitteUboma</v>
      </c>
    </row>
    <row r="785">
      <c r="H785" s="0" t="s">
        <v>227</v>
      </c>
      <c r="I785" s="0" t="s">
        <v>265</v>
      </c>
      <c r="J785" s="0" t="s">
        <v>459</v>
      </c>
      <c r="K785" s="83" t="s">
        <v>2062</v>
      </c>
      <c r="L785" s="0" t="s">
        <v>2063</v>
      </c>
      <c r="M785" s="0" t="s">
        <v>231</v>
      </c>
      <c r="N785" s="0" t="str">
        <f t="shared" si="12"/>
        <v>CCFNimIhitteUboma</v>
      </c>
    </row>
    <row r="786">
      <c r="H786" s="0" t="s">
        <v>227</v>
      </c>
      <c r="I786" s="0" t="s">
        <v>265</v>
      </c>
      <c r="J786" s="0" t="s">
        <v>459</v>
      </c>
      <c r="K786" s="83" t="s">
        <v>2034</v>
      </c>
      <c r="L786" s="0" t="s">
        <v>2064</v>
      </c>
      <c r="M786" s="0" t="s">
        <v>231</v>
      </c>
      <c r="N786" s="0" t="str">
        <f t="shared" si="12"/>
        <v>CCFNimIhitteUboma</v>
      </c>
    </row>
    <row r="787">
      <c r="H787" s="0" t="s">
        <v>227</v>
      </c>
      <c r="I787" s="0" t="s">
        <v>265</v>
      </c>
      <c r="J787" s="0" t="s">
        <v>463</v>
      </c>
      <c r="K787" s="83" t="s">
        <v>2065</v>
      </c>
      <c r="L787" s="0" t="s">
        <v>2066</v>
      </c>
      <c r="M787" s="0" t="s">
        <v>231</v>
      </c>
      <c r="N787" s="0" t="str">
        <f t="shared" si="12"/>
        <v>CCFNimIkeduru</v>
      </c>
    </row>
    <row r="788">
      <c r="H788" s="0" t="s">
        <v>227</v>
      </c>
      <c r="I788" s="0" t="s">
        <v>265</v>
      </c>
      <c r="J788" s="0" t="s">
        <v>463</v>
      </c>
      <c r="K788" s="83" t="s">
        <v>2067</v>
      </c>
      <c r="L788" s="0" t="s">
        <v>2068</v>
      </c>
      <c r="M788" s="0" t="s">
        <v>231</v>
      </c>
      <c r="N788" s="83" t="str">
        <f t="shared" si="12"/>
        <v>CCFNimIkeduru</v>
      </c>
    </row>
    <row r="789">
      <c r="H789" s="0" t="s">
        <v>227</v>
      </c>
      <c r="I789" s="0" t="s">
        <v>265</v>
      </c>
      <c r="J789" s="0" t="s">
        <v>463</v>
      </c>
      <c r="K789" s="83" t="s">
        <v>2069</v>
      </c>
      <c r="L789" s="0" t="s">
        <v>2070</v>
      </c>
      <c r="M789" s="0" t="s">
        <v>231</v>
      </c>
      <c r="N789" s="0" t="str">
        <f t="shared" si="12"/>
        <v>CCFNimIkeduru</v>
      </c>
    </row>
    <row r="790">
      <c r="H790" s="0" t="s">
        <v>227</v>
      </c>
      <c r="I790" s="0" t="s">
        <v>265</v>
      </c>
      <c r="J790" s="0" t="s">
        <v>466</v>
      </c>
      <c r="K790" s="83" t="s">
        <v>2071</v>
      </c>
      <c r="L790" s="0" t="s">
        <v>2072</v>
      </c>
      <c r="M790" s="0" t="s">
        <v>231</v>
      </c>
      <c r="N790" s="0" t="str">
        <f t="shared" si="12"/>
        <v>CCFNimIsialaMbano</v>
      </c>
    </row>
    <row r="791">
      <c r="H791" s="0" t="s">
        <v>227</v>
      </c>
      <c r="I791" s="0" t="s">
        <v>265</v>
      </c>
      <c r="J791" s="0" t="s">
        <v>469</v>
      </c>
      <c r="K791" s="83" t="s">
        <v>2073</v>
      </c>
      <c r="L791" s="0" t="s">
        <v>2074</v>
      </c>
      <c r="M791" s="0" t="s">
        <v>231</v>
      </c>
      <c r="N791" s="0" t="str">
        <f t="shared" si="12"/>
        <v>CCFNimIsu</v>
      </c>
    </row>
    <row r="792">
      <c r="H792" s="0" t="s">
        <v>227</v>
      </c>
      <c r="I792" s="0" t="s">
        <v>265</v>
      </c>
      <c r="J792" s="0" t="s">
        <v>469</v>
      </c>
      <c r="K792" s="83" t="s">
        <v>2075</v>
      </c>
      <c r="L792" s="0" t="s">
        <v>2076</v>
      </c>
      <c r="M792" s="0" t="s">
        <v>231</v>
      </c>
      <c r="N792" s="0" t="str">
        <f t="shared" si="12"/>
        <v>CCFNimIsu</v>
      </c>
    </row>
    <row r="793">
      <c r="H793" s="0" t="s">
        <v>227</v>
      </c>
      <c r="I793" s="0" t="s">
        <v>265</v>
      </c>
      <c r="J793" s="0" t="s">
        <v>469</v>
      </c>
      <c r="K793" s="83" t="s">
        <v>2077</v>
      </c>
      <c r="L793" s="0" t="s">
        <v>2078</v>
      </c>
      <c r="M793" s="0" t="s">
        <v>231</v>
      </c>
      <c r="N793" s="0" t="str">
        <f t="shared" si="12"/>
        <v>CCFNimIsu</v>
      </c>
    </row>
    <row r="794">
      <c r="H794" s="0" t="s">
        <v>227</v>
      </c>
      <c r="I794" s="0" t="s">
        <v>265</v>
      </c>
      <c r="J794" s="0" t="s">
        <v>472</v>
      </c>
      <c r="K794" s="83" t="s">
        <v>2079</v>
      </c>
      <c r="L794" s="0" t="s">
        <v>2080</v>
      </c>
      <c r="M794" s="0" t="s">
        <v>231</v>
      </c>
      <c r="N794" s="0" t="str">
        <f t="shared" si="12"/>
        <v>CCFNimMbaitoli</v>
      </c>
    </row>
    <row r="795">
      <c r="H795" s="0" t="s">
        <v>227</v>
      </c>
      <c r="I795" s="0" t="s">
        <v>265</v>
      </c>
      <c r="J795" s="0" t="s">
        <v>472</v>
      </c>
      <c r="K795" s="83" t="s">
        <v>2081</v>
      </c>
      <c r="L795" s="0" t="s">
        <v>2082</v>
      </c>
      <c r="M795" s="0" t="s">
        <v>231</v>
      </c>
      <c r="N795" s="0" t="str">
        <f t="shared" si="12"/>
        <v>CCFNimMbaitoli</v>
      </c>
    </row>
    <row r="796">
      <c r="H796" s="0" t="s">
        <v>227</v>
      </c>
      <c r="I796" s="0" t="s">
        <v>265</v>
      </c>
      <c r="J796" s="0" t="s">
        <v>472</v>
      </c>
      <c r="K796" s="83" t="s">
        <v>2083</v>
      </c>
      <c r="L796" s="0" t="s">
        <v>2084</v>
      </c>
      <c r="M796" s="0" t="s">
        <v>231</v>
      </c>
      <c r="N796" s="0" t="str">
        <f t="shared" si="12"/>
        <v>CCFNimMbaitoli</v>
      </c>
    </row>
    <row r="797">
      <c r="H797" s="0" t="s">
        <v>227</v>
      </c>
      <c r="I797" s="0" t="s">
        <v>265</v>
      </c>
      <c r="J797" s="0" t="s">
        <v>472</v>
      </c>
      <c r="K797" s="83" t="s">
        <v>2085</v>
      </c>
      <c r="L797" s="0" t="s">
        <v>2086</v>
      </c>
      <c r="M797" s="0" t="s">
        <v>231</v>
      </c>
      <c r="N797" s="0" t="str">
        <f t="shared" si="12"/>
        <v>CCFNimMbaitoli</v>
      </c>
    </row>
    <row r="798">
      <c r="H798" s="0" t="s">
        <v>227</v>
      </c>
      <c r="I798" s="0" t="s">
        <v>265</v>
      </c>
      <c r="J798" s="0" t="s">
        <v>475</v>
      </c>
      <c r="K798" s="83" t="s">
        <v>2087</v>
      </c>
      <c r="L798" s="0" t="s">
        <v>2088</v>
      </c>
      <c r="M798" s="0" t="s">
        <v>231</v>
      </c>
      <c r="N798" s="0" t="str">
        <f t="shared" si="12"/>
        <v>CCFNimNgorOkpala</v>
      </c>
    </row>
    <row r="799">
      <c r="H799" s="0" t="s">
        <v>227</v>
      </c>
      <c r="I799" s="0" t="s">
        <v>265</v>
      </c>
      <c r="J799" s="0" t="s">
        <v>475</v>
      </c>
      <c r="K799" s="83" t="s">
        <v>2089</v>
      </c>
      <c r="L799" s="0" t="s">
        <v>2090</v>
      </c>
      <c r="M799" s="0" t="s">
        <v>231</v>
      </c>
      <c r="N799" s="0" t="str">
        <f t="shared" si="12"/>
        <v>CCFNimNgorOkpala</v>
      </c>
    </row>
    <row r="800">
      <c r="H800" s="0" t="s">
        <v>227</v>
      </c>
      <c r="I800" s="0" t="s">
        <v>265</v>
      </c>
      <c r="J800" s="0" t="s">
        <v>475</v>
      </c>
      <c r="K800" s="83" t="s">
        <v>2091</v>
      </c>
      <c r="L800" s="0" t="s">
        <v>2092</v>
      </c>
      <c r="M800" s="0" t="s">
        <v>231</v>
      </c>
      <c r="N800" s="0" t="str">
        <f t="shared" si="12"/>
        <v>CCFNimNgorOkpala</v>
      </c>
    </row>
    <row r="801">
      <c r="H801" s="0" t="s">
        <v>227</v>
      </c>
      <c r="I801" s="0" t="s">
        <v>265</v>
      </c>
      <c r="J801" s="0" t="s">
        <v>475</v>
      </c>
      <c r="K801" s="83" t="s">
        <v>2093</v>
      </c>
      <c r="L801" s="0" t="s">
        <v>2094</v>
      </c>
      <c r="M801" s="0" t="s">
        <v>231</v>
      </c>
      <c r="N801" s="0" t="str">
        <f t="shared" si="12"/>
        <v>CCFNimNgorOkpala</v>
      </c>
    </row>
    <row r="802">
      <c r="H802" s="0" t="s">
        <v>227</v>
      </c>
      <c r="I802" s="0" t="s">
        <v>265</v>
      </c>
      <c r="J802" s="0" t="s">
        <v>478</v>
      </c>
      <c r="K802" s="83" t="s">
        <v>2095</v>
      </c>
      <c r="L802" s="0" t="s">
        <v>2096</v>
      </c>
      <c r="M802" s="0" t="s">
        <v>231</v>
      </c>
      <c r="N802" s="0" t="str">
        <f t="shared" si="12"/>
        <v>CCFNimNjaba</v>
      </c>
    </row>
    <row r="803">
      <c r="H803" s="0" t="s">
        <v>227</v>
      </c>
      <c r="I803" s="0" t="s">
        <v>265</v>
      </c>
      <c r="J803" s="0" t="s">
        <v>478</v>
      </c>
      <c r="K803" s="83" t="s">
        <v>2097</v>
      </c>
      <c r="L803" s="0" t="s">
        <v>2098</v>
      </c>
      <c r="M803" s="0" t="s">
        <v>231</v>
      </c>
      <c r="N803" s="0" t="str">
        <f t="shared" si="12"/>
        <v>CCFNimNjaba</v>
      </c>
    </row>
    <row r="804">
      <c r="H804" s="0" t="s">
        <v>227</v>
      </c>
      <c r="I804" s="0" t="s">
        <v>265</v>
      </c>
      <c r="J804" s="0" t="s">
        <v>481</v>
      </c>
      <c r="K804" s="83" t="s">
        <v>2099</v>
      </c>
      <c r="L804" s="0" t="s">
        <v>2100</v>
      </c>
      <c r="M804" s="0" t="s">
        <v>231</v>
      </c>
      <c r="N804" s="0" t="str">
        <f t="shared" si="12"/>
        <v>CCFNimNkwerre</v>
      </c>
    </row>
    <row r="805">
      <c r="H805" s="0" t="s">
        <v>227</v>
      </c>
      <c r="I805" s="0" t="s">
        <v>265</v>
      </c>
      <c r="J805" s="0" t="s">
        <v>481</v>
      </c>
      <c r="K805" s="83" t="s">
        <v>2101</v>
      </c>
      <c r="L805" s="0" t="s">
        <v>2102</v>
      </c>
      <c r="M805" s="0" t="s">
        <v>231</v>
      </c>
      <c r="N805" s="0" t="str">
        <f t="shared" si="12"/>
        <v>CCFNimNkwerre</v>
      </c>
    </row>
    <row r="806">
      <c r="H806" s="0" t="s">
        <v>227</v>
      </c>
      <c r="I806" s="0" t="s">
        <v>265</v>
      </c>
      <c r="J806" s="0" t="s">
        <v>481</v>
      </c>
      <c r="K806" s="83" t="s">
        <v>2103</v>
      </c>
      <c r="L806" s="0" t="s">
        <v>2104</v>
      </c>
      <c r="M806" s="0" t="s">
        <v>231</v>
      </c>
      <c r="N806" s="0" t="str">
        <f t="shared" si="12"/>
        <v>CCFNimNkwerre</v>
      </c>
    </row>
    <row r="807">
      <c r="H807" s="0" t="s">
        <v>227</v>
      </c>
      <c r="I807" s="0" t="s">
        <v>265</v>
      </c>
      <c r="J807" s="0" t="s">
        <v>481</v>
      </c>
      <c r="K807" s="83" t="s">
        <v>2105</v>
      </c>
      <c r="L807" s="0" t="s">
        <v>2106</v>
      </c>
      <c r="M807" s="0" t="s">
        <v>231</v>
      </c>
      <c r="N807" s="0" t="str">
        <f t="shared" si="12"/>
        <v>CCFNimNkwerre</v>
      </c>
    </row>
    <row r="808">
      <c r="H808" s="0" t="s">
        <v>227</v>
      </c>
      <c r="I808" s="0" t="s">
        <v>265</v>
      </c>
      <c r="J808" s="0" t="s">
        <v>481</v>
      </c>
      <c r="K808" s="83" t="s">
        <v>2107</v>
      </c>
      <c r="L808" s="0" t="s">
        <v>2108</v>
      </c>
      <c r="M808" s="0" t="s">
        <v>231</v>
      </c>
      <c r="N808" s="0" t="str">
        <f t="shared" si="12"/>
        <v>CCFNimNkwerre</v>
      </c>
    </row>
    <row r="809">
      <c r="H809" s="0" t="s">
        <v>227</v>
      </c>
      <c r="I809" s="0" t="s">
        <v>265</v>
      </c>
      <c r="J809" s="0" t="s">
        <v>484</v>
      </c>
      <c r="K809" s="83" t="s">
        <v>2109</v>
      </c>
      <c r="L809" s="0" t="s">
        <v>2110</v>
      </c>
      <c r="M809" s="0" t="s">
        <v>231</v>
      </c>
      <c r="N809" s="0" t="str">
        <f t="shared" si="12"/>
        <v>CCFNimNwangele</v>
      </c>
    </row>
    <row r="810">
      <c r="H810" s="0" t="s">
        <v>227</v>
      </c>
      <c r="I810" s="0" t="s">
        <v>265</v>
      </c>
      <c r="J810" s="0" t="s">
        <v>484</v>
      </c>
      <c r="K810" s="83" t="s">
        <v>2111</v>
      </c>
      <c r="L810" s="0" t="s">
        <v>2112</v>
      </c>
      <c r="M810" s="0" t="s">
        <v>231</v>
      </c>
      <c r="N810" s="0" t="str">
        <f t="shared" si="12"/>
        <v>CCFNimNwangele</v>
      </c>
    </row>
    <row r="811">
      <c r="H811" s="0" t="s">
        <v>227</v>
      </c>
      <c r="I811" s="0" t="s">
        <v>265</v>
      </c>
      <c r="J811" s="0" t="s">
        <v>484</v>
      </c>
      <c r="K811" s="83" t="s">
        <v>2113</v>
      </c>
      <c r="L811" s="0" t="s">
        <v>2114</v>
      </c>
      <c r="M811" s="0" t="s">
        <v>231</v>
      </c>
      <c r="N811" s="0" t="str">
        <f t="shared" si="12"/>
        <v>CCFNimNwangele</v>
      </c>
    </row>
    <row r="812">
      <c r="H812" s="0" t="s">
        <v>227</v>
      </c>
      <c r="I812" s="0" t="s">
        <v>265</v>
      </c>
      <c r="J812" s="0" t="s">
        <v>488</v>
      </c>
      <c r="K812" s="83" t="s">
        <v>2115</v>
      </c>
      <c r="L812" s="0" t="s">
        <v>2116</v>
      </c>
      <c r="M812" s="0" t="s">
        <v>231</v>
      </c>
      <c r="N812" s="0" t="str">
        <f t="shared" si="12"/>
        <v>CCFNimObowo</v>
      </c>
    </row>
    <row r="813">
      <c r="H813" s="0" t="s">
        <v>227</v>
      </c>
      <c r="I813" s="0" t="s">
        <v>265</v>
      </c>
      <c r="J813" s="0" t="s">
        <v>488</v>
      </c>
      <c r="K813" s="83" t="s">
        <v>2117</v>
      </c>
      <c r="L813" s="0" t="s">
        <v>2118</v>
      </c>
      <c r="M813" s="0" t="s">
        <v>231</v>
      </c>
      <c r="N813" s="0" t="str">
        <f t="shared" si="12"/>
        <v>CCFNimObowo</v>
      </c>
    </row>
    <row r="814">
      <c r="H814" s="0" t="s">
        <v>227</v>
      </c>
      <c r="I814" s="0" t="s">
        <v>265</v>
      </c>
      <c r="J814" s="0" t="s">
        <v>491</v>
      </c>
      <c r="K814" s="83" t="s">
        <v>2119</v>
      </c>
      <c r="L814" s="0" t="s">
        <v>2120</v>
      </c>
      <c r="M814" s="0" t="s">
        <v>231</v>
      </c>
      <c r="N814" s="0" t="str">
        <f t="shared" si="12"/>
        <v>CCFNimOguta</v>
      </c>
    </row>
    <row r="815">
      <c r="H815" s="0" t="s">
        <v>227</v>
      </c>
      <c r="I815" s="0" t="s">
        <v>265</v>
      </c>
      <c r="J815" s="0" t="s">
        <v>491</v>
      </c>
      <c r="K815" s="83" t="s">
        <v>2121</v>
      </c>
      <c r="L815" s="0" t="s">
        <v>2122</v>
      </c>
      <c r="M815" s="0" t="s">
        <v>231</v>
      </c>
      <c r="N815" s="0" t="str">
        <f t="shared" si="12"/>
        <v>CCFNimOguta</v>
      </c>
    </row>
    <row r="816">
      <c r="H816" s="0" t="s">
        <v>227</v>
      </c>
      <c r="I816" s="0" t="s">
        <v>265</v>
      </c>
      <c r="J816" s="0" t="s">
        <v>491</v>
      </c>
      <c r="K816" s="83" t="s">
        <v>2123</v>
      </c>
      <c r="L816" s="0" t="s">
        <v>2124</v>
      </c>
      <c r="M816" s="0" t="s">
        <v>231</v>
      </c>
      <c r="N816" s="0" t="str">
        <f t="shared" si="12"/>
        <v>CCFNimOguta</v>
      </c>
    </row>
    <row r="817">
      <c r="H817" s="0" t="s">
        <v>227</v>
      </c>
      <c r="I817" s="0" t="s">
        <v>265</v>
      </c>
      <c r="J817" s="0" t="s">
        <v>491</v>
      </c>
      <c r="K817" s="83" t="s">
        <v>2125</v>
      </c>
      <c r="L817" s="0" t="s">
        <v>2126</v>
      </c>
      <c r="M817" s="0" t="s">
        <v>231</v>
      </c>
      <c r="N817" s="0" t="str">
        <f t="shared" si="12"/>
        <v>CCFNimOguta</v>
      </c>
    </row>
    <row r="818">
      <c r="H818" s="0" t="s">
        <v>227</v>
      </c>
      <c r="I818" s="0" t="s">
        <v>265</v>
      </c>
      <c r="J818" s="0" t="s">
        <v>491</v>
      </c>
      <c r="K818" s="83" t="s">
        <v>2127</v>
      </c>
      <c r="L818" s="0" t="s">
        <v>2128</v>
      </c>
      <c r="M818" s="0" t="s">
        <v>231</v>
      </c>
      <c r="N818" s="0" t="str">
        <f t="shared" si="12"/>
        <v>CCFNimOguta</v>
      </c>
    </row>
    <row r="819">
      <c r="H819" s="0" t="s">
        <v>227</v>
      </c>
      <c r="I819" s="0" t="s">
        <v>265</v>
      </c>
      <c r="J819" s="0" t="s">
        <v>494</v>
      </c>
      <c r="K819" s="83" t="s">
        <v>2129</v>
      </c>
      <c r="L819" s="0" t="s">
        <v>2130</v>
      </c>
      <c r="M819" s="0" t="s">
        <v>231</v>
      </c>
      <c r="N819" s="0" t="str">
        <f t="shared" si="12"/>
        <v>CCFNimOhajiEgbema</v>
      </c>
    </row>
    <row r="820">
      <c r="H820" s="0" t="s">
        <v>227</v>
      </c>
      <c r="I820" s="0" t="s">
        <v>265</v>
      </c>
      <c r="J820" s="0" t="s">
        <v>494</v>
      </c>
      <c r="K820" s="83" t="s">
        <v>2131</v>
      </c>
      <c r="L820" s="0" t="s">
        <v>2132</v>
      </c>
      <c r="M820" s="0" t="s">
        <v>231</v>
      </c>
      <c r="N820" s="0" t="str">
        <f t="shared" si="12"/>
        <v>CCFNimOhajiEgbema</v>
      </c>
    </row>
    <row r="821">
      <c r="H821" s="0" t="s">
        <v>227</v>
      </c>
      <c r="I821" s="0" t="s">
        <v>265</v>
      </c>
      <c r="J821" s="0" t="s">
        <v>494</v>
      </c>
      <c r="K821" s="83" t="s">
        <v>2133</v>
      </c>
      <c r="L821" s="0" t="s">
        <v>2134</v>
      </c>
      <c r="M821" s="0" t="s">
        <v>231</v>
      </c>
      <c r="N821" s="0" t="str">
        <f t="shared" si="12"/>
        <v>CCFNimOhajiEgbema</v>
      </c>
    </row>
    <row r="822">
      <c r="H822" s="0" t="s">
        <v>227</v>
      </c>
      <c r="I822" s="0" t="s">
        <v>265</v>
      </c>
      <c r="J822" s="0" t="s">
        <v>494</v>
      </c>
      <c r="K822" s="83" t="s">
        <v>2135</v>
      </c>
      <c r="L822" s="0" t="s">
        <v>2136</v>
      </c>
      <c r="M822" s="0" t="s">
        <v>231</v>
      </c>
      <c r="N822" s="0" t="str">
        <f t="shared" si="12"/>
        <v>CCFNimOhajiEgbema</v>
      </c>
    </row>
    <row r="823">
      <c r="H823" s="0" t="s">
        <v>227</v>
      </c>
      <c r="I823" s="0" t="s">
        <v>265</v>
      </c>
      <c r="J823" s="0" t="s">
        <v>494</v>
      </c>
      <c r="K823" s="83" t="s">
        <v>2137</v>
      </c>
      <c r="L823" s="0" t="s">
        <v>2138</v>
      </c>
      <c r="M823" s="0" t="s">
        <v>231</v>
      </c>
      <c r="N823" s="0" t="str">
        <f t="shared" si="12"/>
        <v>CCFNimOhajiEgbema</v>
      </c>
    </row>
    <row r="824">
      <c r="H824" s="0" t="s">
        <v>227</v>
      </c>
      <c r="I824" s="0" t="s">
        <v>265</v>
      </c>
      <c r="J824" s="0" t="s">
        <v>497</v>
      </c>
      <c r="K824" s="83" t="s">
        <v>2139</v>
      </c>
      <c r="L824" s="0" t="s">
        <v>2140</v>
      </c>
      <c r="M824" s="0" t="s">
        <v>231</v>
      </c>
      <c r="N824" s="0" t="str">
        <f t="shared" si="12"/>
        <v>CCFNimOkigwe</v>
      </c>
    </row>
    <row r="825">
      <c r="H825" s="0" t="s">
        <v>227</v>
      </c>
      <c r="I825" s="0" t="s">
        <v>265</v>
      </c>
      <c r="J825" s="0" t="s">
        <v>497</v>
      </c>
      <c r="K825" s="83" t="s">
        <v>2141</v>
      </c>
      <c r="L825" s="0" t="s">
        <v>2142</v>
      </c>
      <c r="M825" s="0" t="s">
        <v>231</v>
      </c>
      <c r="N825" s="0" t="str">
        <f t="shared" si="12"/>
        <v>CCFNimOkigwe</v>
      </c>
    </row>
    <row r="826">
      <c r="H826" s="0" t="s">
        <v>227</v>
      </c>
      <c r="I826" s="0" t="s">
        <v>265</v>
      </c>
      <c r="J826" s="0" t="s">
        <v>497</v>
      </c>
      <c r="K826" s="83" t="s">
        <v>2143</v>
      </c>
      <c r="L826" s="0" t="s">
        <v>2144</v>
      </c>
      <c r="M826" s="0" t="s">
        <v>231</v>
      </c>
      <c r="N826" s="0" t="str">
        <f t="shared" si="12"/>
        <v>CCFNimOkigwe</v>
      </c>
    </row>
    <row r="827">
      <c r="H827" s="0" t="s">
        <v>227</v>
      </c>
      <c r="I827" s="0" t="s">
        <v>265</v>
      </c>
      <c r="J827" s="0" t="s">
        <v>500</v>
      </c>
      <c r="K827" s="83" t="s">
        <v>2145</v>
      </c>
      <c r="L827" s="0" t="s">
        <v>2146</v>
      </c>
      <c r="M827" s="0" t="s">
        <v>231</v>
      </c>
      <c r="N827" s="0" t="str">
        <f t="shared" si="12"/>
        <v>CCFNimOnuimo</v>
      </c>
    </row>
    <row r="828">
      <c r="H828" s="0" t="s">
        <v>227</v>
      </c>
      <c r="I828" s="0" t="s">
        <v>265</v>
      </c>
      <c r="J828" s="0" t="s">
        <v>500</v>
      </c>
      <c r="K828" s="83" t="s">
        <v>2147</v>
      </c>
      <c r="L828" s="0" t="s">
        <v>2148</v>
      </c>
      <c r="M828" s="0" t="s">
        <v>231</v>
      </c>
      <c r="N828" s="0" t="str">
        <f t="shared" si="12"/>
        <v>CCFNimOnuimo</v>
      </c>
    </row>
    <row r="829">
      <c r="H829" s="0" t="s">
        <v>227</v>
      </c>
      <c r="I829" s="0" t="s">
        <v>265</v>
      </c>
      <c r="J829" s="0" t="s">
        <v>503</v>
      </c>
      <c r="K829" s="83" t="s">
        <v>2149</v>
      </c>
      <c r="L829" s="0" t="s">
        <v>2150</v>
      </c>
      <c r="M829" s="0" t="s">
        <v>231</v>
      </c>
      <c r="N829" s="0" t="str">
        <f t="shared" si="12"/>
        <v>CCFNimOrlu</v>
      </c>
    </row>
    <row r="830">
      <c r="H830" s="0" t="s">
        <v>227</v>
      </c>
      <c r="I830" s="0" t="s">
        <v>265</v>
      </c>
      <c r="J830" s="0" t="s">
        <v>503</v>
      </c>
      <c r="K830" s="83" t="s">
        <v>2151</v>
      </c>
      <c r="L830" s="0" t="s">
        <v>2152</v>
      </c>
      <c r="M830" s="0" t="s">
        <v>231</v>
      </c>
      <c r="N830" s="0" t="str">
        <f t="shared" si="12"/>
        <v>CCFNimOrlu</v>
      </c>
    </row>
    <row r="831">
      <c r="H831" s="0" t="s">
        <v>227</v>
      </c>
      <c r="I831" s="0" t="s">
        <v>265</v>
      </c>
      <c r="J831" s="0" t="s">
        <v>503</v>
      </c>
      <c r="K831" s="83" t="s">
        <v>2153</v>
      </c>
      <c r="L831" s="0" t="s">
        <v>2154</v>
      </c>
      <c r="M831" s="0" t="s">
        <v>231</v>
      </c>
      <c r="N831" s="0" t="str">
        <f t="shared" si="12"/>
        <v>CCFNimOrlu</v>
      </c>
    </row>
    <row r="832">
      <c r="H832" s="0" t="s">
        <v>227</v>
      </c>
      <c r="I832" s="0" t="s">
        <v>265</v>
      </c>
      <c r="J832" s="0" t="s">
        <v>503</v>
      </c>
      <c r="K832" s="83" t="s">
        <v>2155</v>
      </c>
      <c r="L832" s="0" t="s">
        <v>2156</v>
      </c>
      <c r="M832" s="0" t="s">
        <v>231</v>
      </c>
      <c r="N832" s="0" t="str">
        <f t="shared" si="12"/>
        <v>CCFNimOrlu</v>
      </c>
    </row>
    <row r="833">
      <c r="H833" s="0" t="s">
        <v>227</v>
      </c>
      <c r="I833" s="0" t="s">
        <v>265</v>
      </c>
      <c r="J833" s="0" t="s">
        <v>503</v>
      </c>
      <c r="K833" s="83" t="s">
        <v>2157</v>
      </c>
      <c r="L833" s="0" t="s">
        <v>2158</v>
      </c>
      <c r="M833" s="0" t="s">
        <v>231</v>
      </c>
      <c r="N833" s="0" t="str">
        <f t="shared" si="12"/>
        <v>CCFNimOrlu</v>
      </c>
    </row>
    <row r="834">
      <c r="H834" s="0" t="s">
        <v>227</v>
      </c>
      <c r="I834" s="0" t="s">
        <v>265</v>
      </c>
      <c r="J834" s="0" t="s">
        <v>507</v>
      </c>
      <c r="K834" s="83" t="s">
        <v>2159</v>
      </c>
      <c r="L834" s="0" t="s">
        <v>2160</v>
      </c>
      <c r="M834" s="0" t="s">
        <v>231</v>
      </c>
      <c r="N834" s="0" t="str">
        <f t="shared" si="12"/>
        <v>CCFNimOrsu</v>
      </c>
    </row>
    <row r="835">
      <c r="H835" s="0" t="s">
        <v>227</v>
      </c>
      <c r="I835" s="0" t="s">
        <v>265</v>
      </c>
      <c r="J835" s="0" t="s">
        <v>510</v>
      </c>
      <c r="K835" s="83" t="s">
        <v>2161</v>
      </c>
      <c r="L835" s="0" t="s">
        <v>2162</v>
      </c>
      <c r="M835" s="0" t="s">
        <v>231</v>
      </c>
      <c r="N835" s="0" t="str">
        <f ref="N835:N898" t="shared" si="13">SUBSTITUTE(SUBSTITUTE(M835&amp;J835," ",""),"-","")</f>
        <v>CCFNimOruEast</v>
      </c>
    </row>
    <row r="836">
      <c r="H836" s="0" t="s">
        <v>227</v>
      </c>
      <c r="I836" s="0" t="s">
        <v>265</v>
      </c>
      <c r="J836" s="0" t="s">
        <v>510</v>
      </c>
      <c r="K836" s="83" t="s">
        <v>2163</v>
      </c>
      <c r="L836" s="0" t="s">
        <v>2164</v>
      </c>
      <c r="M836" s="0" t="s">
        <v>231</v>
      </c>
      <c r="N836" s="0" t="str">
        <f t="shared" si="13"/>
        <v>CCFNimOruEast</v>
      </c>
    </row>
    <row r="837">
      <c r="H837" s="0" t="s">
        <v>227</v>
      </c>
      <c r="I837" s="0" t="s">
        <v>265</v>
      </c>
      <c r="J837" s="0" t="s">
        <v>510</v>
      </c>
      <c r="K837" s="83" t="s">
        <v>2165</v>
      </c>
      <c r="L837" s="0" t="s">
        <v>2166</v>
      </c>
      <c r="M837" s="0" t="s">
        <v>231</v>
      </c>
      <c r="N837" s="0" t="str">
        <f t="shared" si="13"/>
        <v>CCFNimOruEast</v>
      </c>
    </row>
    <row r="838">
      <c r="H838" s="0" t="s">
        <v>227</v>
      </c>
      <c r="I838" s="0" t="s">
        <v>265</v>
      </c>
      <c r="J838" s="0" t="s">
        <v>510</v>
      </c>
      <c r="K838" s="83" t="s">
        <v>2167</v>
      </c>
      <c r="L838" s="0" t="s">
        <v>2168</v>
      </c>
      <c r="M838" s="0" t="s">
        <v>231</v>
      </c>
      <c r="N838" s="0" t="str">
        <f t="shared" si="13"/>
        <v>CCFNimOruEast</v>
      </c>
    </row>
    <row r="839">
      <c r="H839" s="0" t="s">
        <v>227</v>
      </c>
      <c r="I839" s="0" t="s">
        <v>265</v>
      </c>
      <c r="J839" s="0" t="s">
        <v>510</v>
      </c>
      <c r="K839" s="83" t="s">
        <v>2169</v>
      </c>
      <c r="L839" s="0" t="s">
        <v>2170</v>
      </c>
      <c r="M839" s="0" t="s">
        <v>231</v>
      </c>
      <c r="N839" s="0" t="str">
        <f t="shared" si="13"/>
        <v>CCFNimOruEast</v>
      </c>
    </row>
    <row r="840">
      <c r="H840" s="0" t="s">
        <v>227</v>
      </c>
      <c r="I840" s="0" t="s">
        <v>265</v>
      </c>
      <c r="J840" s="0" t="s">
        <v>513</v>
      </c>
      <c r="K840" s="83" t="s">
        <v>2171</v>
      </c>
      <c r="L840" s="0" t="s">
        <v>2172</v>
      </c>
      <c r="M840" s="0" t="s">
        <v>231</v>
      </c>
      <c r="N840" s="0" t="str">
        <f t="shared" si="13"/>
        <v>CCFNimOruWest</v>
      </c>
    </row>
    <row r="841">
      <c r="H841" s="0" t="s">
        <v>227</v>
      </c>
      <c r="I841" s="0" t="s">
        <v>265</v>
      </c>
      <c r="J841" s="0" t="s">
        <v>516</v>
      </c>
      <c r="K841" s="83" t="s">
        <v>2173</v>
      </c>
      <c r="L841" s="0" t="s">
        <v>2174</v>
      </c>
      <c r="M841" s="0" t="s">
        <v>231</v>
      </c>
      <c r="N841" s="0" t="str">
        <f t="shared" si="13"/>
        <v>CCFNimOwerriMunicipal</v>
      </c>
    </row>
    <row r="842">
      <c r="H842" s="0" t="s">
        <v>227</v>
      </c>
      <c r="I842" s="0" t="s">
        <v>265</v>
      </c>
      <c r="J842" s="0" t="s">
        <v>516</v>
      </c>
      <c r="K842" s="83" t="s">
        <v>2175</v>
      </c>
      <c r="L842" s="0" t="s">
        <v>2176</v>
      </c>
      <c r="M842" s="0" t="s">
        <v>231</v>
      </c>
      <c r="N842" s="0" t="str">
        <f t="shared" si="13"/>
        <v>CCFNimOwerriMunicipal</v>
      </c>
    </row>
    <row r="843">
      <c r="H843" s="0" t="s">
        <v>227</v>
      </c>
      <c r="I843" s="0" t="s">
        <v>265</v>
      </c>
      <c r="J843" s="0" t="s">
        <v>516</v>
      </c>
      <c r="K843" s="83" t="s">
        <v>2177</v>
      </c>
      <c r="L843" s="0" t="s">
        <v>2178</v>
      </c>
      <c r="M843" s="0" t="s">
        <v>231</v>
      </c>
      <c r="N843" s="0" t="str">
        <f t="shared" si="13"/>
        <v>CCFNimOwerriMunicipal</v>
      </c>
    </row>
    <row r="844">
      <c r="H844" s="0" t="s">
        <v>227</v>
      </c>
      <c r="I844" s="0" t="s">
        <v>265</v>
      </c>
      <c r="J844" s="0" t="s">
        <v>516</v>
      </c>
      <c r="K844" s="83" t="s">
        <v>2179</v>
      </c>
      <c r="L844" s="0" t="s">
        <v>2180</v>
      </c>
      <c r="M844" s="0" t="s">
        <v>231</v>
      </c>
      <c r="N844" s="0" t="str">
        <f t="shared" si="13"/>
        <v>CCFNimOwerriMunicipal</v>
      </c>
    </row>
    <row r="845">
      <c r="H845" s="0" t="s">
        <v>227</v>
      </c>
      <c r="I845" s="0" t="s">
        <v>265</v>
      </c>
      <c r="J845" s="0" t="s">
        <v>516</v>
      </c>
      <c r="K845" s="83" t="s">
        <v>2181</v>
      </c>
      <c r="L845" s="0" t="s">
        <v>2182</v>
      </c>
      <c r="M845" s="0" t="s">
        <v>231</v>
      </c>
      <c r="N845" s="0" t="str">
        <f t="shared" si="13"/>
        <v>CCFNimOwerriMunicipal</v>
      </c>
    </row>
    <row r="846">
      <c r="H846" s="0" t="s">
        <v>227</v>
      </c>
      <c r="I846" s="0" t="s">
        <v>265</v>
      </c>
      <c r="J846" s="0" t="s">
        <v>519</v>
      </c>
      <c r="K846" s="83" t="s">
        <v>2183</v>
      </c>
      <c r="L846" s="0" t="s">
        <v>2184</v>
      </c>
      <c r="M846" s="0" t="s">
        <v>231</v>
      </c>
      <c r="N846" s="0" t="str">
        <f t="shared" si="13"/>
        <v>CCFNimOwerriNorth</v>
      </c>
    </row>
    <row r="847">
      <c r="H847" s="0" t="s">
        <v>227</v>
      </c>
      <c r="I847" s="0" t="s">
        <v>265</v>
      </c>
      <c r="J847" s="0" t="s">
        <v>519</v>
      </c>
      <c r="K847" s="83" t="s">
        <v>2185</v>
      </c>
      <c r="L847" s="0" t="s">
        <v>2186</v>
      </c>
      <c r="M847" s="0" t="s">
        <v>231</v>
      </c>
      <c r="N847" s="0" t="str">
        <f t="shared" si="13"/>
        <v>CCFNimOwerriNorth</v>
      </c>
    </row>
    <row r="848">
      <c r="H848" s="0" t="s">
        <v>227</v>
      </c>
      <c r="I848" s="0" t="s">
        <v>265</v>
      </c>
      <c r="J848" s="0" t="s">
        <v>519</v>
      </c>
      <c r="K848" s="83" t="s">
        <v>2187</v>
      </c>
      <c r="L848" s="0" t="s">
        <v>2188</v>
      </c>
      <c r="M848" s="0" t="s">
        <v>231</v>
      </c>
      <c r="N848" s="0" t="str">
        <f t="shared" si="13"/>
        <v>CCFNimOwerriNorth</v>
      </c>
    </row>
    <row r="849">
      <c r="H849" s="0" t="s">
        <v>227</v>
      </c>
      <c r="I849" s="0" t="s">
        <v>265</v>
      </c>
      <c r="J849" s="0" t="s">
        <v>519</v>
      </c>
      <c r="K849" s="83" t="s">
        <v>2189</v>
      </c>
      <c r="L849" s="0" t="s">
        <v>2190</v>
      </c>
      <c r="M849" s="0" t="s">
        <v>231</v>
      </c>
      <c r="N849" s="0" t="str">
        <f t="shared" si="13"/>
        <v>CCFNimOwerriNorth</v>
      </c>
    </row>
    <row r="850">
      <c r="H850" s="0" t="s">
        <v>227</v>
      </c>
      <c r="I850" s="0" t="s">
        <v>265</v>
      </c>
      <c r="J850" s="0" t="s">
        <v>519</v>
      </c>
      <c r="K850" s="83" t="s">
        <v>2191</v>
      </c>
      <c r="L850" s="0" t="s">
        <v>2192</v>
      </c>
      <c r="M850" s="0" t="s">
        <v>231</v>
      </c>
      <c r="N850" s="0" t="str">
        <f t="shared" si="13"/>
        <v>CCFNimOwerriNorth</v>
      </c>
    </row>
    <row r="851">
      <c r="H851" s="0" t="s">
        <v>227</v>
      </c>
      <c r="I851" s="0" t="s">
        <v>265</v>
      </c>
      <c r="J851" s="0" t="s">
        <v>522</v>
      </c>
      <c r="K851" s="83" t="s">
        <v>2193</v>
      </c>
      <c r="L851" s="0" t="s">
        <v>2194</v>
      </c>
      <c r="M851" s="0" t="s">
        <v>231</v>
      </c>
      <c r="N851" s="0" t="str">
        <f t="shared" si="13"/>
        <v>CCFNimOwerriWest</v>
      </c>
    </row>
    <row r="852">
      <c r="H852" s="0" t="s">
        <v>227</v>
      </c>
      <c r="I852" s="0" t="s">
        <v>265</v>
      </c>
      <c r="J852" s="0" t="s">
        <v>522</v>
      </c>
      <c r="K852" s="83" t="s">
        <v>2195</v>
      </c>
      <c r="L852" s="0" t="s">
        <v>2196</v>
      </c>
      <c r="M852" s="0" t="s">
        <v>231</v>
      </c>
      <c r="N852" s="0" t="str">
        <f t="shared" si="13"/>
        <v>CCFNimOwerriWest</v>
      </c>
    </row>
    <row r="853">
      <c r="H853" s="0" t="s">
        <v>227</v>
      </c>
      <c r="I853" s="0" t="s">
        <v>273</v>
      </c>
      <c r="J853" s="0" t="s">
        <v>558</v>
      </c>
      <c r="K853" s="83" t="s">
        <v>2197</v>
      </c>
      <c r="L853" s="0" t="s">
        <v>2198</v>
      </c>
      <c r="M853" s="0" t="s">
        <v>237</v>
      </c>
      <c r="N853" s="0" t="str">
        <f t="shared" si="13"/>
        <v>CIHPkdBirninGwari</v>
      </c>
    </row>
    <row r="854">
      <c r="H854" s="0" t="s">
        <v>227</v>
      </c>
      <c r="I854" s="0" t="s">
        <v>273</v>
      </c>
      <c r="J854" s="0" t="s">
        <v>558</v>
      </c>
      <c r="K854" s="83" t="s">
        <v>2199</v>
      </c>
      <c r="L854" s="0" t="s">
        <v>2200</v>
      </c>
      <c r="M854" s="0" t="s">
        <v>237</v>
      </c>
      <c r="N854" s="0" t="str">
        <f t="shared" si="13"/>
        <v>CIHPkdBirninGwari</v>
      </c>
    </row>
    <row r="855">
      <c r="H855" s="0" t="s">
        <v>227</v>
      </c>
      <c r="I855" s="0" t="s">
        <v>273</v>
      </c>
      <c r="J855" s="0" t="s">
        <v>558</v>
      </c>
      <c r="K855" s="83" t="s">
        <v>2201</v>
      </c>
      <c r="L855" s="0" t="s">
        <v>2202</v>
      </c>
      <c r="M855" s="0" t="s">
        <v>237</v>
      </c>
      <c r="N855" s="0" t="str">
        <f t="shared" si="13"/>
        <v>CIHPkdBirninGwari</v>
      </c>
    </row>
    <row r="856">
      <c r="H856" s="0" t="s">
        <v>227</v>
      </c>
      <c r="I856" s="0" t="s">
        <v>273</v>
      </c>
      <c r="J856" s="0" t="s">
        <v>558</v>
      </c>
      <c r="K856" s="83" t="s">
        <v>2203</v>
      </c>
      <c r="L856" s="0" t="s">
        <v>2204</v>
      </c>
      <c r="M856" s="0" t="s">
        <v>237</v>
      </c>
      <c r="N856" s="0" t="str">
        <f t="shared" si="13"/>
        <v>CIHPkdBirninGwari</v>
      </c>
    </row>
    <row r="857">
      <c r="H857" s="0" t="s">
        <v>227</v>
      </c>
      <c r="I857" s="0" t="s">
        <v>273</v>
      </c>
      <c r="J857" s="0" t="s">
        <v>558</v>
      </c>
      <c r="K857" s="83" t="s">
        <v>2205</v>
      </c>
      <c r="L857" s="0" t="s">
        <v>2206</v>
      </c>
      <c r="M857" s="0" t="s">
        <v>237</v>
      </c>
      <c r="N857" s="0" t="str">
        <f t="shared" si="13"/>
        <v>CIHPkdBirninGwari</v>
      </c>
    </row>
    <row r="858">
      <c r="H858" s="0" t="s">
        <v>227</v>
      </c>
      <c r="I858" s="0" t="s">
        <v>273</v>
      </c>
      <c r="J858" s="0" t="s">
        <v>558</v>
      </c>
      <c r="K858" s="83" t="s">
        <v>2207</v>
      </c>
      <c r="L858" s="0" t="s">
        <v>2208</v>
      </c>
      <c r="M858" s="0" t="s">
        <v>237</v>
      </c>
      <c r="N858" s="0" t="str">
        <f t="shared" si="13"/>
        <v>CIHPkdBirninGwari</v>
      </c>
    </row>
    <row r="859">
      <c r="H859" s="0" t="s">
        <v>227</v>
      </c>
      <c r="I859" s="0" t="s">
        <v>273</v>
      </c>
      <c r="J859" s="0" t="s">
        <v>558</v>
      </c>
      <c r="K859" s="83" t="s">
        <v>2209</v>
      </c>
      <c r="L859" s="0" t="s">
        <v>2210</v>
      </c>
      <c r="M859" s="0" t="s">
        <v>237</v>
      </c>
      <c r="N859" s="0" t="str">
        <f t="shared" si="13"/>
        <v>CIHPkdBirninGwari</v>
      </c>
    </row>
    <row r="860">
      <c r="H860" s="0" t="s">
        <v>227</v>
      </c>
      <c r="I860" s="0" t="s">
        <v>273</v>
      </c>
      <c r="J860" s="0" t="s">
        <v>558</v>
      </c>
      <c r="K860" s="83" t="s">
        <v>2211</v>
      </c>
      <c r="L860" s="0" t="s">
        <v>2212</v>
      </c>
      <c r="M860" s="0" t="s">
        <v>237</v>
      </c>
      <c r="N860" s="0" t="str">
        <f t="shared" si="13"/>
        <v>CIHPkdBirninGwari</v>
      </c>
    </row>
    <row r="861">
      <c r="H861" s="0" t="s">
        <v>227</v>
      </c>
      <c r="I861" s="0" t="s">
        <v>273</v>
      </c>
      <c r="J861" s="0" t="s">
        <v>558</v>
      </c>
      <c r="K861" s="83" t="s">
        <v>2213</v>
      </c>
      <c r="L861" s="0" t="s">
        <v>2214</v>
      </c>
      <c r="M861" s="0" t="s">
        <v>237</v>
      </c>
      <c r="N861" s="0" t="str">
        <f t="shared" si="13"/>
        <v>CIHPkdBirninGwari</v>
      </c>
    </row>
    <row r="862">
      <c r="H862" s="0" t="s">
        <v>227</v>
      </c>
      <c r="I862" s="0" t="s">
        <v>273</v>
      </c>
      <c r="J862" s="0" t="s">
        <v>558</v>
      </c>
      <c r="K862" s="83" t="s">
        <v>2215</v>
      </c>
      <c r="L862" s="0" t="s">
        <v>2216</v>
      </c>
      <c r="M862" s="0" t="s">
        <v>237</v>
      </c>
      <c r="N862" s="0" t="str">
        <f t="shared" si="13"/>
        <v>CIHPkdBirninGwari</v>
      </c>
    </row>
    <row r="863">
      <c r="H863" s="0" t="s">
        <v>227</v>
      </c>
      <c r="I863" s="0" t="s">
        <v>273</v>
      </c>
      <c r="J863" s="0" t="s">
        <v>561</v>
      </c>
      <c r="K863" s="83" t="s">
        <v>2217</v>
      </c>
      <c r="L863" s="0" t="s">
        <v>2218</v>
      </c>
      <c r="M863" s="0" t="s">
        <v>237</v>
      </c>
      <c r="N863" s="0" t="str">
        <f t="shared" si="13"/>
        <v>CIHPkdChikun</v>
      </c>
    </row>
    <row r="864">
      <c r="H864" s="0" t="s">
        <v>227</v>
      </c>
      <c r="I864" s="0" t="s">
        <v>273</v>
      </c>
      <c r="J864" s="0" t="s">
        <v>561</v>
      </c>
      <c r="K864" s="83" t="s">
        <v>2219</v>
      </c>
      <c r="L864" s="0" t="s">
        <v>2220</v>
      </c>
      <c r="M864" s="0" t="s">
        <v>237</v>
      </c>
      <c r="N864" s="0" t="str">
        <f t="shared" si="13"/>
        <v>CIHPkdChikun</v>
      </c>
    </row>
    <row r="865">
      <c r="H865" s="0" t="s">
        <v>227</v>
      </c>
      <c r="I865" s="0" t="s">
        <v>273</v>
      </c>
      <c r="J865" s="0" t="s">
        <v>561</v>
      </c>
      <c r="K865" s="83" t="s">
        <v>2221</v>
      </c>
      <c r="L865" s="0" t="s">
        <v>2222</v>
      </c>
      <c r="M865" s="0" t="s">
        <v>237</v>
      </c>
      <c r="N865" s="0" t="str">
        <f t="shared" si="13"/>
        <v>CIHPkdChikun</v>
      </c>
    </row>
    <row r="866">
      <c r="H866" s="0" t="s">
        <v>227</v>
      </c>
      <c r="I866" s="0" t="s">
        <v>273</v>
      </c>
      <c r="J866" s="0" t="s">
        <v>561</v>
      </c>
      <c r="K866" s="83" t="s">
        <v>2223</v>
      </c>
      <c r="L866" s="0" t="s">
        <v>2224</v>
      </c>
      <c r="M866" s="0" t="s">
        <v>237</v>
      </c>
      <c r="N866" s="0" t="str">
        <f t="shared" si="13"/>
        <v>CIHPkdChikun</v>
      </c>
    </row>
    <row r="867">
      <c r="H867" s="0" t="s">
        <v>227</v>
      </c>
      <c r="I867" s="0" t="s">
        <v>273</v>
      </c>
      <c r="J867" s="0" t="s">
        <v>561</v>
      </c>
      <c r="K867" s="83" t="s">
        <v>2225</v>
      </c>
      <c r="L867" s="0" t="s">
        <v>2226</v>
      </c>
      <c r="M867" s="0" t="s">
        <v>237</v>
      </c>
      <c r="N867" s="0" t="str">
        <f t="shared" si="13"/>
        <v>CIHPkdChikun</v>
      </c>
    </row>
    <row r="868">
      <c r="H868" s="0" t="s">
        <v>227</v>
      </c>
      <c r="I868" s="0" t="s">
        <v>273</v>
      </c>
      <c r="J868" s="0" t="s">
        <v>561</v>
      </c>
      <c r="K868" s="83" t="s">
        <v>2227</v>
      </c>
      <c r="L868" s="0" t="s">
        <v>2228</v>
      </c>
      <c r="M868" s="0" t="s">
        <v>237</v>
      </c>
      <c r="N868" s="0" t="str">
        <f t="shared" si="13"/>
        <v>CIHPkdChikun</v>
      </c>
    </row>
    <row r="869">
      <c r="H869" s="0" t="s">
        <v>227</v>
      </c>
      <c r="I869" s="0" t="s">
        <v>273</v>
      </c>
      <c r="J869" s="0" t="s">
        <v>561</v>
      </c>
      <c r="K869" s="83" t="s">
        <v>2229</v>
      </c>
      <c r="L869" s="0" t="s">
        <v>2230</v>
      </c>
      <c r="M869" s="0" t="s">
        <v>237</v>
      </c>
      <c r="N869" s="0" t="str">
        <f t="shared" si="13"/>
        <v>CIHPkdChikun</v>
      </c>
    </row>
    <row r="870">
      <c r="H870" s="0" t="s">
        <v>227</v>
      </c>
      <c r="I870" s="0" t="s">
        <v>273</v>
      </c>
      <c r="J870" s="0" t="s">
        <v>561</v>
      </c>
      <c r="K870" s="83" t="s">
        <v>2231</v>
      </c>
      <c r="L870" s="0" t="s">
        <v>2232</v>
      </c>
      <c r="M870" s="0" t="s">
        <v>237</v>
      </c>
      <c r="N870" s="0" t="str">
        <f t="shared" si="13"/>
        <v>CIHPkdChikun</v>
      </c>
    </row>
    <row r="871">
      <c r="H871" s="0" t="s">
        <v>227</v>
      </c>
      <c r="I871" s="0" t="s">
        <v>273</v>
      </c>
      <c r="J871" s="0" t="s">
        <v>564</v>
      </c>
      <c r="K871" s="83" t="s">
        <v>2233</v>
      </c>
      <c r="L871" s="0" t="s">
        <v>2234</v>
      </c>
      <c r="M871" s="0" t="s">
        <v>237</v>
      </c>
      <c r="N871" s="0" t="str">
        <f t="shared" si="13"/>
        <v>CIHPkdGiwa</v>
      </c>
    </row>
    <row r="872">
      <c r="H872" s="0" t="s">
        <v>227</v>
      </c>
      <c r="I872" s="0" t="s">
        <v>273</v>
      </c>
      <c r="J872" s="0" t="s">
        <v>564</v>
      </c>
      <c r="K872" s="83" t="s">
        <v>2235</v>
      </c>
      <c r="L872" s="0" t="s">
        <v>2236</v>
      </c>
      <c r="M872" s="0" t="s">
        <v>237</v>
      </c>
      <c r="N872" s="0" t="str">
        <f t="shared" si="13"/>
        <v>CIHPkdGiwa</v>
      </c>
    </row>
    <row r="873">
      <c r="H873" s="0" t="s">
        <v>227</v>
      </c>
      <c r="I873" s="0" t="s">
        <v>273</v>
      </c>
      <c r="J873" s="0" t="s">
        <v>567</v>
      </c>
      <c r="K873" s="83" t="s">
        <v>2237</v>
      </c>
      <c r="L873" s="0" t="s">
        <v>2238</v>
      </c>
      <c r="M873" s="0" t="s">
        <v>237</v>
      </c>
      <c r="N873" s="0" t="str">
        <f t="shared" si="13"/>
        <v>CIHPkdIgabi</v>
      </c>
    </row>
    <row r="874">
      <c r="H874" s="0" t="s">
        <v>227</v>
      </c>
      <c r="I874" s="0" t="s">
        <v>273</v>
      </c>
      <c r="J874" s="0" t="s">
        <v>570</v>
      </c>
      <c r="K874" s="83" t="s">
        <v>2239</v>
      </c>
      <c r="L874" s="0" t="s">
        <v>2240</v>
      </c>
      <c r="M874" s="0" t="s">
        <v>237</v>
      </c>
      <c r="N874" s="0" t="str">
        <f t="shared" si="13"/>
        <v>CIHPkdJaba</v>
      </c>
    </row>
    <row r="875">
      <c r="H875" s="0" t="s">
        <v>227</v>
      </c>
      <c r="I875" s="0" t="s">
        <v>273</v>
      </c>
      <c r="J875" s="0" t="s">
        <v>570</v>
      </c>
      <c r="K875" s="83" t="s">
        <v>2241</v>
      </c>
      <c r="L875" s="0" t="s">
        <v>2242</v>
      </c>
      <c r="M875" s="0" t="s">
        <v>237</v>
      </c>
      <c r="N875" s="0" t="str">
        <f t="shared" si="13"/>
        <v>CIHPkdJaba</v>
      </c>
    </row>
    <row r="876">
      <c r="H876" s="0" t="s">
        <v>227</v>
      </c>
      <c r="I876" s="0" t="s">
        <v>273</v>
      </c>
      <c r="J876" s="0" t="s">
        <v>570</v>
      </c>
      <c r="K876" s="83" t="s">
        <v>2243</v>
      </c>
      <c r="L876" s="0" t="s">
        <v>2244</v>
      </c>
      <c r="M876" s="0" t="s">
        <v>237</v>
      </c>
      <c r="N876" s="0" t="str">
        <f t="shared" si="13"/>
        <v>CIHPkdJaba</v>
      </c>
    </row>
    <row r="877">
      <c r="H877" s="0" t="s">
        <v>227</v>
      </c>
      <c r="I877" s="0" t="s">
        <v>273</v>
      </c>
      <c r="J877" s="0" t="s">
        <v>570</v>
      </c>
      <c r="K877" s="83" t="s">
        <v>2245</v>
      </c>
      <c r="L877" s="0" t="s">
        <v>2246</v>
      </c>
      <c r="M877" s="0" t="s">
        <v>237</v>
      </c>
      <c r="N877" s="0" t="str">
        <f t="shared" si="13"/>
        <v>CIHPkdJaba</v>
      </c>
    </row>
    <row r="878">
      <c r="H878" s="0" t="s">
        <v>227</v>
      </c>
      <c r="I878" s="0" t="s">
        <v>273</v>
      </c>
      <c r="J878" s="0" t="s">
        <v>570</v>
      </c>
      <c r="K878" s="83" t="s">
        <v>2247</v>
      </c>
      <c r="L878" s="0" t="s">
        <v>2248</v>
      </c>
      <c r="M878" s="0" t="s">
        <v>237</v>
      </c>
      <c r="N878" s="0" t="str">
        <f t="shared" si="13"/>
        <v>CIHPkdJaba</v>
      </c>
    </row>
    <row r="879">
      <c r="H879" s="0" t="s">
        <v>227</v>
      </c>
      <c r="I879" s="0" t="s">
        <v>273</v>
      </c>
      <c r="J879" s="0" t="s">
        <v>2249</v>
      </c>
      <c r="K879" s="83" t="s">
        <v>2250</v>
      </c>
      <c r="L879" s="0" t="s">
        <v>2251</v>
      </c>
      <c r="M879" s="0" t="s">
        <v>237</v>
      </c>
      <c r="N879" s="0" t="str">
        <f t="shared" si="13"/>
        <v>CIHPkdJemaa</v>
      </c>
    </row>
    <row r="880">
      <c r="H880" s="0" t="s">
        <v>227</v>
      </c>
      <c r="I880" s="0" t="s">
        <v>273</v>
      </c>
      <c r="J880" s="0" t="s">
        <v>2249</v>
      </c>
      <c r="K880" s="83" t="s">
        <v>2252</v>
      </c>
      <c r="L880" s="0" t="s">
        <v>2253</v>
      </c>
      <c r="M880" s="0" t="s">
        <v>237</v>
      </c>
      <c r="N880" s="0" t="str">
        <f t="shared" si="13"/>
        <v>CIHPkdJemaa</v>
      </c>
    </row>
    <row r="881">
      <c r="H881" s="0" t="s">
        <v>227</v>
      </c>
      <c r="I881" s="0" t="s">
        <v>273</v>
      </c>
      <c r="J881" s="0" t="s">
        <v>2249</v>
      </c>
      <c r="K881" s="83" t="s">
        <v>2254</v>
      </c>
      <c r="L881" s="0" t="s">
        <v>2255</v>
      </c>
      <c r="M881" s="0" t="s">
        <v>237</v>
      </c>
      <c r="N881" s="0" t="str">
        <f t="shared" si="13"/>
        <v>CIHPkdJemaa</v>
      </c>
    </row>
    <row r="882">
      <c r="H882" s="0" t="s">
        <v>227</v>
      </c>
      <c r="I882" s="0" t="s">
        <v>273</v>
      </c>
      <c r="J882" s="0" t="s">
        <v>2249</v>
      </c>
      <c r="K882" s="83" t="s">
        <v>2256</v>
      </c>
      <c r="L882" s="0" t="s">
        <v>2257</v>
      </c>
      <c r="M882" s="0" t="s">
        <v>237</v>
      </c>
      <c r="N882" s="0" t="str">
        <f t="shared" si="13"/>
        <v>CIHPkdJemaa</v>
      </c>
    </row>
    <row r="883">
      <c r="H883" s="0" t="s">
        <v>227</v>
      </c>
      <c r="I883" s="0" t="s">
        <v>273</v>
      </c>
      <c r="J883" s="0" t="s">
        <v>2249</v>
      </c>
      <c r="K883" s="83" t="s">
        <v>2258</v>
      </c>
      <c r="L883" s="0" t="s">
        <v>2259</v>
      </c>
      <c r="M883" s="0" t="s">
        <v>237</v>
      </c>
      <c r="N883" s="0" t="str">
        <f t="shared" si="13"/>
        <v>CIHPkdJemaa</v>
      </c>
    </row>
    <row r="884">
      <c r="H884" s="0" t="s">
        <v>227</v>
      </c>
      <c r="I884" s="0" t="s">
        <v>273</v>
      </c>
      <c r="J884" s="0" t="s">
        <v>2249</v>
      </c>
      <c r="K884" s="83" t="s">
        <v>2260</v>
      </c>
      <c r="L884" s="0" t="s">
        <v>2261</v>
      </c>
      <c r="M884" s="0" t="s">
        <v>237</v>
      </c>
      <c r="N884" s="0" t="str">
        <f t="shared" si="13"/>
        <v>CIHPkdJemaa</v>
      </c>
    </row>
    <row r="885">
      <c r="H885" s="0" t="s">
        <v>227</v>
      </c>
      <c r="I885" s="0" t="s">
        <v>273</v>
      </c>
      <c r="J885" s="0" t="s">
        <v>2249</v>
      </c>
      <c r="K885" s="83" t="s">
        <v>2262</v>
      </c>
      <c r="L885" s="0" t="s">
        <v>2263</v>
      </c>
      <c r="M885" s="0" t="s">
        <v>237</v>
      </c>
      <c r="N885" s="0" t="str">
        <f t="shared" si="13"/>
        <v>CIHPkdJemaa</v>
      </c>
    </row>
    <row r="886">
      <c r="H886" s="0" t="s">
        <v>227</v>
      </c>
      <c r="I886" s="0" t="s">
        <v>273</v>
      </c>
      <c r="J886" s="0" t="s">
        <v>2249</v>
      </c>
      <c r="K886" s="83" t="s">
        <v>2264</v>
      </c>
      <c r="L886" s="0" t="s">
        <v>2265</v>
      </c>
      <c r="M886" s="0" t="s">
        <v>237</v>
      </c>
      <c r="N886" s="0" t="str">
        <f t="shared" si="13"/>
        <v>CIHPkdJemaa</v>
      </c>
    </row>
    <row r="887">
      <c r="H887" s="0" t="s">
        <v>227</v>
      </c>
      <c r="I887" s="0" t="s">
        <v>273</v>
      </c>
      <c r="J887" s="0" t="s">
        <v>2249</v>
      </c>
      <c r="K887" s="83" t="s">
        <v>2266</v>
      </c>
      <c r="L887" s="0" t="s">
        <v>2267</v>
      </c>
      <c r="M887" s="0" t="s">
        <v>237</v>
      </c>
      <c r="N887" s="0" t="str">
        <f t="shared" si="13"/>
        <v>CIHPkdJemaa</v>
      </c>
    </row>
    <row r="888">
      <c r="H888" s="0" t="s">
        <v>227</v>
      </c>
      <c r="I888" s="0" t="s">
        <v>273</v>
      </c>
      <c r="J888" s="0" t="s">
        <v>2249</v>
      </c>
      <c r="K888" s="83" t="s">
        <v>2268</v>
      </c>
      <c r="L888" s="0" t="s">
        <v>2269</v>
      </c>
      <c r="M888" s="0" t="s">
        <v>237</v>
      </c>
      <c r="N888" s="0" t="str">
        <f t="shared" si="13"/>
        <v>CIHPkdJemaa</v>
      </c>
    </row>
    <row r="889">
      <c r="H889" s="0" t="s">
        <v>227</v>
      </c>
      <c r="I889" s="0" t="s">
        <v>273</v>
      </c>
      <c r="J889" s="0" t="s">
        <v>2249</v>
      </c>
      <c r="K889" s="83" t="s">
        <v>2270</v>
      </c>
      <c r="L889" s="0" t="s">
        <v>2271</v>
      </c>
      <c r="M889" s="0" t="s">
        <v>237</v>
      </c>
      <c r="N889" s="0" t="str">
        <f t="shared" si="13"/>
        <v>CIHPkdJemaa</v>
      </c>
    </row>
    <row r="890">
      <c r="H890" s="0" t="s">
        <v>227</v>
      </c>
      <c r="I890" s="0" t="s">
        <v>273</v>
      </c>
      <c r="J890" s="0" t="s">
        <v>577</v>
      </c>
      <c r="K890" s="83" t="s">
        <v>2272</v>
      </c>
      <c r="L890" s="0" t="s">
        <v>2273</v>
      </c>
      <c r="M890" s="0" t="s">
        <v>237</v>
      </c>
      <c r="N890" s="0" t="str">
        <f t="shared" si="13"/>
        <v>CIHPkdKachia</v>
      </c>
    </row>
    <row r="891">
      <c r="H891" s="0" t="s">
        <v>227</v>
      </c>
      <c r="I891" s="0" t="s">
        <v>273</v>
      </c>
      <c r="J891" s="0" t="s">
        <v>577</v>
      </c>
      <c r="K891" s="83" t="s">
        <v>2274</v>
      </c>
      <c r="L891" s="0" t="s">
        <v>2275</v>
      </c>
      <c r="M891" s="0" t="s">
        <v>237</v>
      </c>
      <c r="N891" s="0" t="str">
        <f t="shared" si="13"/>
        <v>CIHPkdKachia</v>
      </c>
    </row>
    <row r="892">
      <c r="H892" s="0" t="s">
        <v>227</v>
      </c>
      <c r="I892" s="0" t="s">
        <v>273</v>
      </c>
      <c r="J892" s="0" t="s">
        <v>577</v>
      </c>
      <c r="K892" s="83" t="s">
        <v>2276</v>
      </c>
      <c r="L892" s="0" t="s">
        <v>2277</v>
      </c>
      <c r="M892" s="0" t="s">
        <v>237</v>
      </c>
      <c r="N892" s="0" t="str">
        <f t="shared" si="13"/>
        <v>CIHPkdKachia</v>
      </c>
    </row>
    <row r="893">
      <c r="H893" s="0" t="s">
        <v>227</v>
      </c>
      <c r="I893" s="0" t="s">
        <v>273</v>
      </c>
      <c r="J893" s="0" t="s">
        <v>580</v>
      </c>
      <c r="K893" s="83" t="s">
        <v>2278</v>
      </c>
      <c r="L893" s="0" t="s">
        <v>2279</v>
      </c>
      <c r="M893" s="0" t="s">
        <v>237</v>
      </c>
      <c r="N893" s="0" t="str">
        <f t="shared" si="13"/>
        <v>CIHPkdKadunaNorth</v>
      </c>
    </row>
    <row r="894">
      <c r="H894" s="0" t="s">
        <v>227</v>
      </c>
      <c r="I894" s="0" t="s">
        <v>273</v>
      </c>
      <c r="J894" s="0" t="s">
        <v>580</v>
      </c>
      <c r="K894" s="83" t="s">
        <v>2280</v>
      </c>
      <c r="L894" s="0" t="s">
        <v>2281</v>
      </c>
      <c r="M894" s="0" t="s">
        <v>237</v>
      </c>
      <c r="N894" s="0" t="str">
        <f t="shared" si="13"/>
        <v>CIHPkdKadunaNorth</v>
      </c>
    </row>
    <row r="895">
      <c r="H895" s="0" t="s">
        <v>227</v>
      </c>
      <c r="I895" s="0" t="s">
        <v>273</v>
      </c>
      <c r="J895" s="0" t="s">
        <v>580</v>
      </c>
      <c r="K895" s="83" t="s">
        <v>2282</v>
      </c>
      <c r="L895" s="0" t="s">
        <v>2283</v>
      </c>
      <c r="M895" s="0" t="s">
        <v>237</v>
      </c>
      <c r="N895" s="0" t="str">
        <f t="shared" si="13"/>
        <v>CIHPkdKadunaNorth</v>
      </c>
    </row>
    <row r="896">
      <c r="H896" s="0" t="s">
        <v>227</v>
      </c>
      <c r="I896" s="0" t="s">
        <v>273</v>
      </c>
      <c r="J896" s="0" t="s">
        <v>580</v>
      </c>
      <c r="K896" s="83" t="s">
        <v>2284</v>
      </c>
      <c r="L896" s="0" t="s">
        <v>2285</v>
      </c>
      <c r="M896" s="0" t="s">
        <v>237</v>
      </c>
      <c r="N896" s="0" t="str">
        <f t="shared" si="13"/>
        <v>CIHPkdKadunaNorth</v>
      </c>
    </row>
    <row r="897">
      <c r="H897" s="0" t="s">
        <v>227</v>
      </c>
      <c r="I897" s="0" t="s">
        <v>273</v>
      </c>
      <c r="J897" s="0" t="s">
        <v>580</v>
      </c>
      <c r="K897" s="83" t="s">
        <v>2286</v>
      </c>
      <c r="L897" s="0" t="s">
        <v>2287</v>
      </c>
      <c r="M897" s="0" t="s">
        <v>237</v>
      </c>
      <c r="N897" s="0" t="str">
        <f t="shared" si="13"/>
        <v>CIHPkdKadunaNorth</v>
      </c>
    </row>
    <row r="898">
      <c r="H898" s="0" t="s">
        <v>227</v>
      </c>
      <c r="I898" s="0" t="s">
        <v>273</v>
      </c>
      <c r="J898" s="0" t="s">
        <v>580</v>
      </c>
      <c r="K898" s="83" t="s">
        <v>2288</v>
      </c>
      <c r="L898" s="0" t="s">
        <v>2289</v>
      </c>
      <c r="M898" s="0" t="s">
        <v>237</v>
      </c>
      <c r="N898" s="0" t="str">
        <f t="shared" si="13"/>
        <v>CIHPkdKadunaNorth</v>
      </c>
    </row>
    <row r="899">
      <c r="H899" s="0" t="s">
        <v>227</v>
      </c>
      <c r="I899" s="0" t="s">
        <v>273</v>
      </c>
      <c r="J899" s="0" t="s">
        <v>580</v>
      </c>
      <c r="K899" s="83" t="s">
        <v>2290</v>
      </c>
      <c r="L899" s="0" t="s">
        <v>2291</v>
      </c>
      <c r="M899" s="0" t="s">
        <v>237</v>
      </c>
      <c r="N899" s="0" t="str">
        <f ref="N899:N962" t="shared" si="14">SUBSTITUTE(SUBSTITUTE(M899&amp;J899," ",""),"-","")</f>
        <v>CIHPkdKadunaNorth</v>
      </c>
    </row>
    <row r="900">
      <c r="H900" s="0" t="s">
        <v>227</v>
      </c>
      <c r="I900" s="0" t="s">
        <v>273</v>
      </c>
      <c r="J900" s="0" t="s">
        <v>580</v>
      </c>
      <c r="K900" s="83" t="s">
        <v>2292</v>
      </c>
      <c r="L900" s="0" t="s">
        <v>2293</v>
      </c>
      <c r="M900" s="0" t="s">
        <v>237</v>
      </c>
      <c r="N900" s="0" t="str">
        <f t="shared" si="14"/>
        <v>CIHPkdKadunaNorth</v>
      </c>
    </row>
    <row r="901">
      <c r="H901" s="0" t="s">
        <v>227</v>
      </c>
      <c r="I901" s="0" t="s">
        <v>273</v>
      </c>
      <c r="J901" s="0" t="s">
        <v>583</v>
      </c>
      <c r="K901" s="83" t="s">
        <v>2294</v>
      </c>
      <c r="L901" s="0" t="s">
        <v>2295</v>
      </c>
      <c r="M901" s="0" t="s">
        <v>237</v>
      </c>
      <c r="N901" s="0" t="str">
        <f t="shared" si="14"/>
        <v>CIHPkdKadunaSouth</v>
      </c>
    </row>
    <row r="902">
      <c r="H902" s="0" t="s">
        <v>227</v>
      </c>
      <c r="I902" s="0" t="s">
        <v>273</v>
      </c>
      <c r="J902" s="0" t="s">
        <v>583</v>
      </c>
      <c r="K902" s="83" t="s">
        <v>2296</v>
      </c>
      <c r="L902" s="0" t="s">
        <v>2297</v>
      </c>
      <c r="M902" s="0" t="s">
        <v>237</v>
      </c>
      <c r="N902" s="0" t="str">
        <f t="shared" si="14"/>
        <v>CIHPkdKadunaSouth</v>
      </c>
    </row>
    <row r="903">
      <c r="H903" s="0" t="s">
        <v>227</v>
      </c>
      <c r="I903" s="0" t="s">
        <v>273</v>
      </c>
      <c r="J903" s="0" t="s">
        <v>583</v>
      </c>
      <c r="K903" s="83" t="s">
        <v>2298</v>
      </c>
      <c r="L903" s="0" t="s">
        <v>2299</v>
      </c>
      <c r="M903" s="0" t="s">
        <v>237</v>
      </c>
      <c r="N903" s="0" t="str">
        <f t="shared" si="14"/>
        <v>CIHPkdKadunaSouth</v>
      </c>
    </row>
    <row r="904">
      <c r="H904" s="0" t="s">
        <v>227</v>
      </c>
      <c r="I904" s="0" t="s">
        <v>273</v>
      </c>
      <c r="J904" s="0" t="s">
        <v>583</v>
      </c>
      <c r="K904" s="83" t="s">
        <v>2300</v>
      </c>
      <c r="L904" s="0" t="s">
        <v>2301</v>
      </c>
      <c r="M904" s="0" t="s">
        <v>237</v>
      </c>
      <c r="N904" s="0" t="str">
        <f t="shared" si="14"/>
        <v>CIHPkdKadunaSouth</v>
      </c>
    </row>
    <row r="905">
      <c r="H905" s="0" t="s">
        <v>227</v>
      </c>
      <c r="I905" s="0" t="s">
        <v>273</v>
      </c>
      <c r="J905" s="0" t="s">
        <v>583</v>
      </c>
      <c r="K905" s="83" t="s">
        <v>2302</v>
      </c>
      <c r="L905" s="0" t="s">
        <v>2303</v>
      </c>
      <c r="M905" s="0" t="s">
        <v>237</v>
      </c>
      <c r="N905" s="0" t="str">
        <f t="shared" si="14"/>
        <v>CIHPkdKadunaSouth</v>
      </c>
    </row>
    <row r="906">
      <c r="H906" s="0" t="s">
        <v>227</v>
      </c>
      <c r="I906" s="0" t="s">
        <v>273</v>
      </c>
      <c r="J906" s="0" t="s">
        <v>583</v>
      </c>
      <c r="K906" s="83" t="s">
        <v>2304</v>
      </c>
      <c r="L906" s="0" t="s">
        <v>2305</v>
      </c>
      <c r="M906" s="0" t="s">
        <v>237</v>
      </c>
      <c r="N906" s="0" t="str">
        <f t="shared" si="14"/>
        <v>CIHPkdKadunaSouth</v>
      </c>
    </row>
    <row r="907">
      <c r="H907" s="0" t="s">
        <v>227</v>
      </c>
      <c r="I907" s="0" t="s">
        <v>273</v>
      </c>
      <c r="J907" s="0" t="s">
        <v>583</v>
      </c>
      <c r="K907" s="83" t="s">
        <v>2306</v>
      </c>
      <c r="L907" s="0" t="s">
        <v>2307</v>
      </c>
      <c r="M907" s="0" t="s">
        <v>237</v>
      </c>
      <c r="N907" s="0" t="str">
        <f t="shared" si="14"/>
        <v>CIHPkdKadunaSouth</v>
      </c>
    </row>
    <row r="908">
      <c r="H908" s="0" t="s">
        <v>227</v>
      </c>
      <c r="I908" s="0" t="s">
        <v>273</v>
      </c>
      <c r="J908" s="0" t="s">
        <v>583</v>
      </c>
      <c r="K908" s="83" t="s">
        <v>2308</v>
      </c>
      <c r="L908" s="0" t="s">
        <v>2309</v>
      </c>
      <c r="M908" s="0" t="s">
        <v>237</v>
      </c>
      <c r="N908" s="0" t="str">
        <f t="shared" si="14"/>
        <v>CIHPkdKadunaSouth</v>
      </c>
    </row>
    <row r="909">
      <c r="H909" s="0" t="s">
        <v>227</v>
      </c>
      <c r="I909" s="0" t="s">
        <v>273</v>
      </c>
      <c r="J909" s="0" t="s">
        <v>583</v>
      </c>
      <c r="K909" s="83" t="s">
        <v>2310</v>
      </c>
      <c r="L909" s="0" t="s">
        <v>2311</v>
      </c>
      <c r="M909" s="0" t="s">
        <v>237</v>
      </c>
      <c r="N909" s="0" t="str">
        <f t="shared" si="14"/>
        <v>CIHPkdKadunaSouth</v>
      </c>
    </row>
    <row r="910">
      <c r="H910" s="0" t="s">
        <v>227</v>
      </c>
      <c r="I910" s="0" t="s">
        <v>273</v>
      </c>
      <c r="J910" s="0" t="s">
        <v>583</v>
      </c>
      <c r="K910" s="83" t="s">
        <v>2312</v>
      </c>
      <c r="L910" s="0" t="s">
        <v>2313</v>
      </c>
      <c r="M910" s="0" t="s">
        <v>237</v>
      </c>
      <c r="N910" s="0" t="str">
        <f t="shared" si="14"/>
        <v>CIHPkdKadunaSouth</v>
      </c>
    </row>
    <row r="911">
      <c r="H911" s="0" t="s">
        <v>227</v>
      </c>
      <c r="I911" s="0" t="s">
        <v>273</v>
      </c>
      <c r="J911" s="0" t="s">
        <v>583</v>
      </c>
      <c r="K911" s="83" t="s">
        <v>2314</v>
      </c>
      <c r="L911" s="0" t="s">
        <v>2315</v>
      </c>
      <c r="M911" s="0" t="s">
        <v>237</v>
      </c>
      <c r="N911" s="0" t="str">
        <f t="shared" si="14"/>
        <v>CIHPkdKadunaSouth</v>
      </c>
    </row>
    <row r="912">
      <c r="H912" s="0" t="s">
        <v>227</v>
      </c>
      <c r="I912" s="0" t="s">
        <v>273</v>
      </c>
      <c r="J912" s="0" t="s">
        <v>583</v>
      </c>
      <c r="K912" s="83" t="s">
        <v>2316</v>
      </c>
      <c r="L912" s="0" t="s">
        <v>2317</v>
      </c>
      <c r="M912" s="0" t="s">
        <v>237</v>
      </c>
      <c r="N912" s="0" t="str">
        <f t="shared" si="14"/>
        <v>CIHPkdKadunaSouth</v>
      </c>
    </row>
    <row r="913">
      <c r="H913" s="0" t="s">
        <v>227</v>
      </c>
      <c r="I913" s="0" t="s">
        <v>273</v>
      </c>
      <c r="J913" s="0" t="s">
        <v>583</v>
      </c>
      <c r="K913" s="83" t="s">
        <v>2318</v>
      </c>
      <c r="L913" s="0" t="s">
        <v>2319</v>
      </c>
      <c r="M913" s="0" t="s">
        <v>237</v>
      </c>
      <c r="N913" s="0" t="str">
        <f t="shared" si="14"/>
        <v>CIHPkdKadunaSouth</v>
      </c>
    </row>
    <row r="914">
      <c r="H914" s="0" t="s">
        <v>227</v>
      </c>
      <c r="I914" s="0" t="s">
        <v>273</v>
      </c>
      <c r="J914" s="0" t="s">
        <v>583</v>
      </c>
      <c r="K914" s="83" t="s">
        <v>2320</v>
      </c>
      <c r="L914" s="0" t="s">
        <v>2321</v>
      </c>
      <c r="M914" s="0" t="s">
        <v>237</v>
      </c>
      <c r="N914" s="0" t="str">
        <f t="shared" si="14"/>
        <v>CIHPkdKadunaSouth</v>
      </c>
    </row>
    <row r="915">
      <c r="H915" s="0" t="s">
        <v>227</v>
      </c>
      <c r="I915" s="0" t="s">
        <v>273</v>
      </c>
      <c r="J915" s="0" t="s">
        <v>586</v>
      </c>
      <c r="K915" s="83" t="s">
        <v>2322</v>
      </c>
      <c r="L915" s="0" t="s">
        <v>2323</v>
      </c>
      <c r="M915" s="0" t="s">
        <v>237</v>
      </c>
      <c r="N915" s="0" t="str">
        <f t="shared" si="14"/>
        <v>CIHPkdKagarko</v>
      </c>
    </row>
    <row r="916">
      <c r="H916" s="0" t="s">
        <v>227</v>
      </c>
      <c r="I916" s="0" t="s">
        <v>273</v>
      </c>
      <c r="J916" s="0" t="s">
        <v>586</v>
      </c>
      <c r="K916" s="83" t="s">
        <v>2324</v>
      </c>
      <c r="L916" s="0" t="s">
        <v>2325</v>
      </c>
      <c r="M916" s="0" t="s">
        <v>237</v>
      </c>
      <c r="N916" s="0" t="str">
        <f t="shared" si="14"/>
        <v>CIHPkdKagarko</v>
      </c>
    </row>
    <row r="917">
      <c r="H917" s="0" t="s">
        <v>227</v>
      </c>
      <c r="I917" s="0" t="s">
        <v>273</v>
      </c>
      <c r="J917" s="0" t="s">
        <v>589</v>
      </c>
      <c r="K917" s="83" t="s">
        <v>2326</v>
      </c>
      <c r="L917" s="0" t="s">
        <v>2327</v>
      </c>
      <c r="M917" s="0" t="s">
        <v>237</v>
      </c>
      <c r="N917" s="0" t="str">
        <f t="shared" si="14"/>
        <v>CIHPkdKajuru</v>
      </c>
    </row>
    <row r="918">
      <c r="H918" s="0" t="s">
        <v>227</v>
      </c>
      <c r="I918" s="0" t="s">
        <v>273</v>
      </c>
      <c r="J918" s="0" t="s">
        <v>592</v>
      </c>
      <c r="K918" s="83" t="s">
        <v>2328</v>
      </c>
      <c r="L918" s="0" t="s">
        <v>2329</v>
      </c>
      <c r="M918" s="0" t="s">
        <v>237</v>
      </c>
      <c r="N918" s="0" t="str">
        <f t="shared" si="14"/>
        <v>CIHPkdKaura</v>
      </c>
    </row>
    <row r="919">
      <c r="H919" s="0" t="s">
        <v>227</v>
      </c>
      <c r="I919" s="0" t="s">
        <v>273</v>
      </c>
      <c r="J919" s="0" t="s">
        <v>592</v>
      </c>
      <c r="K919" s="83" t="s">
        <v>2330</v>
      </c>
      <c r="L919" s="0" t="s">
        <v>2331</v>
      </c>
      <c r="M919" s="0" t="s">
        <v>237</v>
      </c>
      <c r="N919" s="0" t="str">
        <f t="shared" si="14"/>
        <v>CIHPkdKaura</v>
      </c>
    </row>
    <row r="920">
      <c r="H920" s="0" t="s">
        <v>227</v>
      </c>
      <c r="I920" s="0" t="s">
        <v>273</v>
      </c>
      <c r="J920" s="0" t="s">
        <v>592</v>
      </c>
      <c r="K920" s="83" t="s">
        <v>2332</v>
      </c>
      <c r="L920" s="0" t="s">
        <v>2333</v>
      </c>
      <c r="M920" s="0" t="s">
        <v>237</v>
      </c>
      <c r="N920" s="0" t="str">
        <f t="shared" si="14"/>
        <v>CIHPkdKaura</v>
      </c>
    </row>
    <row r="921">
      <c r="H921" s="0" t="s">
        <v>227</v>
      </c>
      <c r="I921" s="0" t="s">
        <v>273</v>
      </c>
      <c r="J921" s="0" t="s">
        <v>592</v>
      </c>
      <c r="K921" s="83" t="s">
        <v>2334</v>
      </c>
      <c r="L921" s="0" t="s">
        <v>2335</v>
      </c>
      <c r="M921" s="0" t="s">
        <v>237</v>
      </c>
      <c r="N921" s="0" t="str">
        <f t="shared" si="14"/>
        <v>CIHPkdKaura</v>
      </c>
    </row>
    <row r="922">
      <c r="H922" s="0" t="s">
        <v>227</v>
      </c>
      <c r="I922" s="0" t="s">
        <v>273</v>
      </c>
      <c r="J922" s="0" t="s">
        <v>592</v>
      </c>
      <c r="K922" s="83" t="s">
        <v>2336</v>
      </c>
      <c r="L922" s="0" t="s">
        <v>2337</v>
      </c>
      <c r="M922" s="0" t="s">
        <v>237</v>
      </c>
      <c r="N922" s="0" t="str">
        <f t="shared" si="14"/>
        <v>CIHPkdKaura</v>
      </c>
    </row>
    <row r="923">
      <c r="H923" s="0" t="s">
        <v>227</v>
      </c>
      <c r="I923" s="0" t="s">
        <v>273</v>
      </c>
      <c r="J923" s="0" t="s">
        <v>595</v>
      </c>
      <c r="K923" s="83" t="s">
        <v>2338</v>
      </c>
      <c r="L923" s="0" t="s">
        <v>2339</v>
      </c>
      <c r="M923" s="0" t="s">
        <v>237</v>
      </c>
      <c r="N923" s="0" t="str">
        <f t="shared" si="14"/>
        <v>CIHPkdKauru</v>
      </c>
    </row>
    <row r="924">
      <c r="H924" s="0" t="s">
        <v>227</v>
      </c>
      <c r="I924" s="0" t="s">
        <v>273</v>
      </c>
      <c r="J924" s="0" t="s">
        <v>595</v>
      </c>
      <c r="K924" s="83" t="s">
        <v>2340</v>
      </c>
      <c r="L924" s="0" t="s">
        <v>2341</v>
      </c>
      <c r="M924" s="0" t="s">
        <v>237</v>
      </c>
      <c r="N924" s="0" t="str">
        <f t="shared" si="14"/>
        <v>CIHPkdKauru</v>
      </c>
    </row>
    <row r="925">
      <c r="H925" s="0" t="s">
        <v>227</v>
      </c>
      <c r="I925" s="0" t="s">
        <v>273</v>
      </c>
      <c r="J925" s="0" t="s">
        <v>595</v>
      </c>
      <c r="K925" s="83" t="s">
        <v>2342</v>
      </c>
      <c r="L925" s="0" t="s">
        <v>2343</v>
      </c>
      <c r="M925" s="0" t="s">
        <v>237</v>
      </c>
      <c r="N925" s="0" t="str">
        <f t="shared" si="14"/>
        <v>CIHPkdKauru</v>
      </c>
    </row>
    <row r="926">
      <c r="H926" s="0" t="s">
        <v>227</v>
      </c>
      <c r="I926" s="0" t="s">
        <v>273</v>
      </c>
      <c r="J926" s="0" t="s">
        <v>595</v>
      </c>
      <c r="K926" s="83" t="s">
        <v>2344</v>
      </c>
      <c r="L926" s="0" t="s">
        <v>2345</v>
      </c>
      <c r="M926" s="0" t="s">
        <v>237</v>
      </c>
      <c r="N926" s="0" t="str">
        <f t="shared" si="14"/>
        <v>CIHPkdKauru</v>
      </c>
    </row>
    <row r="927">
      <c r="H927" s="0" t="s">
        <v>227</v>
      </c>
      <c r="I927" s="0" t="s">
        <v>273</v>
      </c>
      <c r="J927" s="0" t="s">
        <v>595</v>
      </c>
      <c r="K927" s="83" t="s">
        <v>2346</v>
      </c>
      <c r="L927" s="0" t="s">
        <v>2347</v>
      </c>
      <c r="M927" s="0" t="s">
        <v>237</v>
      </c>
      <c r="N927" s="0" t="str">
        <f t="shared" si="14"/>
        <v>CIHPkdKauru</v>
      </c>
    </row>
    <row r="928">
      <c r="H928" s="0" t="s">
        <v>227</v>
      </c>
      <c r="I928" s="0" t="s">
        <v>273</v>
      </c>
      <c r="J928" s="0" t="s">
        <v>595</v>
      </c>
      <c r="K928" s="83" t="s">
        <v>2348</v>
      </c>
      <c r="L928" s="0" t="s">
        <v>2349</v>
      </c>
      <c r="M928" s="0" t="s">
        <v>237</v>
      </c>
      <c r="N928" s="0" t="str">
        <f t="shared" si="14"/>
        <v>CIHPkdKauru</v>
      </c>
    </row>
    <row r="929">
      <c r="H929" s="0" t="s">
        <v>227</v>
      </c>
      <c r="I929" s="0" t="s">
        <v>273</v>
      </c>
      <c r="J929" s="0" t="s">
        <v>598</v>
      </c>
      <c r="K929" s="83" t="s">
        <v>2350</v>
      </c>
      <c r="L929" s="0" t="s">
        <v>2351</v>
      </c>
      <c r="M929" s="0" t="s">
        <v>237</v>
      </c>
      <c r="N929" s="0" t="str">
        <f t="shared" si="14"/>
        <v>CIHPkdKubau</v>
      </c>
    </row>
    <row r="930">
      <c r="H930" s="0" t="s">
        <v>227</v>
      </c>
      <c r="I930" s="0" t="s">
        <v>273</v>
      </c>
      <c r="J930" s="0" t="s">
        <v>598</v>
      </c>
      <c r="K930" s="83" t="s">
        <v>2352</v>
      </c>
      <c r="L930" s="0" t="s">
        <v>2353</v>
      </c>
      <c r="M930" s="0" t="s">
        <v>237</v>
      </c>
      <c r="N930" s="0" t="str">
        <f t="shared" si="14"/>
        <v>CIHPkdKubau</v>
      </c>
    </row>
    <row r="931">
      <c r="H931" s="0" t="s">
        <v>227</v>
      </c>
      <c r="I931" s="0" t="s">
        <v>273</v>
      </c>
      <c r="J931" s="0" t="s">
        <v>601</v>
      </c>
      <c r="K931" s="83" t="s">
        <v>2354</v>
      </c>
      <c r="L931" s="0" t="s">
        <v>2355</v>
      </c>
      <c r="M931" s="0" t="s">
        <v>237</v>
      </c>
      <c r="N931" s="0" t="str">
        <f t="shared" si="14"/>
        <v>CIHPkdLere</v>
      </c>
    </row>
    <row r="932">
      <c r="H932" s="0" t="s">
        <v>227</v>
      </c>
      <c r="I932" s="0" t="s">
        <v>273</v>
      </c>
      <c r="J932" s="0" t="s">
        <v>601</v>
      </c>
      <c r="K932" s="83" t="s">
        <v>2356</v>
      </c>
      <c r="L932" s="0" t="s">
        <v>2357</v>
      </c>
      <c r="M932" s="0" t="s">
        <v>237</v>
      </c>
      <c r="N932" s="0" t="str">
        <f t="shared" si="14"/>
        <v>CIHPkdLere</v>
      </c>
    </row>
    <row r="933">
      <c r="H933" s="0" t="s">
        <v>227</v>
      </c>
      <c r="I933" s="0" t="s">
        <v>273</v>
      </c>
      <c r="J933" s="0" t="s">
        <v>601</v>
      </c>
      <c r="K933" s="83" t="s">
        <v>2358</v>
      </c>
      <c r="L933" s="0" t="s">
        <v>2359</v>
      </c>
      <c r="M933" s="0" t="s">
        <v>237</v>
      </c>
      <c r="N933" s="0" t="str">
        <f t="shared" si="14"/>
        <v>CIHPkdLere</v>
      </c>
    </row>
    <row r="934">
      <c r="H934" s="0" t="s">
        <v>227</v>
      </c>
      <c r="I934" s="0" t="s">
        <v>273</v>
      </c>
      <c r="J934" s="0" t="s">
        <v>601</v>
      </c>
      <c r="K934" s="83" t="s">
        <v>2360</v>
      </c>
      <c r="L934" s="0" t="s">
        <v>2361</v>
      </c>
      <c r="M934" s="0" t="s">
        <v>237</v>
      </c>
      <c r="N934" s="0" t="str">
        <f t="shared" si="14"/>
        <v>CIHPkdLere</v>
      </c>
    </row>
    <row r="935">
      <c r="H935" s="0" t="s">
        <v>227</v>
      </c>
      <c r="I935" s="0" t="s">
        <v>273</v>
      </c>
      <c r="J935" s="0" t="s">
        <v>601</v>
      </c>
      <c r="K935" s="83" t="s">
        <v>2362</v>
      </c>
      <c r="L935" s="0" t="s">
        <v>2363</v>
      </c>
      <c r="M935" s="0" t="s">
        <v>237</v>
      </c>
      <c r="N935" s="0" t="str">
        <f t="shared" si="14"/>
        <v>CIHPkdLere</v>
      </c>
    </row>
    <row r="936">
      <c r="H936" s="0" t="s">
        <v>227</v>
      </c>
      <c r="I936" s="0" t="s">
        <v>273</v>
      </c>
      <c r="J936" s="0" t="s">
        <v>601</v>
      </c>
      <c r="K936" s="83" t="s">
        <v>311</v>
      </c>
      <c r="L936" s="0" t="s">
        <v>2364</v>
      </c>
      <c r="M936" s="0" t="s">
        <v>237</v>
      </c>
      <c r="N936" s="0" t="str">
        <f t="shared" si="14"/>
        <v>CIHPkdLere</v>
      </c>
    </row>
    <row r="937">
      <c r="H937" s="0" t="s">
        <v>227</v>
      </c>
      <c r="I937" s="0" t="s">
        <v>273</v>
      </c>
      <c r="J937" s="0" t="s">
        <v>601</v>
      </c>
      <c r="K937" s="83" t="s">
        <v>2365</v>
      </c>
      <c r="L937" s="0" t="s">
        <v>2366</v>
      </c>
      <c r="M937" s="0" t="s">
        <v>237</v>
      </c>
      <c r="N937" s="0" t="str">
        <f t="shared" si="14"/>
        <v>CIHPkdLere</v>
      </c>
    </row>
    <row r="938">
      <c r="H938" s="0" t="s">
        <v>227</v>
      </c>
      <c r="I938" s="0" t="s">
        <v>273</v>
      </c>
      <c r="J938" s="0" t="s">
        <v>601</v>
      </c>
      <c r="K938" s="83" t="s">
        <v>2367</v>
      </c>
      <c r="L938" s="0" t="s">
        <v>2368</v>
      </c>
      <c r="M938" s="0" t="s">
        <v>237</v>
      </c>
      <c r="N938" s="0" t="str">
        <f t="shared" si="14"/>
        <v>CIHPkdLere</v>
      </c>
    </row>
    <row r="939">
      <c r="H939" s="0" t="s">
        <v>227</v>
      </c>
      <c r="I939" s="0" t="s">
        <v>273</v>
      </c>
      <c r="J939" s="0" t="s">
        <v>601</v>
      </c>
      <c r="K939" s="83" t="s">
        <v>2369</v>
      </c>
      <c r="L939" s="0" t="s">
        <v>2370</v>
      </c>
      <c r="M939" s="0" t="s">
        <v>237</v>
      </c>
      <c r="N939" s="0" t="str">
        <f t="shared" si="14"/>
        <v>CIHPkdLere</v>
      </c>
    </row>
    <row r="940">
      <c r="H940" s="0" t="s">
        <v>227</v>
      </c>
      <c r="I940" s="0" t="s">
        <v>273</v>
      </c>
      <c r="J940" s="0" t="s">
        <v>601</v>
      </c>
      <c r="K940" s="83" t="s">
        <v>2371</v>
      </c>
      <c r="L940" s="0" t="s">
        <v>2372</v>
      </c>
      <c r="M940" s="0" t="s">
        <v>237</v>
      </c>
      <c r="N940" s="0" t="str">
        <f t="shared" si="14"/>
        <v>CIHPkdLere</v>
      </c>
    </row>
    <row r="941">
      <c r="H941" s="0" t="s">
        <v>227</v>
      </c>
      <c r="I941" s="0" t="s">
        <v>273</v>
      </c>
      <c r="J941" s="0" t="s">
        <v>601</v>
      </c>
      <c r="K941" s="83" t="s">
        <v>2373</v>
      </c>
      <c r="L941" s="0" t="s">
        <v>2374</v>
      </c>
      <c r="M941" s="0" t="s">
        <v>237</v>
      </c>
      <c r="N941" s="0" t="str">
        <f t="shared" si="14"/>
        <v>CIHPkdLere</v>
      </c>
    </row>
    <row r="942">
      <c r="H942" s="0" t="s">
        <v>227</v>
      </c>
      <c r="I942" s="0" t="s">
        <v>273</v>
      </c>
      <c r="J942" s="0" t="s">
        <v>601</v>
      </c>
      <c r="K942" s="83" t="s">
        <v>2375</v>
      </c>
      <c r="L942" s="0" t="s">
        <v>2376</v>
      </c>
      <c r="M942" s="0" t="s">
        <v>237</v>
      </c>
      <c r="N942" s="0" t="str">
        <f t="shared" si="14"/>
        <v>CIHPkdLere</v>
      </c>
    </row>
    <row r="943">
      <c r="H943" s="0" t="s">
        <v>227</v>
      </c>
      <c r="I943" s="0" t="s">
        <v>273</v>
      </c>
      <c r="J943" s="0" t="s">
        <v>601</v>
      </c>
      <c r="K943" s="83" t="s">
        <v>2377</v>
      </c>
      <c r="L943" s="0" t="s">
        <v>2378</v>
      </c>
      <c r="M943" s="0" t="s">
        <v>237</v>
      </c>
      <c r="N943" s="0" t="str">
        <f t="shared" si="14"/>
        <v>CIHPkdLere</v>
      </c>
    </row>
    <row r="944">
      <c r="H944" s="0" t="s">
        <v>227</v>
      </c>
      <c r="I944" s="0" t="s">
        <v>273</v>
      </c>
      <c r="J944" s="0" t="s">
        <v>604</v>
      </c>
      <c r="K944" s="83" t="s">
        <v>2379</v>
      </c>
      <c r="L944" s="0" t="s">
        <v>2380</v>
      </c>
      <c r="M944" s="0" t="s">
        <v>237</v>
      </c>
      <c r="N944" s="0" t="str">
        <f t="shared" si="14"/>
        <v>CIHPkdMakarfi</v>
      </c>
    </row>
    <row r="945">
      <c r="H945" s="0" t="s">
        <v>227</v>
      </c>
      <c r="I945" s="0" t="s">
        <v>273</v>
      </c>
      <c r="J945" s="0" t="s">
        <v>604</v>
      </c>
      <c r="K945" s="83" t="s">
        <v>2381</v>
      </c>
      <c r="L945" s="0" t="s">
        <v>2382</v>
      </c>
      <c r="M945" s="0" t="s">
        <v>237</v>
      </c>
      <c r="N945" s="0" t="str">
        <f t="shared" si="14"/>
        <v>CIHPkdMakarfi</v>
      </c>
    </row>
    <row r="946">
      <c r="H946" s="0" t="s">
        <v>227</v>
      </c>
      <c r="I946" s="0" t="s">
        <v>273</v>
      </c>
      <c r="J946" s="0" t="s">
        <v>604</v>
      </c>
      <c r="K946" s="83" t="s">
        <v>2383</v>
      </c>
      <c r="L946" s="0" t="s">
        <v>2384</v>
      </c>
      <c r="M946" s="0" t="s">
        <v>237</v>
      </c>
      <c r="N946" s="0" t="str">
        <f t="shared" si="14"/>
        <v>CIHPkdMakarfi</v>
      </c>
    </row>
    <row r="947">
      <c r="H947" s="0" t="s">
        <v>227</v>
      </c>
      <c r="I947" s="0" t="s">
        <v>273</v>
      </c>
      <c r="J947" s="0" t="s">
        <v>604</v>
      </c>
      <c r="K947" s="83" t="s">
        <v>2385</v>
      </c>
      <c r="L947" s="0" t="s">
        <v>2386</v>
      </c>
      <c r="M947" s="0" t="s">
        <v>237</v>
      </c>
      <c r="N947" s="0" t="str">
        <f t="shared" si="14"/>
        <v>CIHPkdMakarfi</v>
      </c>
    </row>
    <row r="948">
      <c r="H948" s="0" t="s">
        <v>227</v>
      </c>
      <c r="I948" s="0" t="s">
        <v>273</v>
      </c>
      <c r="J948" s="0" t="s">
        <v>604</v>
      </c>
      <c r="K948" s="83" t="s">
        <v>2387</v>
      </c>
      <c r="L948" s="0" t="s">
        <v>2388</v>
      </c>
      <c r="M948" s="0" t="s">
        <v>237</v>
      </c>
      <c r="N948" s="0" t="str">
        <f t="shared" si="14"/>
        <v>CIHPkdMakarfi</v>
      </c>
    </row>
    <row r="949">
      <c r="H949" s="0" t="s">
        <v>227</v>
      </c>
      <c r="I949" s="0" t="s">
        <v>273</v>
      </c>
      <c r="J949" s="0" t="s">
        <v>604</v>
      </c>
      <c r="K949" s="83" t="s">
        <v>2389</v>
      </c>
      <c r="L949" s="0" t="s">
        <v>2390</v>
      </c>
      <c r="M949" s="0" t="s">
        <v>237</v>
      </c>
      <c r="N949" s="0" t="str">
        <f t="shared" si="14"/>
        <v>CIHPkdMakarfi</v>
      </c>
    </row>
    <row r="950">
      <c r="H950" s="0" t="s">
        <v>227</v>
      </c>
      <c r="I950" s="0" t="s">
        <v>273</v>
      </c>
      <c r="J950" s="0" t="s">
        <v>604</v>
      </c>
      <c r="K950" s="83" t="s">
        <v>2391</v>
      </c>
      <c r="L950" s="0" t="s">
        <v>2392</v>
      </c>
      <c r="M950" s="0" t="s">
        <v>237</v>
      </c>
      <c r="N950" s="0" t="str">
        <f t="shared" si="14"/>
        <v>CIHPkdMakarfi</v>
      </c>
    </row>
    <row r="951">
      <c r="H951" s="0" t="s">
        <v>227</v>
      </c>
      <c r="I951" s="0" t="s">
        <v>273</v>
      </c>
      <c r="J951" s="0" t="s">
        <v>604</v>
      </c>
      <c r="K951" s="83" t="s">
        <v>2393</v>
      </c>
      <c r="L951" s="0" t="s">
        <v>2394</v>
      </c>
      <c r="M951" s="0" t="s">
        <v>237</v>
      </c>
      <c r="N951" s="0" t="str">
        <f t="shared" si="14"/>
        <v>CIHPkdMakarfi</v>
      </c>
    </row>
    <row r="952">
      <c r="H952" s="0" t="s">
        <v>227</v>
      </c>
      <c r="I952" s="0" t="s">
        <v>273</v>
      </c>
      <c r="J952" s="0" t="s">
        <v>607</v>
      </c>
      <c r="K952" s="83" t="s">
        <v>2395</v>
      </c>
      <c r="L952" s="0" t="s">
        <v>2396</v>
      </c>
      <c r="M952" s="0" t="s">
        <v>237</v>
      </c>
      <c r="N952" s="0" t="str">
        <f t="shared" si="14"/>
        <v>CIHPkdSabonGari</v>
      </c>
    </row>
    <row r="953">
      <c r="H953" s="0" t="s">
        <v>227</v>
      </c>
      <c r="I953" s="0" t="s">
        <v>273</v>
      </c>
      <c r="J953" s="0" t="s">
        <v>610</v>
      </c>
      <c r="K953" s="83" t="s">
        <v>2397</v>
      </c>
      <c r="L953" s="0" t="s">
        <v>2398</v>
      </c>
      <c r="M953" s="0" t="s">
        <v>237</v>
      </c>
      <c r="N953" s="0" t="str">
        <f t="shared" si="14"/>
        <v>CIHPkdSanga</v>
      </c>
    </row>
    <row r="954">
      <c r="H954" s="0" t="s">
        <v>227</v>
      </c>
      <c r="I954" s="0" t="s">
        <v>273</v>
      </c>
      <c r="J954" s="0" t="s">
        <v>610</v>
      </c>
      <c r="K954" s="83" t="s">
        <v>2399</v>
      </c>
      <c r="L954" s="0" t="s">
        <v>2400</v>
      </c>
      <c r="M954" s="0" t="s">
        <v>237</v>
      </c>
      <c r="N954" s="0" t="str">
        <f t="shared" si="14"/>
        <v>CIHPkdSanga</v>
      </c>
    </row>
    <row r="955">
      <c r="H955" s="0" t="s">
        <v>227</v>
      </c>
      <c r="I955" s="0" t="s">
        <v>273</v>
      </c>
      <c r="J955" s="0" t="s">
        <v>610</v>
      </c>
      <c r="K955" s="83" t="s">
        <v>2401</v>
      </c>
      <c r="L955" s="0" t="s">
        <v>2402</v>
      </c>
      <c r="M955" s="0" t="s">
        <v>237</v>
      </c>
      <c r="N955" s="0" t="str">
        <f t="shared" si="14"/>
        <v>CIHPkdSanga</v>
      </c>
    </row>
    <row r="956">
      <c r="H956" s="0" t="s">
        <v>227</v>
      </c>
      <c r="I956" s="0" t="s">
        <v>273</v>
      </c>
      <c r="J956" s="0" t="s">
        <v>610</v>
      </c>
      <c r="K956" s="83" t="s">
        <v>2403</v>
      </c>
      <c r="L956" s="0" t="s">
        <v>2404</v>
      </c>
      <c r="M956" s="0" t="s">
        <v>237</v>
      </c>
      <c r="N956" s="0" t="str">
        <f t="shared" si="14"/>
        <v>CIHPkdSanga</v>
      </c>
    </row>
    <row r="957">
      <c r="H957" s="0" t="s">
        <v>227</v>
      </c>
      <c r="I957" s="0" t="s">
        <v>273</v>
      </c>
      <c r="J957" s="0" t="s">
        <v>610</v>
      </c>
      <c r="K957" s="83" t="s">
        <v>2405</v>
      </c>
      <c r="L957" s="0" t="s">
        <v>2406</v>
      </c>
      <c r="M957" s="0" t="s">
        <v>237</v>
      </c>
      <c r="N957" s="0" t="str">
        <f t="shared" si="14"/>
        <v>CIHPkdSanga</v>
      </c>
    </row>
    <row r="958">
      <c r="H958" s="0" t="s">
        <v>227</v>
      </c>
      <c r="I958" s="0" t="s">
        <v>273</v>
      </c>
      <c r="J958" s="0" t="s">
        <v>610</v>
      </c>
      <c r="K958" s="83" t="s">
        <v>2407</v>
      </c>
      <c r="L958" s="0" t="s">
        <v>2408</v>
      </c>
      <c r="M958" s="0" t="s">
        <v>237</v>
      </c>
      <c r="N958" s="0" t="str">
        <f t="shared" si="14"/>
        <v>CIHPkdSanga</v>
      </c>
    </row>
    <row r="959">
      <c r="H959" s="0" t="s">
        <v>227</v>
      </c>
      <c r="I959" s="0" t="s">
        <v>273</v>
      </c>
      <c r="J959" s="0" t="s">
        <v>610</v>
      </c>
      <c r="K959" s="83" t="s">
        <v>2409</v>
      </c>
      <c r="L959" s="0" t="s">
        <v>2410</v>
      </c>
      <c r="M959" s="0" t="s">
        <v>237</v>
      </c>
      <c r="N959" s="0" t="str">
        <f t="shared" si="14"/>
        <v>CIHPkdSanga</v>
      </c>
    </row>
    <row r="960">
      <c r="H960" s="0" t="s">
        <v>227</v>
      </c>
      <c r="I960" s="0" t="s">
        <v>273</v>
      </c>
      <c r="J960" s="0" t="s">
        <v>610</v>
      </c>
      <c r="K960" s="83" t="s">
        <v>2411</v>
      </c>
      <c r="L960" s="0" t="s">
        <v>2412</v>
      </c>
      <c r="M960" s="0" t="s">
        <v>237</v>
      </c>
      <c r="N960" s="0" t="str">
        <f t="shared" si="14"/>
        <v>CIHPkdSanga</v>
      </c>
    </row>
    <row r="961">
      <c r="H961" s="0" t="s">
        <v>227</v>
      </c>
      <c r="I961" s="0" t="s">
        <v>273</v>
      </c>
      <c r="J961" s="0" t="s">
        <v>610</v>
      </c>
      <c r="K961" s="83" t="s">
        <v>2413</v>
      </c>
      <c r="L961" s="0" t="s">
        <v>2414</v>
      </c>
      <c r="M961" s="0" t="s">
        <v>237</v>
      </c>
      <c r="N961" s="0" t="str">
        <f t="shared" si="14"/>
        <v>CIHPkdSanga</v>
      </c>
    </row>
    <row r="962">
      <c r="H962" s="0" t="s">
        <v>227</v>
      </c>
      <c r="I962" s="0" t="s">
        <v>273</v>
      </c>
      <c r="J962" s="0" t="s">
        <v>613</v>
      </c>
      <c r="K962" s="83" t="s">
        <v>2415</v>
      </c>
      <c r="L962" s="0" t="s">
        <v>2416</v>
      </c>
      <c r="M962" s="0" t="s">
        <v>237</v>
      </c>
      <c r="N962" s="0" t="str">
        <f t="shared" si="14"/>
        <v>CIHPkdSoba</v>
      </c>
    </row>
    <row r="963">
      <c r="H963" s="0" t="s">
        <v>227</v>
      </c>
      <c r="I963" s="0" t="s">
        <v>273</v>
      </c>
      <c r="J963" s="0" t="s">
        <v>616</v>
      </c>
      <c r="K963" s="83" t="s">
        <v>2417</v>
      </c>
      <c r="L963" s="0" t="s">
        <v>2418</v>
      </c>
      <c r="M963" s="0" t="s">
        <v>237</v>
      </c>
      <c r="N963" s="0" t="str">
        <f ref="N963:N1026" t="shared" si="15">SUBSTITUTE(SUBSTITUTE(M963&amp;J963," ",""),"-","")</f>
        <v>CIHPkdZangoKataf</v>
      </c>
    </row>
    <row r="964">
      <c r="H964" s="0" t="s">
        <v>227</v>
      </c>
      <c r="I964" s="0" t="s">
        <v>273</v>
      </c>
      <c r="J964" s="0" t="s">
        <v>616</v>
      </c>
      <c r="K964" s="83" t="s">
        <v>2419</v>
      </c>
      <c r="L964" s="0" t="s">
        <v>2420</v>
      </c>
      <c r="M964" s="0" t="s">
        <v>237</v>
      </c>
      <c r="N964" s="0" t="str">
        <f t="shared" si="15"/>
        <v>CIHPkdZangoKataf</v>
      </c>
    </row>
    <row r="965">
      <c r="H965" s="0" t="s">
        <v>227</v>
      </c>
      <c r="I965" s="0" t="s">
        <v>273</v>
      </c>
      <c r="J965" s="0" t="s">
        <v>616</v>
      </c>
      <c r="K965" s="83" t="s">
        <v>2421</v>
      </c>
      <c r="L965" s="0" t="s">
        <v>2422</v>
      </c>
      <c r="M965" s="0" t="s">
        <v>237</v>
      </c>
      <c r="N965" s="0" t="str">
        <f t="shared" si="15"/>
        <v>CIHPkdZangoKataf</v>
      </c>
    </row>
    <row r="966">
      <c r="H966" s="0" t="s">
        <v>227</v>
      </c>
      <c r="I966" s="0" t="s">
        <v>273</v>
      </c>
      <c r="J966" s="0" t="s">
        <v>619</v>
      </c>
      <c r="K966" s="83" t="s">
        <v>2423</v>
      </c>
      <c r="L966" s="0" t="s">
        <v>2424</v>
      </c>
      <c r="M966" s="0" t="s">
        <v>237</v>
      </c>
      <c r="N966" s="0" t="str">
        <f t="shared" si="15"/>
        <v>CIHPkdZaria</v>
      </c>
    </row>
    <row r="967">
      <c r="H967" s="0" t="s">
        <v>227</v>
      </c>
      <c r="I967" s="0" t="s">
        <v>273</v>
      </c>
      <c r="J967" s="0" t="s">
        <v>619</v>
      </c>
      <c r="K967" s="83" t="s">
        <v>2425</v>
      </c>
      <c r="L967" s="0" t="s">
        <v>2426</v>
      </c>
      <c r="M967" s="0" t="s">
        <v>237</v>
      </c>
      <c r="N967" s="0" t="str">
        <f t="shared" si="15"/>
        <v>CIHPkdZaria</v>
      </c>
    </row>
    <row r="968">
      <c r="H968" s="0" t="s">
        <v>227</v>
      </c>
      <c r="I968" s="0" t="s">
        <v>273</v>
      </c>
      <c r="J968" s="0" t="s">
        <v>619</v>
      </c>
      <c r="K968" s="83" t="s">
        <v>2427</v>
      </c>
      <c r="L968" s="0" t="s">
        <v>2428</v>
      </c>
      <c r="M968" s="0" t="s">
        <v>237</v>
      </c>
      <c r="N968" s="0" t="str">
        <f t="shared" si="15"/>
        <v>CIHPkdZaria</v>
      </c>
    </row>
    <row r="969">
      <c r="H969" s="0" t="s">
        <v>227</v>
      </c>
      <c r="I969" s="0" t="s">
        <v>273</v>
      </c>
      <c r="J969" s="0" t="s">
        <v>619</v>
      </c>
      <c r="K969" s="83" t="s">
        <v>2429</v>
      </c>
      <c r="L969" s="0" t="s">
        <v>2430</v>
      </c>
      <c r="M969" s="0" t="s">
        <v>237</v>
      </c>
      <c r="N969" s="0" t="str">
        <f t="shared" si="15"/>
        <v>CIHPkdZaria</v>
      </c>
    </row>
    <row r="970">
      <c r="H970" s="0" t="s">
        <v>227</v>
      </c>
      <c r="I970" s="0" t="s">
        <v>239</v>
      </c>
      <c r="J970" s="0" t="s">
        <v>310</v>
      </c>
      <c r="K970" s="83" t="s">
        <v>2431</v>
      </c>
      <c r="L970" s="0" t="s">
        <v>2432</v>
      </c>
      <c r="M970" s="0" t="s">
        <v>244</v>
      </c>
      <c r="N970" s="0" t="str">
        <f t="shared" si="15"/>
        <v>IHVNknGezawa</v>
      </c>
    </row>
    <row r="971">
      <c r="H971" s="0" t="s">
        <v>227</v>
      </c>
      <c r="I971" s="0" t="s">
        <v>239</v>
      </c>
      <c r="J971" s="0" t="s">
        <v>313</v>
      </c>
      <c r="K971" s="83" t="s">
        <v>2433</v>
      </c>
      <c r="L971" s="0" t="s">
        <v>2434</v>
      </c>
      <c r="M971" s="0" t="s">
        <v>244</v>
      </c>
      <c r="N971" s="0" t="str">
        <f t="shared" si="15"/>
        <v>IHVNknNassarawa</v>
      </c>
    </row>
    <row r="972">
      <c r="H972" s="0" t="s">
        <v>227</v>
      </c>
      <c r="I972" s="0" t="s">
        <v>239</v>
      </c>
      <c r="J972" s="0" t="s">
        <v>313</v>
      </c>
      <c r="K972" s="83" t="s">
        <v>2435</v>
      </c>
      <c r="L972" s="0" t="s">
        <v>2436</v>
      </c>
      <c r="M972" s="0" t="s">
        <v>244</v>
      </c>
      <c r="N972" s="0" t="str">
        <f t="shared" si="15"/>
        <v>IHVNknNassarawa</v>
      </c>
    </row>
    <row r="973">
      <c r="H973" s="0" t="s">
        <v>227</v>
      </c>
      <c r="I973" s="0" t="s">
        <v>239</v>
      </c>
      <c r="J973" s="0" t="s">
        <v>313</v>
      </c>
      <c r="K973" s="83" t="s">
        <v>2437</v>
      </c>
      <c r="L973" s="0" t="s">
        <v>2438</v>
      </c>
      <c r="M973" s="0" t="s">
        <v>244</v>
      </c>
      <c r="N973" s="0" t="str">
        <f t="shared" si="15"/>
        <v>IHVNknNassarawa</v>
      </c>
    </row>
    <row r="974">
      <c r="H974" s="0" t="s">
        <v>227</v>
      </c>
      <c r="I974" s="0" t="s">
        <v>239</v>
      </c>
      <c r="J974" s="0" t="s">
        <v>316</v>
      </c>
      <c r="K974" s="83" t="s">
        <v>2439</v>
      </c>
      <c r="L974" s="0" t="s">
        <v>2440</v>
      </c>
      <c r="M974" s="0" t="s">
        <v>244</v>
      </c>
      <c r="N974" s="0" t="str">
        <f t="shared" si="15"/>
        <v>IHVNknTarauni</v>
      </c>
    </row>
    <row r="975">
      <c r="H975" s="0" t="s">
        <v>227</v>
      </c>
      <c r="I975" s="0" t="s">
        <v>239</v>
      </c>
      <c r="J975" s="0" t="s">
        <v>316</v>
      </c>
      <c r="K975" s="83" t="s">
        <v>2441</v>
      </c>
      <c r="L975" s="0" t="s">
        <v>2442</v>
      </c>
      <c r="M975" s="0" t="s">
        <v>244</v>
      </c>
      <c r="N975" s="0" t="str">
        <f t="shared" si="15"/>
        <v>IHVNknTarauni</v>
      </c>
    </row>
    <row r="976">
      <c r="H976" s="0" t="s">
        <v>227</v>
      </c>
      <c r="I976" s="0" t="s">
        <v>239</v>
      </c>
      <c r="J976" s="0" t="s">
        <v>319</v>
      </c>
      <c r="K976" s="83" t="s">
        <v>2443</v>
      </c>
      <c r="L976" s="0" t="s">
        <v>2444</v>
      </c>
      <c r="M976" s="0" t="s">
        <v>244</v>
      </c>
      <c r="N976" s="0" t="str">
        <f t="shared" si="15"/>
        <v>IHVNknTudunWada</v>
      </c>
    </row>
    <row r="977">
      <c r="H977" s="0" t="s">
        <v>227</v>
      </c>
      <c r="I977" s="0" t="s">
        <v>239</v>
      </c>
      <c r="J977" s="0" t="s">
        <v>322</v>
      </c>
      <c r="K977" s="83" t="s">
        <v>2445</v>
      </c>
      <c r="L977" s="0" t="s">
        <v>2446</v>
      </c>
      <c r="M977" s="0" t="s">
        <v>244</v>
      </c>
      <c r="N977" s="0" t="str">
        <f t="shared" si="15"/>
        <v>IHVNknUngogo</v>
      </c>
    </row>
    <row r="978">
      <c r="H978" s="0" t="s">
        <v>227</v>
      </c>
      <c r="I978" s="0" t="s">
        <v>239</v>
      </c>
      <c r="J978" s="0" t="s">
        <v>322</v>
      </c>
      <c r="K978" s="83" t="s">
        <v>2447</v>
      </c>
      <c r="L978" s="0" t="s">
        <v>2448</v>
      </c>
      <c r="M978" s="0" t="s">
        <v>244</v>
      </c>
      <c r="N978" s="0" t="str">
        <f t="shared" si="15"/>
        <v>IHVNknUngogo</v>
      </c>
    </row>
    <row r="979">
      <c r="H979" s="0" t="s">
        <v>227</v>
      </c>
      <c r="I979" s="0" t="s">
        <v>246</v>
      </c>
      <c r="J979" s="0" t="s">
        <v>325</v>
      </c>
      <c r="K979" s="83" t="s">
        <v>2449</v>
      </c>
      <c r="L979" s="0" t="s">
        <v>2450</v>
      </c>
      <c r="M979" s="0" t="s">
        <v>244</v>
      </c>
      <c r="N979" s="0" t="str">
        <f t="shared" si="15"/>
        <v>IHVNktFuntua</v>
      </c>
    </row>
    <row r="980">
      <c r="H980" s="0" t="s">
        <v>227</v>
      </c>
      <c r="I980" s="0" t="s">
        <v>246</v>
      </c>
      <c r="J980" s="0" t="s">
        <v>328</v>
      </c>
      <c r="K980" s="83" t="s">
        <v>2451</v>
      </c>
      <c r="L980" s="0" t="s">
        <v>2452</v>
      </c>
      <c r="M980" s="0" t="s">
        <v>244</v>
      </c>
      <c r="N980" s="0" t="str">
        <f t="shared" si="15"/>
        <v>IHVNktKankia</v>
      </c>
    </row>
    <row r="981">
      <c r="H981" s="0" t="s">
        <v>227</v>
      </c>
      <c r="I981" s="0" t="s">
        <v>246</v>
      </c>
      <c r="J981" s="0" t="s">
        <v>331</v>
      </c>
      <c r="K981" s="83" t="s">
        <v>2453</v>
      </c>
      <c r="L981" s="0" t="s">
        <v>2454</v>
      </c>
      <c r="M981" s="0" t="s">
        <v>244</v>
      </c>
      <c r="N981" s="0" t="str">
        <f t="shared" si="15"/>
        <v>IHVNktKatsina</v>
      </c>
    </row>
    <row r="982">
      <c r="H982" s="0" t="s">
        <v>227</v>
      </c>
      <c r="I982" s="0" t="s">
        <v>246</v>
      </c>
      <c r="J982" s="0" t="s">
        <v>331</v>
      </c>
      <c r="K982" s="83" t="s">
        <v>2455</v>
      </c>
      <c r="L982" s="0" t="s">
        <v>2456</v>
      </c>
      <c r="M982" s="0" t="s">
        <v>244</v>
      </c>
      <c r="N982" s="0" t="str">
        <f t="shared" si="15"/>
        <v>IHVNktKatsina</v>
      </c>
    </row>
    <row r="983">
      <c r="H983" s="0" t="s">
        <v>227</v>
      </c>
      <c r="I983" s="0" t="s">
        <v>277</v>
      </c>
      <c r="J983" s="0" t="s">
        <v>622</v>
      </c>
      <c r="K983" s="83" t="s">
        <v>2457</v>
      </c>
      <c r="L983" s="0" t="s">
        <v>2458</v>
      </c>
      <c r="M983" s="0" t="s">
        <v>237</v>
      </c>
      <c r="N983" s="0" t="str">
        <f t="shared" si="15"/>
        <v>CIHPkoAdavi</v>
      </c>
    </row>
    <row r="984">
      <c r="H984" s="0" t="s">
        <v>227</v>
      </c>
      <c r="I984" s="0" t="s">
        <v>277</v>
      </c>
      <c r="J984" s="0" t="s">
        <v>622</v>
      </c>
      <c r="K984" s="83" t="s">
        <v>2459</v>
      </c>
      <c r="L984" s="0" t="s">
        <v>2460</v>
      </c>
      <c r="M984" s="0" t="s">
        <v>237</v>
      </c>
      <c r="N984" s="0" t="str">
        <f t="shared" si="15"/>
        <v>CIHPkoAdavi</v>
      </c>
    </row>
    <row r="985">
      <c r="H985" s="0" t="s">
        <v>227</v>
      </c>
      <c r="I985" s="0" t="s">
        <v>277</v>
      </c>
      <c r="J985" s="0" t="s">
        <v>625</v>
      </c>
      <c r="K985" s="83" t="s">
        <v>2461</v>
      </c>
      <c r="L985" s="0" t="s">
        <v>2462</v>
      </c>
      <c r="M985" s="0" t="s">
        <v>237</v>
      </c>
      <c r="N985" s="0" t="str">
        <f t="shared" si="15"/>
        <v>CIHPkoAjaokuta</v>
      </c>
    </row>
    <row r="986">
      <c r="H986" s="0" t="s">
        <v>227</v>
      </c>
      <c r="I986" s="0" t="s">
        <v>277</v>
      </c>
      <c r="J986" s="0" t="s">
        <v>629</v>
      </c>
      <c r="K986" s="83" t="s">
        <v>2463</v>
      </c>
      <c r="L986" s="0" t="s">
        <v>2464</v>
      </c>
      <c r="M986" s="0" t="s">
        <v>237</v>
      </c>
      <c r="N986" s="0" t="str">
        <f t="shared" si="15"/>
        <v>CIHPkoAnkpa</v>
      </c>
    </row>
    <row r="987">
      <c r="H987" s="0" t="s">
        <v>227</v>
      </c>
      <c r="I987" s="0" t="s">
        <v>277</v>
      </c>
      <c r="J987" s="0" t="s">
        <v>629</v>
      </c>
      <c r="K987" s="83" t="s">
        <v>2465</v>
      </c>
      <c r="L987" s="0" t="s">
        <v>2466</v>
      </c>
      <c r="M987" s="0" t="s">
        <v>237</v>
      </c>
      <c r="N987" s="0" t="str">
        <f t="shared" si="15"/>
        <v>CIHPkoAnkpa</v>
      </c>
    </row>
    <row r="988">
      <c r="H988" s="0" t="s">
        <v>227</v>
      </c>
      <c r="I988" s="0" t="s">
        <v>277</v>
      </c>
      <c r="J988" s="0" t="s">
        <v>629</v>
      </c>
      <c r="K988" s="83" t="s">
        <v>2467</v>
      </c>
      <c r="L988" s="0" t="s">
        <v>2468</v>
      </c>
      <c r="M988" s="0" t="s">
        <v>237</v>
      </c>
      <c r="N988" s="0" t="str">
        <f t="shared" si="15"/>
        <v>CIHPkoAnkpa</v>
      </c>
    </row>
    <row r="989">
      <c r="H989" s="0" t="s">
        <v>227</v>
      </c>
      <c r="I989" s="0" t="s">
        <v>277</v>
      </c>
      <c r="J989" s="0" t="s">
        <v>629</v>
      </c>
      <c r="K989" s="83" t="s">
        <v>2469</v>
      </c>
      <c r="L989" s="0" t="s">
        <v>2470</v>
      </c>
      <c r="M989" s="0" t="s">
        <v>237</v>
      </c>
      <c r="N989" s="0" t="str">
        <f t="shared" si="15"/>
        <v>CIHPkoAnkpa</v>
      </c>
    </row>
    <row r="990">
      <c r="H990" s="0" t="s">
        <v>227</v>
      </c>
      <c r="I990" s="0" t="s">
        <v>277</v>
      </c>
      <c r="J990" s="0" t="s">
        <v>629</v>
      </c>
      <c r="K990" s="83" t="s">
        <v>2471</v>
      </c>
      <c r="L990" s="0" t="s">
        <v>2472</v>
      </c>
      <c r="M990" s="0" t="s">
        <v>237</v>
      </c>
      <c r="N990" s="0" t="str">
        <f t="shared" si="15"/>
        <v>CIHPkoAnkpa</v>
      </c>
    </row>
    <row r="991">
      <c r="H991" s="0" t="s">
        <v>227</v>
      </c>
      <c r="I991" s="0" t="s">
        <v>277</v>
      </c>
      <c r="J991" s="0" t="s">
        <v>629</v>
      </c>
      <c r="K991" s="83" t="s">
        <v>2473</v>
      </c>
      <c r="L991" s="0" t="s">
        <v>2474</v>
      </c>
      <c r="M991" s="0" t="s">
        <v>237</v>
      </c>
      <c r="N991" s="0" t="str">
        <f t="shared" si="15"/>
        <v>CIHPkoAnkpa</v>
      </c>
    </row>
    <row r="992">
      <c r="H992" s="0" t="s">
        <v>227</v>
      </c>
      <c r="I992" s="0" t="s">
        <v>277</v>
      </c>
      <c r="J992" s="0" t="s">
        <v>629</v>
      </c>
      <c r="K992" s="83" t="s">
        <v>2475</v>
      </c>
      <c r="L992" s="0" t="s">
        <v>2476</v>
      </c>
      <c r="M992" s="0" t="s">
        <v>237</v>
      </c>
      <c r="N992" s="0" t="str">
        <f t="shared" si="15"/>
        <v>CIHPkoAnkpa</v>
      </c>
    </row>
    <row r="993">
      <c r="H993" s="0" t="s">
        <v>227</v>
      </c>
      <c r="I993" s="0" t="s">
        <v>277</v>
      </c>
      <c r="J993" s="0" t="s">
        <v>632</v>
      </c>
      <c r="K993" s="83" t="s">
        <v>2477</v>
      </c>
      <c r="L993" s="0" t="s">
        <v>2478</v>
      </c>
      <c r="M993" s="0" t="s">
        <v>237</v>
      </c>
      <c r="N993" s="0" t="str">
        <f t="shared" si="15"/>
        <v>CIHPkoDekina</v>
      </c>
    </row>
    <row r="994">
      <c r="H994" s="0" t="s">
        <v>227</v>
      </c>
      <c r="I994" s="0" t="s">
        <v>277</v>
      </c>
      <c r="J994" s="0" t="s">
        <v>632</v>
      </c>
      <c r="K994" s="83" t="s">
        <v>2479</v>
      </c>
      <c r="L994" s="0" t="s">
        <v>2480</v>
      </c>
      <c r="M994" s="0" t="s">
        <v>237</v>
      </c>
      <c r="N994" s="0" t="str">
        <f t="shared" si="15"/>
        <v>CIHPkoDekina</v>
      </c>
    </row>
    <row r="995">
      <c r="H995" s="0" t="s">
        <v>227</v>
      </c>
      <c r="I995" s="0" t="s">
        <v>277</v>
      </c>
      <c r="J995" s="0" t="s">
        <v>632</v>
      </c>
      <c r="K995" s="83" t="s">
        <v>2481</v>
      </c>
      <c r="L995" s="0" t="s">
        <v>2482</v>
      </c>
      <c r="M995" s="0" t="s">
        <v>237</v>
      </c>
      <c r="N995" s="0" t="str">
        <f t="shared" si="15"/>
        <v>CIHPkoDekina</v>
      </c>
    </row>
    <row r="996">
      <c r="H996" s="0" t="s">
        <v>227</v>
      </c>
      <c r="I996" s="0" t="s">
        <v>277</v>
      </c>
      <c r="J996" s="0" t="s">
        <v>632</v>
      </c>
      <c r="K996" s="83" t="s">
        <v>2483</v>
      </c>
      <c r="L996" s="0" t="s">
        <v>2484</v>
      </c>
      <c r="M996" s="0" t="s">
        <v>237</v>
      </c>
      <c r="N996" s="0" t="str">
        <f t="shared" si="15"/>
        <v>CIHPkoDekina</v>
      </c>
    </row>
    <row r="997">
      <c r="H997" s="0" t="s">
        <v>227</v>
      </c>
      <c r="I997" s="0" t="s">
        <v>277</v>
      </c>
      <c r="J997" s="0" t="s">
        <v>632</v>
      </c>
      <c r="K997" s="83" t="s">
        <v>2485</v>
      </c>
      <c r="L997" s="0" t="s">
        <v>2486</v>
      </c>
      <c r="M997" s="0" t="s">
        <v>237</v>
      </c>
      <c r="N997" s="0" t="str">
        <f t="shared" si="15"/>
        <v>CIHPkoDekina</v>
      </c>
    </row>
    <row r="998">
      <c r="H998" s="0" t="s">
        <v>227</v>
      </c>
      <c r="I998" s="0" t="s">
        <v>277</v>
      </c>
      <c r="J998" s="0" t="s">
        <v>632</v>
      </c>
      <c r="K998" s="83" t="s">
        <v>2487</v>
      </c>
      <c r="L998" s="0" t="s">
        <v>2488</v>
      </c>
      <c r="M998" s="0" t="s">
        <v>237</v>
      </c>
      <c r="N998" s="0" t="str">
        <f t="shared" si="15"/>
        <v>CIHPkoDekina</v>
      </c>
    </row>
    <row r="999">
      <c r="H999" s="0" t="s">
        <v>227</v>
      </c>
      <c r="I999" s="0" t="s">
        <v>277</v>
      </c>
      <c r="J999" s="0" t="s">
        <v>632</v>
      </c>
      <c r="K999" s="83" t="s">
        <v>2489</v>
      </c>
      <c r="L999" s="0" t="s">
        <v>2490</v>
      </c>
      <c r="M999" s="0" t="s">
        <v>237</v>
      </c>
      <c r="N999" s="0" t="str">
        <f t="shared" si="15"/>
        <v>CIHPkoDekina</v>
      </c>
    </row>
    <row r="1000">
      <c r="H1000" s="0" t="s">
        <v>227</v>
      </c>
      <c r="I1000" s="0" t="s">
        <v>277</v>
      </c>
      <c r="J1000" s="0" t="s">
        <v>635</v>
      </c>
      <c r="K1000" s="83" t="s">
        <v>2491</v>
      </c>
      <c r="L1000" s="0" t="s">
        <v>2492</v>
      </c>
      <c r="M1000" s="0" t="s">
        <v>237</v>
      </c>
      <c r="N1000" s="0" t="str">
        <f t="shared" si="15"/>
        <v>CIHPkoIbaji</v>
      </c>
    </row>
    <row r="1001">
      <c r="H1001" s="0" t="s">
        <v>227</v>
      </c>
      <c r="I1001" s="0" t="s">
        <v>277</v>
      </c>
      <c r="J1001" s="0" t="s">
        <v>638</v>
      </c>
      <c r="K1001" s="83" t="s">
        <v>2493</v>
      </c>
      <c r="L1001" s="0" t="s">
        <v>2494</v>
      </c>
      <c r="M1001" s="0" t="s">
        <v>237</v>
      </c>
      <c r="N1001" s="0" t="str">
        <f t="shared" si="15"/>
        <v>CIHPkoIdah</v>
      </c>
    </row>
    <row r="1002">
      <c r="H1002" s="0" t="s">
        <v>227</v>
      </c>
      <c r="I1002" s="0" t="s">
        <v>277</v>
      </c>
      <c r="J1002" s="0" t="s">
        <v>638</v>
      </c>
      <c r="K1002" s="83" t="s">
        <v>2495</v>
      </c>
      <c r="L1002" s="0" t="s">
        <v>2496</v>
      </c>
      <c r="M1002" s="0" t="s">
        <v>237</v>
      </c>
      <c r="N1002" s="0" t="str">
        <f t="shared" si="15"/>
        <v>CIHPkoIdah</v>
      </c>
    </row>
    <row r="1003">
      <c r="H1003" s="0" t="s">
        <v>227</v>
      </c>
      <c r="I1003" s="0" t="s">
        <v>277</v>
      </c>
      <c r="J1003" s="0" t="s">
        <v>641</v>
      </c>
      <c r="K1003" s="83" t="s">
        <v>2497</v>
      </c>
      <c r="L1003" s="0" t="s">
        <v>2498</v>
      </c>
      <c r="M1003" s="0" t="s">
        <v>237</v>
      </c>
      <c r="N1003" s="0" t="str">
        <f t="shared" si="15"/>
        <v>CIHPkoIgalamelaOdolu</v>
      </c>
    </row>
    <row r="1004">
      <c r="H1004" s="0" t="s">
        <v>227</v>
      </c>
      <c r="I1004" s="0" t="s">
        <v>277</v>
      </c>
      <c r="J1004" s="0" t="s">
        <v>644</v>
      </c>
      <c r="K1004" s="83" t="s">
        <v>2499</v>
      </c>
      <c r="L1004" s="0" t="s">
        <v>2500</v>
      </c>
      <c r="M1004" s="0" t="s">
        <v>237</v>
      </c>
      <c r="N1004" s="0" t="str">
        <f t="shared" si="15"/>
        <v>CIHPkoIjumu</v>
      </c>
    </row>
    <row r="1005">
      <c r="H1005" s="0" t="s">
        <v>227</v>
      </c>
      <c r="I1005" s="0" t="s">
        <v>277</v>
      </c>
      <c r="J1005" s="0" t="s">
        <v>644</v>
      </c>
      <c r="K1005" s="83" t="s">
        <v>2501</v>
      </c>
      <c r="L1005" s="0" t="s">
        <v>2502</v>
      </c>
      <c r="M1005" s="0" t="s">
        <v>237</v>
      </c>
      <c r="N1005" s="0" t="str">
        <f t="shared" si="15"/>
        <v>CIHPkoIjumu</v>
      </c>
    </row>
    <row r="1006">
      <c r="H1006" s="0" t="s">
        <v>227</v>
      </c>
      <c r="I1006" s="0" t="s">
        <v>277</v>
      </c>
      <c r="J1006" s="0" t="s">
        <v>647</v>
      </c>
      <c r="K1006" s="83" t="s">
        <v>2503</v>
      </c>
      <c r="L1006" s="0" t="s">
        <v>2504</v>
      </c>
      <c r="M1006" s="0" t="s">
        <v>237</v>
      </c>
      <c r="N1006" s="0" t="str">
        <f t="shared" si="15"/>
        <v>CIHPkoKabbaBunu</v>
      </c>
    </row>
    <row r="1007">
      <c r="H1007" s="83" t="s">
        <v>227</v>
      </c>
      <c r="I1007" s="83" t="s">
        <v>277</v>
      </c>
      <c r="J1007" s="83" t="s">
        <v>647</v>
      </c>
      <c r="K1007" s="83" t="s">
        <v>2505</v>
      </c>
      <c r="L1007" s="83" t="s">
        <v>2506</v>
      </c>
      <c r="M1007" s="0" t="s">
        <v>237</v>
      </c>
      <c r="N1007" s="0" t="str">
        <f t="shared" si="15"/>
        <v>CIHPkoKabbaBunu</v>
      </c>
    </row>
    <row r="1008">
      <c r="H1008" s="0" t="s">
        <v>227</v>
      </c>
      <c r="I1008" s="0" t="s">
        <v>277</v>
      </c>
      <c r="J1008" s="0" t="s">
        <v>650</v>
      </c>
      <c r="K1008" s="83" t="s">
        <v>2507</v>
      </c>
      <c r="L1008" s="0" t="s">
        <v>2508</v>
      </c>
      <c r="M1008" s="0" t="s">
        <v>237</v>
      </c>
      <c r="N1008" s="0" t="str">
        <f t="shared" si="15"/>
        <v>CIHPkoKogi</v>
      </c>
    </row>
    <row r="1009">
      <c r="H1009" s="0" t="s">
        <v>227</v>
      </c>
      <c r="I1009" s="0" t="s">
        <v>277</v>
      </c>
      <c r="J1009" s="0" t="s">
        <v>650</v>
      </c>
      <c r="K1009" s="83" t="s">
        <v>2509</v>
      </c>
      <c r="L1009" s="0" t="s">
        <v>2510</v>
      </c>
      <c r="M1009" s="0" t="s">
        <v>237</v>
      </c>
      <c r="N1009" s="0" t="str">
        <f t="shared" si="15"/>
        <v>CIHPkoKogi</v>
      </c>
    </row>
    <row r="1010">
      <c r="H1010" s="0" t="s">
        <v>227</v>
      </c>
      <c r="I1010" s="0" t="s">
        <v>277</v>
      </c>
      <c r="J1010" s="0" t="s">
        <v>650</v>
      </c>
      <c r="K1010" s="83" t="s">
        <v>2511</v>
      </c>
      <c r="L1010" s="0" t="s">
        <v>2512</v>
      </c>
      <c r="M1010" s="0" t="s">
        <v>237</v>
      </c>
      <c r="N1010" s="83" t="str">
        <f t="shared" si="15"/>
        <v>CIHPkoKogi</v>
      </c>
    </row>
    <row r="1011">
      <c r="H1011" s="0" t="s">
        <v>227</v>
      </c>
      <c r="I1011" s="0" t="s">
        <v>277</v>
      </c>
      <c r="J1011" s="0" t="s">
        <v>653</v>
      </c>
      <c r="K1011" s="83" t="s">
        <v>2513</v>
      </c>
      <c r="L1011" s="0" t="s">
        <v>2514</v>
      </c>
      <c r="M1011" s="0" t="s">
        <v>237</v>
      </c>
      <c r="N1011" s="0" t="str">
        <f t="shared" si="15"/>
        <v>CIHPkoLokoja</v>
      </c>
    </row>
    <row r="1012">
      <c r="H1012" s="0" t="s">
        <v>227</v>
      </c>
      <c r="I1012" s="0" t="s">
        <v>277</v>
      </c>
      <c r="J1012" s="0" t="s">
        <v>653</v>
      </c>
      <c r="K1012" s="83" t="s">
        <v>2515</v>
      </c>
      <c r="L1012" s="0" t="s">
        <v>2516</v>
      </c>
      <c r="M1012" s="0" t="s">
        <v>237</v>
      </c>
      <c r="N1012" s="0" t="str">
        <f t="shared" si="15"/>
        <v>CIHPkoLokoja</v>
      </c>
    </row>
    <row r="1013">
      <c r="H1013" s="0" t="s">
        <v>227</v>
      </c>
      <c r="I1013" s="0" t="s">
        <v>277</v>
      </c>
      <c r="J1013" s="0" t="s">
        <v>656</v>
      </c>
      <c r="K1013" s="83" t="s">
        <v>2517</v>
      </c>
      <c r="L1013" s="0" t="s">
        <v>2518</v>
      </c>
      <c r="M1013" s="0" t="s">
        <v>237</v>
      </c>
      <c r="N1013" s="0" t="str">
        <f t="shared" si="15"/>
        <v>CIHPkoOfu</v>
      </c>
    </row>
    <row r="1014">
      <c r="H1014" s="0" t="s">
        <v>227</v>
      </c>
      <c r="I1014" s="0" t="s">
        <v>277</v>
      </c>
      <c r="J1014" s="0" t="s">
        <v>656</v>
      </c>
      <c r="K1014" s="83" t="s">
        <v>2519</v>
      </c>
      <c r="L1014" s="0" t="s">
        <v>2520</v>
      </c>
      <c r="M1014" s="0" t="s">
        <v>237</v>
      </c>
      <c r="N1014" s="0" t="str">
        <f t="shared" si="15"/>
        <v>CIHPkoOfu</v>
      </c>
    </row>
    <row r="1015">
      <c r="H1015" s="0" t="s">
        <v>227</v>
      </c>
      <c r="I1015" s="0" t="s">
        <v>277</v>
      </c>
      <c r="J1015" s="0" t="s">
        <v>659</v>
      </c>
      <c r="K1015" s="83" t="s">
        <v>2521</v>
      </c>
      <c r="L1015" s="0" t="s">
        <v>2522</v>
      </c>
      <c r="M1015" s="0" t="s">
        <v>237</v>
      </c>
      <c r="N1015" s="0" t="str">
        <f t="shared" si="15"/>
        <v>CIHPkoOkehi</v>
      </c>
    </row>
    <row r="1016">
      <c r="H1016" s="0" t="s">
        <v>227</v>
      </c>
      <c r="I1016" s="0" t="s">
        <v>277</v>
      </c>
      <c r="J1016" s="0" t="s">
        <v>659</v>
      </c>
      <c r="K1016" s="83" t="s">
        <v>2523</v>
      </c>
      <c r="L1016" s="0" t="s">
        <v>2524</v>
      </c>
      <c r="M1016" s="0" t="s">
        <v>237</v>
      </c>
      <c r="N1016" s="0" t="str">
        <f t="shared" si="15"/>
        <v>CIHPkoOkehi</v>
      </c>
    </row>
    <row r="1017">
      <c r="H1017" s="0" t="s">
        <v>227</v>
      </c>
      <c r="I1017" s="0" t="s">
        <v>277</v>
      </c>
      <c r="J1017" s="0" t="s">
        <v>662</v>
      </c>
      <c r="K1017" s="83" t="s">
        <v>2525</v>
      </c>
      <c r="L1017" s="0" t="s">
        <v>2526</v>
      </c>
      <c r="M1017" s="0" t="s">
        <v>237</v>
      </c>
      <c r="N1017" s="0" t="str">
        <f t="shared" si="15"/>
        <v>CIHPkoOkene</v>
      </c>
    </row>
    <row r="1018">
      <c r="H1018" s="0" t="s">
        <v>227</v>
      </c>
      <c r="I1018" s="0" t="s">
        <v>277</v>
      </c>
      <c r="J1018" s="0" t="s">
        <v>662</v>
      </c>
      <c r="K1018" s="83" t="s">
        <v>2527</v>
      </c>
      <c r="L1018" s="0" t="s">
        <v>2528</v>
      </c>
      <c r="M1018" s="0" t="s">
        <v>237</v>
      </c>
      <c r="N1018" s="0" t="str">
        <f t="shared" si="15"/>
        <v>CIHPkoOkene</v>
      </c>
    </row>
    <row r="1019">
      <c r="H1019" s="0" t="s">
        <v>227</v>
      </c>
      <c r="I1019" s="0" t="s">
        <v>277</v>
      </c>
      <c r="J1019" s="0" t="s">
        <v>662</v>
      </c>
      <c r="K1019" s="83" t="s">
        <v>2529</v>
      </c>
      <c r="L1019" s="0" t="s">
        <v>2530</v>
      </c>
      <c r="M1019" s="0" t="s">
        <v>237</v>
      </c>
      <c r="N1019" s="0" t="str">
        <f t="shared" si="15"/>
        <v>CIHPkoOkene</v>
      </c>
    </row>
    <row r="1020">
      <c r="H1020" s="0" t="s">
        <v>227</v>
      </c>
      <c r="I1020" s="0" t="s">
        <v>277</v>
      </c>
      <c r="J1020" s="0" t="s">
        <v>665</v>
      </c>
      <c r="K1020" s="83" t="s">
        <v>2531</v>
      </c>
      <c r="L1020" s="0" t="s">
        <v>2532</v>
      </c>
      <c r="M1020" s="0" t="s">
        <v>237</v>
      </c>
      <c r="N1020" s="0" t="str">
        <f t="shared" si="15"/>
        <v>CIHPkoOlamaboro</v>
      </c>
    </row>
    <row r="1021">
      <c r="H1021" s="0" t="s">
        <v>227</v>
      </c>
      <c r="I1021" s="0" t="s">
        <v>277</v>
      </c>
      <c r="J1021" s="0" t="s">
        <v>665</v>
      </c>
      <c r="K1021" s="83" t="s">
        <v>2533</v>
      </c>
      <c r="L1021" s="0" t="s">
        <v>2534</v>
      </c>
      <c r="M1021" s="0" t="s">
        <v>237</v>
      </c>
      <c r="N1021" s="0" t="str">
        <f t="shared" si="15"/>
        <v>CIHPkoOlamaboro</v>
      </c>
    </row>
    <row r="1022">
      <c r="H1022" s="0" t="s">
        <v>227</v>
      </c>
      <c r="I1022" s="0" t="s">
        <v>277</v>
      </c>
      <c r="J1022" s="0" t="s">
        <v>665</v>
      </c>
      <c r="K1022" s="83" t="s">
        <v>2535</v>
      </c>
      <c r="L1022" s="0" t="s">
        <v>2536</v>
      </c>
      <c r="M1022" s="0" t="s">
        <v>237</v>
      </c>
      <c r="N1022" s="0" t="str">
        <f t="shared" si="15"/>
        <v>CIHPkoOlamaboro</v>
      </c>
    </row>
    <row r="1023">
      <c r="H1023" s="0" t="s">
        <v>227</v>
      </c>
      <c r="I1023" s="0" t="s">
        <v>277</v>
      </c>
      <c r="J1023" s="0" t="s">
        <v>668</v>
      </c>
      <c r="K1023" s="83" t="s">
        <v>2537</v>
      </c>
      <c r="L1023" s="0" t="s">
        <v>2538</v>
      </c>
      <c r="M1023" s="0" t="s">
        <v>237</v>
      </c>
      <c r="N1023" s="0" t="str">
        <f t="shared" si="15"/>
        <v>CIHPkoOmala</v>
      </c>
    </row>
    <row r="1024">
      <c r="H1024" s="0" t="s">
        <v>227</v>
      </c>
      <c r="I1024" s="0" t="s">
        <v>277</v>
      </c>
      <c r="J1024" s="0" t="s">
        <v>668</v>
      </c>
      <c r="K1024" s="83" t="s">
        <v>2539</v>
      </c>
      <c r="L1024" s="0" t="s">
        <v>2540</v>
      </c>
      <c r="M1024" s="0" t="s">
        <v>237</v>
      </c>
      <c r="N1024" s="0" t="str">
        <f t="shared" si="15"/>
        <v>CIHPkoOmala</v>
      </c>
    </row>
    <row r="1025">
      <c r="H1025" s="0" t="s">
        <v>227</v>
      </c>
      <c r="I1025" s="0" t="s">
        <v>289</v>
      </c>
      <c r="J1025" s="0" t="s">
        <v>748</v>
      </c>
      <c r="K1025" s="83" t="s">
        <v>2541</v>
      </c>
      <c r="L1025" s="0" t="s">
        <v>2542</v>
      </c>
      <c r="M1025" s="0" t="s">
        <v>36</v>
      </c>
      <c r="N1025" s="0" t="str">
        <f t="shared" si="15"/>
        <v>APINlaAlimosho</v>
      </c>
    </row>
    <row r="1026">
      <c r="H1026" s="0" t="s">
        <v>227</v>
      </c>
      <c r="I1026" s="0" t="s">
        <v>289</v>
      </c>
      <c r="J1026" s="0" t="s">
        <v>748</v>
      </c>
      <c r="K1026" s="83" t="s">
        <v>2543</v>
      </c>
      <c r="L1026" s="0" t="s">
        <v>2544</v>
      </c>
      <c r="M1026" s="0" t="s">
        <v>36</v>
      </c>
      <c r="N1026" s="0" t="str">
        <f t="shared" si="15"/>
        <v>APINlaAlimosho</v>
      </c>
    </row>
    <row r="1027">
      <c r="H1027" s="0" t="s">
        <v>227</v>
      </c>
      <c r="I1027" s="0" t="s">
        <v>289</v>
      </c>
      <c r="J1027" s="0" t="s">
        <v>748</v>
      </c>
      <c r="K1027" s="83" t="s">
        <v>2545</v>
      </c>
      <c r="L1027" s="0" t="s">
        <v>2546</v>
      </c>
      <c r="M1027" s="0" t="s">
        <v>36</v>
      </c>
      <c r="N1027" s="0" t="str">
        <f ref="N1027:N1090" t="shared" si="16">SUBSTITUTE(SUBSTITUTE(M1027&amp;J1027," ",""),"-","")</f>
        <v>APINlaAlimosho</v>
      </c>
    </row>
    <row r="1028">
      <c r="H1028" s="0" t="s">
        <v>227</v>
      </c>
      <c r="I1028" s="0" t="s">
        <v>289</v>
      </c>
      <c r="J1028" s="0" t="s">
        <v>748</v>
      </c>
      <c r="K1028" s="83" t="s">
        <v>2547</v>
      </c>
      <c r="L1028" s="0" t="s">
        <v>2548</v>
      </c>
      <c r="M1028" s="0" t="s">
        <v>36</v>
      </c>
      <c r="N1028" s="0" t="str">
        <f t="shared" si="16"/>
        <v>APINlaAlimosho</v>
      </c>
    </row>
    <row r="1029">
      <c r="H1029" s="0" t="s">
        <v>227</v>
      </c>
      <c r="I1029" s="0" t="s">
        <v>289</v>
      </c>
      <c r="J1029" s="0" t="s">
        <v>748</v>
      </c>
      <c r="K1029" s="83" t="s">
        <v>2549</v>
      </c>
      <c r="L1029" s="0" t="s">
        <v>2550</v>
      </c>
      <c r="M1029" s="0" t="s">
        <v>36</v>
      </c>
      <c r="N1029" s="0" t="str">
        <f t="shared" si="16"/>
        <v>APINlaAlimosho</v>
      </c>
    </row>
    <row r="1030">
      <c r="H1030" s="0" t="s">
        <v>227</v>
      </c>
      <c r="I1030" s="0" t="s">
        <v>289</v>
      </c>
      <c r="J1030" s="0" t="s">
        <v>748</v>
      </c>
      <c r="K1030" s="83" t="s">
        <v>2551</v>
      </c>
      <c r="L1030" s="0" t="s">
        <v>2552</v>
      </c>
      <c r="M1030" s="0" t="s">
        <v>36</v>
      </c>
      <c r="N1030" s="0" t="str">
        <f t="shared" si="16"/>
        <v>APINlaAlimosho</v>
      </c>
    </row>
    <row r="1031">
      <c r="H1031" s="0" t="s">
        <v>227</v>
      </c>
      <c r="I1031" s="0" t="s">
        <v>289</v>
      </c>
      <c r="J1031" s="0" t="s">
        <v>748</v>
      </c>
      <c r="K1031" s="83" t="s">
        <v>2553</v>
      </c>
      <c r="L1031" s="0" t="s">
        <v>2554</v>
      </c>
      <c r="M1031" s="0" t="s">
        <v>36</v>
      </c>
      <c r="N1031" s="0" t="str">
        <f t="shared" si="16"/>
        <v>APINlaAlimosho</v>
      </c>
    </row>
    <row r="1032">
      <c r="H1032" s="0" t="s">
        <v>227</v>
      </c>
      <c r="I1032" s="0" t="s">
        <v>289</v>
      </c>
      <c r="J1032" s="0" t="s">
        <v>748</v>
      </c>
      <c r="K1032" s="83" t="s">
        <v>2555</v>
      </c>
      <c r="L1032" s="0" t="s">
        <v>2556</v>
      </c>
      <c r="M1032" s="0" t="s">
        <v>36</v>
      </c>
      <c r="N1032" s="0" t="str">
        <f t="shared" si="16"/>
        <v>APINlaAlimosho</v>
      </c>
    </row>
    <row r="1033">
      <c r="H1033" s="0" t="s">
        <v>227</v>
      </c>
      <c r="I1033" s="0" t="s">
        <v>289</v>
      </c>
      <c r="J1033" s="0" t="s">
        <v>748</v>
      </c>
      <c r="K1033" s="83" t="s">
        <v>2557</v>
      </c>
      <c r="L1033" s="0" t="s">
        <v>2558</v>
      </c>
      <c r="M1033" s="0" t="s">
        <v>36</v>
      </c>
      <c r="N1033" s="0" t="str">
        <f t="shared" si="16"/>
        <v>APINlaAlimosho</v>
      </c>
    </row>
    <row r="1034">
      <c r="H1034" s="0" t="s">
        <v>227</v>
      </c>
      <c r="I1034" s="0" t="s">
        <v>289</v>
      </c>
      <c r="J1034" s="0" t="s">
        <v>748</v>
      </c>
      <c r="K1034" s="83" t="s">
        <v>2559</v>
      </c>
      <c r="L1034" s="0" t="s">
        <v>2560</v>
      </c>
      <c r="M1034" s="0" t="s">
        <v>36</v>
      </c>
      <c r="N1034" s="0" t="str">
        <f t="shared" si="16"/>
        <v>APINlaAlimosho</v>
      </c>
    </row>
    <row r="1035">
      <c r="H1035" s="0" t="s">
        <v>227</v>
      </c>
      <c r="I1035" s="0" t="s">
        <v>289</v>
      </c>
      <c r="J1035" s="0" t="s">
        <v>748</v>
      </c>
      <c r="K1035" s="83" t="s">
        <v>2561</v>
      </c>
      <c r="L1035" s="0" t="s">
        <v>2562</v>
      </c>
      <c r="M1035" s="0" t="s">
        <v>36</v>
      </c>
      <c r="N1035" s="0" t="str">
        <f t="shared" si="16"/>
        <v>APINlaAlimosho</v>
      </c>
    </row>
    <row r="1036">
      <c r="H1036" s="0" t="s">
        <v>227</v>
      </c>
      <c r="I1036" s="0" t="s">
        <v>289</v>
      </c>
      <c r="J1036" s="0" t="s">
        <v>748</v>
      </c>
      <c r="K1036" s="83" t="s">
        <v>2563</v>
      </c>
      <c r="L1036" s="0" t="s">
        <v>2564</v>
      </c>
      <c r="M1036" s="0" t="s">
        <v>36</v>
      </c>
      <c r="N1036" s="0" t="str">
        <f t="shared" si="16"/>
        <v>APINlaAlimosho</v>
      </c>
    </row>
    <row r="1037">
      <c r="H1037" s="0" t="s">
        <v>227</v>
      </c>
      <c r="I1037" s="0" t="s">
        <v>289</v>
      </c>
      <c r="J1037" s="0" t="s">
        <v>748</v>
      </c>
      <c r="K1037" s="83" t="s">
        <v>2565</v>
      </c>
      <c r="L1037" s="0" t="s">
        <v>2566</v>
      </c>
      <c r="M1037" s="0" t="s">
        <v>36</v>
      </c>
      <c r="N1037" s="0" t="str">
        <f t="shared" si="16"/>
        <v>APINlaAlimosho</v>
      </c>
    </row>
    <row r="1038">
      <c r="H1038" s="0" t="s">
        <v>227</v>
      </c>
      <c r="I1038" s="0" t="s">
        <v>289</v>
      </c>
      <c r="J1038" s="0" t="s">
        <v>748</v>
      </c>
      <c r="K1038" s="83" t="s">
        <v>2567</v>
      </c>
      <c r="L1038" s="0" t="s">
        <v>2568</v>
      </c>
      <c r="M1038" s="0" t="s">
        <v>36</v>
      </c>
      <c r="N1038" s="0" t="str">
        <f t="shared" si="16"/>
        <v>APINlaAlimosho</v>
      </c>
    </row>
    <row r="1039">
      <c r="H1039" s="0" t="s">
        <v>227</v>
      </c>
      <c r="I1039" s="0" t="s">
        <v>289</v>
      </c>
      <c r="J1039" s="0" t="s">
        <v>748</v>
      </c>
      <c r="K1039" s="83" t="s">
        <v>2569</v>
      </c>
      <c r="L1039" s="0" t="s">
        <v>2570</v>
      </c>
      <c r="M1039" s="0" t="s">
        <v>36</v>
      </c>
      <c r="N1039" s="0" t="str">
        <f t="shared" si="16"/>
        <v>APINlaAlimosho</v>
      </c>
    </row>
    <row r="1040">
      <c r="H1040" s="0" t="s">
        <v>227</v>
      </c>
      <c r="I1040" s="0" t="s">
        <v>289</v>
      </c>
      <c r="J1040" s="0" t="s">
        <v>748</v>
      </c>
      <c r="K1040" s="83" t="s">
        <v>2571</v>
      </c>
      <c r="L1040" s="0" t="s">
        <v>2572</v>
      </c>
      <c r="M1040" s="0" t="s">
        <v>36</v>
      </c>
      <c r="N1040" s="0" t="str">
        <f t="shared" si="16"/>
        <v>APINlaAlimosho</v>
      </c>
    </row>
    <row r="1041">
      <c r="H1041" s="0" t="s">
        <v>227</v>
      </c>
      <c r="I1041" s="0" t="s">
        <v>289</v>
      </c>
      <c r="J1041" s="0" t="s">
        <v>748</v>
      </c>
      <c r="K1041" s="83" t="s">
        <v>2573</v>
      </c>
      <c r="L1041" s="0" t="s">
        <v>2574</v>
      </c>
      <c r="M1041" s="0" t="s">
        <v>36</v>
      </c>
      <c r="N1041" s="0" t="str">
        <f t="shared" si="16"/>
        <v>APINlaAlimosho</v>
      </c>
    </row>
    <row r="1042">
      <c r="H1042" s="0" t="s">
        <v>227</v>
      </c>
      <c r="I1042" s="0" t="s">
        <v>289</v>
      </c>
      <c r="J1042" s="0" t="s">
        <v>748</v>
      </c>
      <c r="K1042" s="83" t="s">
        <v>2575</v>
      </c>
      <c r="L1042" s="0" t="s">
        <v>2576</v>
      </c>
      <c r="M1042" s="0" t="s">
        <v>36</v>
      </c>
      <c r="N1042" s="0" t="str">
        <f t="shared" si="16"/>
        <v>APINlaAlimosho</v>
      </c>
    </row>
    <row r="1043">
      <c r="H1043" s="0" t="s">
        <v>227</v>
      </c>
      <c r="I1043" s="0" t="s">
        <v>289</v>
      </c>
      <c r="J1043" s="0" t="s">
        <v>748</v>
      </c>
      <c r="K1043" s="83" t="s">
        <v>2577</v>
      </c>
      <c r="L1043" s="0" t="s">
        <v>2578</v>
      </c>
      <c r="M1043" s="0" t="s">
        <v>36</v>
      </c>
      <c r="N1043" s="0" t="str">
        <f t="shared" si="16"/>
        <v>APINlaAlimosho</v>
      </c>
    </row>
    <row r="1044">
      <c r="H1044" s="0" t="s">
        <v>227</v>
      </c>
      <c r="I1044" s="0" t="s">
        <v>289</v>
      </c>
      <c r="J1044" s="0" t="s">
        <v>748</v>
      </c>
      <c r="K1044" s="83" t="s">
        <v>2579</v>
      </c>
      <c r="L1044" s="0" t="s">
        <v>2580</v>
      </c>
      <c r="M1044" s="0" t="s">
        <v>36</v>
      </c>
      <c r="N1044" s="0" t="str">
        <f t="shared" si="16"/>
        <v>APINlaAlimosho</v>
      </c>
    </row>
    <row r="1045">
      <c r="H1045" s="0" t="s">
        <v>227</v>
      </c>
      <c r="I1045" s="0" t="s">
        <v>289</v>
      </c>
      <c r="J1045" s="0" t="s">
        <v>748</v>
      </c>
      <c r="K1045" s="83" t="s">
        <v>2581</v>
      </c>
      <c r="L1045" s="0" t="s">
        <v>2582</v>
      </c>
      <c r="M1045" s="0" t="s">
        <v>36</v>
      </c>
      <c r="N1045" s="0" t="str">
        <f t="shared" si="16"/>
        <v>APINlaAlimosho</v>
      </c>
    </row>
    <row r="1046">
      <c r="H1046" s="0" t="s">
        <v>227</v>
      </c>
      <c r="I1046" s="0" t="s">
        <v>289</v>
      </c>
      <c r="J1046" s="0" t="s">
        <v>748</v>
      </c>
      <c r="K1046" s="83" t="s">
        <v>2583</v>
      </c>
      <c r="L1046" s="0" t="s">
        <v>2584</v>
      </c>
      <c r="M1046" s="0" t="s">
        <v>36</v>
      </c>
      <c r="N1046" s="0" t="str">
        <f t="shared" si="16"/>
        <v>APINlaAlimosho</v>
      </c>
    </row>
    <row r="1047">
      <c r="H1047" s="0" t="s">
        <v>227</v>
      </c>
      <c r="I1047" s="0" t="s">
        <v>289</v>
      </c>
      <c r="J1047" s="0" t="s">
        <v>748</v>
      </c>
      <c r="K1047" s="83" t="s">
        <v>2585</v>
      </c>
      <c r="L1047" s="0" t="s">
        <v>2586</v>
      </c>
      <c r="M1047" s="0" t="s">
        <v>36</v>
      </c>
      <c r="N1047" s="0" t="str">
        <f t="shared" si="16"/>
        <v>APINlaAlimosho</v>
      </c>
    </row>
    <row r="1048">
      <c r="H1048" s="0" t="s">
        <v>227</v>
      </c>
      <c r="I1048" s="0" t="s">
        <v>289</v>
      </c>
      <c r="J1048" s="0" t="s">
        <v>748</v>
      </c>
      <c r="K1048" s="83" t="s">
        <v>2587</v>
      </c>
      <c r="L1048" s="0" t="s">
        <v>2588</v>
      </c>
      <c r="M1048" s="0" t="s">
        <v>36</v>
      </c>
      <c r="N1048" s="0" t="str">
        <f t="shared" si="16"/>
        <v>APINlaAlimosho</v>
      </c>
    </row>
    <row r="1049">
      <c r="H1049" s="0" t="s">
        <v>227</v>
      </c>
      <c r="I1049" s="0" t="s">
        <v>289</v>
      </c>
      <c r="J1049" s="0" t="s">
        <v>748</v>
      </c>
      <c r="K1049" s="83" t="s">
        <v>2589</v>
      </c>
      <c r="L1049" s="0" t="s">
        <v>2590</v>
      </c>
      <c r="M1049" s="0" t="s">
        <v>36</v>
      </c>
      <c r="N1049" s="0" t="str">
        <f t="shared" si="16"/>
        <v>APINlaAlimosho</v>
      </c>
    </row>
    <row r="1050">
      <c r="H1050" s="0" t="s">
        <v>227</v>
      </c>
      <c r="I1050" s="0" t="s">
        <v>289</v>
      </c>
      <c r="J1050" s="0" t="s">
        <v>748</v>
      </c>
      <c r="K1050" s="83" t="s">
        <v>2591</v>
      </c>
      <c r="L1050" s="0" t="s">
        <v>2592</v>
      </c>
      <c r="M1050" s="0" t="s">
        <v>36</v>
      </c>
      <c r="N1050" s="0" t="str">
        <f t="shared" si="16"/>
        <v>APINlaAlimosho</v>
      </c>
    </row>
    <row r="1051">
      <c r="H1051" s="0" t="s">
        <v>227</v>
      </c>
      <c r="I1051" s="0" t="s">
        <v>289</v>
      </c>
      <c r="J1051" s="0" t="s">
        <v>748</v>
      </c>
      <c r="K1051" s="83" t="s">
        <v>2593</v>
      </c>
      <c r="L1051" s="0" t="s">
        <v>2594</v>
      </c>
      <c r="M1051" s="0" t="s">
        <v>36</v>
      </c>
      <c r="N1051" s="0" t="str">
        <f t="shared" si="16"/>
        <v>APINlaAlimosho</v>
      </c>
    </row>
    <row r="1052">
      <c r="H1052" s="0" t="s">
        <v>227</v>
      </c>
      <c r="I1052" s="0" t="s">
        <v>289</v>
      </c>
      <c r="J1052" s="0" t="s">
        <v>748</v>
      </c>
      <c r="K1052" s="83" t="s">
        <v>2595</v>
      </c>
      <c r="L1052" s="0" t="s">
        <v>2596</v>
      </c>
      <c r="M1052" s="0" t="s">
        <v>36</v>
      </c>
      <c r="N1052" s="0" t="str">
        <f t="shared" si="16"/>
        <v>APINlaAlimosho</v>
      </c>
    </row>
    <row r="1053">
      <c r="H1053" s="0" t="s">
        <v>227</v>
      </c>
      <c r="I1053" s="0" t="s">
        <v>289</v>
      </c>
      <c r="J1053" s="0" t="s">
        <v>748</v>
      </c>
      <c r="K1053" s="83" t="s">
        <v>2597</v>
      </c>
      <c r="L1053" s="0" t="s">
        <v>2598</v>
      </c>
      <c r="M1053" s="0" t="s">
        <v>36</v>
      </c>
      <c r="N1053" s="0" t="str">
        <f t="shared" si="16"/>
        <v>APINlaAlimosho</v>
      </c>
    </row>
    <row r="1054">
      <c r="H1054" s="0" t="s">
        <v>227</v>
      </c>
      <c r="I1054" s="0" t="s">
        <v>289</v>
      </c>
      <c r="J1054" s="0" t="s">
        <v>748</v>
      </c>
      <c r="K1054" s="83" t="s">
        <v>2599</v>
      </c>
      <c r="L1054" s="0" t="s">
        <v>2600</v>
      </c>
      <c r="M1054" s="0" t="s">
        <v>36</v>
      </c>
      <c r="N1054" s="0" t="str">
        <f t="shared" si="16"/>
        <v>APINlaAlimosho</v>
      </c>
    </row>
    <row r="1055">
      <c r="H1055" s="0" t="s">
        <v>227</v>
      </c>
      <c r="I1055" s="0" t="s">
        <v>289</v>
      </c>
      <c r="J1055" s="0" t="s">
        <v>748</v>
      </c>
      <c r="K1055" s="83" t="s">
        <v>2601</v>
      </c>
      <c r="L1055" s="0" t="s">
        <v>2602</v>
      </c>
      <c r="M1055" s="0" t="s">
        <v>36</v>
      </c>
      <c r="N1055" s="0" t="str">
        <f t="shared" si="16"/>
        <v>APINlaAlimosho</v>
      </c>
    </row>
    <row r="1056">
      <c r="H1056" s="0" t="s">
        <v>227</v>
      </c>
      <c r="I1056" s="0" t="s">
        <v>289</v>
      </c>
      <c r="J1056" s="0" t="s">
        <v>748</v>
      </c>
      <c r="K1056" s="83" t="s">
        <v>2603</v>
      </c>
      <c r="L1056" s="0" t="s">
        <v>2604</v>
      </c>
      <c r="M1056" s="0" t="s">
        <v>36</v>
      </c>
      <c r="N1056" s="0" t="str">
        <f t="shared" si="16"/>
        <v>APINlaAlimosho</v>
      </c>
    </row>
    <row r="1057">
      <c r="H1057" s="0" t="s">
        <v>227</v>
      </c>
      <c r="I1057" s="0" t="s">
        <v>289</v>
      </c>
      <c r="J1057" s="0" t="s">
        <v>748</v>
      </c>
      <c r="K1057" s="83" t="s">
        <v>2605</v>
      </c>
      <c r="L1057" s="0" t="s">
        <v>2606</v>
      </c>
      <c r="M1057" s="0" t="s">
        <v>36</v>
      </c>
      <c r="N1057" s="0" t="str">
        <f t="shared" si="16"/>
        <v>APINlaAlimosho</v>
      </c>
    </row>
    <row r="1058">
      <c r="H1058" s="0" t="s">
        <v>227</v>
      </c>
      <c r="I1058" s="0" t="s">
        <v>289</v>
      </c>
      <c r="J1058" s="0" t="s">
        <v>748</v>
      </c>
      <c r="K1058" s="83" t="s">
        <v>2607</v>
      </c>
      <c r="L1058" s="0" t="s">
        <v>2608</v>
      </c>
      <c r="M1058" s="0" t="s">
        <v>36</v>
      </c>
      <c r="N1058" s="0" t="str">
        <f t="shared" si="16"/>
        <v>APINlaAlimosho</v>
      </c>
    </row>
    <row r="1059">
      <c r="H1059" s="0" t="s">
        <v>227</v>
      </c>
      <c r="I1059" s="0" t="s">
        <v>289</v>
      </c>
      <c r="J1059" s="0" t="s">
        <v>748</v>
      </c>
      <c r="K1059" s="83" t="s">
        <v>2609</v>
      </c>
      <c r="L1059" s="0" t="s">
        <v>2610</v>
      </c>
      <c r="M1059" s="0" t="s">
        <v>36</v>
      </c>
      <c r="N1059" s="0" t="str">
        <f t="shared" si="16"/>
        <v>APINlaAlimosho</v>
      </c>
    </row>
    <row r="1060">
      <c r="H1060" s="0" t="s">
        <v>227</v>
      </c>
      <c r="I1060" s="0" t="s">
        <v>289</v>
      </c>
      <c r="J1060" s="0" t="s">
        <v>748</v>
      </c>
      <c r="K1060" s="83" t="s">
        <v>2611</v>
      </c>
      <c r="L1060" s="0" t="s">
        <v>2612</v>
      </c>
      <c r="M1060" s="0" t="s">
        <v>36</v>
      </c>
      <c r="N1060" s="0" t="str">
        <f t="shared" si="16"/>
        <v>APINlaAlimosho</v>
      </c>
    </row>
    <row r="1061">
      <c r="H1061" s="0" t="s">
        <v>227</v>
      </c>
      <c r="I1061" s="0" t="s">
        <v>289</v>
      </c>
      <c r="J1061" s="0" t="s">
        <v>748</v>
      </c>
      <c r="K1061" s="83" t="s">
        <v>2613</v>
      </c>
      <c r="L1061" s="0" t="s">
        <v>2614</v>
      </c>
      <c r="M1061" s="0" t="s">
        <v>36</v>
      </c>
      <c r="N1061" s="0" t="str">
        <f t="shared" si="16"/>
        <v>APINlaAlimosho</v>
      </c>
    </row>
    <row r="1062">
      <c r="H1062" s="0" t="s">
        <v>227</v>
      </c>
      <c r="I1062" s="0" t="s">
        <v>289</v>
      </c>
      <c r="J1062" s="0" t="s">
        <v>748</v>
      </c>
      <c r="K1062" s="83" t="s">
        <v>2615</v>
      </c>
      <c r="L1062" s="0" t="s">
        <v>2616</v>
      </c>
      <c r="M1062" s="0" t="s">
        <v>36</v>
      </c>
      <c r="N1062" s="0" t="str">
        <f t="shared" si="16"/>
        <v>APINlaAlimosho</v>
      </c>
    </row>
    <row r="1063">
      <c r="H1063" s="0" t="s">
        <v>227</v>
      </c>
      <c r="I1063" s="0" t="s">
        <v>289</v>
      </c>
      <c r="J1063" s="0" t="s">
        <v>748</v>
      </c>
      <c r="K1063" s="83" t="s">
        <v>2617</v>
      </c>
      <c r="L1063" s="0" t="s">
        <v>2618</v>
      </c>
      <c r="M1063" s="0" t="s">
        <v>36</v>
      </c>
      <c r="N1063" s="0" t="str">
        <f t="shared" si="16"/>
        <v>APINlaAlimosho</v>
      </c>
    </row>
    <row r="1064">
      <c r="H1064" s="0" t="s">
        <v>227</v>
      </c>
      <c r="I1064" s="0" t="s">
        <v>289</v>
      </c>
      <c r="J1064" s="0" t="s">
        <v>748</v>
      </c>
      <c r="K1064" s="83" t="s">
        <v>2619</v>
      </c>
      <c r="L1064" s="0" t="s">
        <v>2620</v>
      </c>
      <c r="M1064" s="0" t="s">
        <v>36</v>
      </c>
      <c r="N1064" s="0" t="str">
        <f t="shared" si="16"/>
        <v>APINlaAlimosho</v>
      </c>
    </row>
    <row r="1065">
      <c r="H1065" s="0" t="s">
        <v>227</v>
      </c>
      <c r="I1065" s="0" t="s">
        <v>289</v>
      </c>
      <c r="J1065" s="0" t="s">
        <v>748</v>
      </c>
      <c r="K1065" s="83" t="s">
        <v>2621</v>
      </c>
      <c r="L1065" s="0" t="s">
        <v>2622</v>
      </c>
      <c r="M1065" s="0" t="s">
        <v>36</v>
      </c>
      <c r="N1065" s="0" t="str">
        <f t="shared" si="16"/>
        <v>APINlaAlimosho</v>
      </c>
    </row>
    <row r="1066">
      <c r="H1066" s="0" t="s">
        <v>227</v>
      </c>
      <c r="I1066" s="0" t="s">
        <v>289</v>
      </c>
      <c r="J1066" s="0" t="s">
        <v>748</v>
      </c>
      <c r="K1066" s="83" t="s">
        <v>2623</v>
      </c>
      <c r="L1066" s="0" t="s">
        <v>2624</v>
      </c>
      <c r="M1066" s="0" t="s">
        <v>36</v>
      </c>
      <c r="N1066" s="0" t="str">
        <f t="shared" si="16"/>
        <v>APINlaAlimosho</v>
      </c>
    </row>
    <row r="1067">
      <c r="H1067" s="0" t="s">
        <v>227</v>
      </c>
      <c r="I1067" s="0" t="s">
        <v>289</v>
      </c>
      <c r="J1067" s="0" t="s">
        <v>748</v>
      </c>
      <c r="K1067" s="83" t="s">
        <v>2625</v>
      </c>
      <c r="L1067" s="0" t="s">
        <v>2626</v>
      </c>
      <c r="M1067" s="0" t="s">
        <v>36</v>
      </c>
      <c r="N1067" s="0" t="str">
        <f t="shared" si="16"/>
        <v>APINlaAlimosho</v>
      </c>
    </row>
    <row r="1068">
      <c r="H1068" s="0" t="s">
        <v>227</v>
      </c>
      <c r="I1068" s="0" t="s">
        <v>289</v>
      </c>
      <c r="J1068" s="0" t="s">
        <v>748</v>
      </c>
      <c r="K1068" s="83" t="s">
        <v>2627</v>
      </c>
      <c r="L1068" s="0" t="s">
        <v>2628</v>
      </c>
      <c r="M1068" s="0" t="s">
        <v>36</v>
      </c>
      <c r="N1068" s="0" t="str">
        <f t="shared" si="16"/>
        <v>APINlaAlimosho</v>
      </c>
    </row>
    <row r="1069">
      <c r="H1069" s="0" t="s">
        <v>227</v>
      </c>
      <c r="I1069" s="0" t="s">
        <v>289</v>
      </c>
      <c r="J1069" s="0" t="s">
        <v>748</v>
      </c>
      <c r="K1069" s="83" t="s">
        <v>2629</v>
      </c>
      <c r="L1069" s="0" t="s">
        <v>2630</v>
      </c>
      <c r="M1069" s="0" t="s">
        <v>36</v>
      </c>
      <c r="N1069" s="0" t="str">
        <f t="shared" si="16"/>
        <v>APINlaAlimosho</v>
      </c>
    </row>
    <row r="1070">
      <c r="H1070" s="0" t="s">
        <v>227</v>
      </c>
      <c r="I1070" s="0" t="s">
        <v>289</v>
      </c>
      <c r="J1070" s="0" t="s">
        <v>748</v>
      </c>
      <c r="K1070" s="83" t="s">
        <v>2631</v>
      </c>
      <c r="L1070" s="0" t="s">
        <v>2632</v>
      </c>
      <c r="M1070" s="0" t="s">
        <v>36</v>
      </c>
      <c r="N1070" s="0" t="str">
        <f t="shared" si="16"/>
        <v>APINlaAlimosho</v>
      </c>
    </row>
    <row r="1071">
      <c r="H1071" s="0" t="s">
        <v>227</v>
      </c>
      <c r="I1071" s="0" t="s">
        <v>289</v>
      </c>
      <c r="J1071" s="0" t="s">
        <v>751</v>
      </c>
      <c r="K1071" s="83" t="s">
        <v>2633</v>
      </c>
      <c r="L1071" s="0" t="s">
        <v>2634</v>
      </c>
      <c r="M1071" s="0" t="s">
        <v>36</v>
      </c>
      <c r="N1071" s="0" t="str">
        <f t="shared" si="16"/>
        <v>APINlaAmuwoOdofin</v>
      </c>
    </row>
    <row r="1072">
      <c r="H1072" s="0" t="s">
        <v>227</v>
      </c>
      <c r="I1072" s="0" t="s">
        <v>289</v>
      </c>
      <c r="J1072" s="0" t="s">
        <v>751</v>
      </c>
      <c r="K1072" s="83" t="s">
        <v>2635</v>
      </c>
      <c r="L1072" s="0" t="s">
        <v>2636</v>
      </c>
      <c r="M1072" s="0" t="s">
        <v>36</v>
      </c>
      <c r="N1072" s="0" t="str">
        <f t="shared" si="16"/>
        <v>APINlaAmuwoOdofin</v>
      </c>
    </row>
    <row r="1073">
      <c r="H1073" s="0" t="s">
        <v>227</v>
      </c>
      <c r="I1073" s="0" t="s">
        <v>289</v>
      </c>
      <c r="J1073" s="0" t="s">
        <v>751</v>
      </c>
      <c r="K1073" s="83" t="s">
        <v>2637</v>
      </c>
      <c r="L1073" s="0" t="s">
        <v>2638</v>
      </c>
      <c r="M1073" s="0" t="s">
        <v>36</v>
      </c>
      <c r="N1073" s="0" t="str">
        <f t="shared" si="16"/>
        <v>APINlaAmuwoOdofin</v>
      </c>
    </row>
    <row r="1074">
      <c r="H1074" s="0" t="s">
        <v>227</v>
      </c>
      <c r="I1074" s="0" t="s">
        <v>289</v>
      </c>
      <c r="J1074" s="0" t="s">
        <v>751</v>
      </c>
      <c r="K1074" s="83" t="s">
        <v>2639</v>
      </c>
      <c r="L1074" s="0" t="s">
        <v>2640</v>
      </c>
      <c r="M1074" s="0" t="s">
        <v>36</v>
      </c>
      <c r="N1074" s="0" t="str">
        <f t="shared" si="16"/>
        <v>APINlaAmuwoOdofin</v>
      </c>
    </row>
    <row r="1075">
      <c r="H1075" s="0" t="s">
        <v>227</v>
      </c>
      <c r="I1075" s="0" t="s">
        <v>289</v>
      </c>
      <c r="J1075" s="0" t="s">
        <v>751</v>
      </c>
      <c r="K1075" s="83" t="s">
        <v>2641</v>
      </c>
      <c r="L1075" s="0" t="s">
        <v>2642</v>
      </c>
      <c r="M1075" s="0" t="s">
        <v>36</v>
      </c>
      <c r="N1075" s="0" t="str">
        <f t="shared" si="16"/>
        <v>APINlaAmuwoOdofin</v>
      </c>
    </row>
    <row r="1076">
      <c r="H1076" s="0" t="s">
        <v>227</v>
      </c>
      <c r="I1076" s="0" t="s">
        <v>289</v>
      </c>
      <c r="J1076" s="0" t="s">
        <v>751</v>
      </c>
      <c r="K1076" s="83" t="s">
        <v>2643</v>
      </c>
      <c r="L1076" s="0" t="s">
        <v>2644</v>
      </c>
      <c r="M1076" s="0" t="s">
        <v>36</v>
      </c>
      <c r="N1076" s="0" t="str">
        <f t="shared" si="16"/>
        <v>APINlaAmuwoOdofin</v>
      </c>
    </row>
    <row r="1077">
      <c r="H1077" s="0" t="s">
        <v>227</v>
      </c>
      <c r="I1077" s="0" t="s">
        <v>289</v>
      </c>
      <c r="J1077" s="0" t="s">
        <v>751</v>
      </c>
      <c r="K1077" s="83" t="s">
        <v>2645</v>
      </c>
      <c r="L1077" s="0" t="s">
        <v>2646</v>
      </c>
      <c r="M1077" s="0" t="s">
        <v>36</v>
      </c>
      <c r="N1077" s="0" t="str">
        <f t="shared" si="16"/>
        <v>APINlaAmuwoOdofin</v>
      </c>
    </row>
    <row r="1078">
      <c r="H1078" s="0" t="s">
        <v>227</v>
      </c>
      <c r="I1078" s="0" t="s">
        <v>289</v>
      </c>
      <c r="J1078" s="0" t="s">
        <v>751</v>
      </c>
      <c r="K1078" s="83" t="s">
        <v>2647</v>
      </c>
      <c r="L1078" s="0" t="s">
        <v>2648</v>
      </c>
      <c r="M1078" s="0" t="s">
        <v>36</v>
      </c>
      <c r="N1078" s="0" t="str">
        <f t="shared" si="16"/>
        <v>APINlaAmuwoOdofin</v>
      </c>
    </row>
    <row r="1079">
      <c r="H1079" s="0" t="s">
        <v>227</v>
      </c>
      <c r="I1079" s="0" t="s">
        <v>289</v>
      </c>
      <c r="J1079" s="0" t="s">
        <v>751</v>
      </c>
      <c r="K1079" s="83" t="s">
        <v>2649</v>
      </c>
      <c r="L1079" s="0" t="s">
        <v>2650</v>
      </c>
      <c r="M1079" s="0" t="s">
        <v>36</v>
      </c>
      <c r="N1079" s="0" t="str">
        <f t="shared" si="16"/>
        <v>APINlaAmuwoOdofin</v>
      </c>
    </row>
    <row r="1080">
      <c r="H1080" s="0" t="s">
        <v>227</v>
      </c>
      <c r="I1080" s="0" t="s">
        <v>289</v>
      </c>
      <c r="J1080" s="0" t="s">
        <v>754</v>
      </c>
      <c r="K1080" s="83" t="s">
        <v>2651</v>
      </c>
      <c r="L1080" s="0" t="s">
        <v>2652</v>
      </c>
      <c r="M1080" s="0" t="s">
        <v>36</v>
      </c>
      <c r="N1080" s="0" t="str">
        <f t="shared" si="16"/>
        <v>APINlaEpe</v>
      </c>
    </row>
    <row r="1081">
      <c r="H1081" s="0" t="s">
        <v>227</v>
      </c>
      <c r="I1081" s="0" t="s">
        <v>289</v>
      </c>
      <c r="J1081" s="0" t="s">
        <v>754</v>
      </c>
      <c r="K1081" s="83" t="s">
        <v>2653</v>
      </c>
      <c r="L1081" s="0" t="s">
        <v>2654</v>
      </c>
      <c r="M1081" s="0" t="s">
        <v>36</v>
      </c>
      <c r="N1081" s="0" t="str">
        <f t="shared" si="16"/>
        <v>APINlaEpe</v>
      </c>
    </row>
    <row r="1082">
      <c r="H1082" s="0" t="s">
        <v>227</v>
      </c>
      <c r="I1082" s="0" t="s">
        <v>289</v>
      </c>
      <c r="J1082" s="0" t="s">
        <v>754</v>
      </c>
      <c r="K1082" s="83" t="s">
        <v>2655</v>
      </c>
      <c r="L1082" s="0" t="s">
        <v>2656</v>
      </c>
      <c r="M1082" s="0" t="s">
        <v>36</v>
      </c>
      <c r="N1082" s="0" t="str">
        <f t="shared" si="16"/>
        <v>APINlaEpe</v>
      </c>
    </row>
    <row r="1083">
      <c r="H1083" s="0" t="s">
        <v>227</v>
      </c>
      <c r="I1083" s="0" t="s">
        <v>289</v>
      </c>
      <c r="J1083" s="0" t="s">
        <v>754</v>
      </c>
      <c r="K1083" s="83" t="s">
        <v>2657</v>
      </c>
      <c r="L1083" s="0" t="s">
        <v>2658</v>
      </c>
      <c r="M1083" s="0" t="s">
        <v>36</v>
      </c>
      <c r="N1083" s="0" t="str">
        <f t="shared" si="16"/>
        <v>APINlaEpe</v>
      </c>
    </row>
    <row r="1084">
      <c r="H1084" s="0" t="s">
        <v>227</v>
      </c>
      <c r="I1084" s="0" t="s">
        <v>289</v>
      </c>
      <c r="J1084" s="0" t="s">
        <v>757</v>
      </c>
      <c r="K1084" s="83" t="s">
        <v>2659</v>
      </c>
      <c r="L1084" s="0" t="s">
        <v>2660</v>
      </c>
      <c r="M1084" s="0" t="s">
        <v>36</v>
      </c>
      <c r="N1084" s="0" t="str">
        <f t="shared" si="16"/>
        <v>APINlaEtiOsa</v>
      </c>
    </row>
    <row r="1085">
      <c r="H1085" s="0" t="s">
        <v>227</v>
      </c>
      <c r="I1085" s="0" t="s">
        <v>289</v>
      </c>
      <c r="J1085" s="0" t="s">
        <v>757</v>
      </c>
      <c r="K1085" s="83" t="s">
        <v>2661</v>
      </c>
      <c r="L1085" s="0" t="s">
        <v>2662</v>
      </c>
      <c r="M1085" s="0" t="s">
        <v>36</v>
      </c>
      <c r="N1085" s="0" t="str">
        <f t="shared" si="16"/>
        <v>APINlaEtiOsa</v>
      </c>
    </row>
    <row r="1086">
      <c r="H1086" s="0" t="s">
        <v>227</v>
      </c>
      <c r="I1086" s="0" t="s">
        <v>289</v>
      </c>
      <c r="J1086" s="0" t="s">
        <v>757</v>
      </c>
      <c r="K1086" s="83" t="s">
        <v>2663</v>
      </c>
      <c r="L1086" s="0" t="s">
        <v>2664</v>
      </c>
      <c r="M1086" s="0" t="s">
        <v>36</v>
      </c>
      <c r="N1086" s="0" t="str">
        <f t="shared" si="16"/>
        <v>APINlaEtiOsa</v>
      </c>
    </row>
    <row r="1087">
      <c r="H1087" s="0" t="s">
        <v>227</v>
      </c>
      <c r="I1087" s="0" t="s">
        <v>289</v>
      </c>
      <c r="J1087" s="0" t="s">
        <v>757</v>
      </c>
      <c r="K1087" s="83" t="s">
        <v>2665</v>
      </c>
      <c r="L1087" s="0" t="s">
        <v>2666</v>
      </c>
      <c r="M1087" s="0" t="s">
        <v>36</v>
      </c>
      <c r="N1087" s="0" t="str">
        <f t="shared" si="16"/>
        <v>APINlaEtiOsa</v>
      </c>
    </row>
    <row r="1088">
      <c r="H1088" s="0" t="s">
        <v>227</v>
      </c>
      <c r="I1088" s="0" t="s">
        <v>289</v>
      </c>
      <c r="J1088" s="0" t="s">
        <v>757</v>
      </c>
      <c r="K1088" s="83" t="s">
        <v>2667</v>
      </c>
      <c r="L1088" s="0" t="s">
        <v>2668</v>
      </c>
      <c r="M1088" s="0" t="s">
        <v>36</v>
      </c>
      <c r="N1088" s="0" t="str">
        <f t="shared" si="16"/>
        <v>APINlaEtiOsa</v>
      </c>
    </row>
    <row r="1089">
      <c r="H1089" s="0" t="s">
        <v>227</v>
      </c>
      <c r="I1089" s="0" t="s">
        <v>289</v>
      </c>
      <c r="J1089" s="0" t="s">
        <v>757</v>
      </c>
      <c r="K1089" s="83" t="s">
        <v>2669</v>
      </c>
      <c r="L1089" s="0" t="s">
        <v>2670</v>
      </c>
      <c r="M1089" s="0" t="s">
        <v>36</v>
      </c>
      <c r="N1089" s="0" t="str">
        <f t="shared" si="16"/>
        <v>APINlaEtiOsa</v>
      </c>
    </row>
    <row r="1090">
      <c r="H1090" s="0" t="s">
        <v>227</v>
      </c>
      <c r="I1090" s="0" t="s">
        <v>289</v>
      </c>
      <c r="J1090" s="0" t="s">
        <v>757</v>
      </c>
      <c r="K1090" s="83" t="s">
        <v>2671</v>
      </c>
      <c r="L1090" s="0" t="s">
        <v>2672</v>
      </c>
      <c r="M1090" s="0" t="s">
        <v>36</v>
      </c>
      <c r="N1090" s="0" t="str">
        <f t="shared" si="16"/>
        <v>APINlaEtiOsa</v>
      </c>
    </row>
    <row r="1091">
      <c r="H1091" s="0" t="s">
        <v>227</v>
      </c>
      <c r="I1091" s="0" t="s">
        <v>289</v>
      </c>
      <c r="J1091" s="0" t="s">
        <v>760</v>
      </c>
      <c r="K1091" s="83" t="s">
        <v>2673</v>
      </c>
      <c r="L1091" s="0" t="s">
        <v>2674</v>
      </c>
      <c r="M1091" s="0" t="s">
        <v>36</v>
      </c>
      <c r="N1091" s="0" t="str">
        <f ref="N1091:N1154" t="shared" si="17">SUBSTITUTE(SUBSTITUTE(M1091&amp;J1091," ",""),"-","")</f>
        <v>APINlaIbejuLekki</v>
      </c>
    </row>
    <row r="1092">
      <c r="H1092" s="0" t="s">
        <v>227</v>
      </c>
      <c r="I1092" s="0" t="s">
        <v>289</v>
      </c>
      <c r="J1092" s="0" t="s">
        <v>760</v>
      </c>
      <c r="K1092" s="83" t="s">
        <v>2675</v>
      </c>
      <c r="L1092" s="0" t="s">
        <v>2676</v>
      </c>
      <c r="M1092" s="0" t="s">
        <v>36</v>
      </c>
      <c r="N1092" s="0" t="str">
        <f t="shared" si="17"/>
        <v>APINlaIbejuLekki</v>
      </c>
    </row>
    <row r="1093">
      <c r="H1093" s="0" t="s">
        <v>227</v>
      </c>
      <c r="I1093" s="0" t="s">
        <v>289</v>
      </c>
      <c r="J1093" s="0" t="s">
        <v>760</v>
      </c>
      <c r="K1093" s="83" t="s">
        <v>2677</v>
      </c>
      <c r="L1093" s="0" t="s">
        <v>2678</v>
      </c>
      <c r="M1093" s="0" t="s">
        <v>36</v>
      </c>
      <c r="N1093" s="0" t="str">
        <f t="shared" si="17"/>
        <v>APINlaIbejuLekki</v>
      </c>
    </row>
    <row r="1094">
      <c r="H1094" s="0" t="s">
        <v>227</v>
      </c>
      <c r="I1094" s="0" t="s">
        <v>289</v>
      </c>
      <c r="J1094" s="0" t="s">
        <v>760</v>
      </c>
      <c r="K1094" s="83" t="s">
        <v>2679</v>
      </c>
      <c r="L1094" s="0" t="s">
        <v>2680</v>
      </c>
      <c r="M1094" s="0" t="s">
        <v>36</v>
      </c>
      <c r="N1094" s="0" t="str">
        <f t="shared" si="17"/>
        <v>APINlaIbejuLekki</v>
      </c>
    </row>
    <row r="1095">
      <c r="H1095" s="0" t="s">
        <v>227</v>
      </c>
      <c r="I1095" s="0" t="s">
        <v>289</v>
      </c>
      <c r="J1095" s="0" t="s">
        <v>763</v>
      </c>
      <c r="K1095" s="83" t="s">
        <v>2681</v>
      </c>
      <c r="L1095" s="0" t="s">
        <v>2682</v>
      </c>
      <c r="M1095" s="0" t="s">
        <v>36</v>
      </c>
      <c r="N1095" s="0" t="str">
        <f t="shared" si="17"/>
        <v>APINlaIfakoIjaiye</v>
      </c>
    </row>
    <row r="1096">
      <c r="H1096" s="0" t="s">
        <v>227</v>
      </c>
      <c r="I1096" s="0" t="s">
        <v>289</v>
      </c>
      <c r="J1096" s="0" t="s">
        <v>763</v>
      </c>
      <c r="K1096" s="83" t="s">
        <v>2683</v>
      </c>
      <c r="L1096" s="0" t="s">
        <v>2684</v>
      </c>
      <c r="M1096" s="0" t="s">
        <v>36</v>
      </c>
      <c r="N1096" s="0" t="str">
        <f t="shared" si="17"/>
        <v>APINlaIfakoIjaiye</v>
      </c>
    </row>
    <row r="1097">
      <c r="H1097" s="0" t="s">
        <v>227</v>
      </c>
      <c r="I1097" s="0" t="s">
        <v>289</v>
      </c>
      <c r="J1097" s="0" t="s">
        <v>763</v>
      </c>
      <c r="K1097" s="83" t="s">
        <v>2685</v>
      </c>
      <c r="L1097" s="0" t="s">
        <v>2686</v>
      </c>
      <c r="M1097" s="0" t="s">
        <v>36</v>
      </c>
      <c r="N1097" s="0" t="str">
        <f t="shared" si="17"/>
        <v>APINlaIfakoIjaiye</v>
      </c>
    </row>
    <row r="1098">
      <c r="H1098" s="0" t="s">
        <v>227</v>
      </c>
      <c r="I1098" s="0" t="s">
        <v>289</v>
      </c>
      <c r="J1098" s="0" t="s">
        <v>763</v>
      </c>
      <c r="K1098" s="83" t="s">
        <v>2687</v>
      </c>
      <c r="L1098" s="0" t="s">
        <v>2688</v>
      </c>
      <c r="M1098" s="0" t="s">
        <v>36</v>
      </c>
      <c r="N1098" s="0" t="str">
        <f t="shared" si="17"/>
        <v>APINlaIfakoIjaiye</v>
      </c>
    </row>
    <row r="1099">
      <c r="H1099" s="0" t="s">
        <v>227</v>
      </c>
      <c r="I1099" s="0" t="s">
        <v>289</v>
      </c>
      <c r="J1099" s="0" t="s">
        <v>763</v>
      </c>
      <c r="K1099" s="83" t="s">
        <v>2689</v>
      </c>
      <c r="L1099" s="0" t="s">
        <v>2690</v>
      </c>
      <c r="M1099" s="0" t="s">
        <v>36</v>
      </c>
      <c r="N1099" s="0" t="str">
        <f t="shared" si="17"/>
        <v>APINlaIfakoIjaiye</v>
      </c>
    </row>
    <row r="1100">
      <c r="H1100" s="0" t="s">
        <v>227</v>
      </c>
      <c r="I1100" s="0" t="s">
        <v>289</v>
      </c>
      <c r="J1100" s="0" t="s">
        <v>763</v>
      </c>
      <c r="K1100" s="83" t="s">
        <v>2691</v>
      </c>
      <c r="L1100" s="0" t="s">
        <v>2692</v>
      </c>
      <c r="M1100" s="0" t="s">
        <v>36</v>
      </c>
      <c r="N1100" s="0" t="str">
        <f t="shared" si="17"/>
        <v>APINlaIfakoIjaiye</v>
      </c>
    </row>
    <row r="1101">
      <c r="H1101" s="0" t="s">
        <v>227</v>
      </c>
      <c r="I1101" s="0" t="s">
        <v>289</v>
      </c>
      <c r="J1101" s="0" t="s">
        <v>763</v>
      </c>
      <c r="K1101" s="83" t="s">
        <v>2693</v>
      </c>
      <c r="L1101" s="0" t="s">
        <v>2694</v>
      </c>
      <c r="M1101" s="0" t="s">
        <v>36</v>
      </c>
      <c r="N1101" s="0" t="str">
        <f t="shared" si="17"/>
        <v>APINlaIfakoIjaiye</v>
      </c>
    </row>
    <row r="1102">
      <c r="H1102" s="0" t="s">
        <v>227</v>
      </c>
      <c r="I1102" s="0" t="s">
        <v>289</v>
      </c>
      <c r="J1102" s="0" t="s">
        <v>763</v>
      </c>
      <c r="K1102" s="83" t="s">
        <v>2695</v>
      </c>
      <c r="L1102" s="0" t="s">
        <v>2696</v>
      </c>
      <c r="M1102" s="0" t="s">
        <v>36</v>
      </c>
      <c r="N1102" s="0" t="str">
        <f t="shared" si="17"/>
        <v>APINlaIfakoIjaiye</v>
      </c>
    </row>
    <row r="1103">
      <c r="H1103" s="0" t="s">
        <v>227</v>
      </c>
      <c r="I1103" s="0" t="s">
        <v>289</v>
      </c>
      <c r="J1103" s="0" t="s">
        <v>763</v>
      </c>
      <c r="K1103" s="83" t="s">
        <v>2697</v>
      </c>
      <c r="L1103" s="0" t="s">
        <v>2698</v>
      </c>
      <c r="M1103" s="0" t="s">
        <v>36</v>
      </c>
      <c r="N1103" s="0" t="str">
        <f t="shared" si="17"/>
        <v>APINlaIfakoIjaiye</v>
      </c>
    </row>
    <row r="1104">
      <c r="H1104" s="0" t="s">
        <v>227</v>
      </c>
      <c r="I1104" s="0" t="s">
        <v>289</v>
      </c>
      <c r="J1104" s="0" t="s">
        <v>763</v>
      </c>
      <c r="K1104" s="83" t="s">
        <v>2699</v>
      </c>
      <c r="L1104" s="0" t="s">
        <v>2700</v>
      </c>
      <c r="M1104" s="0" t="s">
        <v>36</v>
      </c>
      <c r="N1104" s="0" t="str">
        <f t="shared" si="17"/>
        <v>APINlaIfakoIjaiye</v>
      </c>
    </row>
    <row r="1105">
      <c r="H1105" s="0" t="s">
        <v>227</v>
      </c>
      <c r="I1105" s="0" t="s">
        <v>289</v>
      </c>
      <c r="J1105" s="0" t="s">
        <v>763</v>
      </c>
      <c r="K1105" s="83" t="s">
        <v>2701</v>
      </c>
      <c r="L1105" s="0" t="s">
        <v>2702</v>
      </c>
      <c r="M1105" s="0" t="s">
        <v>36</v>
      </c>
      <c r="N1105" s="0" t="str">
        <f t="shared" si="17"/>
        <v>APINlaIfakoIjaiye</v>
      </c>
    </row>
    <row r="1106">
      <c r="H1106" s="0" t="s">
        <v>227</v>
      </c>
      <c r="I1106" s="0" t="s">
        <v>289</v>
      </c>
      <c r="J1106" s="0" t="s">
        <v>763</v>
      </c>
      <c r="K1106" s="83" t="s">
        <v>2703</v>
      </c>
      <c r="L1106" s="0" t="s">
        <v>2704</v>
      </c>
      <c r="M1106" s="0" t="s">
        <v>36</v>
      </c>
      <c r="N1106" s="0" t="str">
        <f t="shared" si="17"/>
        <v>APINlaIfakoIjaiye</v>
      </c>
    </row>
    <row r="1107">
      <c r="H1107" s="0" t="s">
        <v>227</v>
      </c>
      <c r="I1107" s="0" t="s">
        <v>289</v>
      </c>
      <c r="J1107" s="0" t="s">
        <v>766</v>
      </c>
      <c r="K1107" s="83" t="s">
        <v>2705</v>
      </c>
      <c r="L1107" s="0" t="s">
        <v>2706</v>
      </c>
      <c r="M1107" s="0" t="s">
        <v>36</v>
      </c>
      <c r="N1107" s="0" t="str">
        <f t="shared" si="17"/>
        <v>APINlaIkeja</v>
      </c>
    </row>
    <row r="1108">
      <c r="H1108" s="0" t="s">
        <v>227</v>
      </c>
      <c r="I1108" s="0" t="s">
        <v>289</v>
      </c>
      <c r="J1108" s="0" t="s">
        <v>766</v>
      </c>
      <c r="K1108" s="83" t="s">
        <v>2707</v>
      </c>
      <c r="L1108" s="0" t="s">
        <v>2708</v>
      </c>
      <c r="M1108" s="0" t="s">
        <v>36</v>
      </c>
      <c r="N1108" s="0" t="str">
        <f t="shared" si="17"/>
        <v>APINlaIkeja</v>
      </c>
    </row>
    <row r="1109">
      <c r="H1109" s="0" t="s">
        <v>227</v>
      </c>
      <c r="I1109" s="0" t="s">
        <v>289</v>
      </c>
      <c r="J1109" s="0" t="s">
        <v>766</v>
      </c>
      <c r="K1109" s="83" t="s">
        <v>2709</v>
      </c>
      <c r="L1109" s="0" t="s">
        <v>2710</v>
      </c>
      <c r="M1109" s="0" t="s">
        <v>36</v>
      </c>
      <c r="N1109" s="0" t="str">
        <f t="shared" si="17"/>
        <v>APINlaIkeja</v>
      </c>
    </row>
    <row r="1110">
      <c r="H1110" s="0" t="s">
        <v>227</v>
      </c>
      <c r="I1110" s="0" t="s">
        <v>289</v>
      </c>
      <c r="J1110" s="0" t="s">
        <v>766</v>
      </c>
      <c r="K1110" s="83" t="s">
        <v>2711</v>
      </c>
      <c r="L1110" s="0" t="s">
        <v>2712</v>
      </c>
      <c r="M1110" s="0" t="s">
        <v>36</v>
      </c>
      <c r="N1110" s="0" t="str">
        <f t="shared" si="17"/>
        <v>APINlaIkeja</v>
      </c>
    </row>
    <row r="1111">
      <c r="H1111" s="0" t="s">
        <v>227</v>
      </c>
      <c r="I1111" s="0" t="s">
        <v>289</v>
      </c>
      <c r="J1111" s="0" t="s">
        <v>766</v>
      </c>
      <c r="K1111" s="83" t="s">
        <v>2713</v>
      </c>
      <c r="L1111" s="0" t="s">
        <v>2714</v>
      </c>
      <c r="M1111" s="0" t="s">
        <v>36</v>
      </c>
      <c r="N1111" s="0" t="str">
        <f t="shared" si="17"/>
        <v>APINlaIkeja</v>
      </c>
    </row>
    <row r="1112">
      <c r="H1112" s="0" t="s">
        <v>227</v>
      </c>
      <c r="I1112" s="0" t="s">
        <v>289</v>
      </c>
      <c r="J1112" s="0" t="s">
        <v>766</v>
      </c>
      <c r="K1112" s="83" t="s">
        <v>2715</v>
      </c>
      <c r="L1112" s="0" t="s">
        <v>2716</v>
      </c>
      <c r="M1112" s="0" t="s">
        <v>36</v>
      </c>
      <c r="N1112" s="0" t="str">
        <f t="shared" si="17"/>
        <v>APINlaIkeja</v>
      </c>
    </row>
    <row r="1113">
      <c r="H1113" s="0" t="s">
        <v>227</v>
      </c>
      <c r="I1113" s="0" t="s">
        <v>289</v>
      </c>
      <c r="J1113" s="0" t="s">
        <v>766</v>
      </c>
      <c r="K1113" s="83" t="s">
        <v>2717</v>
      </c>
      <c r="L1113" s="0" t="s">
        <v>2718</v>
      </c>
      <c r="M1113" s="0" t="s">
        <v>36</v>
      </c>
      <c r="N1113" s="0" t="str">
        <f t="shared" si="17"/>
        <v>APINlaIkeja</v>
      </c>
    </row>
    <row r="1114">
      <c r="H1114" s="0" t="s">
        <v>227</v>
      </c>
      <c r="I1114" s="0" t="s">
        <v>289</v>
      </c>
      <c r="J1114" s="0" t="s">
        <v>766</v>
      </c>
      <c r="K1114" s="83" t="s">
        <v>2719</v>
      </c>
      <c r="L1114" s="0" t="s">
        <v>2720</v>
      </c>
      <c r="M1114" s="0" t="s">
        <v>36</v>
      </c>
      <c r="N1114" s="0" t="str">
        <f t="shared" si="17"/>
        <v>APINlaIkeja</v>
      </c>
    </row>
    <row r="1115">
      <c r="H1115" s="0" t="s">
        <v>227</v>
      </c>
      <c r="I1115" s="0" t="s">
        <v>289</v>
      </c>
      <c r="J1115" s="0" t="s">
        <v>766</v>
      </c>
      <c r="K1115" s="83" t="s">
        <v>2721</v>
      </c>
      <c r="L1115" s="0" t="s">
        <v>2722</v>
      </c>
      <c r="M1115" s="0" t="s">
        <v>36</v>
      </c>
      <c r="N1115" s="0" t="str">
        <f t="shared" si="17"/>
        <v>APINlaIkeja</v>
      </c>
    </row>
    <row r="1116">
      <c r="H1116" s="0" t="s">
        <v>227</v>
      </c>
      <c r="I1116" s="0" t="s">
        <v>289</v>
      </c>
      <c r="J1116" s="0" t="s">
        <v>766</v>
      </c>
      <c r="K1116" s="83" t="s">
        <v>2723</v>
      </c>
      <c r="L1116" s="0" t="s">
        <v>2724</v>
      </c>
      <c r="M1116" s="0" t="s">
        <v>36</v>
      </c>
      <c r="N1116" s="0" t="str">
        <f t="shared" si="17"/>
        <v>APINlaIkeja</v>
      </c>
    </row>
    <row r="1117">
      <c r="H1117" s="0" t="s">
        <v>227</v>
      </c>
      <c r="I1117" s="0" t="s">
        <v>289</v>
      </c>
      <c r="J1117" s="0" t="s">
        <v>766</v>
      </c>
      <c r="K1117" s="83" t="s">
        <v>2725</v>
      </c>
      <c r="L1117" s="0" t="s">
        <v>2726</v>
      </c>
      <c r="M1117" s="0" t="s">
        <v>36</v>
      </c>
      <c r="N1117" s="0" t="str">
        <f t="shared" si="17"/>
        <v>APINlaIkeja</v>
      </c>
    </row>
    <row r="1118">
      <c r="H1118" s="0" t="s">
        <v>227</v>
      </c>
      <c r="I1118" s="0" t="s">
        <v>289</v>
      </c>
      <c r="J1118" s="0" t="s">
        <v>766</v>
      </c>
      <c r="K1118" s="83" t="s">
        <v>2727</v>
      </c>
      <c r="L1118" s="0" t="s">
        <v>2728</v>
      </c>
      <c r="M1118" s="0" t="s">
        <v>36</v>
      </c>
      <c r="N1118" s="0" t="str">
        <f t="shared" si="17"/>
        <v>APINlaIkeja</v>
      </c>
    </row>
    <row r="1119">
      <c r="H1119" s="0" t="s">
        <v>227</v>
      </c>
      <c r="I1119" s="0" t="s">
        <v>289</v>
      </c>
      <c r="J1119" s="0" t="s">
        <v>766</v>
      </c>
      <c r="K1119" s="83" t="s">
        <v>2729</v>
      </c>
      <c r="L1119" s="0" t="s">
        <v>2730</v>
      </c>
      <c r="M1119" s="0" t="s">
        <v>36</v>
      </c>
      <c r="N1119" s="0" t="str">
        <f t="shared" si="17"/>
        <v>APINlaIkeja</v>
      </c>
    </row>
    <row r="1120">
      <c r="H1120" s="0" t="s">
        <v>227</v>
      </c>
      <c r="I1120" s="0" t="s">
        <v>289</v>
      </c>
      <c r="J1120" s="0" t="s">
        <v>766</v>
      </c>
      <c r="K1120" s="83" t="s">
        <v>2731</v>
      </c>
      <c r="L1120" s="0" t="s">
        <v>2732</v>
      </c>
      <c r="M1120" s="0" t="s">
        <v>36</v>
      </c>
      <c r="N1120" s="0" t="str">
        <f t="shared" si="17"/>
        <v>APINlaIkeja</v>
      </c>
    </row>
    <row r="1121">
      <c r="H1121" s="0" t="s">
        <v>227</v>
      </c>
      <c r="I1121" s="0" t="s">
        <v>289</v>
      </c>
      <c r="J1121" s="0" t="s">
        <v>766</v>
      </c>
      <c r="K1121" s="83" t="s">
        <v>2733</v>
      </c>
      <c r="L1121" s="0" t="s">
        <v>2734</v>
      </c>
      <c r="M1121" s="0" t="s">
        <v>36</v>
      </c>
      <c r="N1121" s="0" t="str">
        <f t="shared" si="17"/>
        <v>APINlaIkeja</v>
      </c>
    </row>
    <row r="1122">
      <c r="H1122" s="0" t="s">
        <v>227</v>
      </c>
      <c r="I1122" s="0" t="s">
        <v>289</v>
      </c>
      <c r="J1122" s="0" t="s">
        <v>766</v>
      </c>
      <c r="K1122" s="83" t="s">
        <v>2735</v>
      </c>
      <c r="L1122" s="0" t="s">
        <v>2736</v>
      </c>
      <c r="M1122" s="0" t="s">
        <v>36</v>
      </c>
      <c r="N1122" s="0" t="str">
        <f t="shared" si="17"/>
        <v>APINlaIkeja</v>
      </c>
    </row>
    <row r="1123">
      <c r="H1123" s="0" t="s">
        <v>227</v>
      </c>
      <c r="I1123" s="0" t="s">
        <v>289</v>
      </c>
      <c r="J1123" s="0" t="s">
        <v>766</v>
      </c>
      <c r="K1123" s="83" t="s">
        <v>2737</v>
      </c>
      <c r="L1123" s="0" t="s">
        <v>2738</v>
      </c>
      <c r="M1123" s="0" t="s">
        <v>36</v>
      </c>
      <c r="N1123" s="0" t="str">
        <f t="shared" si="17"/>
        <v>APINlaIkeja</v>
      </c>
    </row>
    <row r="1124">
      <c r="H1124" s="0" t="s">
        <v>227</v>
      </c>
      <c r="I1124" s="0" t="s">
        <v>289</v>
      </c>
      <c r="J1124" s="0" t="s">
        <v>766</v>
      </c>
      <c r="K1124" s="83" t="s">
        <v>2739</v>
      </c>
      <c r="L1124" s="0" t="s">
        <v>2740</v>
      </c>
      <c r="M1124" s="0" t="s">
        <v>36</v>
      </c>
      <c r="N1124" s="0" t="str">
        <f t="shared" si="17"/>
        <v>APINlaIkeja</v>
      </c>
    </row>
    <row r="1125">
      <c r="H1125" s="0" t="s">
        <v>227</v>
      </c>
      <c r="I1125" s="0" t="s">
        <v>289</v>
      </c>
      <c r="J1125" s="0" t="s">
        <v>769</v>
      </c>
      <c r="K1125" s="83" t="s">
        <v>2741</v>
      </c>
      <c r="L1125" s="0" t="s">
        <v>2742</v>
      </c>
      <c r="M1125" s="0" t="s">
        <v>36</v>
      </c>
      <c r="N1125" s="0" t="str">
        <f t="shared" si="17"/>
        <v>APINlaIkorodu</v>
      </c>
    </row>
    <row r="1126">
      <c r="H1126" s="0" t="s">
        <v>227</v>
      </c>
      <c r="I1126" s="0" t="s">
        <v>289</v>
      </c>
      <c r="J1126" s="0" t="s">
        <v>769</v>
      </c>
      <c r="K1126" s="83" t="s">
        <v>2743</v>
      </c>
      <c r="L1126" s="0" t="s">
        <v>2744</v>
      </c>
      <c r="M1126" s="0" t="s">
        <v>36</v>
      </c>
      <c r="N1126" s="0" t="str">
        <f t="shared" si="17"/>
        <v>APINlaIkorodu</v>
      </c>
    </row>
    <row r="1127">
      <c r="H1127" s="0" t="s">
        <v>227</v>
      </c>
      <c r="I1127" s="0" t="s">
        <v>289</v>
      </c>
      <c r="J1127" s="0" t="s">
        <v>769</v>
      </c>
      <c r="K1127" s="83" t="s">
        <v>2745</v>
      </c>
      <c r="L1127" s="0" t="s">
        <v>2746</v>
      </c>
      <c r="M1127" s="0" t="s">
        <v>36</v>
      </c>
      <c r="N1127" s="0" t="str">
        <f t="shared" si="17"/>
        <v>APINlaIkorodu</v>
      </c>
    </row>
    <row r="1128">
      <c r="H1128" s="0" t="s">
        <v>227</v>
      </c>
      <c r="I1128" s="0" t="s">
        <v>289</v>
      </c>
      <c r="J1128" s="0" t="s">
        <v>769</v>
      </c>
      <c r="K1128" s="83" t="s">
        <v>2747</v>
      </c>
      <c r="L1128" s="0" t="s">
        <v>2748</v>
      </c>
      <c r="M1128" s="0" t="s">
        <v>36</v>
      </c>
      <c r="N1128" s="0" t="str">
        <f t="shared" si="17"/>
        <v>APINlaIkorodu</v>
      </c>
    </row>
    <row r="1129">
      <c r="H1129" s="0" t="s">
        <v>227</v>
      </c>
      <c r="I1129" s="0" t="s">
        <v>289</v>
      </c>
      <c r="J1129" s="0" t="s">
        <v>769</v>
      </c>
      <c r="K1129" s="83" t="s">
        <v>2749</v>
      </c>
      <c r="L1129" s="0" t="s">
        <v>2750</v>
      </c>
      <c r="M1129" s="0" t="s">
        <v>36</v>
      </c>
      <c r="N1129" s="0" t="str">
        <f t="shared" si="17"/>
        <v>APINlaIkorodu</v>
      </c>
    </row>
    <row r="1130">
      <c r="H1130" s="0" t="s">
        <v>227</v>
      </c>
      <c r="I1130" s="0" t="s">
        <v>289</v>
      </c>
      <c r="J1130" s="0" t="s">
        <v>769</v>
      </c>
      <c r="K1130" s="83" t="s">
        <v>2751</v>
      </c>
      <c r="L1130" s="0" t="s">
        <v>2752</v>
      </c>
      <c r="M1130" s="0" t="s">
        <v>36</v>
      </c>
      <c r="N1130" s="83" t="str">
        <f t="shared" si="17"/>
        <v>APINlaIkorodu</v>
      </c>
    </row>
    <row r="1131">
      <c r="H1131" s="0" t="s">
        <v>227</v>
      </c>
      <c r="I1131" s="0" t="s">
        <v>289</v>
      </c>
      <c r="J1131" s="0" t="s">
        <v>769</v>
      </c>
      <c r="K1131" s="83" t="s">
        <v>2753</v>
      </c>
      <c r="L1131" s="0" t="s">
        <v>2754</v>
      </c>
      <c r="M1131" s="0" t="s">
        <v>36</v>
      </c>
      <c r="N1131" s="0" t="str">
        <f t="shared" si="17"/>
        <v>APINlaIkorodu</v>
      </c>
    </row>
    <row r="1132">
      <c r="H1132" s="0" t="s">
        <v>227</v>
      </c>
      <c r="I1132" s="0" t="s">
        <v>289</v>
      </c>
      <c r="J1132" s="0" t="s">
        <v>769</v>
      </c>
      <c r="K1132" s="83" t="s">
        <v>2755</v>
      </c>
      <c r="L1132" s="0" t="s">
        <v>2756</v>
      </c>
      <c r="M1132" s="0" t="s">
        <v>36</v>
      </c>
      <c r="N1132" s="0" t="str">
        <f t="shared" si="17"/>
        <v>APINlaIkorodu</v>
      </c>
    </row>
    <row r="1133">
      <c r="H1133" s="0" t="s">
        <v>227</v>
      </c>
      <c r="I1133" s="0" t="s">
        <v>289</v>
      </c>
      <c r="J1133" s="0" t="s">
        <v>769</v>
      </c>
      <c r="K1133" s="83" t="s">
        <v>2757</v>
      </c>
      <c r="L1133" s="0" t="s">
        <v>2758</v>
      </c>
      <c r="M1133" s="0" t="s">
        <v>36</v>
      </c>
      <c r="N1133" s="0" t="str">
        <f t="shared" si="17"/>
        <v>APINlaIkorodu</v>
      </c>
    </row>
    <row r="1134">
      <c r="H1134" s="0" t="s">
        <v>227</v>
      </c>
      <c r="I1134" s="0" t="s">
        <v>289</v>
      </c>
      <c r="J1134" s="0" t="s">
        <v>772</v>
      </c>
      <c r="K1134" s="83" t="s">
        <v>2759</v>
      </c>
      <c r="L1134" s="0" t="s">
        <v>2760</v>
      </c>
      <c r="M1134" s="0" t="s">
        <v>36</v>
      </c>
      <c r="N1134" s="0" t="str">
        <f t="shared" si="17"/>
        <v>APINlaMushin</v>
      </c>
    </row>
    <row r="1135">
      <c r="H1135" s="0" t="s">
        <v>227</v>
      </c>
      <c r="I1135" s="0" t="s">
        <v>289</v>
      </c>
      <c r="J1135" s="0" t="s">
        <v>772</v>
      </c>
      <c r="K1135" s="83" t="s">
        <v>2761</v>
      </c>
      <c r="L1135" s="0" t="s">
        <v>2762</v>
      </c>
      <c r="M1135" s="0" t="s">
        <v>36</v>
      </c>
      <c r="N1135" s="0" t="str">
        <f t="shared" si="17"/>
        <v>APINlaMushin</v>
      </c>
    </row>
    <row r="1136">
      <c r="H1136" s="0" t="s">
        <v>227</v>
      </c>
      <c r="I1136" s="0" t="s">
        <v>289</v>
      </c>
      <c r="J1136" s="0" t="s">
        <v>772</v>
      </c>
      <c r="K1136" s="83" t="s">
        <v>2763</v>
      </c>
      <c r="L1136" s="0" t="s">
        <v>2764</v>
      </c>
      <c r="M1136" s="0" t="s">
        <v>36</v>
      </c>
      <c r="N1136" s="0" t="str">
        <f t="shared" si="17"/>
        <v>APINlaMushin</v>
      </c>
    </row>
    <row r="1137">
      <c r="H1137" s="0" t="s">
        <v>227</v>
      </c>
      <c r="I1137" s="0" t="s">
        <v>289</v>
      </c>
      <c r="J1137" s="0" t="s">
        <v>772</v>
      </c>
      <c r="K1137" s="83" t="s">
        <v>2765</v>
      </c>
      <c r="L1137" s="0" t="s">
        <v>2766</v>
      </c>
      <c r="M1137" s="0" t="s">
        <v>36</v>
      </c>
      <c r="N1137" s="0" t="str">
        <f t="shared" si="17"/>
        <v>APINlaMushin</v>
      </c>
    </row>
    <row r="1138">
      <c r="H1138" s="0" t="s">
        <v>227</v>
      </c>
      <c r="I1138" s="0" t="s">
        <v>289</v>
      </c>
      <c r="J1138" s="0" t="s">
        <v>772</v>
      </c>
      <c r="K1138" s="83" t="s">
        <v>2767</v>
      </c>
      <c r="L1138" s="0" t="s">
        <v>2768</v>
      </c>
      <c r="M1138" s="0" t="s">
        <v>36</v>
      </c>
      <c r="N1138" s="0" t="str">
        <f t="shared" si="17"/>
        <v>APINlaMushin</v>
      </c>
    </row>
    <row r="1139">
      <c r="H1139" s="0" t="s">
        <v>227</v>
      </c>
      <c r="I1139" s="0" t="s">
        <v>289</v>
      </c>
      <c r="J1139" s="0" t="s">
        <v>772</v>
      </c>
      <c r="K1139" s="83" t="s">
        <v>2769</v>
      </c>
      <c r="L1139" s="0" t="s">
        <v>2770</v>
      </c>
      <c r="M1139" s="0" t="s">
        <v>36</v>
      </c>
      <c r="N1139" s="0" t="str">
        <f t="shared" si="17"/>
        <v>APINlaMushin</v>
      </c>
    </row>
    <row r="1140">
      <c r="H1140" s="0" t="s">
        <v>227</v>
      </c>
      <c r="I1140" s="0" t="s">
        <v>289</v>
      </c>
      <c r="J1140" s="0" t="s">
        <v>772</v>
      </c>
      <c r="K1140" s="83" t="s">
        <v>2771</v>
      </c>
      <c r="L1140" s="0" t="s">
        <v>2772</v>
      </c>
      <c r="M1140" s="0" t="s">
        <v>36</v>
      </c>
      <c r="N1140" s="0" t="str">
        <f t="shared" si="17"/>
        <v>APINlaMushin</v>
      </c>
    </row>
    <row r="1141">
      <c r="H1141" s="0" t="s">
        <v>227</v>
      </c>
      <c r="I1141" s="0" t="s">
        <v>289</v>
      </c>
      <c r="J1141" s="0" t="s">
        <v>772</v>
      </c>
      <c r="K1141" s="83" t="s">
        <v>2773</v>
      </c>
      <c r="L1141" s="0" t="s">
        <v>2774</v>
      </c>
      <c r="M1141" s="0" t="s">
        <v>36</v>
      </c>
      <c r="N1141" s="0" t="str">
        <f t="shared" si="17"/>
        <v>APINlaMushin</v>
      </c>
    </row>
    <row r="1142">
      <c r="H1142" s="0" t="s">
        <v>227</v>
      </c>
      <c r="I1142" s="0" t="s">
        <v>289</v>
      </c>
      <c r="J1142" s="0" t="s">
        <v>772</v>
      </c>
      <c r="K1142" s="83" t="s">
        <v>2775</v>
      </c>
      <c r="L1142" s="0" t="s">
        <v>2776</v>
      </c>
      <c r="M1142" s="0" t="s">
        <v>36</v>
      </c>
      <c r="N1142" s="0" t="str">
        <f t="shared" si="17"/>
        <v>APINlaMushin</v>
      </c>
    </row>
    <row r="1143">
      <c r="H1143" s="0" t="s">
        <v>227</v>
      </c>
      <c r="I1143" s="0" t="s">
        <v>289</v>
      </c>
      <c r="J1143" s="0" t="s">
        <v>772</v>
      </c>
      <c r="K1143" s="83" t="s">
        <v>2777</v>
      </c>
      <c r="L1143" s="0" t="s">
        <v>2778</v>
      </c>
      <c r="M1143" s="0" t="s">
        <v>36</v>
      </c>
      <c r="N1143" s="0" t="str">
        <f t="shared" si="17"/>
        <v>APINlaMushin</v>
      </c>
    </row>
    <row r="1144">
      <c r="H1144" s="0" t="s">
        <v>227</v>
      </c>
      <c r="I1144" s="0" t="s">
        <v>289</v>
      </c>
      <c r="J1144" s="0" t="s">
        <v>772</v>
      </c>
      <c r="K1144" s="83" t="s">
        <v>2779</v>
      </c>
      <c r="L1144" s="0" t="s">
        <v>2780</v>
      </c>
      <c r="M1144" s="0" t="s">
        <v>36</v>
      </c>
      <c r="N1144" s="0" t="str">
        <f t="shared" si="17"/>
        <v>APINlaMushin</v>
      </c>
    </row>
    <row r="1145">
      <c r="H1145" s="0" t="s">
        <v>227</v>
      </c>
      <c r="I1145" s="0" t="s">
        <v>289</v>
      </c>
      <c r="J1145" s="0" t="s">
        <v>772</v>
      </c>
      <c r="K1145" s="83" t="s">
        <v>2781</v>
      </c>
      <c r="L1145" s="0" t="s">
        <v>2782</v>
      </c>
      <c r="M1145" s="0" t="s">
        <v>36</v>
      </c>
      <c r="N1145" s="0" t="str">
        <f t="shared" si="17"/>
        <v>APINlaMushin</v>
      </c>
    </row>
    <row r="1146">
      <c r="H1146" s="0" t="s">
        <v>227</v>
      </c>
      <c r="I1146" s="0" t="s">
        <v>289</v>
      </c>
      <c r="J1146" s="0" t="s">
        <v>772</v>
      </c>
      <c r="K1146" s="83" t="s">
        <v>2783</v>
      </c>
      <c r="L1146" s="0" t="s">
        <v>2784</v>
      </c>
      <c r="M1146" s="0" t="s">
        <v>36</v>
      </c>
      <c r="N1146" s="0" t="str">
        <f t="shared" si="17"/>
        <v>APINlaMushin</v>
      </c>
    </row>
    <row r="1147">
      <c r="H1147" s="0" t="s">
        <v>227</v>
      </c>
      <c r="I1147" s="0" t="s">
        <v>289</v>
      </c>
      <c r="J1147" s="0" t="s">
        <v>772</v>
      </c>
      <c r="K1147" s="83" t="s">
        <v>2785</v>
      </c>
      <c r="L1147" s="0" t="s">
        <v>2786</v>
      </c>
      <c r="M1147" s="0" t="s">
        <v>36</v>
      </c>
      <c r="N1147" s="0" t="str">
        <f t="shared" si="17"/>
        <v>APINlaMushin</v>
      </c>
    </row>
    <row r="1148">
      <c r="H1148" s="0" t="s">
        <v>227</v>
      </c>
      <c r="I1148" s="0" t="s">
        <v>289</v>
      </c>
      <c r="J1148" s="0" t="s">
        <v>775</v>
      </c>
      <c r="K1148" s="83" t="s">
        <v>2787</v>
      </c>
      <c r="L1148" s="0" t="s">
        <v>2788</v>
      </c>
      <c r="M1148" s="0" t="s">
        <v>36</v>
      </c>
      <c r="N1148" s="0" t="str">
        <f t="shared" si="17"/>
        <v>APINlaOshodiIsolo</v>
      </c>
    </row>
    <row r="1149">
      <c r="H1149" s="0" t="s">
        <v>227</v>
      </c>
      <c r="I1149" s="0" t="s">
        <v>289</v>
      </c>
      <c r="J1149" s="0" t="s">
        <v>775</v>
      </c>
      <c r="K1149" s="83" t="s">
        <v>2789</v>
      </c>
      <c r="L1149" s="0" t="s">
        <v>2790</v>
      </c>
      <c r="M1149" s="0" t="s">
        <v>36</v>
      </c>
      <c r="N1149" s="0" t="str">
        <f t="shared" si="17"/>
        <v>APINlaOshodiIsolo</v>
      </c>
    </row>
    <row r="1150">
      <c r="H1150" s="0" t="s">
        <v>227</v>
      </c>
      <c r="I1150" s="0" t="s">
        <v>289</v>
      </c>
      <c r="J1150" s="0" t="s">
        <v>775</v>
      </c>
      <c r="K1150" s="83" t="s">
        <v>2791</v>
      </c>
      <c r="L1150" s="0" t="s">
        <v>2792</v>
      </c>
      <c r="M1150" s="0" t="s">
        <v>36</v>
      </c>
      <c r="N1150" s="0" t="str">
        <f t="shared" si="17"/>
        <v>APINlaOshodiIsolo</v>
      </c>
    </row>
    <row r="1151">
      <c r="H1151" s="0" t="s">
        <v>227</v>
      </c>
      <c r="I1151" s="0" t="s">
        <v>289</v>
      </c>
      <c r="J1151" s="0" t="s">
        <v>775</v>
      </c>
      <c r="K1151" s="83" t="s">
        <v>2793</v>
      </c>
      <c r="L1151" s="0" t="s">
        <v>2794</v>
      </c>
      <c r="M1151" s="0" t="s">
        <v>36</v>
      </c>
      <c r="N1151" s="0" t="str">
        <f t="shared" si="17"/>
        <v>APINlaOshodiIsolo</v>
      </c>
    </row>
    <row r="1152">
      <c r="H1152" s="0" t="s">
        <v>227</v>
      </c>
      <c r="I1152" s="0" t="s">
        <v>289</v>
      </c>
      <c r="J1152" s="0" t="s">
        <v>775</v>
      </c>
      <c r="K1152" s="83" t="s">
        <v>2795</v>
      </c>
      <c r="L1152" s="0" t="s">
        <v>2796</v>
      </c>
      <c r="M1152" s="0" t="s">
        <v>36</v>
      </c>
      <c r="N1152" s="0" t="str">
        <f t="shared" si="17"/>
        <v>APINlaOshodiIsolo</v>
      </c>
    </row>
    <row r="1153">
      <c r="H1153" s="0" t="s">
        <v>227</v>
      </c>
      <c r="I1153" s="0" t="s">
        <v>289</v>
      </c>
      <c r="J1153" s="0" t="s">
        <v>775</v>
      </c>
      <c r="K1153" s="83" t="s">
        <v>2797</v>
      </c>
      <c r="L1153" s="0" t="s">
        <v>2798</v>
      </c>
      <c r="M1153" s="0" t="s">
        <v>36</v>
      </c>
      <c r="N1153" s="0" t="str">
        <f t="shared" si="17"/>
        <v>APINlaOshodiIsolo</v>
      </c>
    </row>
    <row r="1154">
      <c r="H1154" s="0" t="s">
        <v>227</v>
      </c>
      <c r="I1154" s="0" t="s">
        <v>289</v>
      </c>
      <c r="J1154" s="0" t="s">
        <v>775</v>
      </c>
      <c r="K1154" s="83" t="s">
        <v>2799</v>
      </c>
      <c r="L1154" s="0" t="s">
        <v>2800</v>
      </c>
      <c r="M1154" s="0" t="s">
        <v>36</v>
      </c>
      <c r="N1154" s="0" t="str">
        <f t="shared" si="17"/>
        <v>APINlaOshodiIsolo</v>
      </c>
    </row>
    <row r="1155">
      <c r="H1155" s="0" t="s">
        <v>227</v>
      </c>
      <c r="I1155" s="0" t="s">
        <v>289</v>
      </c>
      <c r="J1155" s="0" t="s">
        <v>775</v>
      </c>
      <c r="K1155" s="83" t="s">
        <v>2801</v>
      </c>
      <c r="L1155" s="0" t="s">
        <v>2802</v>
      </c>
      <c r="M1155" s="0" t="s">
        <v>36</v>
      </c>
      <c r="N1155" s="0" t="str">
        <f ref="N1155:N1218" t="shared" si="18">SUBSTITUTE(SUBSTITUTE(M1155&amp;J1155," ",""),"-","")</f>
        <v>APINlaOshodiIsolo</v>
      </c>
    </row>
    <row r="1156">
      <c r="H1156" s="0" t="s">
        <v>227</v>
      </c>
      <c r="I1156" s="0" t="s">
        <v>289</v>
      </c>
      <c r="J1156" s="0" t="s">
        <v>775</v>
      </c>
      <c r="K1156" s="83" t="s">
        <v>2803</v>
      </c>
      <c r="L1156" s="0" t="s">
        <v>2804</v>
      </c>
      <c r="M1156" s="0" t="s">
        <v>36</v>
      </c>
      <c r="N1156" s="0" t="str">
        <f t="shared" si="18"/>
        <v>APINlaOshodiIsolo</v>
      </c>
    </row>
    <row r="1157">
      <c r="H1157" s="0" t="s">
        <v>227</v>
      </c>
      <c r="I1157" s="0" t="s">
        <v>289</v>
      </c>
      <c r="J1157" s="0" t="s">
        <v>775</v>
      </c>
      <c r="K1157" s="83" t="s">
        <v>2805</v>
      </c>
      <c r="L1157" s="0" t="s">
        <v>2806</v>
      </c>
      <c r="M1157" s="0" t="s">
        <v>36</v>
      </c>
      <c r="N1157" s="0" t="str">
        <f t="shared" si="18"/>
        <v>APINlaOshodiIsolo</v>
      </c>
    </row>
    <row r="1158">
      <c r="H1158" s="0" t="s">
        <v>227</v>
      </c>
      <c r="I1158" s="0" t="s">
        <v>289</v>
      </c>
      <c r="J1158" s="0" t="s">
        <v>775</v>
      </c>
      <c r="K1158" s="83" t="s">
        <v>2807</v>
      </c>
      <c r="L1158" s="0" t="s">
        <v>2808</v>
      </c>
      <c r="M1158" s="0" t="s">
        <v>36</v>
      </c>
      <c r="N1158" s="0" t="str">
        <f t="shared" si="18"/>
        <v>APINlaOshodiIsolo</v>
      </c>
    </row>
    <row r="1159">
      <c r="H1159" s="0" t="s">
        <v>227</v>
      </c>
      <c r="I1159" s="0" t="s">
        <v>289</v>
      </c>
      <c r="J1159" s="0" t="s">
        <v>775</v>
      </c>
      <c r="K1159" s="83" t="s">
        <v>2809</v>
      </c>
      <c r="L1159" s="0" t="s">
        <v>2810</v>
      </c>
      <c r="M1159" s="0" t="s">
        <v>36</v>
      </c>
      <c r="N1159" s="0" t="str">
        <f t="shared" si="18"/>
        <v>APINlaOshodiIsolo</v>
      </c>
    </row>
    <row r="1160">
      <c r="H1160" s="0" t="s">
        <v>227</v>
      </c>
      <c r="I1160" s="0" t="s">
        <v>289</v>
      </c>
      <c r="J1160" s="0" t="s">
        <v>775</v>
      </c>
      <c r="K1160" s="83" t="s">
        <v>2811</v>
      </c>
      <c r="L1160" s="0" t="s">
        <v>2812</v>
      </c>
      <c r="M1160" s="0" t="s">
        <v>36</v>
      </c>
      <c r="N1160" s="0" t="str">
        <f t="shared" si="18"/>
        <v>APINlaOshodiIsolo</v>
      </c>
    </row>
    <row r="1161">
      <c r="H1161" s="0" t="s">
        <v>227</v>
      </c>
      <c r="I1161" s="0" t="s">
        <v>289</v>
      </c>
      <c r="J1161" s="0" t="s">
        <v>775</v>
      </c>
      <c r="K1161" s="83" t="s">
        <v>2813</v>
      </c>
      <c r="L1161" s="0" t="s">
        <v>2814</v>
      </c>
      <c r="M1161" s="0" t="s">
        <v>36</v>
      </c>
      <c r="N1161" s="0" t="str">
        <f t="shared" si="18"/>
        <v>APINlaOshodiIsolo</v>
      </c>
    </row>
    <row r="1162">
      <c r="H1162" s="0" t="s">
        <v>227</v>
      </c>
      <c r="I1162" s="0" t="s">
        <v>233</v>
      </c>
      <c r="J1162" s="0" t="s">
        <v>260</v>
      </c>
      <c r="K1162" s="83" t="s">
        <v>2815</v>
      </c>
      <c r="L1162" s="0" t="s">
        <v>2816</v>
      </c>
      <c r="M1162" s="0" t="s">
        <v>244</v>
      </c>
      <c r="N1162" s="0" t="str">
        <f t="shared" si="18"/>
        <v>IHVNnaAkwanga</v>
      </c>
    </row>
    <row r="1163">
      <c r="H1163" s="0" t="s">
        <v>227</v>
      </c>
      <c r="I1163" s="0" t="s">
        <v>233</v>
      </c>
      <c r="J1163" s="0" t="s">
        <v>260</v>
      </c>
      <c r="K1163" s="83" t="s">
        <v>2817</v>
      </c>
      <c r="L1163" s="0" t="s">
        <v>2818</v>
      </c>
      <c r="M1163" s="0" t="s">
        <v>244</v>
      </c>
      <c r="N1163" s="0" t="str">
        <f t="shared" si="18"/>
        <v>IHVNnaAkwanga</v>
      </c>
    </row>
    <row r="1164">
      <c r="H1164" s="0" t="s">
        <v>227</v>
      </c>
      <c r="I1164" s="0" t="s">
        <v>233</v>
      </c>
      <c r="J1164" s="0" t="s">
        <v>260</v>
      </c>
      <c r="K1164" s="83" t="s">
        <v>2819</v>
      </c>
      <c r="L1164" s="0" t="s">
        <v>2820</v>
      </c>
      <c r="M1164" s="0" t="s">
        <v>244</v>
      </c>
      <c r="N1164" s="0" t="str">
        <f t="shared" si="18"/>
        <v>IHVNnaAkwanga</v>
      </c>
    </row>
    <row r="1165">
      <c r="H1165" s="0" t="s">
        <v>227</v>
      </c>
      <c r="I1165" s="0" t="s">
        <v>233</v>
      </c>
      <c r="J1165" s="0" t="s">
        <v>260</v>
      </c>
      <c r="K1165" s="83" t="s">
        <v>2821</v>
      </c>
      <c r="L1165" s="0" t="s">
        <v>2822</v>
      </c>
      <c r="M1165" s="0" t="s">
        <v>244</v>
      </c>
      <c r="N1165" s="0" t="str">
        <f t="shared" si="18"/>
        <v>IHVNnaAkwanga</v>
      </c>
    </row>
    <row r="1166">
      <c r="H1166" s="0" t="s">
        <v>227</v>
      </c>
      <c r="I1166" s="0" t="s">
        <v>233</v>
      </c>
      <c r="J1166" s="0" t="s">
        <v>260</v>
      </c>
      <c r="K1166" s="83" t="s">
        <v>2823</v>
      </c>
      <c r="L1166" s="0" t="s">
        <v>2824</v>
      </c>
      <c r="M1166" s="0" t="s">
        <v>244</v>
      </c>
      <c r="N1166" s="0" t="str">
        <f t="shared" si="18"/>
        <v>IHVNnaAkwanga</v>
      </c>
    </row>
    <row r="1167">
      <c r="H1167" s="0" t="s">
        <v>227</v>
      </c>
      <c r="I1167" s="0" t="s">
        <v>233</v>
      </c>
      <c r="J1167" s="0" t="s">
        <v>260</v>
      </c>
      <c r="K1167" s="83" t="s">
        <v>2825</v>
      </c>
      <c r="L1167" s="0" t="s">
        <v>2826</v>
      </c>
      <c r="M1167" s="0" t="s">
        <v>244</v>
      </c>
      <c r="N1167" s="0" t="str">
        <f t="shared" si="18"/>
        <v>IHVNnaAkwanga</v>
      </c>
    </row>
    <row r="1168">
      <c r="H1168" s="0" t="s">
        <v>227</v>
      </c>
      <c r="I1168" s="0" t="s">
        <v>233</v>
      </c>
      <c r="J1168" s="0" t="s">
        <v>260</v>
      </c>
      <c r="K1168" s="83" t="s">
        <v>2827</v>
      </c>
      <c r="L1168" s="0" t="s">
        <v>2828</v>
      </c>
      <c r="M1168" s="0" t="s">
        <v>244</v>
      </c>
      <c r="N1168" s="0" t="str">
        <f t="shared" si="18"/>
        <v>IHVNnaAkwanga</v>
      </c>
    </row>
    <row r="1169">
      <c r="H1169" s="0" t="s">
        <v>227</v>
      </c>
      <c r="I1169" s="0" t="s">
        <v>233</v>
      </c>
      <c r="J1169" s="0" t="s">
        <v>260</v>
      </c>
      <c r="K1169" s="83" t="s">
        <v>2829</v>
      </c>
      <c r="L1169" s="0" t="s">
        <v>2830</v>
      </c>
      <c r="M1169" s="0" t="s">
        <v>244</v>
      </c>
      <c r="N1169" s="0" t="str">
        <f t="shared" si="18"/>
        <v>IHVNnaAkwanga</v>
      </c>
    </row>
    <row r="1170">
      <c r="H1170" s="0" t="s">
        <v>227</v>
      </c>
      <c r="I1170" s="0" t="s">
        <v>233</v>
      </c>
      <c r="J1170" s="0" t="s">
        <v>260</v>
      </c>
      <c r="K1170" s="83" t="s">
        <v>2831</v>
      </c>
      <c r="L1170" s="0" t="s">
        <v>2832</v>
      </c>
      <c r="M1170" s="0" t="s">
        <v>244</v>
      </c>
      <c r="N1170" s="0" t="str">
        <f t="shared" si="18"/>
        <v>IHVNnaAkwanga</v>
      </c>
    </row>
    <row r="1171">
      <c r="H1171" s="0" t="s">
        <v>227</v>
      </c>
      <c r="I1171" s="0" t="s">
        <v>233</v>
      </c>
      <c r="J1171" s="0" t="s">
        <v>260</v>
      </c>
      <c r="K1171" s="83" t="s">
        <v>2833</v>
      </c>
      <c r="L1171" s="0" t="s">
        <v>2834</v>
      </c>
      <c r="M1171" s="0" t="s">
        <v>244</v>
      </c>
      <c r="N1171" s="0" t="str">
        <f t="shared" si="18"/>
        <v>IHVNnaAkwanga</v>
      </c>
    </row>
    <row r="1172">
      <c r="H1172" s="0" t="s">
        <v>227</v>
      </c>
      <c r="I1172" s="0" t="s">
        <v>233</v>
      </c>
      <c r="J1172" s="0" t="s">
        <v>266</v>
      </c>
      <c r="K1172" s="83" t="s">
        <v>2835</v>
      </c>
      <c r="L1172" s="0" t="s">
        <v>2836</v>
      </c>
      <c r="M1172" s="0" t="s">
        <v>244</v>
      </c>
      <c r="N1172" s="0" t="str">
        <f t="shared" si="18"/>
        <v>IHVNnaDoma</v>
      </c>
    </row>
    <row r="1173">
      <c r="H1173" s="0" t="s">
        <v>227</v>
      </c>
      <c r="I1173" s="0" t="s">
        <v>233</v>
      </c>
      <c r="J1173" s="0" t="s">
        <v>266</v>
      </c>
      <c r="K1173" s="83" t="s">
        <v>2837</v>
      </c>
      <c r="L1173" s="0" t="s">
        <v>2838</v>
      </c>
      <c r="M1173" s="0" t="s">
        <v>244</v>
      </c>
      <c r="N1173" s="0" t="str">
        <f t="shared" si="18"/>
        <v>IHVNnaDoma</v>
      </c>
    </row>
    <row r="1174">
      <c r="H1174" s="0" t="s">
        <v>227</v>
      </c>
      <c r="I1174" s="0" t="s">
        <v>233</v>
      </c>
      <c r="J1174" s="0" t="s">
        <v>266</v>
      </c>
      <c r="K1174" s="83" t="s">
        <v>2839</v>
      </c>
      <c r="L1174" s="0" t="s">
        <v>2840</v>
      </c>
      <c r="M1174" s="0" t="s">
        <v>244</v>
      </c>
      <c r="N1174" s="0" t="str">
        <f t="shared" si="18"/>
        <v>IHVNnaDoma</v>
      </c>
    </row>
    <row r="1175">
      <c r="H1175" s="0" t="s">
        <v>227</v>
      </c>
      <c r="I1175" s="0" t="s">
        <v>233</v>
      </c>
      <c r="J1175" s="0" t="s">
        <v>266</v>
      </c>
      <c r="K1175" s="83" t="s">
        <v>2841</v>
      </c>
      <c r="L1175" s="0" t="s">
        <v>2842</v>
      </c>
      <c r="M1175" s="0" t="s">
        <v>244</v>
      </c>
      <c r="N1175" s="0" t="str">
        <f t="shared" si="18"/>
        <v>IHVNnaDoma</v>
      </c>
    </row>
    <row r="1176">
      <c r="H1176" s="0" t="s">
        <v>227</v>
      </c>
      <c r="I1176" s="0" t="s">
        <v>233</v>
      </c>
      <c r="J1176" s="0" t="s">
        <v>266</v>
      </c>
      <c r="K1176" s="83" t="s">
        <v>2843</v>
      </c>
      <c r="L1176" s="0" t="s">
        <v>2844</v>
      </c>
      <c r="M1176" s="0" t="s">
        <v>244</v>
      </c>
      <c r="N1176" s="0" t="str">
        <f t="shared" si="18"/>
        <v>IHVNnaDoma</v>
      </c>
    </row>
    <row r="1177">
      <c r="H1177" s="0" t="s">
        <v>227</v>
      </c>
      <c r="I1177" s="0" t="s">
        <v>233</v>
      </c>
      <c r="J1177" s="0" t="s">
        <v>266</v>
      </c>
      <c r="K1177" s="83" t="s">
        <v>2845</v>
      </c>
      <c r="L1177" s="0" t="s">
        <v>2846</v>
      </c>
      <c r="M1177" s="0" t="s">
        <v>244</v>
      </c>
      <c r="N1177" s="0" t="str">
        <f t="shared" si="18"/>
        <v>IHVNnaDoma</v>
      </c>
    </row>
    <row r="1178">
      <c r="H1178" s="0" t="s">
        <v>227</v>
      </c>
      <c r="I1178" s="0" t="s">
        <v>233</v>
      </c>
      <c r="J1178" s="0" t="s">
        <v>266</v>
      </c>
      <c r="K1178" s="83" t="s">
        <v>2847</v>
      </c>
      <c r="L1178" s="0" t="s">
        <v>2848</v>
      </c>
      <c r="M1178" s="0" t="s">
        <v>244</v>
      </c>
      <c r="N1178" s="0" t="str">
        <f t="shared" si="18"/>
        <v>IHVNnaDoma</v>
      </c>
    </row>
    <row r="1179">
      <c r="H1179" s="0" t="s">
        <v>227</v>
      </c>
      <c r="I1179" s="0" t="s">
        <v>233</v>
      </c>
      <c r="J1179" s="0" t="s">
        <v>266</v>
      </c>
      <c r="K1179" s="83" t="s">
        <v>2849</v>
      </c>
      <c r="L1179" s="0" t="s">
        <v>2850</v>
      </c>
      <c r="M1179" s="0" t="s">
        <v>244</v>
      </c>
      <c r="N1179" s="0" t="str">
        <f t="shared" si="18"/>
        <v>IHVNnaDoma</v>
      </c>
    </row>
    <row r="1180">
      <c r="H1180" s="0" t="s">
        <v>227</v>
      </c>
      <c r="I1180" s="0" t="s">
        <v>233</v>
      </c>
      <c r="J1180" s="0" t="s">
        <v>266</v>
      </c>
      <c r="K1180" s="83" t="s">
        <v>2851</v>
      </c>
      <c r="L1180" s="0" t="s">
        <v>2852</v>
      </c>
      <c r="M1180" s="0" t="s">
        <v>244</v>
      </c>
      <c r="N1180" s="0" t="str">
        <f t="shared" si="18"/>
        <v>IHVNnaDoma</v>
      </c>
    </row>
    <row r="1181">
      <c r="H1181" s="0" t="s">
        <v>227</v>
      </c>
      <c r="I1181" s="0" t="s">
        <v>233</v>
      </c>
      <c r="J1181" s="0" t="s">
        <v>266</v>
      </c>
      <c r="K1181" s="83" t="s">
        <v>2853</v>
      </c>
      <c r="L1181" s="0" t="s">
        <v>2854</v>
      </c>
      <c r="M1181" s="0" t="s">
        <v>244</v>
      </c>
      <c r="N1181" s="0" t="str">
        <f t="shared" si="18"/>
        <v>IHVNnaDoma</v>
      </c>
    </row>
    <row r="1182">
      <c r="H1182" s="0" t="s">
        <v>227</v>
      </c>
      <c r="I1182" s="0" t="s">
        <v>233</v>
      </c>
      <c r="J1182" s="0" t="s">
        <v>266</v>
      </c>
      <c r="K1182" s="83" t="s">
        <v>2855</v>
      </c>
      <c r="L1182" s="0" t="s">
        <v>2856</v>
      </c>
      <c r="M1182" s="0" t="s">
        <v>244</v>
      </c>
      <c r="N1182" s="0" t="str">
        <f t="shared" si="18"/>
        <v>IHVNnaDoma</v>
      </c>
    </row>
    <row r="1183">
      <c r="H1183" s="0" t="s">
        <v>227</v>
      </c>
      <c r="I1183" s="0" t="s">
        <v>233</v>
      </c>
      <c r="J1183" s="0" t="s">
        <v>266</v>
      </c>
      <c r="K1183" s="83" t="s">
        <v>2857</v>
      </c>
      <c r="L1183" s="0" t="s">
        <v>2858</v>
      </c>
      <c r="M1183" s="0" t="s">
        <v>244</v>
      </c>
      <c r="N1183" s="0" t="str">
        <f t="shared" si="18"/>
        <v>IHVNnaDoma</v>
      </c>
    </row>
    <row r="1184">
      <c r="H1184" s="0" t="s">
        <v>227</v>
      </c>
      <c r="I1184" s="0" t="s">
        <v>233</v>
      </c>
      <c r="J1184" s="0" t="s">
        <v>266</v>
      </c>
      <c r="K1184" s="83" t="s">
        <v>2859</v>
      </c>
      <c r="L1184" s="0" t="s">
        <v>2860</v>
      </c>
      <c r="M1184" s="0" t="s">
        <v>244</v>
      </c>
      <c r="N1184" s="0" t="str">
        <f t="shared" si="18"/>
        <v>IHVNnaDoma</v>
      </c>
    </row>
    <row r="1185">
      <c r="H1185" s="0" t="s">
        <v>227</v>
      </c>
      <c r="I1185" s="0" t="s">
        <v>233</v>
      </c>
      <c r="J1185" s="0" t="s">
        <v>266</v>
      </c>
      <c r="K1185" s="83" t="s">
        <v>2861</v>
      </c>
      <c r="L1185" s="0" t="s">
        <v>2862</v>
      </c>
      <c r="M1185" s="0" t="s">
        <v>244</v>
      </c>
      <c r="N1185" s="0" t="str">
        <f t="shared" si="18"/>
        <v>IHVNnaDoma</v>
      </c>
    </row>
    <row r="1186">
      <c r="H1186" s="0" t="s">
        <v>227</v>
      </c>
      <c r="I1186" s="0" t="s">
        <v>233</v>
      </c>
      <c r="J1186" s="0" t="s">
        <v>266</v>
      </c>
      <c r="K1186" s="83" t="s">
        <v>2863</v>
      </c>
      <c r="L1186" s="0" t="s">
        <v>2864</v>
      </c>
      <c r="M1186" s="0" t="s">
        <v>244</v>
      </c>
      <c r="N1186" s="0" t="str">
        <f t="shared" si="18"/>
        <v>IHVNnaDoma</v>
      </c>
    </row>
    <row r="1187">
      <c r="H1187" s="0" t="s">
        <v>227</v>
      </c>
      <c r="I1187" s="0" t="s">
        <v>233</v>
      </c>
      <c r="J1187" s="0" t="s">
        <v>266</v>
      </c>
      <c r="K1187" s="83" t="s">
        <v>2865</v>
      </c>
      <c r="L1187" s="0" t="s">
        <v>2866</v>
      </c>
      <c r="M1187" s="0" t="s">
        <v>244</v>
      </c>
      <c r="N1187" s="0" t="str">
        <f t="shared" si="18"/>
        <v>IHVNnaDoma</v>
      </c>
    </row>
    <row r="1188">
      <c r="H1188" s="0" t="s">
        <v>227</v>
      </c>
      <c r="I1188" s="0" t="s">
        <v>233</v>
      </c>
      <c r="J1188" s="0" t="s">
        <v>266</v>
      </c>
      <c r="K1188" s="83" t="s">
        <v>2867</v>
      </c>
      <c r="L1188" s="0" t="s">
        <v>2868</v>
      </c>
      <c r="M1188" s="0" t="s">
        <v>244</v>
      </c>
      <c r="N1188" s="0" t="str">
        <f t="shared" si="18"/>
        <v>IHVNnaDoma</v>
      </c>
    </row>
    <row r="1189">
      <c r="H1189" s="0" t="s">
        <v>227</v>
      </c>
      <c r="I1189" s="0" t="s">
        <v>233</v>
      </c>
      <c r="J1189" s="0" t="s">
        <v>266</v>
      </c>
      <c r="K1189" s="83" t="s">
        <v>2869</v>
      </c>
      <c r="L1189" s="0" t="s">
        <v>2870</v>
      </c>
      <c r="M1189" s="0" t="s">
        <v>244</v>
      </c>
      <c r="N1189" s="0" t="str">
        <f t="shared" si="18"/>
        <v>IHVNnaDoma</v>
      </c>
    </row>
    <row r="1190">
      <c r="H1190" s="0" t="s">
        <v>227</v>
      </c>
      <c r="I1190" s="0" t="s">
        <v>233</v>
      </c>
      <c r="J1190" s="0" t="s">
        <v>266</v>
      </c>
      <c r="K1190" s="83" t="s">
        <v>2871</v>
      </c>
      <c r="L1190" s="0" t="s">
        <v>2872</v>
      </c>
      <c r="M1190" s="0" t="s">
        <v>244</v>
      </c>
      <c r="N1190" s="0" t="str">
        <f t="shared" si="18"/>
        <v>IHVNnaDoma</v>
      </c>
    </row>
    <row r="1191">
      <c r="H1191" s="0" t="s">
        <v>227</v>
      </c>
      <c r="I1191" s="0" t="s">
        <v>233</v>
      </c>
      <c r="J1191" s="0" t="s">
        <v>266</v>
      </c>
      <c r="K1191" s="83" t="s">
        <v>2873</v>
      </c>
      <c r="L1191" s="0" t="s">
        <v>2874</v>
      </c>
      <c r="M1191" s="0" t="s">
        <v>244</v>
      </c>
      <c r="N1191" s="0" t="str">
        <f t="shared" si="18"/>
        <v>IHVNnaDoma</v>
      </c>
    </row>
    <row r="1192">
      <c r="H1192" s="0" t="s">
        <v>227</v>
      </c>
      <c r="I1192" s="0" t="s">
        <v>233</v>
      </c>
      <c r="J1192" s="0" t="s">
        <v>266</v>
      </c>
      <c r="K1192" s="83" t="s">
        <v>2875</v>
      </c>
      <c r="L1192" s="0" t="s">
        <v>2876</v>
      </c>
      <c r="M1192" s="0" t="s">
        <v>244</v>
      </c>
      <c r="N1192" s="0" t="str">
        <f t="shared" si="18"/>
        <v>IHVNnaDoma</v>
      </c>
    </row>
    <row r="1193">
      <c r="H1193" s="0" t="s">
        <v>227</v>
      </c>
      <c r="I1193" s="0" t="s">
        <v>233</v>
      </c>
      <c r="J1193" s="0" t="s">
        <v>266</v>
      </c>
      <c r="K1193" s="83" t="s">
        <v>2877</v>
      </c>
      <c r="L1193" s="0" t="s">
        <v>2878</v>
      </c>
      <c r="M1193" s="0" t="s">
        <v>244</v>
      </c>
      <c r="N1193" s="0" t="str">
        <f t="shared" si="18"/>
        <v>IHVNnaDoma</v>
      </c>
    </row>
    <row r="1194">
      <c r="H1194" s="0" t="s">
        <v>227</v>
      </c>
      <c r="I1194" s="0" t="s">
        <v>233</v>
      </c>
      <c r="J1194" s="0" t="s">
        <v>270</v>
      </c>
      <c r="K1194" s="83" t="s">
        <v>2879</v>
      </c>
      <c r="L1194" s="0" t="s">
        <v>2880</v>
      </c>
      <c r="M1194" s="0" t="s">
        <v>244</v>
      </c>
      <c r="N1194" s="0" t="str">
        <f t="shared" si="18"/>
        <v>IHVNnaKaru</v>
      </c>
    </row>
    <row r="1195">
      <c r="H1195" s="0" t="s">
        <v>227</v>
      </c>
      <c r="I1195" s="0" t="s">
        <v>233</v>
      </c>
      <c r="J1195" s="0" t="s">
        <v>270</v>
      </c>
      <c r="K1195" s="83" t="s">
        <v>2881</v>
      </c>
      <c r="L1195" s="0" t="s">
        <v>2882</v>
      </c>
      <c r="M1195" s="0" t="s">
        <v>244</v>
      </c>
      <c r="N1195" s="0" t="str">
        <f t="shared" si="18"/>
        <v>IHVNnaKaru</v>
      </c>
    </row>
    <row r="1196">
      <c r="H1196" s="0" t="s">
        <v>227</v>
      </c>
      <c r="I1196" s="0" t="s">
        <v>233</v>
      </c>
      <c r="J1196" s="0" t="s">
        <v>270</v>
      </c>
      <c r="K1196" s="83" t="s">
        <v>2883</v>
      </c>
      <c r="L1196" s="0" t="s">
        <v>2884</v>
      </c>
      <c r="M1196" s="0" t="s">
        <v>244</v>
      </c>
      <c r="N1196" s="0" t="str">
        <f t="shared" si="18"/>
        <v>IHVNnaKaru</v>
      </c>
    </row>
    <row r="1197">
      <c r="H1197" s="0" t="s">
        <v>227</v>
      </c>
      <c r="I1197" s="0" t="s">
        <v>233</v>
      </c>
      <c r="J1197" s="0" t="s">
        <v>270</v>
      </c>
      <c r="K1197" s="83" t="s">
        <v>2885</v>
      </c>
      <c r="L1197" s="0" t="s">
        <v>2886</v>
      </c>
      <c r="M1197" s="0" t="s">
        <v>244</v>
      </c>
      <c r="N1197" s="0" t="str">
        <f t="shared" si="18"/>
        <v>IHVNnaKaru</v>
      </c>
    </row>
    <row r="1198">
      <c r="H1198" s="0" t="s">
        <v>227</v>
      </c>
      <c r="I1198" s="0" t="s">
        <v>233</v>
      </c>
      <c r="J1198" s="0" t="s">
        <v>270</v>
      </c>
      <c r="K1198" s="83" t="s">
        <v>2887</v>
      </c>
      <c r="L1198" s="0" t="s">
        <v>2888</v>
      </c>
      <c r="M1198" s="0" t="s">
        <v>244</v>
      </c>
      <c r="N1198" s="0" t="str">
        <f t="shared" si="18"/>
        <v>IHVNnaKaru</v>
      </c>
    </row>
    <row r="1199">
      <c r="H1199" s="0" t="s">
        <v>227</v>
      </c>
      <c r="I1199" s="0" t="s">
        <v>233</v>
      </c>
      <c r="J1199" s="0" t="s">
        <v>270</v>
      </c>
      <c r="K1199" s="83" t="s">
        <v>2889</v>
      </c>
      <c r="L1199" s="0" t="s">
        <v>2890</v>
      </c>
      <c r="M1199" s="0" t="s">
        <v>244</v>
      </c>
      <c r="N1199" s="0" t="str">
        <f t="shared" si="18"/>
        <v>IHVNnaKaru</v>
      </c>
    </row>
    <row r="1200">
      <c r="H1200" s="0" t="s">
        <v>227</v>
      </c>
      <c r="I1200" s="0" t="s">
        <v>233</v>
      </c>
      <c r="J1200" s="0" t="s">
        <v>270</v>
      </c>
      <c r="K1200" s="83" t="s">
        <v>2891</v>
      </c>
      <c r="L1200" s="0" t="s">
        <v>2892</v>
      </c>
      <c r="M1200" s="0" t="s">
        <v>244</v>
      </c>
      <c r="N1200" s="0" t="str">
        <f t="shared" si="18"/>
        <v>IHVNnaKaru</v>
      </c>
    </row>
    <row r="1201">
      <c r="H1201" s="0" t="s">
        <v>227</v>
      </c>
      <c r="I1201" s="0" t="s">
        <v>233</v>
      </c>
      <c r="J1201" s="0" t="s">
        <v>270</v>
      </c>
      <c r="K1201" s="83" t="s">
        <v>2893</v>
      </c>
      <c r="L1201" s="0" t="s">
        <v>2894</v>
      </c>
      <c r="M1201" s="0" t="s">
        <v>244</v>
      </c>
      <c r="N1201" s="0" t="str">
        <f t="shared" si="18"/>
        <v>IHVNnaKaru</v>
      </c>
    </row>
    <row r="1202">
      <c r="H1202" s="0" t="s">
        <v>227</v>
      </c>
      <c r="I1202" s="0" t="s">
        <v>233</v>
      </c>
      <c r="J1202" s="0" t="s">
        <v>270</v>
      </c>
      <c r="K1202" s="83" t="s">
        <v>2895</v>
      </c>
      <c r="L1202" s="0" t="s">
        <v>2896</v>
      </c>
      <c r="M1202" s="0" t="s">
        <v>244</v>
      </c>
      <c r="N1202" s="0" t="str">
        <f t="shared" si="18"/>
        <v>IHVNnaKaru</v>
      </c>
    </row>
    <row r="1203">
      <c r="H1203" s="0" t="s">
        <v>227</v>
      </c>
      <c r="I1203" s="0" t="s">
        <v>233</v>
      </c>
      <c r="J1203" s="0" t="s">
        <v>270</v>
      </c>
      <c r="K1203" s="83" t="s">
        <v>2897</v>
      </c>
      <c r="L1203" s="0" t="s">
        <v>2898</v>
      </c>
      <c r="M1203" s="0" t="s">
        <v>244</v>
      </c>
      <c r="N1203" s="0" t="str">
        <f t="shared" si="18"/>
        <v>IHVNnaKaru</v>
      </c>
    </row>
    <row r="1204">
      <c r="H1204" s="0" t="s">
        <v>227</v>
      </c>
      <c r="I1204" s="0" t="s">
        <v>233</v>
      </c>
      <c r="J1204" s="0" t="s">
        <v>270</v>
      </c>
      <c r="K1204" s="83" t="s">
        <v>2899</v>
      </c>
      <c r="L1204" s="0" t="s">
        <v>2900</v>
      </c>
      <c r="M1204" s="0" t="s">
        <v>244</v>
      </c>
      <c r="N1204" s="0" t="str">
        <f t="shared" si="18"/>
        <v>IHVNnaKaru</v>
      </c>
    </row>
    <row r="1205">
      <c r="H1205" s="0" t="s">
        <v>227</v>
      </c>
      <c r="I1205" s="0" t="s">
        <v>233</v>
      </c>
      <c r="J1205" s="0" t="s">
        <v>270</v>
      </c>
      <c r="K1205" s="83" t="s">
        <v>2901</v>
      </c>
      <c r="L1205" s="0" t="s">
        <v>2902</v>
      </c>
      <c r="M1205" s="0" t="s">
        <v>244</v>
      </c>
      <c r="N1205" s="0" t="str">
        <f t="shared" si="18"/>
        <v>IHVNnaKaru</v>
      </c>
    </row>
    <row r="1206">
      <c r="H1206" s="0" t="s">
        <v>227</v>
      </c>
      <c r="I1206" s="0" t="s">
        <v>233</v>
      </c>
      <c r="J1206" s="0" t="s">
        <v>270</v>
      </c>
      <c r="K1206" s="83" t="s">
        <v>2903</v>
      </c>
      <c r="L1206" s="0" t="s">
        <v>2904</v>
      </c>
      <c r="M1206" s="0" t="s">
        <v>244</v>
      </c>
      <c r="N1206" s="0" t="str">
        <f t="shared" si="18"/>
        <v>IHVNnaKaru</v>
      </c>
    </row>
    <row r="1207">
      <c r="H1207" s="0" t="s">
        <v>227</v>
      </c>
      <c r="I1207" s="0" t="s">
        <v>233</v>
      </c>
      <c r="J1207" s="0" t="s">
        <v>270</v>
      </c>
      <c r="K1207" s="83" t="s">
        <v>2905</v>
      </c>
      <c r="L1207" s="0" t="s">
        <v>2906</v>
      </c>
      <c r="M1207" s="0" t="s">
        <v>244</v>
      </c>
      <c r="N1207" s="0" t="str">
        <f t="shared" si="18"/>
        <v>IHVNnaKaru</v>
      </c>
    </row>
    <row r="1208">
      <c r="H1208" s="0" t="s">
        <v>227</v>
      </c>
      <c r="I1208" s="0" t="s">
        <v>233</v>
      </c>
      <c r="J1208" s="0" t="s">
        <v>270</v>
      </c>
      <c r="K1208" s="83" t="s">
        <v>2907</v>
      </c>
      <c r="L1208" s="0" t="s">
        <v>2908</v>
      </c>
      <c r="M1208" s="0" t="s">
        <v>244</v>
      </c>
      <c r="N1208" s="0" t="str">
        <f t="shared" si="18"/>
        <v>IHVNnaKaru</v>
      </c>
    </row>
    <row r="1209">
      <c r="H1209" s="0" t="s">
        <v>227</v>
      </c>
      <c r="I1209" s="0" t="s">
        <v>233</v>
      </c>
      <c r="J1209" s="0" t="s">
        <v>270</v>
      </c>
      <c r="K1209" s="83" t="s">
        <v>2909</v>
      </c>
      <c r="L1209" s="0" t="s">
        <v>2910</v>
      </c>
      <c r="M1209" s="0" t="s">
        <v>244</v>
      </c>
      <c r="N1209" s="0" t="str">
        <f t="shared" si="18"/>
        <v>IHVNnaKaru</v>
      </c>
    </row>
    <row r="1210">
      <c r="H1210" s="0" t="s">
        <v>227</v>
      </c>
      <c r="I1210" s="0" t="s">
        <v>233</v>
      </c>
      <c r="J1210" s="0" t="s">
        <v>270</v>
      </c>
      <c r="K1210" s="83" t="s">
        <v>2911</v>
      </c>
      <c r="L1210" s="0" t="s">
        <v>2912</v>
      </c>
      <c r="M1210" s="0" t="s">
        <v>244</v>
      </c>
      <c r="N1210" s="0" t="str">
        <f t="shared" si="18"/>
        <v>IHVNnaKaru</v>
      </c>
    </row>
    <row r="1211">
      <c r="H1211" s="0" t="s">
        <v>227</v>
      </c>
      <c r="I1211" s="0" t="s">
        <v>233</v>
      </c>
      <c r="J1211" s="0" t="s">
        <v>270</v>
      </c>
      <c r="K1211" s="83" t="s">
        <v>2913</v>
      </c>
      <c r="L1211" s="0" t="s">
        <v>2914</v>
      </c>
      <c r="M1211" s="0" t="s">
        <v>244</v>
      </c>
      <c r="N1211" s="0" t="str">
        <f t="shared" si="18"/>
        <v>IHVNnaKaru</v>
      </c>
    </row>
    <row r="1212">
      <c r="H1212" s="0" t="s">
        <v>227</v>
      </c>
      <c r="I1212" s="0" t="s">
        <v>233</v>
      </c>
      <c r="J1212" s="0" t="s">
        <v>270</v>
      </c>
      <c r="K1212" s="83" t="s">
        <v>2915</v>
      </c>
      <c r="L1212" s="0" t="s">
        <v>2916</v>
      </c>
      <c r="M1212" s="0" t="s">
        <v>244</v>
      </c>
      <c r="N1212" s="0" t="str">
        <f t="shared" si="18"/>
        <v>IHVNnaKaru</v>
      </c>
    </row>
    <row r="1213">
      <c r="H1213" s="0" t="s">
        <v>227</v>
      </c>
      <c r="I1213" s="0" t="s">
        <v>233</v>
      </c>
      <c r="J1213" s="0" t="s">
        <v>270</v>
      </c>
      <c r="K1213" s="83" t="s">
        <v>2917</v>
      </c>
      <c r="L1213" s="0" t="s">
        <v>2918</v>
      </c>
      <c r="M1213" s="0" t="s">
        <v>244</v>
      </c>
      <c r="N1213" s="0" t="str">
        <f t="shared" si="18"/>
        <v>IHVNnaKaru</v>
      </c>
    </row>
    <row r="1214">
      <c r="H1214" s="0" t="s">
        <v>227</v>
      </c>
      <c r="I1214" s="0" t="s">
        <v>233</v>
      </c>
      <c r="J1214" s="0" t="s">
        <v>270</v>
      </c>
      <c r="K1214" s="83" t="s">
        <v>2919</v>
      </c>
      <c r="L1214" s="0" t="s">
        <v>2920</v>
      </c>
      <c r="M1214" s="0" t="s">
        <v>244</v>
      </c>
      <c r="N1214" s="0" t="str">
        <f t="shared" si="18"/>
        <v>IHVNnaKaru</v>
      </c>
    </row>
    <row r="1215">
      <c r="H1215" s="0" t="s">
        <v>227</v>
      </c>
      <c r="I1215" s="0" t="s">
        <v>233</v>
      </c>
      <c r="J1215" s="0" t="s">
        <v>270</v>
      </c>
      <c r="K1215" s="83" t="s">
        <v>2921</v>
      </c>
      <c r="L1215" s="0" t="s">
        <v>2922</v>
      </c>
      <c r="M1215" s="0" t="s">
        <v>244</v>
      </c>
      <c r="N1215" s="0" t="str">
        <f t="shared" si="18"/>
        <v>IHVNnaKaru</v>
      </c>
    </row>
    <row r="1216">
      <c r="H1216" s="0" t="s">
        <v>227</v>
      </c>
      <c r="I1216" s="0" t="s">
        <v>233</v>
      </c>
      <c r="J1216" s="0" t="s">
        <v>270</v>
      </c>
      <c r="K1216" s="83" t="s">
        <v>1676</v>
      </c>
      <c r="L1216" s="0" t="s">
        <v>2923</v>
      </c>
      <c r="M1216" s="0" t="s">
        <v>244</v>
      </c>
      <c r="N1216" s="0" t="str">
        <f t="shared" si="18"/>
        <v>IHVNnaKaru</v>
      </c>
    </row>
    <row r="1217">
      <c r="H1217" s="0" t="s">
        <v>227</v>
      </c>
      <c r="I1217" s="0" t="s">
        <v>233</v>
      </c>
      <c r="J1217" s="0" t="s">
        <v>270</v>
      </c>
      <c r="K1217" s="83" t="s">
        <v>1678</v>
      </c>
      <c r="L1217" s="0" t="s">
        <v>2924</v>
      </c>
      <c r="M1217" s="0" t="s">
        <v>244</v>
      </c>
      <c r="N1217" s="0" t="str">
        <f t="shared" si="18"/>
        <v>IHVNnaKaru</v>
      </c>
    </row>
    <row r="1218">
      <c r="H1218" s="0" t="s">
        <v>227</v>
      </c>
      <c r="I1218" s="0" t="s">
        <v>233</v>
      </c>
      <c r="J1218" s="0" t="s">
        <v>270</v>
      </c>
      <c r="K1218" s="83" t="s">
        <v>2925</v>
      </c>
      <c r="L1218" s="0" t="s">
        <v>2926</v>
      </c>
      <c r="M1218" s="0" t="s">
        <v>244</v>
      </c>
      <c r="N1218" s="0" t="str">
        <f t="shared" si="18"/>
        <v>IHVNnaKaru</v>
      </c>
    </row>
    <row r="1219">
      <c r="H1219" s="0" t="s">
        <v>227</v>
      </c>
      <c r="I1219" s="0" t="s">
        <v>233</v>
      </c>
      <c r="J1219" s="0" t="s">
        <v>270</v>
      </c>
      <c r="K1219" s="83" t="s">
        <v>2927</v>
      </c>
      <c r="L1219" s="0" t="s">
        <v>2928</v>
      </c>
      <c r="M1219" s="0" t="s">
        <v>244</v>
      </c>
      <c r="N1219" s="0" t="str">
        <f ref="N1219:N1282" t="shared" si="19">SUBSTITUTE(SUBSTITUTE(M1219&amp;J1219," ",""),"-","")</f>
        <v>IHVNnaKaru</v>
      </c>
    </row>
    <row r="1220">
      <c r="H1220" s="0" t="s">
        <v>227</v>
      </c>
      <c r="I1220" s="0" t="s">
        <v>233</v>
      </c>
      <c r="J1220" s="0" t="s">
        <v>270</v>
      </c>
      <c r="K1220" s="83" t="s">
        <v>2929</v>
      </c>
      <c r="L1220" s="0" t="s">
        <v>2930</v>
      </c>
      <c r="M1220" s="0" t="s">
        <v>244</v>
      </c>
      <c r="N1220" s="0" t="str">
        <f t="shared" si="19"/>
        <v>IHVNnaKaru</v>
      </c>
    </row>
    <row r="1221">
      <c r="H1221" s="0" t="s">
        <v>227</v>
      </c>
      <c r="I1221" s="0" t="s">
        <v>233</v>
      </c>
      <c r="J1221" s="0" t="s">
        <v>270</v>
      </c>
      <c r="K1221" s="83" t="s">
        <v>2931</v>
      </c>
      <c r="L1221" s="0" t="s">
        <v>2932</v>
      </c>
      <c r="M1221" s="0" t="s">
        <v>244</v>
      </c>
      <c r="N1221" s="0" t="str">
        <f t="shared" si="19"/>
        <v>IHVNnaKaru</v>
      </c>
    </row>
    <row r="1222">
      <c r="H1222" s="0" t="s">
        <v>227</v>
      </c>
      <c r="I1222" s="0" t="s">
        <v>233</v>
      </c>
      <c r="J1222" s="0" t="s">
        <v>270</v>
      </c>
      <c r="K1222" s="83" t="s">
        <v>2933</v>
      </c>
      <c r="L1222" s="0" t="s">
        <v>2934</v>
      </c>
      <c r="M1222" s="0" t="s">
        <v>244</v>
      </c>
      <c r="N1222" s="0" t="str">
        <f t="shared" si="19"/>
        <v>IHVNnaKaru</v>
      </c>
    </row>
    <row r="1223">
      <c r="H1223" s="0" t="s">
        <v>227</v>
      </c>
      <c r="I1223" s="0" t="s">
        <v>233</v>
      </c>
      <c r="J1223" s="0" t="s">
        <v>270</v>
      </c>
      <c r="K1223" s="83" t="s">
        <v>2935</v>
      </c>
      <c r="L1223" s="0" t="s">
        <v>2936</v>
      </c>
      <c r="M1223" s="0" t="s">
        <v>244</v>
      </c>
      <c r="N1223" s="0" t="str">
        <f t="shared" si="19"/>
        <v>IHVNnaKaru</v>
      </c>
    </row>
    <row r="1224">
      <c r="H1224" s="0" t="s">
        <v>227</v>
      </c>
      <c r="I1224" s="0" t="s">
        <v>233</v>
      </c>
      <c r="J1224" s="0" t="s">
        <v>270</v>
      </c>
      <c r="K1224" s="83" t="s">
        <v>2937</v>
      </c>
      <c r="L1224" s="0" t="s">
        <v>2938</v>
      </c>
      <c r="M1224" s="0" t="s">
        <v>244</v>
      </c>
      <c r="N1224" s="0" t="str">
        <f t="shared" si="19"/>
        <v>IHVNnaKaru</v>
      </c>
    </row>
    <row r="1225">
      <c r="H1225" s="0" t="s">
        <v>227</v>
      </c>
      <c r="I1225" s="0" t="s">
        <v>233</v>
      </c>
      <c r="J1225" s="0" t="s">
        <v>270</v>
      </c>
      <c r="K1225" s="83" t="s">
        <v>2939</v>
      </c>
      <c r="L1225" s="0" t="s">
        <v>2940</v>
      </c>
      <c r="M1225" s="0" t="s">
        <v>244</v>
      </c>
      <c r="N1225" s="0" t="str">
        <f t="shared" si="19"/>
        <v>IHVNnaKaru</v>
      </c>
    </row>
    <row r="1226">
      <c r="H1226" s="0" t="s">
        <v>227</v>
      </c>
      <c r="I1226" s="0" t="s">
        <v>233</v>
      </c>
      <c r="J1226" s="0" t="s">
        <v>270</v>
      </c>
      <c r="K1226" s="83" t="s">
        <v>2941</v>
      </c>
      <c r="L1226" s="0" t="s">
        <v>2942</v>
      </c>
      <c r="M1226" s="0" t="s">
        <v>244</v>
      </c>
      <c r="N1226" s="0" t="str">
        <f t="shared" si="19"/>
        <v>IHVNnaKaru</v>
      </c>
    </row>
    <row r="1227">
      <c r="H1227" s="0" t="s">
        <v>227</v>
      </c>
      <c r="I1227" s="0" t="s">
        <v>233</v>
      </c>
      <c r="J1227" s="0" t="s">
        <v>270</v>
      </c>
      <c r="K1227" s="83" t="s">
        <v>2943</v>
      </c>
      <c r="L1227" s="0" t="s">
        <v>2944</v>
      </c>
      <c r="M1227" s="0" t="s">
        <v>244</v>
      </c>
      <c r="N1227" s="0" t="str">
        <f t="shared" si="19"/>
        <v>IHVNnaKaru</v>
      </c>
    </row>
    <row r="1228">
      <c r="H1228" s="0" t="s">
        <v>227</v>
      </c>
      <c r="I1228" s="0" t="s">
        <v>233</v>
      </c>
      <c r="J1228" s="0" t="s">
        <v>270</v>
      </c>
      <c r="K1228" s="83" t="s">
        <v>2945</v>
      </c>
      <c r="L1228" s="0" t="s">
        <v>2946</v>
      </c>
      <c r="M1228" s="0" t="s">
        <v>244</v>
      </c>
      <c r="N1228" s="0" t="str">
        <f t="shared" si="19"/>
        <v>IHVNnaKaru</v>
      </c>
    </row>
    <row r="1229">
      <c r="H1229" s="0" t="s">
        <v>227</v>
      </c>
      <c r="I1229" s="0" t="s">
        <v>233</v>
      </c>
      <c r="J1229" s="0" t="s">
        <v>270</v>
      </c>
      <c r="K1229" s="83" t="s">
        <v>2947</v>
      </c>
      <c r="L1229" s="0" t="s">
        <v>2948</v>
      </c>
      <c r="M1229" s="0" t="s">
        <v>244</v>
      </c>
      <c r="N1229" s="0" t="str">
        <f t="shared" si="19"/>
        <v>IHVNnaKaru</v>
      </c>
    </row>
    <row r="1230">
      <c r="H1230" s="0" t="s">
        <v>227</v>
      </c>
      <c r="I1230" s="0" t="s">
        <v>233</v>
      </c>
      <c r="J1230" s="0" t="s">
        <v>270</v>
      </c>
      <c r="K1230" s="83" t="s">
        <v>2949</v>
      </c>
      <c r="L1230" s="0" t="s">
        <v>2950</v>
      </c>
      <c r="M1230" s="0" t="s">
        <v>244</v>
      </c>
      <c r="N1230" s="0" t="str">
        <f t="shared" si="19"/>
        <v>IHVNnaKaru</v>
      </c>
    </row>
    <row r="1231">
      <c r="H1231" s="0" t="s">
        <v>227</v>
      </c>
      <c r="I1231" s="0" t="s">
        <v>233</v>
      </c>
      <c r="J1231" s="0" t="s">
        <v>270</v>
      </c>
      <c r="K1231" s="83" t="s">
        <v>2951</v>
      </c>
      <c r="L1231" s="0" t="s">
        <v>2952</v>
      </c>
      <c r="M1231" s="0" t="s">
        <v>244</v>
      </c>
      <c r="N1231" s="0" t="str">
        <f t="shared" si="19"/>
        <v>IHVNnaKaru</v>
      </c>
    </row>
    <row r="1232">
      <c r="H1232" s="0" t="s">
        <v>227</v>
      </c>
      <c r="I1232" s="0" t="s">
        <v>233</v>
      </c>
      <c r="J1232" s="0" t="s">
        <v>270</v>
      </c>
      <c r="K1232" s="83" t="s">
        <v>2953</v>
      </c>
      <c r="L1232" s="0" t="s">
        <v>2954</v>
      </c>
      <c r="M1232" s="0" t="s">
        <v>244</v>
      </c>
      <c r="N1232" s="0" t="str">
        <f t="shared" si="19"/>
        <v>IHVNnaKaru</v>
      </c>
    </row>
    <row r="1233">
      <c r="H1233" s="0" t="s">
        <v>227</v>
      </c>
      <c r="I1233" s="0" t="s">
        <v>233</v>
      </c>
      <c r="J1233" s="0" t="s">
        <v>270</v>
      </c>
      <c r="K1233" s="83" t="s">
        <v>2955</v>
      </c>
      <c r="L1233" s="0" t="s">
        <v>2956</v>
      </c>
      <c r="M1233" s="0" t="s">
        <v>244</v>
      </c>
      <c r="N1233" s="0" t="str">
        <f t="shared" si="19"/>
        <v>IHVNnaKaru</v>
      </c>
    </row>
    <row r="1234">
      <c r="H1234" s="0" t="s">
        <v>227</v>
      </c>
      <c r="I1234" s="0" t="s">
        <v>233</v>
      </c>
      <c r="J1234" s="0" t="s">
        <v>270</v>
      </c>
      <c r="K1234" s="83" t="s">
        <v>2957</v>
      </c>
      <c r="L1234" s="0" t="s">
        <v>2958</v>
      </c>
      <c r="M1234" s="0" t="s">
        <v>244</v>
      </c>
      <c r="N1234" s="0" t="str">
        <f t="shared" si="19"/>
        <v>IHVNnaKaru</v>
      </c>
    </row>
    <row r="1235">
      <c r="H1235" s="0" t="s">
        <v>227</v>
      </c>
      <c r="I1235" s="0" t="s">
        <v>233</v>
      </c>
      <c r="J1235" s="0" t="s">
        <v>270</v>
      </c>
      <c r="K1235" s="83" t="s">
        <v>2959</v>
      </c>
      <c r="L1235" s="0" t="s">
        <v>2960</v>
      </c>
      <c r="M1235" s="0" t="s">
        <v>244</v>
      </c>
      <c r="N1235" s="0" t="str">
        <f t="shared" si="19"/>
        <v>IHVNnaKaru</v>
      </c>
    </row>
    <row r="1236">
      <c r="H1236" s="0" t="s">
        <v>227</v>
      </c>
      <c r="I1236" s="0" t="s">
        <v>233</v>
      </c>
      <c r="J1236" s="0" t="s">
        <v>270</v>
      </c>
      <c r="K1236" s="83" t="s">
        <v>2961</v>
      </c>
      <c r="L1236" s="0" t="s">
        <v>2962</v>
      </c>
      <c r="M1236" s="0" t="s">
        <v>244</v>
      </c>
      <c r="N1236" s="0" t="str">
        <f t="shared" si="19"/>
        <v>IHVNnaKaru</v>
      </c>
    </row>
    <row r="1237">
      <c r="H1237" s="0" t="s">
        <v>227</v>
      </c>
      <c r="I1237" s="0" t="s">
        <v>233</v>
      </c>
      <c r="J1237" s="0" t="s">
        <v>270</v>
      </c>
      <c r="K1237" s="83" t="s">
        <v>743</v>
      </c>
      <c r="L1237" s="0" t="s">
        <v>2963</v>
      </c>
      <c r="M1237" s="0" t="s">
        <v>244</v>
      </c>
      <c r="N1237" s="0" t="str">
        <f t="shared" si="19"/>
        <v>IHVNnaKaru</v>
      </c>
    </row>
    <row r="1238">
      <c r="H1238" s="0" t="s">
        <v>227</v>
      </c>
      <c r="I1238" s="0" t="s">
        <v>233</v>
      </c>
      <c r="J1238" s="0" t="s">
        <v>270</v>
      </c>
      <c r="K1238" s="83" t="s">
        <v>2964</v>
      </c>
      <c r="L1238" s="0" t="s">
        <v>2965</v>
      </c>
      <c r="M1238" s="0" t="s">
        <v>244</v>
      </c>
      <c r="N1238" s="0" t="str">
        <f t="shared" si="19"/>
        <v>IHVNnaKaru</v>
      </c>
    </row>
    <row r="1239">
      <c r="H1239" s="0" t="s">
        <v>227</v>
      </c>
      <c r="I1239" s="0" t="s">
        <v>233</v>
      </c>
      <c r="J1239" s="0" t="s">
        <v>270</v>
      </c>
      <c r="K1239" s="83" t="s">
        <v>2966</v>
      </c>
      <c r="L1239" s="0" t="s">
        <v>2967</v>
      </c>
      <c r="M1239" s="0" t="s">
        <v>244</v>
      </c>
      <c r="N1239" s="0" t="str">
        <f t="shared" si="19"/>
        <v>IHVNnaKaru</v>
      </c>
    </row>
    <row r="1240">
      <c r="H1240" s="0" t="s">
        <v>227</v>
      </c>
      <c r="I1240" s="0" t="s">
        <v>233</v>
      </c>
      <c r="J1240" s="0" t="s">
        <v>274</v>
      </c>
      <c r="K1240" s="83" t="s">
        <v>2968</v>
      </c>
      <c r="L1240" s="0" t="s">
        <v>2969</v>
      </c>
      <c r="M1240" s="0" t="s">
        <v>244</v>
      </c>
      <c r="N1240" s="0" t="str">
        <f t="shared" si="19"/>
        <v>IHVNnaKeana</v>
      </c>
    </row>
    <row r="1241">
      <c r="H1241" s="0" t="s">
        <v>227</v>
      </c>
      <c r="I1241" s="0" t="s">
        <v>233</v>
      </c>
      <c r="J1241" s="0" t="s">
        <v>278</v>
      </c>
      <c r="K1241" s="83" t="s">
        <v>2970</v>
      </c>
      <c r="L1241" s="0" t="s">
        <v>2971</v>
      </c>
      <c r="M1241" s="0" t="s">
        <v>244</v>
      </c>
      <c r="N1241" s="0" t="str">
        <f t="shared" si="19"/>
        <v>IHVNnaKeffi</v>
      </c>
    </row>
    <row r="1242">
      <c r="H1242" s="0" t="s">
        <v>227</v>
      </c>
      <c r="I1242" s="0" t="s">
        <v>233</v>
      </c>
      <c r="J1242" s="0" t="s">
        <v>278</v>
      </c>
      <c r="K1242" s="83" t="s">
        <v>2972</v>
      </c>
      <c r="L1242" s="0" t="s">
        <v>2973</v>
      </c>
      <c r="M1242" s="0" t="s">
        <v>244</v>
      </c>
      <c r="N1242" s="0" t="str">
        <f t="shared" si="19"/>
        <v>IHVNnaKeffi</v>
      </c>
    </row>
    <row r="1243">
      <c r="H1243" s="0" t="s">
        <v>227</v>
      </c>
      <c r="I1243" s="0" t="s">
        <v>233</v>
      </c>
      <c r="J1243" s="0" t="s">
        <v>278</v>
      </c>
      <c r="K1243" s="83" t="s">
        <v>2974</v>
      </c>
      <c r="L1243" s="0" t="s">
        <v>2975</v>
      </c>
      <c r="M1243" s="0" t="s">
        <v>244</v>
      </c>
      <c r="N1243" s="0" t="str">
        <f t="shared" si="19"/>
        <v>IHVNnaKeffi</v>
      </c>
    </row>
    <row r="1244">
      <c r="H1244" s="0" t="s">
        <v>227</v>
      </c>
      <c r="I1244" s="0" t="s">
        <v>233</v>
      </c>
      <c r="J1244" s="0" t="s">
        <v>278</v>
      </c>
      <c r="K1244" s="83" t="s">
        <v>2976</v>
      </c>
      <c r="L1244" s="0" t="s">
        <v>2977</v>
      </c>
      <c r="M1244" s="0" t="s">
        <v>244</v>
      </c>
      <c r="N1244" s="0" t="str">
        <f t="shared" si="19"/>
        <v>IHVNnaKeffi</v>
      </c>
    </row>
    <row r="1245">
      <c r="H1245" s="0" t="s">
        <v>227</v>
      </c>
      <c r="I1245" s="0" t="s">
        <v>233</v>
      </c>
      <c r="J1245" s="0" t="s">
        <v>278</v>
      </c>
      <c r="K1245" s="83" t="s">
        <v>2978</v>
      </c>
      <c r="L1245" s="0" t="s">
        <v>2979</v>
      </c>
      <c r="M1245" s="0" t="s">
        <v>244</v>
      </c>
      <c r="N1245" s="0" t="str">
        <f t="shared" si="19"/>
        <v>IHVNnaKeffi</v>
      </c>
    </row>
    <row r="1246">
      <c r="H1246" s="0" t="s">
        <v>227</v>
      </c>
      <c r="I1246" s="0" t="s">
        <v>233</v>
      </c>
      <c r="J1246" s="0" t="s">
        <v>282</v>
      </c>
      <c r="K1246" s="83" t="s">
        <v>2980</v>
      </c>
      <c r="L1246" s="0" t="s">
        <v>2981</v>
      </c>
      <c r="M1246" s="0" t="s">
        <v>244</v>
      </c>
      <c r="N1246" s="0" t="str">
        <f t="shared" si="19"/>
        <v>IHVNnaKokona</v>
      </c>
    </row>
    <row r="1247">
      <c r="H1247" s="0" t="s">
        <v>227</v>
      </c>
      <c r="I1247" s="0" t="s">
        <v>233</v>
      </c>
      <c r="J1247" s="0" t="s">
        <v>286</v>
      </c>
      <c r="K1247" s="83" t="s">
        <v>2982</v>
      </c>
      <c r="L1247" s="0" t="s">
        <v>2983</v>
      </c>
      <c r="M1247" s="0" t="s">
        <v>244</v>
      </c>
      <c r="N1247" s="0" t="str">
        <f t="shared" si="19"/>
        <v>IHVNnaLafia</v>
      </c>
    </row>
    <row r="1248">
      <c r="H1248" s="0" t="s">
        <v>227</v>
      </c>
      <c r="I1248" s="0" t="s">
        <v>233</v>
      </c>
      <c r="J1248" s="0" t="s">
        <v>286</v>
      </c>
      <c r="K1248" s="83" t="s">
        <v>2984</v>
      </c>
      <c r="L1248" s="0" t="s">
        <v>2985</v>
      </c>
      <c r="M1248" s="0" t="s">
        <v>244</v>
      </c>
      <c r="N1248" s="0" t="str">
        <f t="shared" si="19"/>
        <v>IHVNnaLafia</v>
      </c>
    </row>
    <row r="1249">
      <c r="H1249" s="0" t="s">
        <v>227</v>
      </c>
      <c r="I1249" s="0" t="s">
        <v>233</v>
      </c>
      <c r="J1249" s="0" t="s">
        <v>286</v>
      </c>
      <c r="K1249" s="83" t="s">
        <v>2986</v>
      </c>
      <c r="L1249" s="0" t="s">
        <v>2987</v>
      </c>
      <c r="M1249" s="0" t="s">
        <v>244</v>
      </c>
      <c r="N1249" s="0" t="str">
        <f t="shared" si="19"/>
        <v>IHVNnaLafia</v>
      </c>
    </row>
    <row r="1250">
      <c r="H1250" s="0" t="s">
        <v>227</v>
      </c>
      <c r="I1250" s="0" t="s">
        <v>233</v>
      </c>
      <c r="J1250" s="0" t="s">
        <v>286</v>
      </c>
      <c r="K1250" s="83" t="s">
        <v>2988</v>
      </c>
      <c r="L1250" s="0" t="s">
        <v>2989</v>
      </c>
      <c r="M1250" s="0" t="s">
        <v>244</v>
      </c>
      <c r="N1250" s="0" t="str">
        <f t="shared" si="19"/>
        <v>IHVNnaLafia</v>
      </c>
    </row>
    <row r="1251">
      <c r="H1251" s="0" t="s">
        <v>227</v>
      </c>
      <c r="I1251" s="0" t="s">
        <v>233</v>
      </c>
      <c r="J1251" s="0" t="s">
        <v>286</v>
      </c>
      <c r="K1251" s="83" t="s">
        <v>2990</v>
      </c>
      <c r="L1251" s="0" t="s">
        <v>2991</v>
      </c>
      <c r="M1251" s="0" t="s">
        <v>244</v>
      </c>
      <c r="N1251" s="0" t="str">
        <f t="shared" si="19"/>
        <v>IHVNnaLafia</v>
      </c>
    </row>
    <row r="1252">
      <c r="H1252" s="0" t="s">
        <v>227</v>
      </c>
      <c r="I1252" s="0" t="s">
        <v>233</v>
      </c>
      <c r="J1252" s="0" t="s">
        <v>286</v>
      </c>
      <c r="K1252" s="83" t="s">
        <v>2992</v>
      </c>
      <c r="L1252" s="0" t="s">
        <v>2993</v>
      </c>
      <c r="M1252" s="0" t="s">
        <v>244</v>
      </c>
      <c r="N1252" s="0" t="str">
        <f t="shared" si="19"/>
        <v>IHVNnaLafia</v>
      </c>
    </row>
    <row r="1253">
      <c r="H1253" s="0" t="s">
        <v>227</v>
      </c>
      <c r="I1253" s="0" t="s">
        <v>233</v>
      </c>
      <c r="J1253" s="0" t="s">
        <v>286</v>
      </c>
      <c r="K1253" s="83" t="s">
        <v>2994</v>
      </c>
      <c r="L1253" s="0" t="s">
        <v>2995</v>
      </c>
      <c r="M1253" s="0" t="s">
        <v>244</v>
      </c>
      <c r="N1253" s="0" t="str">
        <f t="shared" si="19"/>
        <v>IHVNnaLafia</v>
      </c>
    </row>
    <row r="1254">
      <c r="H1254" s="0" t="s">
        <v>227</v>
      </c>
      <c r="I1254" s="0" t="s">
        <v>233</v>
      </c>
      <c r="J1254" s="0" t="s">
        <v>286</v>
      </c>
      <c r="K1254" s="83" t="s">
        <v>2996</v>
      </c>
      <c r="L1254" s="0" t="s">
        <v>2997</v>
      </c>
      <c r="M1254" s="0" t="s">
        <v>244</v>
      </c>
      <c r="N1254" s="0" t="str">
        <f t="shared" si="19"/>
        <v>IHVNnaLafia</v>
      </c>
    </row>
    <row r="1255">
      <c r="H1255" s="0" t="s">
        <v>227</v>
      </c>
      <c r="I1255" s="0" t="s">
        <v>233</v>
      </c>
      <c r="J1255" s="0" t="s">
        <v>286</v>
      </c>
      <c r="K1255" s="83" t="s">
        <v>2998</v>
      </c>
      <c r="L1255" s="0" t="s">
        <v>2999</v>
      </c>
      <c r="M1255" s="0" t="s">
        <v>244</v>
      </c>
      <c r="N1255" s="0" t="str">
        <f t="shared" si="19"/>
        <v>IHVNnaLafia</v>
      </c>
    </row>
    <row r="1256">
      <c r="H1256" s="0" t="s">
        <v>227</v>
      </c>
      <c r="I1256" s="0" t="s">
        <v>233</v>
      </c>
      <c r="J1256" s="0" t="s">
        <v>286</v>
      </c>
      <c r="K1256" s="83" t="s">
        <v>3000</v>
      </c>
      <c r="L1256" s="0" t="s">
        <v>3001</v>
      </c>
      <c r="M1256" s="0" t="s">
        <v>244</v>
      </c>
      <c r="N1256" s="0" t="str">
        <f t="shared" si="19"/>
        <v>IHVNnaLafia</v>
      </c>
    </row>
    <row r="1257">
      <c r="H1257" s="0" t="s">
        <v>227</v>
      </c>
      <c r="I1257" s="0" t="s">
        <v>233</v>
      </c>
      <c r="J1257" s="0" t="s">
        <v>286</v>
      </c>
      <c r="K1257" s="83" t="s">
        <v>3002</v>
      </c>
      <c r="L1257" s="0" t="s">
        <v>3003</v>
      </c>
      <c r="M1257" s="0" t="s">
        <v>244</v>
      </c>
      <c r="N1257" s="0" t="str">
        <f t="shared" si="19"/>
        <v>IHVNnaLafia</v>
      </c>
    </row>
    <row r="1258">
      <c r="H1258" s="0" t="s">
        <v>227</v>
      </c>
      <c r="I1258" s="0" t="s">
        <v>233</v>
      </c>
      <c r="J1258" s="0" t="s">
        <v>286</v>
      </c>
      <c r="K1258" s="83" t="s">
        <v>3004</v>
      </c>
      <c r="L1258" s="0" t="s">
        <v>3005</v>
      </c>
      <c r="M1258" s="0" t="s">
        <v>244</v>
      </c>
      <c r="N1258" s="0" t="str">
        <f t="shared" si="19"/>
        <v>IHVNnaLafia</v>
      </c>
    </row>
    <row r="1259">
      <c r="H1259" s="0" t="s">
        <v>227</v>
      </c>
      <c r="I1259" s="0" t="s">
        <v>233</v>
      </c>
      <c r="J1259" s="0" t="s">
        <v>286</v>
      </c>
      <c r="K1259" s="83" t="s">
        <v>3006</v>
      </c>
      <c r="L1259" s="0" t="s">
        <v>3007</v>
      </c>
      <c r="M1259" s="0" t="s">
        <v>244</v>
      </c>
      <c r="N1259" s="0" t="str">
        <f t="shared" si="19"/>
        <v>IHVNnaLafia</v>
      </c>
    </row>
    <row r="1260">
      <c r="H1260" s="0" t="s">
        <v>227</v>
      </c>
      <c r="I1260" s="0" t="s">
        <v>233</v>
      </c>
      <c r="J1260" s="0" t="s">
        <v>286</v>
      </c>
      <c r="K1260" s="83" t="s">
        <v>3008</v>
      </c>
      <c r="L1260" s="0" t="s">
        <v>3009</v>
      </c>
      <c r="M1260" s="0" t="s">
        <v>244</v>
      </c>
      <c r="N1260" s="0" t="str">
        <f t="shared" si="19"/>
        <v>IHVNnaLafia</v>
      </c>
    </row>
    <row r="1261">
      <c r="H1261" s="0" t="s">
        <v>227</v>
      </c>
      <c r="I1261" s="0" t="s">
        <v>233</v>
      </c>
      <c r="J1261" s="0" t="s">
        <v>286</v>
      </c>
      <c r="K1261" s="83" t="s">
        <v>3010</v>
      </c>
      <c r="L1261" s="0" t="s">
        <v>3011</v>
      </c>
      <c r="M1261" s="0" t="s">
        <v>244</v>
      </c>
      <c r="N1261" s="0" t="str">
        <f t="shared" si="19"/>
        <v>IHVNnaLafia</v>
      </c>
    </row>
    <row r="1262">
      <c r="H1262" s="0" t="s">
        <v>227</v>
      </c>
      <c r="I1262" s="0" t="s">
        <v>233</v>
      </c>
      <c r="J1262" s="0" t="s">
        <v>286</v>
      </c>
      <c r="K1262" s="83" t="s">
        <v>3012</v>
      </c>
      <c r="L1262" s="0" t="s">
        <v>3013</v>
      </c>
      <c r="M1262" s="0" t="s">
        <v>244</v>
      </c>
      <c r="N1262" s="0" t="str">
        <f t="shared" si="19"/>
        <v>IHVNnaLafia</v>
      </c>
    </row>
    <row r="1263">
      <c r="H1263" s="0" t="s">
        <v>227</v>
      </c>
      <c r="I1263" s="0" t="s">
        <v>233</v>
      </c>
      <c r="J1263" s="0" t="s">
        <v>286</v>
      </c>
      <c r="K1263" s="83" t="s">
        <v>3014</v>
      </c>
      <c r="L1263" s="0" t="s">
        <v>3015</v>
      </c>
      <c r="M1263" s="0" t="s">
        <v>244</v>
      </c>
      <c r="N1263" s="0" t="str">
        <f t="shared" si="19"/>
        <v>IHVNnaLafia</v>
      </c>
    </row>
    <row r="1264">
      <c r="H1264" s="0" t="s">
        <v>227</v>
      </c>
      <c r="I1264" s="0" t="s">
        <v>233</v>
      </c>
      <c r="J1264" s="0" t="s">
        <v>286</v>
      </c>
      <c r="K1264" s="83" t="s">
        <v>3016</v>
      </c>
      <c r="L1264" s="0" t="s">
        <v>3017</v>
      </c>
      <c r="M1264" s="0" t="s">
        <v>244</v>
      </c>
      <c r="N1264" s="0" t="str">
        <f t="shared" si="19"/>
        <v>IHVNnaLafia</v>
      </c>
    </row>
    <row r="1265">
      <c r="H1265" s="0" t="s">
        <v>227</v>
      </c>
      <c r="I1265" s="0" t="s">
        <v>233</v>
      </c>
      <c r="J1265" s="0" t="s">
        <v>286</v>
      </c>
      <c r="K1265" s="83" t="s">
        <v>3018</v>
      </c>
      <c r="L1265" s="0" t="s">
        <v>3019</v>
      </c>
      <c r="M1265" s="0" t="s">
        <v>244</v>
      </c>
      <c r="N1265" s="0" t="str">
        <f t="shared" si="19"/>
        <v>IHVNnaLafia</v>
      </c>
    </row>
    <row r="1266">
      <c r="H1266" s="0" t="s">
        <v>227</v>
      </c>
      <c r="I1266" s="0" t="s">
        <v>233</v>
      </c>
      <c r="J1266" s="0" t="s">
        <v>286</v>
      </c>
      <c r="K1266" s="83" t="s">
        <v>3020</v>
      </c>
      <c r="L1266" s="0" t="s">
        <v>3021</v>
      </c>
      <c r="M1266" s="0" t="s">
        <v>244</v>
      </c>
      <c r="N1266" s="0" t="str">
        <f t="shared" si="19"/>
        <v>IHVNnaLafia</v>
      </c>
    </row>
    <row r="1267">
      <c r="H1267" s="0" t="s">
        <v>227</v>
      </c>
      <c r="I1267" s="0" t="s">
        <v>233</v>
      </c>
      <c r="J1267" s="0" t="s">
        <v>286</v>
      </c>
      <c r="K1267" s="83" t="s">
        <v>3022</v>
      </c>
      <c r="L1267" s="0" t="s">
        <v>3023</v>
      </c>
      <c r="M1267" s="0" t="s">
        <v>244</v>
      </c>
      <c r="N1267" s="0" t="str">
        <f t="shared" si="19"/>
        <v>IHVNnaLafia</v>
      </c>
    </row>
    <row r="1268">
      <c r="H1268" s="0" t="s">
        <v>227</v>
      </c>
      <c r="I1268" s="0" t="s">
        <v>233</v>
      </c>
      <c r="J1268" s="0" t="s">
        <v>286</v>
      </c>
      <c r="K1268" s="83" t="s">
        <v>3024</v>
      </c>
      <c r="L1268" s="0" t="s">
        <v>3025</v>
      </c>
      <c r="M1268" s="0" t="s">
        <v>244</v>
      </c>
      <c r="N1268" s="0" t="str">
        <f t="shared" si="19"/>
        <v>IHVNnaLafia</v>
      </c>
    </row>
    <row r="1269">
      <c r="H1269" s="0" t="s">
        <v>227</v>
      </c>
      <c r="I1269" s="0" t="s">
        <v>233</v>
      </c>
      <c r="J1269" s="0" t="s">
        <v>286</v>
      </c>
      <c r="K1269" s="83" t="s">
        <v>3026</v>
      </c>
      <c r="L1269" s="0" t="s">
        <v>3027</v>
      </c>
      <c r="M1269" s="0" t="s">
        <v>244</v>
      </c>
      <c r="N1269" s="0" t="str">
        <f t="shared" si="19"/>
        <v>IHVNnaLafia</v>
      </c>
    </row>
    <row r="1270">
      <c r="H1270" s="0" t="s">
        <v>227</v>
      </c>
      <c r="I1270" s="0" t="s">
        <v>233</v>
      </c>
      <c r="J1270" s="0" t="s">
        <v>286</v>
      </c>
      <c r="K1270" s="83" t="s">
        <v>3028</v>
      </c>
      <c r="L1270" s="0" t="s">
        <v>3029</v>
      </c>
      <c r="M1270" s="0" t="s">
        <v>244</v>
      </c>
      <c r="N1270" s="0" t="str">
        <f t="shared" si="19"/>
        <v>IHVNnaLafia</v>
      </c>
    </row>
    <row r="1271">
      <c r="H1271" s="0" t="s">
        <v>227</v>
      </c>
      <c r="I1271" s="0" t="s">
        <v>233</v>
      </c>
      <c r="J1271" s="0" t="s">
        <v>286</v>
      </c>
      <c r="K1271" s="83" t="s">
        <v>3030</v>
      </c>
      <c r="L1271" s="0" t="s">
        <v>3031</v>
      </c>
      <c r="M1271" s="0" t="s">
        <v>244</v>
      </c>
      <c r="N1271" s="0" t="str">
        <f t="shared" si="19"/>
        <v>IHVNnaLafia</v>
      </c>
    </row>
    <row r="1272">
      <c r="H1272" s="0" t="s">
        <v>227</v>
      </c>
      <c r="I1272" s="0" t="s">
        <v>233</v>
      </c>
      <c r="J1272" s="0" t="s">
        <v>286</v>
      </c>
      <c r="K1272" s="83" t="s">
        <v>3032</v>
      </c>
      <c r="L1272" s="0" t="s">
        <v>3033</v>
      </c>
      <c r="M1272" s="0" t="s">
        <v>244</v>
      </c>
      <c r="N1272" s="0" t="str">
        <f t="shared" si="19"/>
        <v>IHVNnaLafia</v>
      </c>
    </row>
    <row r="1273">
      <c r="H1273" s="0" t="s">
        <v>227</v>
      </c>
      <c r="I1273" s="0" t="s">
        <v>233</v>
      </c>
      <c r="J1273" s="0" t="s">
        <v>286</v>
      </c>
      <c r="K1273" s="83" t="s">
        <v>3034</v>
      </c>
      <c r="L1273" s="0" t="s">
        <v>3035</v>
      </c>
      <c r="M1273" s="0" t="s">
        <v>244</v>
      </c>
      <c r="N1273" s="0" t="str">
        <f t="shared" si="19"/>
        <v>IHVNnaLafia</v>
      </c>
    </row>
    <row r="1274">
      <c r="H1274" s="0" t="s">
        <v>227</v>
      </c>
      <c r="I1274" s="0" t="s">
        <v>233</v>
      </c>
      <c r="J1274" s="0" t="s">
        <v>286</v>
      </c>
      <c r="K1274" s="83" t="s">
        <v>3036</v>
      </c>
      <c r="L1274" s="0" t="s">
        <v>3037</v>
      </c>
      <c r="M1274" s="0" t="s">
        <v>244</v>
      </c>
      <c r="N1274" s="0" t="str">
        <f t="shared" si="19"/>
        <v>IHVNnaLafia</v>
      </c>
    </row>
    <row r="1275">
      <c r="H1275" s="0" t="s">
        <v>227</v>
      </c>
      <c r="I1275" s="0" t="s">
        <v>233</v>
      </c>
      <c r="J1275" s="0" t="s">
        <v>286</v>
      </c>
      <c r="K1275" s="83" t="s">
        <v>3038</v>
      </c>
      <c r="L1275" s="0" t="s">
        <v>3039</v>
      </c>
      <c r="M1275" s="0" t="s">
        <v>244</v>
      </c>
      <c r="N1275" s="0" t="str">
        <f t="shared" si="19"/>
        <v>IHVNnaLafia</v>
      </c>
    </row>
    <row r="1276">
      <c r="H1276" s="0" t="s">
        <v>227</v>
      </c>
      <c r="I1276" s="0" t="s">
        <v>233</v>
      </c>
      <c r="J1276" s="0" t="s">
        <v>286</v>
      </c>
      <c r="K1276" s="83" t="s">
        <v>3040</v>
      </c>
      <c r="L1276" s="0" t="s">
        <v>3041</v>
      </c>
      <c r="M1276" s="0" t="s">
        <v>244</v>
      </c>
      <c r="N1276" s="0" t="str">
        <f t="shared" si="19"/>
        <v>IHVNnaLafia</v>
      </c>
    </row>
    <row r="1277">
      <c r="H1277" s="0" t="s">
        <v>227</v>
      </c>
      <c r="I1277" s="0" t="s">
        <v>233</v>
      </c>
      <c r="J1277" s="0" t="s">
        <v>286</v>
      </c>
      <c r="K1277" s="83" t="s">
        <v>3042</v>
      </c>
      <c r="L1277" s="0" t="s">
        <v>3043</v>
      </c>
      <c r="M1277" s="0" t="s">
        <v>244</v>
      </c>
      <c r="N1277" s="0" t="str">
        <f t="shared" si="19"/>
        <v>IHVNnaLafia</v>
      </c>
    </row>
    <row r="1278">
      <c r="H1278" s="0" t="s">
        <v>227</v>
      </c>
      <c r="I1278" s="0" t="s">
        <v>233</v>
      </c>
      <c r="J1278" s="0" t="s">
        <v>286</v>
      </c>
      <c r="K1278" s="83" t="s">
        <v>3044</v>
      </c>
      <c r="L1278" s="0" t="s">
        <v>3045</v>
      </c>
      <c r="M1278" s="0" t="s">
        <v>244</v>
      </c>
      <c r="N1278" s="0" t="str">
        <f t="shared" si="19"/>
        <v>IHVNnaLafia</v>
      </c>
    </row>
    <row r="1279">
      <c r="H1279" s="0" t="s">
        <v>227</v>
      </c>
      <c r="I1279" s="0" t="s">
        <v>233</v>
      </c>
      <c r="J1279" s="0" t="s">
        <v>286</v>
      </c>
      <c r="K1279" s="83" t="s">
        <v>3046</v>
      </c>
      <c r="L1279" s="0" t="s">
        <v>3047</v>
      </c>
      <c r="M1279" s="0" t="s">
        <v>244</v>
      </c>
      <c r="N1279" s="0" t="str">
        <f t="shared" si="19"/>
        <v>IHVNnaLafia</v>
      </c>
    </row>
    <row r="1280">
      <c r="H1280" s="0" t="s">
        <v>227</v>
      </c>
      <c r="I1280" s="0" t="s">
        <v>233</v>
      </c>
      <c r="J1280" s="0" t="s">
        <v>286</v>
      </c>
      <c r="K1280" s="83" t="s">
        <v>3048</v>
      </c>
      <c r="L1280" s="0" t="s">
        <v>3049</v>
      </c>
      <c r="M1280" s="0" t="s">
        <v>244</v>
      </c>
      <c r="N1280" s="0" t="str">
        <f t="shared" si="19"/>
        <v>IHVNnaLafia</v>
      </c>
    </row>
    <row r="1281">
      <c r="H1281" s="0" t="s">
        <v>227</v>
      </c>
      <c r="I1281" s="0" t="s">
        <v>233</v>
      </c>
      <c r="J1281" s="0" t="s">
        <v>286</v>
      </c>
      <c r="K1281" s="83" t="s">
        <v>3050</v>
      </c>
      <c r="L1281" s="0" t="s">
        <v>3051</v>
      </c>
      <c r="M1281" s="0" t="s">
        <v>244</v>
      </c>
      <c r="N1281" s="0" t="str">
        <f t="shared" si="19"/>
        <v>IHVNnaLafia</v>
      </c>
    </row>
    <row r="1282">
      <c r="H1282" s="0" t="s">
        <v>227</v>
      </c>
      <c r="I1282" s="0" t="s">
        <v>233</v>
      </c>
      <c r="J1282" s="0" t="s">
        <v>286</v>
      </c>
      <c r="K1282" s="83" t="s">
        <v>3052</v>
      </c>
      <c r="L1282" s="0" t="s">
        <v>3053</v>
      </c>
      <c r="M1282" s="0" t="s">
        <v>244</v>
      </c>
      <c r="N1282" s="0" t="str">
        <f t="shared" si="19"/>
        <v>IHVNnaLafia</v>
      </c>
    </row>
    <row r="1283">
      <c r="H1283" s="0" t="s">
        <v>227</v>
      </c>
      <c r="I1283" s="0" t="s">
        <v>233</v>
      </c>
      <c r="J1283" s="0" t="s">
        <v>286</v>
      </c>
      <c r="K1283" s="83" t="s">
        <v>3054</v>
      </c>
      <c r="L1283" s="0" t="s">
        <v>3055</v>
      </c>
      <c r="M1283" s="0" t="s">
        <v>244</v>
      </c>
      <c r="N1283" s="0" t="str">
        <f ref="N1283:N1346" t="shared" si="20">SUBSTITUTE(SUBSTITUTE(M1283&amp;J1283," ",""),"-","")</f>
        <v>IHVNnaLafia</v>
      </c>
    </row>
    <row r="1284">
      <c r="H1284" s="0" t="s">
        <v>227</v>
      </c>
      <c r="I1284" s="0" t="s">
        <v>233</v>
      </c>
      <c r="J1284" s="0" t="s">
        <v>286</v>
      </c>
      <c r="K1284" s="83" t="s">
        <v>3056</v>
      </c>
      <c r="L1284" s="0" t="s">
        <v>3057</v>
      </c>
      <c r="M1284" s="0" t="s">
        <v>244</v>
      </c>
      <c r="N1284" s="0" t="str">
        <f t="shared" si="20"/>
        <v>IHVNnaLafia</v>
      </c>
    </row>
    <row r="1285">
      <c r="H1285" s="0" t="s">
        <v>227</v>
      </c>
      <c r="I1285" s="0" t="s">
        <v>233</v>
      </c>
      <c r="J1285" s="0" t="s">
        <v>286</v>
      </c>
      <c r="K1285" s="83" t="s">
        <v>3058</v>
      </c>
      <c r="L1285" s="0" t="s">
        <v>3059</v>
      </c>
      <c r="M1285" s="0" t="s">
        <v>244</v>
      </c>
      <c r="N1285" s="0" t="str">
        <f t="shared" si="20"/>
        <v>IHVNnaLafia</v>
      </c>
    </row>
    <row r="1286">
      <c r="H1286" s="0" t="s">
        <v>227</v>
      </c>
      <c r="I1286" s="0" t="s">
        <v>233</v>
      </c>
      <c r="J1286" s="0" t="s">
        <v>286</v>
      </c>
      <c r="K1286" s="83" t="s">
        <v>3060</v>
      </c>
      <c r="L1286" s="0" t="s">
        <v>3061</v>
      </c>
      <c r="M1286" s="0" t="s">
        <v>244</v>
      </c>
      <c r="N1286" s="0" t="str">
        <f t="shared" si="20"/>
        <v>IHVNnaLafia</v>
      </c>
    </row>
    <row r="1287">
      <c r="H1287" s="0" t="s">
        <v>227</v>
      </c>
      <c r="I1287" s="0" t="s">
        <v>233</v>
      </c>
      <c r="J1287" s="0" t="s">
        <v>286</v>
      </c>
      <c r="K1287" s="83" t="s">
        <v>3062</v>
      </c>
      <c r="L1287" s="0" t="s">
        <v>3063</v>
      </c>
      <c r="M1287" s="0" t="s">
        <v>244</v>
      </c>
      <c r="N1287" s="0" t="str">
        <f t="shared" si="20"/>
        <v>IHVNnaLafia</v>
      </c>
    </row>
    <row r="1288">
      <c r="H1288" s="0" t="s">
        <v>227</v>
      </c>
      <c r="I1288" s="0" t="s">
        <v>233</v>
      </c>
      <c r="J1288" s="0" t="s">
        <v>290</v>
      </c>
      <c r="K1288" s="83" t="s">
        <v>3064</v>
      </c>
      <c r="L1288" s="0" t="s">
        <v>3065</v>
      </c>
      <c r="M1288" s="0" t="s">
        <v>244</v>
      </c>
      <c r="N1288" s="0" t="str">
        <f t="shared" si="20"/>
        <v>IHVNnaNasarawa</v>
      </c>
    </row>
    <row r="1289">
      <c r="H1289" s="0" t="s">
        <v>227</v>
      </c>
      <c r="I1289" s="0" t="s">
        <v>233</v>
      </c>
      <c r="J1289" s="0" t="s">
        <v>290</v>
      </c>
      <c r="K1289" s="83" t="s">
        <v>3066</v>
      </c>
      <c r="L1289" s="0" t="s">
        <v>3067</v>
      </c>
      <c r="M1289" s="0" t="s">
        <v>244</v>
      </c>
      <c r="N1289" s="0" t="str">
        <f t="shared" si="20"/>
        <v>IHVNnaNasarawa</v>
      </c>
    </row>
    <row r="1290">
      <c r="H1290" s="0" t="s">
        <v>227</v>
      </c>
      <c r="I1290" s="0" t="s">
        <v>233</v>
      </c>
      <c r="J1290" s="0" t="s">
        <v>290</v>
      </c>
      <c r="K1290" s="83" t="s">
        <v>3068</v>
      </c>
      <c r="L1290" s="0" t="s">
        <v>3069</v>
      </c>
      <c r="M1290" s="0" t="s">
        <v>244</v>
      </c>
      <c r="N1290" s="0" t="str">
        <f t="shared" si="20"/>
        <v>IHVNnaNasarawa</v>
      </c>
    </row>
    <row r="1291">
      <c r="H1291" s="0" t="s">
        <v>227</v>
      </c>
      <c r="I1291" s="0" t="s">
        <v>233</v>
      </c>
      <c r="J1291" s="0" t="s">
        <v>290</v>
      </c>
      <c r="K1291" s="83" t="s">
        <v>3070</v>
      </c>
      <c r="L1291" s="0" t="s">
        <v>3071</v>
      </c>
      <c r="M1291" s="0" t="s">
        <v>244</v>
      </c>
      <c r="N1291" s="0" t="str">
        <f t="shared" si="20"/>
        <v>IHVNnaNasarawa</v>
      </c>
    </row>
    <row r="1292">
      <c r="H1292" s="0" t="s">
        <v>227</v>
      </c>
      <c r="I1292" s="0" t="s">
        <v>233</v>
      </c>
      <c r="J1292" s="0" t="s">
        <v>290</v>
      </c>
      <c r="K1292" s="83" t="s">
        <v>3072</v>
      </c>
      <c r="L1292" s="0" t="s">
        <v>3073</v>
      </c>
      <c r="M1292" s="0" t="s">
        <v>244</v>
      </c>
      <c r="N1292" s="0" t="str">
        <f t="shared" si="20"/>
        <v>IHVNnaNasarawa</v>
      </c>
    </row>
    <row r="1293">
      <c r="H1293" s="0" t="s">
        <v>227</v>
      </c>
      <c r="I1293" s="0" t="s">
        <v>233</v>
      </c>
      <c r="J1293" s="0" t="s">
        <v>290</v>
      </c>
      <c r="K1293" s="83" t="s">
        <v>3074</v>
      </c>
      <c r="L1293" s="0" t="s">
        <v>3075</v>
      </c>
      <c r="M1293" s="0" t="s">
        <v>244</v>
      </c>
      <c r="N1293" s="0" t="str">
        <f t="shared" si="20"/>
        <v>IHVNnaNasarawa</v>
      </c>
    </row>
    <row r="1294">
      <c r="H1294" s="0" t="s">
        <v>227</v>
      </c>
      <c r="I1294" s="0" t="s">
        <v>233</v>
      </c>
      <c r="J1294" s="0" t="s">
        <v>290</v>
      </c>
      <c r="K1294" s="83" t="s">
        <v>3076</v>
      </c>
      <c r="L1294" s="0" t="s">
        <v>3077</v>
      </c>
      <c r="M1294" s="0" t="s">
        <v>244</v>
      </c>
      <c r="N1294" s="0" t="str">
        <f t="shared" si="20"/>
        <v>IHVNnaNasarawa</v>
      </c>
    </row>
    <row r="1295">
      <c r="H1295" s="0" t="s">
        <v>227</v>
      </c>
      <c r="I1295" s="0" t="s">
        <v>233</v>
      </c>
      <c r="J1295" s="0" t="s">
        <v>290</v>
      </c>
      <c r="K1295" s="83" t="s">
        <v>3078</v>
      </c>
      <c r="L1295" s="0" t="s">
        <v>3079</v>
      </c>
      <c r="M1295" s="0" t="s">
        <v>244</v>
      </c>
      <c r="N1295" s="0" t="str">
        <f t="shared" si="20"/>
        <v>IHVNnaNasarawa</v>
      </c>
    </row>
    <row r="1296">
      <c r="H1296" s="0" t="s">
        <v>227</v>
      </c>
      <c r="I1296" s="0" t="s">
        <v>233</v>
      </c>
      <c r="J1296" s="0" t="s">
        <v>290</v>
      </c>
      <c r="K1296" s="83" t="s">
        <v>3080</v>
      </c>
      <c r="L1296" s="0" t="s">
        <v>3081</v>
      </c>
      <c r="M1296" s="0" t="s">
        <v>244</v>
      </c>
      <c r="N1296" s="0" t="str">
        <f t="shared" si="20"/>
        <v>IHVNnaNasarawa</v>
      </c>
    </row>
    <row r="1297">
      <c r="H1297" s="0" t="s">
        <v>227</v>
      </c>
      <c r="I1297" s="0" t="s">
        <v>233</v>
      </c>
      <c r="J1297" s="0" t="s">
        <v>290</v>
      </c>
      <c r="K1297" s="83" t="s">
        <v>3082</v>
      </c>
      <c r="L1297" s="0" t="s">
        <v>3083</v>
      </c>
      <c r="M1297" s="0" t="s">
        <v>244</v>
      </c>
      <c r="N1297" s="0" t="str">
        <f t="shared" si="20"/>
        <v>IHVNnaNasarawa</v>
      </c>
    </row>
    <row r="1298">
      <c r="H1298" s="0" t="s">
        <v>227</v>
      </c>
      <c r="I1298" s="0" t="s">
        <v>233</v>
      </c>
      <c r="J1298" s="0" t="s">
        <v>290</v>
      </c>
      <c r="K1298" s="83" t="s">
        <v>3084</v>
      </c>
      <c r="L1298" s="0" t="s">
        <v>3085</v>
      </c>
      <c r="M1298" s="0" t="s">
        <v>244</v>
      </c>
      <c r="N1298" s="0" t="str">
        <f t="shared" si="20"/>
        <v>IHVNnaNasarawa</v>
      </c>
    </row>
    <row r="1299">
      <c r="H1299" s="0" t="s">
        <v>227</v>
      </c>
      <c r="I1299" s="0" t="s">
        <v>233</v>
      </c>
      <c r="J1299" s="0" t="s">
        <v>290</v>
      </c>
      <c r="K1299" s="83" t="s">
        <v>3086</v>
      </c>
      <c r="L1299" s="0" t="s">
        <v>3087</v>
      </c>
      <c r="M1299" s="0" t="s">
        <v>244</v>
      </c>
      <c r="N1299" s="0" t="str">
        <f t="shared" si="20"/>
        <v>IHVNnaNasarawa</v>
      </c>
    </row>
    <row r="1300">
      <c r="H1300" s="0" t="s">
        <v>227</v>
      </c>
      <c r="I1300" s="0" t="s">
        <v>233</v>
      </c>
      <c r="J1300" s="0" t="s">
        <v>290</v>
      </c>
      <c r="K1300" s="83" t="s">
        <v>3088</v>
      </c>
      <c r="L1300" s="0" t="s">
        <v>3089</v>
      </c>
      <c r="M1300" s="0" t="s">
        <v>244</v>
      </c>
      <c r="N1300" s="0" t="str">
        <f t="shared" si="20"/>
        <v>IHVNnaNasarawa</v>
      </c>
    </row>
    <row r="1301">
      <c r="H1301" s="0" t="s">
        <v>227</v>
      </c>
      <c r="I1301" s="0" t="s">
        <v>233</v>
      </c>
      <c r="J1301" s="0" t="s">
        <v>290</v>
      </c>
      <c r="K1301" s="83" t="s">
        <v>3090</v>
      </c>
      <c r="L1301" s="0" t="s">
        <v>3091</v>
      </c>
      <c r="M1301" s="0" t="s">
        <v>244</v>
      </c>
      <c r="N1301" s="0" t="str">
        <f t="shared" si="20"/>
        <v>IHVNnaNasarawa</v>
      </c>
    </row>
    <row r="1302">
      <c r="H1302" s="0" t="s">
        <v>227</v>
      </c>
      <c r="I1302" s="0" t="s">
        <v>233</v>
      </c>
      <c r="J1302" s="0" t="s">
        <v>290</v>
      </c>
      <c r="K1302" s="83" t="s">
        <v>3092</v>
      </c>
      <c r="L1302" s="0" t="s">
        <v>3093</v>
      </c>
      <c r="M1302" s="0" t="s">
        <v>244</v>
      </c>
      <c r="N1302" s="0" t="str">
        <f t="shared" si="20"/>
        <v>IHVNnaNasarawa</v>
      </c>
    </row>
    <row r="1303">
      <c r="H1303" s="0" t="s">
        <v>227</v>
      </c>
      <c r="I1303" s="0" t="s">
        <v>233</v>
      </c>
      <c r="J1303" s="0" t="s">
        <v>290</v>
      </c>
      <c r="K1303" s="83" t="s">
        <v>3094</v>
      </c>
      <c r="L1303" s="0" t="s">
        <v>3095</v>
      </c>
      <c r="M1303" s="0" t="s">
        <v>244</v>
      </c>
      <c r="N1303" s="0" t="str">
        <f t="shared" si="20"/>
        <v>IHVNnaNasarawa</v>
      </c>
    </row>
    <row r="1304">
      <c r="H1304" s="0" t="s">
        <v>227</v>
      </c>
      <c r="I1304" s="0" t="s">
        <v>233</v>
      </c>
      <c r="J1304" s="0" t="s">
        <v>290</v>
      </c>
      <c r="K1304" s="83" t="s">
        <v>3096</v>
      </c>
      <c r="L1304" s="0" t="s">
        <v>3097</v>
      </c>
      <c r="M1304" s="0" t="s">
        <v>244</v>
      </c>
      <c r="N1304" s="0" t="str">
        <f t="shared" si="20"/>
        <v>IHVNnaNasarawa</v>
      </c>
    </row>
    <row r="1305">
      <c r="H1305" s="0" t="s">
        <v>227</v>
      </c>
      <c r="I1305" s="0" t="s">
        <v>233</v>
      </c>
      <c r="J1305" s="0" t="s">
        <v>290</v>
      </c>
      <c r="K1305" s="83" t="s">
        <v>3098</v>
      </c>
      <c r="L1305" s="0" t="s">
        <v>3099</v>
      </c>
      <c r="M1305" s="0" t="s">
        <v>244</v>
      </c>
      <c r="N1305" s="0" t="str">
        <f t="shared" si="20"/>
        <v>IHVNnaNasarawa</v>
      </c>
    </row>
    <row r="1306">
      <c r="H1306" s="0" t="s">
        <v>227</v>
      </c>
      <c r="I1306" s="0" t="s">
        <v>233</v>
      </c>
      <c r="J1306" s="0" t="s">
        <v>290</v>
      </c>
      <c r="K1306" s="83" t="s">
        <v>3100</v>
      </c>
      <c r="L1306" s="0" t="s">
        <v>3101</v>
      </c>
      <c r="M1306" s="0" t="s">
        <v>244</v>
      </c>
      <c r="N1306" s="0" t="str">
        <f t="shared" si="20"/>
        <v>IHVNnaNasarawa</v>
      </c>
    </row>
    <row r="1307">
      <c r="H1307" s="0" t="s">
        <v>227</v>
      </c>
      <c r="I1307" s="0" t="s">
        <v>233</v>
      </c>
      <c r="J1307" s="0" t="s">
        <v>290</v>
      </c>
      <c r="K1307" s="83" t="s">
        <v>3102</v>
      </c>
      <c r="L1307" s="0" t="s">
        <v>3103</v>
      </c>
      <c r="M1307" s="0" t="s">
        <v>244</v>
      </c>
      <c r="N1307" s="0" t="str">
        <f t="shared" si="20"/>
        <v>IHVNnaNasarawa</v>
      </c>
    </row>
    <row r="1308">
      <c r="H1308" s="0" t="s">
        <v>227</v>
      </c>
      <c r="I1308" s="0" t="s">
        <v>233</v>
      </c>
      <c r="J1308" s="0" t="s">
        <v>290</v>
      </c>
      <c r="K1308" s="83" t="s">
        <v>3104</v>
      </c>
      <c r="L1308" s="0" t="s">
        <v>3105</v>
      </c>
      <c r="M1308" s="0" t="s">
        <v>244</v>
      </c>
      <c r="N1308" s="0" t="str">
        <f t="shared" si="20"/>
        <v>IHVNnaNasarawa</v>
      </c>
    </row>
    <row r="1309">
      <c r="H1309" s="0" t="s">
        <v>227</v>
      </c>
      <c r="I1309" s="0" t="s">
        <v>233</v>
      </c>
      <c r="J1309" s="0" t="s">
        <v>290</v>
      </c>
      <c r="K1309" s="83" t="s">
        <v>3106</v>
      </c>
      <c r="L1309" s="0" t="s">
        <v>3107</v>
      </c>
      <c r="M1309" s="0" t="s">
        <v>244</v>
      </c>
      <c r="N1309" s="0" t="str">
        <f t="shared" si="20"/>
        <v>IHVNnaNasarawa</v>
      </c>
    </row>
    <row r="1310">
      <c r="H1310" s="0" t="s">
        <v>227</v>
      </c>
      <c r="I1310" s="0" t="s">
        <v>233</v>
      </c>
      <c r="J1310" s="0" t="s">
        <v>290</v>
      </c>
      <c r="K1310" s="83" t="s">
        <v>3108</v>
      </c>
      <c r="L1310" s="0" t="s">
        <v>3109</v>
      </c>
      <c r="M1310" s="0" t="s">
        <v>244</v>
      </c>
      <c r="N1310" s="0" t="str">
        <f t="shared" si="20"/>
        <v>IHVNnaNasarawa</v>
      </c>
    </row>
    <row r="1311">
      <c r="H1311" s="0" t="s">
        <v>227</v>
      </c>
      <c r="I1311" s="0" t="s">
        <v>233</v>
      </c>
      <c r="J1311" s="0" t="s">
        <v>290</v>
      </c>
      <c r="K1311" s="83" t="s">
        <v>3110</v>
      </c>
      <c r="L1311" s="0" t="s">
        <v>3111</v>
      </c>
      <c r="M1311" s="0" t="s">
        <v>244</v>
      </c>
      <c r="N1311" s="0" t="str">
        <f t="shared" si="20"/>
        <v>IHVNnaNasarawa</v>
      </c>
    </row>
    <row r="1312">
      <c r="H1312" s="0" t="s">
        <v>227</v>
      </c>
      <c r="I1312" s="0" t="s">
        <v>233</v>
      </c>
      <c r="J1312" s="0" t="s">
        <v>290</v>
      </c>
      <c r="K1312" s="83" t="s">
        <v>3112</v>
      </c>
      <c r="L1312" s="0" t="s">
        <v>3113</v>
      </c>
      <c r="M1312" s="0" t="s">
        <v>244</v>
      </c>
      <c r="N1312" s="0" t="str">
        <f t="shared" si="20"/>
        <v>IHVNnaNasarawa</v>
      </c>
    </row>
    <row r="1313">
      <c r="H1313" s="0" t="s">
        <v>227</v>
      </c>
      <c r="I1313" s="0" t="s">
        <v>233</v>
      </c>
      <c r="J1313" s="0" t="s">
        <v>290</v>
      </c>
      <c r="K1313" s="83" t="s">
        <v>3114</v>
      </c>
      <c r="L1313" s="0" t="s">
        <v>3115</v>
      </c>
      <c r="M1313" s="0" t="s">
        <v>244</v>
      </c>
      <c r="N1313" s="0" t="str">
        <f t="shared" si="20"/>
        <v>IHVNnaNasarawa</v>
      </c>
    </row>
    <row r="1314">
      <c r="H1314" s="0" t="s">
        <v>227</v>
      </c>
      <c r="I1314" s="0" t="s">
        <v>233</v>
      </c>
      <c r="J1314" s="0" t="s">
        <v>290</v>
      </c>
      <c r="K1314" s="83" t="s">
        <v>3116</v>
      </c>
      <c r="L1314" s="0" t="s">
        <v>3117</v>
      </c>
      <c r="M1314" s="0" t="s">
        <v>244</v>
      </c>
      <c r="N1314" s="0" t="str">
        <f t="shared" si="20"/>
        <v>IHVNnaNasarawa</v>
      </c>
    </row>
    <row r="1315">
      <c r="H1315" s="0" t="s">
        <v>227</v>
      </c>
      <c r="I1315" s="0" t="s">
        <v>233</v>
      </c>
      <c r="J1315" s="0" t="s">
        <v>294</v>
      </c>
      <c r="K1315" s="83" t="s">
        <v>3118</v>
      </c>
      <c r="L1315" s="0" t="s">
        <v>3119</v>
      </c>
      <c r="M1315" s="0" t="s">
        <v>244</v>
      </c>
      <c r="N1315" s="0" t="str">
        <f t="shared" si="20"/>
        <v>IHVNnaNasarawaEggon</v>
      </c>
    </row>
    <row r="1316">
      <c r="H1316" s="0" t="s">
        <v>227</v>
      </c>
      <c r="I1316" s="0" t="s">
        <v>233</v>
      </c>
      <c r="J1316" s="0" t="s">
        <v>294</v>
      </c>
      <c r="K1316" s="83" t="s">
        <v>3120</v>
      </c>
      <c r="L1316" s="0" t="s">
        <v>3121</v>
      </c>
      <c r="M1316" s="0" t="s">
        <v>244</v>
      </c>
      <c r="N1316" s="0" t="str">
        <f t="shared" si="20"/>
        <v>IHVNnaNasarawaEggon</v>
      </c>
    </row>
    <row r="1317">
      <c r="H1317" s="0" t="s">
        <v>227</v>
      </c>
      <c r="I1317" s="0" t="s">
        <v>233</v>
      </c>
      <c r="J1317" s="0" t="s">
        <v>294</v>
      </c>
      <c r="K1317" s="83" t="s">
        <v>3122</v>
      </c>
      <c r="L1317" s="0" t="s">
        <v>3123</v>
      </c>
      <c r="M1317" s="0" t="s">
        <v>244</v>
      </c>
      <c r="N1317" s="0" t="str">
        <f t="shared" si="20"/>
        <v>IHVNnaNasarawaEggon</v>
      </c>
    </row>
    <row r="1318">
      <c r="H1318" s="0" t="s">
        <v>227</v>
      </c>
      <c r="I1318" s="0" t="s">
        <v>233</v>
      </c>
      <c r="J1318" s="0" t="s">
        <v>294</v>
      </c>
      <c r="K1318" s="83" t="s">
        <v>3124</v>
      </c>
      <c r="L1318" s="0" t="s">
        <v>3125</v>
      </c>
      <c r="M1318" s="0" t="s">
        <v>244</v>
      </c>
      <c r="N1318" s="0" t="str">
        <f t="shared" si="20"/>
        <v>IHVNnaNasarawaEggon</v>
      </c>
    </row>
    <row r="1319">
      <c r="H1319" s="0" t="s">
        <v>227</v>
      </c>
      <c r="I1319" s="0" t="s">
        <v>233</v>
      </c>
      <c r="J1319" s="0" t="s">
        <v>298</v>
      </c>
      <c r="K1319" s="83" t="s">
        <v>3126</v>
      </c>
      <c r="L1319" s="0" t="s">
        <v>3127</v>
      </c>
      <c r="M1319" s="0" t="s">
        <v>244</v>
      </c>
      <c r="N1319" s="0" t="str">
        <f t="shared" si="20"/>
        <v>IHVNnaObi</v>
      </c>
    </row>
    <row r="1320">
      <c r="H1320" s="0" t="s">
        <v>227</v>
      </c>
      <c r="I1320" s="0" t="s">
        <v>233</v>
      </c>
      <c r="J1320" s="0" t="s">
        <v>298</v>
      </c>
      <c r="K1320" s="83" t="s">
        <v>3128</v>
      </c>
      <c r="L1320" s="0" t="s">
        <v>3129</v>
      </c>
      <c r="M1320" s="0" t="s">
        <v>244</v>
      </c>
      <c r="N1320" s="0" t="str">
        <f t="shared" si="20"/>
        <v>IHVNnaObi</v>
      </c>
    </row>
    <row r="1321">
      <c r="H1321" s="0" t="s">
        <v>227</v>
      </c>
      <c r="I1321" s="0" t="s">
        <v>233</v>
      </c>
      <c r="J1321" s="0" t="s">
        <v>298</v>
      </c>
      <c r="K1321" s="83" t="s">
        <v>3130</v>
      </c>
      <c r="L1321" s="0" t="s">
        <v>3131</v>
      </c>
      <c r="M1321" s="0" t="s">
        <v>244</v>
      </c>
      <c r="N1321" s="0" t="str">
        <f t="shared" si="20"/>
        <v>IHVNnaObi</v>
      </c>
    </row>
    <row r="1322">
      <c r="H1322" s="0" t="s">
        <v>227</v>
      </c>
      <c r="I1322" s="0" t="s">
        <v>233</v>
      </c>
      <c r="J1322" s="0" t="s">
        <v>298</v>
      </c>
      <c r="K1322" s="83" t="s">
        <v>3132</v>
      </c>
      <c r="L1322" s="0" t="s">
        <v>3133</v>
      </c>
      <c r="M1322" s="0" t="s">
        <v>244</v>
      </c>
      <c r="N1322" s="0" t="str">
        <f t="shared" si="20"/>
        <v>IHVNnaObi</v>
      </c>
    </row>
    <row r="1323">
      <c r="H1323" s="0" t="s">
        <v>227</v>
      </c>
      <c r="I1323" s="0" t="s">
        <v>233</v>
      </c>
      <c r="J1323" s="0" t="s">
        <v>298</v>
      </c>
      <c r="K1323" s="83" t="s">
        <v>3134</v>
      </c>
      <c r="L1323" s="0" t="s">
        <v>3135</v>
      </c>
      <c r="M1323" s="0" t="s">
        <v>244</v>
      </c>
      <c r="N1323" s="0" t="str">
        <f t="shared" si="20"/>
        <v>IHVNnaObi</v>
      </c>
    </row>
    <row r="1324">
      <c r="H1324" s="0" t="s">
        <v>227</v>
      </c>
      <c r="I1324" s="0" t="s">
        <v>233</v>
      </c>
      <c r="J1324" s="0" t="s">
        <v>298</v>
      </c>
      <c r="K1324" s="83" t="s">
        <v>3136</v>
      </c>
      <c r="L1324" s="0" t="s">
        <v>3137</v>
      </c>
      <c r="M1324" s="0" t="s">
        <v>244</v>
      </c>
      <c r="N1324" s="0" t="str">
        <f t="shared" si="20"/>
        <v>IHVNnaObi</v>
      </c>
    </row>
    <row r="1325">
      <c r="H1325" s="0" t="s">
        <v>227</v>
      </c>
      <c r="I1325" s="0" t="s">
        <v>233</v>
      </c>
      <c r="J1325" s="0" t="s">
        <v>298</v>
      </c>
      <c r="K1325" s="83" t="s">
        <v>3138</v>
      </c>
      <c r="L1325" s="0" t="s">
        <v>3139</v>
      </c>
      <c r="M1325" s="0" t="s">
        <v>244</v>
      </c>
      <c r="N1325" s="0" t="str">
        <f t="shared" si="20"/>
        <v>IHVNnaObi</v>
      </c>
    </row>
    <row r="1326">
      <c r="H1326" s="0" t="s">
        <v>227</v>
      </c>
      <c r="I1326" s="0" t="s">
        <v>233</v>
      </c>
      <c r="J1326" s="0" t="s">
        <v>298</v>
      </c>
      <c r="K1326" s="83" t="s">
        <v>3140</v>
      </c>
      <c r="L1326" s="0" t="s">
        <v>3141</v>
      </c>
      <c r="M1326" s="0" t="s">
        <v>244</v>
      </c>
      <c r="N1326" s="0" t="str">
        <f t="shared" si="20"/>
        <v>IHVNnaObi</v>
      </c>
    </row>
    <row r="1327">
      <c r="H1327" s="0" t="s">
        <v>227</v>
      </c>
      <c r="I1327" s="0" t="s">
        <v>233</v>
      </c>
      <c r="J1327" s="0" t="s">
        <v>298</v>
      </c>
      <c r="K1327" s="83" t="s">
        <v>3142</v>
      </c>
      <c r="L1327" s="0" t="s">
        <v>3143</v>
      </c>
      <c r="M1327" s="0" t="s">
        <v>244</v>
      </c>
      <c r="N1327" s="0" t="str">
        <f t="shared" si="20"/>
        <v>IHVNnaObi</v>
      </c>
    </row>
    <row r="1328">
      <c r="H1328" s="0" t="s">
        <v>227</v>
      </c>
      <c r="I1328" s="0" t="s">
        <v>233</v>
      </c>
      <c r="J1328" s="0" t="s">
        <v>298</v>
      </c>
      <c r="K1328" s="83" t="s">
        <v>3144</v>
      </c>
      <c r="L1328" s="0" t="s">
        <v>3145</v>
      </c>
      <c r="M1328" s="0" t="s">
        <v>244</v>
      </c>
      <c r="N1328" s="0" t="str">
        <f t="shared" si="20"/>
        <v>IHVNnaObi</v>
      </c>
    </row>
    <row r="1329">
      <c r="H1329" s="0" t="s">
        <v>227</v>
      </c>
      <c r="I1329" s="0" t="s">
        <v>233</v>
      </c>
      <c r="J1329" s="0" t="s">
        <v>298</v>
      </c>
      <c r="K1329" s="83" t="s">
        <v>3146</v>
      </c>
      <c r="L1329" s="0" t="s">
        <v>3147</v>
      </c>
      <c r="M1329" s="0" t="s">
        <v>244</v>
      </c>
      <c r="N1329" s="0" t="str">
        <f t="shared" si="20"/>
        <v>IHVNnaObi</v>
      </c>
    </row>
    <row r="1330">
      <c r="H1330" s="0" t="s">
        <v>227</v>
      </c>
      <c r="I1330" s="0" t="s">
        <v>233</v>
      </c>
      <c r="J1330" s="0" t="s">
        <v>298</v>
      </c>
      <c r="K1330" s="83" t="s">
        <v>3148</v>
      </c>
      <c r="L1330" s="0" t="s">
        <v>3149</v>
      </c>
      <c r="M1330" s="0" t="s">
        <v>244</v>
      </c>
      <c r="N1330" s="0" t="str">
        <f t="shared" si="20"/>
        <v>IHVNnaObi</v>
      </c>
    </row>
    <row r="1331">
      <c r="H1331" s="0" t="s">
        <v>227</v>
      </c>
      <c r="I1331" s="0" t="s">
        <v>233</v>
      </c>
      <c r="J1331" s="0" t="s">
        <v>298</v>
      </c>
      <c r="K1331" s="83" t="s">
        <v>3150</v>
      </c>
      <c r="L1331" s="0" t="s">
        <v>3151</v>
      </c>
      <c r="M1331" s="0" t="s">
        <v>244</v>
      </c>
      <c r="N1331" s="0" t="str">
        <f t="shared" si="20"/>
        <v>IHVNnaObi</v>
      </c>
    </row>
    <row r="1332">
      <c r="H1332" s="0" t="s">
        <v>227</v>
      </c>
      <c r="I1332" s="0" t="s">
        <v>233</v>
      </c>
      <c r="J1332" s="0" t="s">
        <v>298</v>
      </c>
      <c r="K1332" s="83" t="s">
        <v>3152</v>
      </c>
      <c r="L1332" s="0" t="s">
        <v>3153</v>
      </c>
      <c r="M1332" s="0" t="s">
        <v>244</v>
      </c>
      <c r="N1332" s="0" t="str">
        <f t="shared" si="20"/>
        <v>IHVNnaObi</v>
      </c>
    </row>
    <row r="1333">
      <c r="H1333" s="0" t="s">
        <v>227</v>
      </c>
      <c r="I1333" s="0" t="s">
        <v>233</v>
      </c>
      <c r="J1333" s="0" t="s">
        <v>298</v>
      </c>
      <c r="K1333" s="83" t="s">
        <v>3154</v>
      </c>
      <c r="L1333" s="0" t="s">
        <v>3155</v>
      </c>
      <c r="M1333" s="0" t="s">
        <v>244</v>
      </c>
      <c r="N1333" s="0" t="str">
        <f t="shared" si="20"/>
        <v>IHVNnaObi</v>
      </c>
    </row>
    <row r="1334">
      <c r="H1334" s="0" t="s">
        <v>227</v>
      </c>
      <c r="I1334" s="0" t="s">
        <v>233</v>
      </c>
      <c r="J1334" s="0" t="s">
        <v>298</v>
      </c>
      <c r="K1334" s="83" t="s">
        <v>3156</v>
      </c>
      <c r="L1334" s="0" t="s">
        <v>3157</v>
      </c>
      <c r="M1334" s="0" t="s">
        <v>244</v>
      </c>
      <c r="N1334" s="0" t="str">
        <f t="shared" si="20"/>
        <v>IHVNnaObi</v>
      </c>
    </row>
    <row r="1335">
      <c r="H1335" s="0" t="s">
        <v>227</v>
      </c>
      <c r="I1335" s="0" t="s">
        <v>233</v>
      </c>
      <c r="J1335" s="0" t="s">
        <v>298</v>
      </c>
      <c r="K1335" s="83" t="s">
        <v>3158</v>
      </c>
      <c r="L1335" s="0" t="s">
        <v>3159</v>
      </c>
      <c r="M1335" s="0" t="s">
        <v>244</v>
      </c>
      <c r="N1335" s="0" t="str">
        <f t="shared" si="20"/>
        <v>IHVNnaObi</v>
      </c>
    </row>
    <row r="1336">
      <c r="H1336" s="0" t="s">
        <v>227</v>
      </c>
      <c r="I1336" s="0" t="s">
        <v>233</v>
      </c>
      <c r="J1336" s="0" t="s">
        <v>302</v>
      </c>
      <c r="K1336" s="83" t="s">
        <v>3160</v>
      </c>
      <c r="L1336" s="0" t="s">
        <v>3161</v>
      </c>
      <c r="M1336" s="0" t="s">
        <v>244</v>
      </c>
      <c r="N1336" s="0" t="str">
        <f t="shared" si="20"/>
        <v>IHVNnaToto</v>
      </c>
    </row>
    <row r="1337">
      <c r="H1337" s="0" t="s">
        <v>227</v>
      </c>
      <c r="I1337" s="0" t="s">
        <v>233</v>
      </c>
      <c r="J1337" s="0" t="s">
        <v>302</v>
      </c>
      <c r="K1337" s="83" t="s">
        <v>3162</v>
      </c>
      <c r="L1337" s="0" t="s">
        <v>3163</v>
      </c>
      <c r="M1337" s="0" t="s">
        <v>244</v>
      </c>
      <c r="N1337" s="0" t="str">
        <f t="shared" si="20"/>
        <v>IHVNnaToto</v>
      </c>
    </row>
    <row r="1338">
      <c r="H1338" s="0" t="s">
        <v>227</v>
      </c>
      <c r="I1338" s="0" t="s">
        <v>233</v>
      </c>
      <c r="J1338" s="0" t="s">
        <v>302</v>
      </c>
      <c r="K1338" s="83" t="s">
        <v>3164</v>
      </c>
      <c r="L1338" s="0" t="s">
        <v>3165</v>
      </c>
      <c r="M1338" s="0" t="s">
        <v>244</v>
      </c>
      <c r="N1338" s="0" t="str">
        <f t="shared" si="20"/>
        <v>IHVNnaToto</v>
      </c>
    </row>
    <row r="1339">
      <c r="H1339" s="0" t="s">
        <v>227</v>
      </c>
      <c r="I1339" s="0" t="s">
        <v>233</v>
      </c>
      <c r="J1339" s="0" t="s">
        <v>306</v>
      </c>
      <c r="K1339" s="83" t="s">
        <v>3166</v>
      </c>
      <c r="L1339" s="0" t="s">
        <v>3167</v>
      </c>
      <c r="M1339" s="0" t="s">
        <v>244</v>
      </c>
      <c r="N1339" s="0" t="str">
        <f t="shared" si="20"/>
        <v>IHVNnaWamba</v>
      </c>
    </row>
    <row r="1340">
      <c r="H1340" s="0" t="s">
        <v>227</v>
      </c>
      <c r="I1340" s="0" t="s">
        <v>233</v>
      </c>
      <c r="J1340" s="0" t="s">
        <v>306</v>
      </c>
      <c r="K1340" s="83" t="s">
        <v>3168</v>
      </c>
      <c r="L1340" s="0" t="s">
        <v>3169</v>
      </c>
      <c r="M1340" s="0" t="s">
        <v>244</v>
      </c>
      <c r="N1340" s="0" t="str">
        <f t="shared" si="20"/>
        <v>IHVNnaWamba</v>
      </c>
    </row>
    <row r="1341">
      <c r="H1341" s="0" t="s">
        <v>227</v>
      </c>
      <c r="I1341" s="0" t="s">
        <v>233</v>
      </c>
      <c r="J1341" s="0" t="s">
        <v>306</v>
      </c>
      <c r="K1341" s="83" t="s">
        <v>3170</v>
      </c>
      <c r="L1341" s="0" t="s">
        <v>3171</v>
      </c>
      <c r="M1341" s="0" t="s">
        <v>244</v>
      </c>
      <c r="N1341" s="0" t="str">
        <f t="shared" si="20"/>
        <v>IHVNnaWamba</v>
      </c>
    </row>
    <row r="1342">
      <c r="H1342" s="0" t="s">
        <v>227</v>
      </c>
      <c r="I1342" s="0" t="s">
        <v>233</v>
      </c>
      <c r="J1342" s="0" t="s">
        <v>306</v>
      </c>
      <c r="K1342" s="83" t="s">
        <v>3172</v>
      </c>
      <c r="L1342" s="0" t="s">
        <v>3173</v>
      </c>
      <c r="M1342" s="0" t="s">
        <v>244</v>
      </c>
      <c r="N1342" s="0" t="str">
        <f t="shared" si="20"/>
        <v>IHVNnaWamba</v>
      </c>
    </row>
    <row r="1343">
      <c r="H1343" s="0" t="s">
        <v>227</v>
      </c>
      <c r="I1343" s="0" t="s">
        <v>233</v>
      </c>
      <c r="J1343" s="0" t="s">
        <v>306</v>
      </c>
      <c r="K1343" s="83" t="s">
        <v>3174</v>
      </c>
      <c r="L1343" s="0" t="s">
        <v>3175</v>
      </c>
      <c r="M1343" s="0" t="s">
        <v>244</v>
      </c>
      <c r="N1343" s="0" t="str">
        <f t="shared" si="20"/>
        <v>IHVNnaWamba</v>
      </c>
    </row>
    <row r="1344">
      <c r="H1344" s="0" t="s">
        <v>227</v>
      </c>
      <c r="I1344" s="0" t="s">
        <v>233</v>
      </c>
      <c r="J1344" s="0" t="s">
        <v>306</v>
      </c>
      <c r="K1344" s="83" t="s">
        <v>3176</v>
      </c>
      <c r="L1344" s="0" t="s">
        <v>3177</v>
      </c>
      <c r="M1344" s="0" t="s">
        <v>244</v>
      </c>
      <c r="N1344" s="0" t="str">
        <f t="shared" si="20"/>
        <v>IHVNnaWamba</v>
      </c>
    </row>
    <row r="1345">
      <c r="H1345" s="0" t="s">
        <v>227</v>
      </c>
      <c r="I1345" s="0" t="s">
        <v>293</v>
      </c>
      <c r="J1345" s="0" t="s">
        <v>778</v>
      </c>
      <c r="K1345" s="83" t="s">
        <v>3178</v>
      </c>
      <c r="L1345" s="0" t="s">
        <v>3179</v>
      </c>
      <c r="M1345" s="0" t="s">
        <v>36</v>
      </c>
      <c r="N1345" s="0" t="str">
        <f t="shared" si="20"/>
        <v>APINogAbeokutaNorth</v>
      </c>
    </row>
    <row r="1346">
      <c r="H1346" s="0" t="s">
        <v>227</v>
      </c>
      <c r="I1346" s="0" t="s">
        <v>293</v>
      </c>
      <c r="J1346" s="0" t="s">
        <v>781</v>
      </c>
      <c r="K1346" s="83" t="s">
        <v>3180</v>
      </c>
      <c r="L1346" s="0" t="s">
        <v>3181</v>
      </c>
      <c r="M1346" s="0" t="s">
        <v>36</v>
      </c>
      <c r="N1346" s="0" t="str">
        <f t="shared" si="20"/>
        <v>APINogAbeokutaSouth</v>
      </c>
    </row>
    <row r="1347">
      <c r="H1347" s="0" t="s">
        <v>227</v>
      </c>
      <c r="I1347" s="0" t="s">
        <v>293</v>
      </c>
      <c r="J1347" s="0" t="s">
        <v>781</v>
      </c>
      <c r="K1347" s="83" t="s">
        <v>3182</v>
      </c>
      <c r="L1347" s="0" t="s">
        <v>3183</v>
      </c>
      <c r="M1347" s="0" t="s">
        <v>36</v>
      </c>
      <c r="N1347" s="0" t="str">
        <f ref="N1347:N1410" t="shared" si="21">SUBSTITUTE(SUBSTITUTE(M1347&amp;J1347," ",""),"-","")</f>
        <v>APINogAbeokutaSouth</v>
      </c>
    </row>
    <row r="1348">
      <c r="H1348" s="0" t="s">
        <v>227</v>
      </c>
      <c r="I1348" s="0" t="s">
        <v>293</v>
      </c>
      <c r="J1348" s="0" t="s">
        <v>784</v>
      </c>
      <c r="K1348" s="83" t="s">
        <v>3184</v>
      </c>
      <c r="L1348" s="0" t="s">
        <v>3185</v>
      </c>
      <c r="M1348" s="0" t="s">
        <v>36</v>
      </c>
      <c r="N1348" s="0" t="str">
        <f t="shared" si="21"/>
        <v>APINogAdoOdoOta</v>
      </c>
    </row>
    <row r="1349">
      <c r="H1349" s="0" t="s">
        <v>227</v>
      </c>
      <c r="I1349" s="0" t="s">
        <v>293</v>
      </c>
      <c r="J1349" s="0" t="s">
        <v>784</v>
      </c>
      <c r="K1349" s="83" t="s">
        <v>3186</v>
      </c>
      <c r="L1349" s="0" t="s">
        <v>3187</v>
      </c>
      <c r="M1349" s="0" t="s">
        <v>36</v>
      </c>
      <c r="N1349" s="0" t="str">
        <f t="shared" si="21"/>
        <v>APINogAdoOdoOta</v>
      </c>
    </row>
    <row r="1350">
      <c r="H1350" s="0" t="s">
        <v>227</v>
      </c>
      <c r="I1350" s="0" t="s">
        <v>293</v>
      </c>
      <c r="J1350" s="0" t="s">
        <v>784</v>
      </c>
      <c r="K1350" s="83" t="s">
        <v>3188</v>
      </c>
      <c r="L1350" s="0" t="s">
        <v>3189</v>
      </c>
      <c r="M1350" s="0" t="s">
        <v>36</v>
      </c>
      <c r="N1350" s="0" t="str">
        <f t="shared" si="21"/>
        <v>APINogAdoOdoOta</v>
      </c>
    </row>
    <row r="1351">
      <c r="H1351" s="0" t="s">
        <v>227</v>
      </c>
      <c r="I1351" s="0" t="s">
        <v>293</v>
      </c>
      <c r="J1351" s="0" t="s">
        <v>787</v>
      </c>
      <c r="K1351" s="83" t="s">
        <v>3190</v>
      </c>
      <c r="L1351" s="0" t="s">
        <v>3191</v>
      </c>
      <c r="M1351" s="0" t="s">
        <v>36</v>
      </c>
      <c r="N1351" s="0" t="str">
        <f t="shared" si="21"/>
        <v>APINogIfo</v>
      </c>
    </row>
    <row r="1352">
      <c r="H1352" s="0" t="s">
        <v>227</v>
      </c>
      <c r="I1352" s="0" t="s">
        <v>293</v>
      </c>
      <c r="J1352" s="0" t="s">
        <v>787</v>
      </c>
      <c r="K1352" s="83" t="s">
        <v>3192</v>
      </c>
      <c r="L1352" s="0" t="s">
        <v>3193</v>
      </c>
      <c r="M1352" s="0" t="s">
        <v>36</v>
      </c>
      <c r="N1352" s="0" t="str">
        <f t="shared" si="21"/>
        <v>APINogIfo</v>
      </c>
    </row>
    <row r="1353">
      <c r="H1353" s="0" t="s">
        <v>227</v>
      </c>
      <c r="I1353" s="0" t="s">
        <v>293</v>
      </c>
      <c r="J1353" s="0" t="s">
        <v>787</v>
      </c>
      <c r="K1353" s="83" t="s">
        <v>3194</v>
      </c>
      <c r="L1353" s="0" t="s">
        <v>3195</v>
      </c>
      <c r="M1353" s="0" t="s">
        <v>36</v>
      </c>
      <c r="N1353" s="0" t="str">
        <f t="shared" si="21"/>
        <v>APINogIfo</v>
      </c>
    </row>
    <row r="1354">
      <c r="H1354" s="0" t="s">
        <v>227</v>
      </c>
      <c r="I1354" s="0" t="s">
        <v>293</v>
      </c>
      <c r="J1354" s="0" t="s">
        <v>790</v>
      </c>
      <c r="K1354" s="83" t="s">
        <v>3196</v>
      </c>
      <c r="L1354" s="0" t="s">
        <v>3197</v>
      </c>
      <c r="M1354" s="0" t="s">
        <v>36</v>
      </c>
      <c r="N1354" s="0" t="str">
        <f t="shared" si="21"/>
        <v>APINogIjebuOde</v>
      </c>
    </row>
    <row r="1355">
      <c r="H1355" s="0" t="s">
        <v>227</v>
      </c>
      <c r="I1355" s="0" t="s">
        <v>293</v>
      </c>
      <c r="J1355" s="0" t="s">
        <v>790</v>
      </c>
      <c r="K1355" s="83" t="s">
        <v>3198</v>
      </c>
      <c r="L1355" s="0" t="s">
        <v>3199</v>
      </c>
      <c r="M1355" s="0" t="s">
        <v>36</v>
      </c>
      <c r="N1355" s="0" t="str">
        <f t="shared" si="21"/>
        <v>APINogIjebuOde</v>
      </c>
    </row>
    <row r="1356">
      <c r="H1356" s="0" t="s">
        <v>227</v>
      </c>
      <c r="I1356" s="0" t="s">
        <v>293</v>
      </c>
      <c r="J1356" s="0" t="s">
        <v>793</v>
      </c>
      <c r="K1356" s="83" t="s">
        <v>3200</v>
      </c>
      <c r="L1356" s="0" t="s">
        <v>3201</v>
      </c>
      <c r="M1356" s="0" t="s">
        <v>36</v>
      </c>
      <c r="N1356" s="0" t="str">
        <f t="shared" si="21"/>
        <v>APINogIpokia</v>
      </c>
    </row>
    <row r="1357">
      <c r="H1357" s="0" t="s">
        <v>227</v>
      </c>
      <c r="I1357" s="0" t="s">
        <v>293</v>
      </c>
      <c r="J1357" s="0" t="s">
        <v>793</v>
      </c>
      <c r="K1357" s="83" t="s">
        <v>3202</v>
      </c>
      <c r="L1357" s="0" t="s">
        <v>3203</v>
      </c>
      <c r="M1357" s="0" t="s">
        <v>36</v>
      </c>
      <c r="N1357" s="0" t="str">
        <f t="shared" si="21"/>
        <v>APINogIpokia</v>
      </c>
    </row>
    <row r="1358">
      <c r="H1358" s="0" t="s">
        <v>227</v>
      </c>
      <c r="I1358" s="0" t="s">
        <v>293</v>
      </c>
      <c r="J1358" s="0" t="s">
        <v>796</v>
      </c>
      <c r="K1358" s="83" t="s">
        <v>3204</v>
      </c>
      <c r="L1358" s="0" t="s">
        <v>3205</v>
      </c>
      <c r="M1358" s="0" t="s">
        <v>36</v>
      </c>
      <c r="N1358" s="0" t="str">
        <f t="shared" si="21"/>
        <v>APINogSagamu</v>
      </c>
    </row>
    <row r="1359">
      <c r="H1359" s="0" t="s">
        <v>227</v>
      </c>
      <c r="I1359" s="0" t="s">
        <v>293</v>
      </c>
      <c r="J1359" s="0" t="s">
        <v>796</v>
      </c>
      <c r="K1359" s="83" t="s">
        <v>3206</v>
      </c>
      <c r="L1359" s="0" t="s">
        <v>3207</v>
      </c>
      <c r="M1359" s="0" t="s">
        <v>36</v>
      </c>
      <c r="N1359" s="0" t="str">
        <f t="shared" si="21"/>
        <v>APINogSagamu</v>
      </c>
    </row>
    <row r="1360">
      <c r="H1360" s="0" t="s">
        <v>227</v>
      </c>
      <c r="I1360" s="0" t="s">
        <v>293</v>
      </c>
      <c r="J1360" s="0" t="s">
        <v>799</v>
      </c>
      <c r="K1360" s="83" t="s">
        <v>3208</v>
      </c>
      <c r="L1360" s="0" t="s">
        <v>3209</v>
      </c>
      <c r="M1360" s="0" t="s">
        <v>36</v>
      </c>
      <c r="N1360" s="0" t="str">
        <f t="shared" si="21"/>
        <v>APINogYewaNorth</v>
      </c>
    </row>
    <row r="1361">
      <c r="H1361" s="0" t="s">
        <v>227</v>
      </c>
      <c r="I1361" s="0" t="s">
        <v>293</v>
      </c>
      <c r="J1361" s="0" t="s">
        <v>799</v>
      </c>
      <c r="K1361" s="83" t="s">
        <v>3210</v>
      </c>
      <c r="L1361" s="0" t="s">
        <v>3211</v>
      </c>
      <c r="M1361" s="0" t="s">
        <v>36</v>
      </c>
      <c r="N1361" s="0" t="str">
        <f t="shared" si="21"/>
        <v>APINogYewaNorth</v>
      </c>
    </row>
    <row r="1362">
      <c r="H1362" s="0" t="s">
        <v>227</v>
      </c>
      <c r="I1362" s="0" t="s">
        <v>293</v>
      </c>
      <c r="J1362" s="0" t="s">
        <v>799</v>
      </c>
      <c r="K1362" s="83" t="s">
        <v>3212</v>
      </c>
      <c r="L1362" s="0" t="s">
        <v>3213</v>
      </c>
      <c r="M1362" s="0" t="s">
        <v>36</v>
      </c>
      <c r="N1362" s="0" t="str">
        <f t="shared" si="21"/>
        <v>APINogYewaNorth</v>
      </c>
    </row>
    <row r="1363">
      <c r="H1363" s="0" t="s">
        <v>227</v>
      </c>
      <c r="I1363" s="0" t="s">
        <v>293</v>
      </c>
      <c r="J1363" s="0" t="s">
        <v>802</v>
      </c>
      <c r="K1363" s="83" t="s">
        <v>3214</v>
      </c>
      <c r="L1363" s="0" t="s">
        <v>3215</v>
      </c>
      <c r="M1363" s="0" t="s">
        <v>36</v>
      </c>
      <c r="N1363" s="0" t="str">
        <f t="shared" si="21"/>
        <v>APINogYewaSouth</v>
      </c>
    </row>
    <row r="1364">
      <c r="H1364" s="0" t="s">
        <v>227</v>
      </c>
      <c r="I1364" s="0" t="s">
        <v>293</v>
      </c>
      <c r="J1364" s="0" t="s">
        <v>802</v>
      </c>
      <c r="K1364" s="83" t="s">
        <v>3216</v>
      </c>
      <c r="L1364" s="0" t="s">
        <v>3217</v>
      </c>
      <c r="M1364" s="0" t="s">
        <v>36</v>
      </c>
      <c r="N1364" s="0" t="str">
        <f t="shared" si="21"/>
        <v>APINogYewaSouth</v>
      </c>
    </row>
    <row r="1365">
      <c r="H1365" s="0" t="s">
        <v>227</v>
      </c>
      <c r="I1365" s="0" t="s">
        <v>297</v>
      </c>
      <c r="J1365" s="0" t="s">
        <v>805</v>
      </c>
      <c r="K1365" s="83" t="s">
        <v>3218</v>
      </c>
      <c r="L1365" s="0" t="s">
        <v>3219</v>
      </c>
      <c r="M1365" s="0" t="s">
        <v>36</v>
      </c>
      <c r="N1365" s="0" t="str">
        <f t="shared" si="21"/>
        <v>APINonAkokoNorthEast</v>
      </c>
    </row>
    <row r="1366">
      <c r="H1366" s="0" t="s">
        <v>227</v>
      </c>
      <c r="I1366" s="0" t="s">
        <v>297</v>
      </c>
      <c r="J1366" s="0" t="s">
        <v>808</v>
      </c>
      <c r="K1366" s="83" t="s">
        <v>3220</v>
      </c>
      <c r="L1366" s="0" t="s">
        <v>3221</v>
      </c>
      <c r="M1366" s="0" t="s">
        <v>36</v>
      </c>
      <c r="N1366" s="0" t="str">
        <f t="shared" si="21"/>
        <v>APINonAkokoSouthWest</v>
      </c>
    </row>
    <row r="1367">
      <c r="H1367" s="0" t="s">
        <v>227</v>
      </c>
      <c r="I1367" s="0" t="s">
        <v>297</v>
      </c>
      <c r="J1367" s="0" t="s">
        <v>808</v>
      </c>
      <c r="K1367" s="83" t="s">
        <v>3222</v>
      </c>
      <c r="L1367" s="0" t="s">
        <v>3223</v>
      </c>
      <c r="M1367" s="0" t="s">
        <v>36</v>
      </c>
      <c r="N1367" s="0" t="str">
        <f t="shared" si="21"/>
        <v>APINonAkokoSouthWest</v>
      </c>
    </row>
    <row r="1368">
      <c r="H1368" s="0" t="s">
        <v>227</v>
      </c>
      <c r="I1368" s="0" t="s">
        <v>297</v>
      </c>
      <c r="J1368" s="0" t="s">
        <v>811</v>
      </c>
      <c r="K1368" s="83" t="s">
        <v>3224</v>
      </c>
      <c r="L1368" s="0" t="s">
        <v>3225</v>
      </c>
      <c r="M1368" s="0" t="s">
        <v>36</v>
      </c>
      <c r="N1368" s="0" t="str">
        <f t="shared" si="21"/>
        <v>APINonAkureSouth</v>
      </c>
    </row>
    <row r="1369">
      <c r="H1369" s="0" t="s">
        <v>227</v>
      </c>
      <c r="I1369" s="0" t="s">
        <v>297</v>
      </c>
      <c r="J1369" s="0" t="s">
        <v>811</v>
      </c>
      <c r="K1369" s="83" t="s">
        <v>3226</v>
      </c>
      <c r="L1369" s="0" t="s">
        <v>3227</v>
      </c>
      <c r="M1369" s="0" t="s">
        <v>36</v>
      </c>
      <c r="N1369" s="0" t="str">
        <f t="shared" si="21"/>
        <v>APINonAkureSouth</v>
      </c>
    </row>
    <row r="1370">
      <c r="H1370" s="0" t="s">
        <v>227</v>
      </c>
      <c r="I1370" s="0" t="s">
        <v>297</v>
      </c>
      <c r="J1370" s="0" t="s">
        <v>811</v>
      </c>
      <c r="K1370" s="83" t="s">
        <v>3228</v>
      </c>
      <c r="L1370" s="0" t="s">
        <v>3229</v>
      </c>
      <c r="M1370" s="0" t="s">
        <v>36</v>
      </c>
      <c r="N1370" s="0" t="str">
        <f t="shared" si="21"/>
        <v>APINonAkureSouth</v>
      </c>
    </row>
    <row r="1371">
      <c r="H1371" s="0" t="s">
        <v>227</v>
      </c>
      <c r="I1371" s="0" t="s">
        <v>297</v>
      </c>
      <c r="J1371" s="0" t="s">
        <v>814</v>
      </c>
      <c r="K1371" s="83" t="s">
        <v>3230</v>
      </c>
      <c r="L1371" s="0" t="s">
        <v>3231</v>
      </c>
      <c r="M1371" s="0" t="s">
        <v>36</v>
      </c>
      <c r="N1371" s="0" t="str">
        <f t="shared" si="21"/>
        <v>APINonEseOdo</v>
      </c>
    </row>
    <row r="1372">
      <c r="H1372" s="0" t="s">
        <v>227</v>
      </c>
      <c r="I1372" s="0" t="s">
        <v>297</v>
      </c>
      <c r="J1372" s="0" t="s">
        <v>817</v>
      </c>
      <c r="K1372" s="83" t="s">
        <v>3232</v>
      </c>
      <c r="L1372" s="0" t="s">
        <v>3233</v>
      </c>
      <c r="M1372" s="0" t="s">
        <v>36</v>
      </c>
      <c r="N1372" s="0" t="str">
        <f t="shared" si="21"/>
        <v>APINonOdigbo</v>
      </c>
    </row>
    <row r="1373">
      <c r="H1373" s="0" t="s">
        <v>227</v>
      </c>
      <c r="I1373" s="0" t="s">
        <v>297</v>
      </c>
      <c r="J1373" s="0" t="s">
        <v>820</v>
      </c>
      <c r="K1373" s="83" t="s">
        <v>3234</v>
      </c>
      <c r="L1373" s="0" t="s">
        <v>3235</v>
      </c>
      <c r="M1373" s="0" t="s">
        <v>36</v>
      </c>
      <c r="N1373" s="0" t="str">
        <f t="shared" si="21"/>
        <v>APINonOndoWest</v>
      </c>
    </row>
    <row r="1374">
      <c r="H1374" s="0" t="s">
        <v>227</v>
      </c>
      <c r="I1374" s="0" t="s">
        <v>297</v>
      </c>
      <c r="J1374" s="0" t="s">
        <v>820</v>
      </c>
      <c r="K1374" s="83" t="s">
        <v>3236</v>
      </c>
      <c r="L1374" s="0" t="s">
        <v>3237</v>
      </c>
      <c r="M1374" s="0" t="s">
        <v>36</v>
      </c>
      <c r="N1374" s="0" t="str">
        <f t="shared" si="21"/>
        <v>APINonOndoWest</v>
      </c>
    </row>
    <row r="1375">
      <c r="H1375" s="0" t="s">
        <v>227</v>
      </c>
      <c r="I1375" s="0" t="s">
        <v>297</v>
      </c>
      <c r="J1375" s="0" t="s">
        <v>823</v>
      </c>
      <c r="K1375" s="83" t="s">
        <v>3238</v>
      </c>
      <c r="L1375" s="0" t="s">
        <v>3239</v>
      </c>
      <c r="M1375" s="0" t="s">
        <v>36</v>
      </c>
      <c r="N1375" s="0" t="str">
        <f t="shared" si="21"/>
        <v>APINonOwo</v>
      </c>
    </row>
    <row r="1376">
      <c r="H1376" s="0" t="s">
        <v>227</v>
      </c>
      <c r="I1376" s="0" t="s">
        <v>297</v>
      </c>
      <c r="J1376" s="0" t="s">
        <v>823</v>
      </c>
      <c r="K1376" s="83" t="s">
        <v>3240</v>
      </c>
      <c r="L1376" s="0" t="s">
        <v>3241</v>
      </c>
      <c r="M1376" s="0" t="s">
        <v>36</v>
      </c>
      <c r="N1376" s="0" t="str">
        <f t="shared" si="21"/>
        <v>APINonOwo</v>
      </c>
    </row>
    <row r="1377">
      <c r="H1377" s="0" t="s">
        <v>227</v>
      </c>
      <c r="I1377" s="0" t="s">
        <v>301</v>
      </c>
      <c r="J1377" s="0" t="s">
        <v>826</v>
      </c>
      <c r="K1377" s="83" t="s">
        <v>3242</v>
      </c>
      <c r="L1377" s="0" t="s">
        <v>3243</v>
      </c>
      <c r="M1377" s="0" t="s">
        <v>36</v>
      </c>
      <c r="N1377" s="0" t="str">
        <f t="shared" si="21"/>
        <v>APINosEdeSouth</v>
      </c>
    </row>
    <row r="1378">
      <c r="H1378" s="0" t="s">
        <v>227</v>
      </c>
      <c r="I1378" s="0" t="s">
        <v>301</v>
      </c>
      <c r="J1378" s="0" t="s">
        <v>829</v>
      </c>
      <c r="K1378" s="83" t="s">
        <v>3244</v>
      </c>
      <c r="L1378" s="0" t="s">
        <v>3245</v>
      </c>
      <c r="M1378" s="0" t="s">
        <v>36</v>
      </c>
      <c r="N1378" s="0" t="str">
        <f t="shared" si="21"/>
        <v>APINosIfeCentral</v>
      </c>
    </row>
    <row r="1379">
      <c r="H1379" s="0" t="s">
        <v>227</v>
      </c>
      <c r="I1379" s="0" t="s">
        <v>301</v>
      </c>
      <c r="J1379" s="0" t="s">
        <v>829</v>
      </c>
      <c r="K1379" s="83" t="s">
        <v>3246</v>
      </c>
      <c r="L1379" s="0" t="s">
        <v>3247</v>
      </c>
      <c r="M1379" s="0" t="s">
        <v>36</v>
      </c>
      <c r="N1379" s="0" t="str">
        <f t="shared" si="21"/>
        <v>APINosIfeCentral</v>
      </c>
    </row>
    <row r="1380">
      <c r="H1380" s="0" t="s">
        <v>227</v>
      </c>
      <c r="I1380" s="0" t="s">
        <v>301</v>
      </c>
      <c r="J1380" s="0" t="s">
        <v>832</v>
      </c>
      <c r="K1380" s="83" t="s">
        <v>3248</v>
      </c>
      <c r="L1380" s="0" t="s">
        <v>3249</v>
      </c>
      <c r="M1380" s="0" t="s">
        <v>36</v>
      </c>
      <c r="N1380" s="0" t="str">
        <f t="shared" si="21"/>
        <v>APINosIfeNorth</v>
      </c>
    </row>
    <row r="1381">
      <c r="H1381" s="0" t="s">
        <v>227</v>
      </c>
      <c r="I1381" s="0" t="s">
        <v>301</v>
      </c>
      <c r="J1381" s="0" t="s">
        <v>835</v>
      </c>
      <c r="K1381" s="83" t="s">
        <v>3250</v>
      </c>
      <c r="L1381" s="0" t="s">
        <v>3251</v>
      </c>
      <c r="M1381" s="0" t="s">
        <v>36</v>
      </c>
      <c r="N1381" s="0" t="str">
        <f t="shared" si="21"/>
        <v>APINosIla</v>
      </c>
    </row>
    <row r="1382">
      <c r="H1382" s="0" t="s">
        <v>227</v>
      </c>
      <c r="I1382" s="0" t="s">
        <v>301</v>
      </c>
      <c r="J1382" s="0" t="s">
        <v>835</v>
      </c>
      <c r="K1382" s="83" t="s">
        <v>3252</v>
      </c>
      <c r="L1382" s="0" t="s">
        <v>3253</v>
      </c>
      <c r="M1382" s="0" t="s">
        <v>36</v>
      </c>
      <c r="N1382" s="0" t="str">
        <f t="shared" si="21"/>
        <v>APINosIla</v>
      </c>
    </row>
    <row r="1383">
      <c r="H1383" s="0" t="s">
        <v>227</v>
      </c>
      <c r="I1383" s="0" t="s">
        <v>301</v>
      </c>
      <c r="J1383" s="0" t="s">
        <v>838</v>
      </c>
      <c r="K1383" s="83" t="s">
        <v>3254</v>
      </c>
      <c r="L1383" s="0" t="s">
        <v>3255</v>
      </c>
      <c r="M1383" s="0" t="s">
        <v>36</v>
      </c>
      <c r="N1383" s="0" t="str">
        <f t="shared" si="21"/>
        <v>APINosIleshaEast</v>
      </c>
    </row>
    <row r="1384">
      <c r="H1384" s="0" t="s">
        <v>227</v>
      </c>
      <c r="I1384" s="0" t="s">
        <v>301</v>
      </c>
      <c r="J1384" s="0" t="s">
        <v>841</v>
      </c>
      <c r="K1384" s="83" t="s">
        <v>3256</v>
      </c>
      <c r="L1384" s="0" t="s">
        <v>3257</v>
      </c>
      <c r="M1384" s="0" t="s">
        <v>36</v>
      </c>
      <c r="N1384" s="0" t="str">
        <f t="shared" si="21"/>
        <v>APINosIrewole</v>
      </c>
    </row>
    <row r="1385">
      <c r="H1385" s="0" t="s">
        <v>227</v>
      </c>
      <c r="I1385" s="0" t="s">
        <v>301</v>
      </c>
      <c r="J1385" s="0" t="s">
        <v>841</v>
      </c>
      <c r="K1385" s="83" t="s">
        <v>3258</v>
      </c>
      <c r="L1385" s="0" t="s">
        <v>3259</v>
      </c>
      <c r="M1385" s="0" t="s">
        <v>36</v>
      </c>
      <c r="N1385" s="0" t="str">
        <f t="shared" si="21"/>
        <v>APINosIrewole</v>
      </c>
    </row>
    <row r="1386">
      <c r="H1386" s="0" t="s">
        <v>227</v>
      </c>
      <c r="I1386" s="0" t="s">
        <v>301</v>
      </c>
      <c r="J1386" s="0" t="s">
        <v>844</v>
      </c>
      <c r="K1386" s="83" t="s">
        <v>3260</v>
      </c>
      <c r="L1386" s="0" t="s">
        <v>3261</v>
      </c>
      <c r="M1386" s="0" t="s">
        <v>36</v>
      </c>
      <c r="N1386" s="0" t="str">
        <f t="shared" si="21"/>
        <v>APINosIsokan</v>
      </c>
    </row>
    <row r="1387">
      <c r="H1387" s="0" t="s">
        <v>227</v>
      </c>
      <c r="I1387" s="0" t="s">
        <v>301</v>
      </c>
      <c r="J1387" s="0" t="s">
        <v>847</v>
      </c>
      <c r="K1387" s="83" t="s">
        <v>3262</v>
      </c>
      <c r="L1387" s="0" t="s">
        <v>3263</v>
      </c>
      <c r="M1387" s="0" t="s">
        <v>36</v>
      </c>
      <c r="N1387" s="0" t="str">
        <f t="shared" si="21"/>
        <v>APINosIwo</v>
      </c>
    </row>
    <row r="1388">
      <c r="H1388" s="0" t="s">
        <v>227</v>
      </c>
      <c r="I1388" s="0" t="s">
        <v>301</v>
      </c>
      <c r="J1388" s="0" t="s">
        <v>847</v>
      </c>
      <c r="K1388" s="83" t="s">
        <v>3264</v>
      </c>
      <c r="L1388" s="0" t="s">
        <v>3265</v>
      </c>
      <c r="M1388" s="0" t="s">
        <v>36</v>
      </c>
      <c r="N1388" s="0" t="str">
        <f t="shared" si="21"/>
        <v>APINosIwo</v>
      </c>
    </row>
    <row r="1389">
      <c r="H1389" s="0" t="s">
        <v>227</v>
      </c>
      <c r="I1389" s="0" t="s">
        <v>301</v>
      </c>
      <c r="J1389" s="0" t="s">
        <v>850</v>
      </c>
      <c r="K1389" s="83" t="s">
        <v>3266</v>
      </c>
      <c r="L1389" s="0" t="s">
        <v>3267</v>
      </c>
      <c r="M1389" s="0" t="s">
        <v>36</v>
      </c>
      <c r="N1389" s="0" t="str">
        <f t="shared" si="21"/>
        <v>APINosOsogbo</v>
      </c>
    </row>
    <row r="1390">
      <c r="H1390" s="0" t="s">
        <v>227</v>
      </c>
      <c r="I1390" s="0" t="s">
        <v>305</v>
      </c>
      <c r="J1390" s="0" t="s">
        <v>853</v>
      </c>
      <c r="K1390" s="83" t="s">
        <v>3268</v>
      </c>
      <c r="L1390" s="0" t="s">
        <v>3269</v>
      </c>
      <c r="M1390" s="0" t="s">
        <v>36</v>
      </c>
      <c r="N1390" s="0" t="str">
        <f t="shared" si="21"/>
        <v>APINoyAfijio</v>
      </c>
    </row>
    <row r="1391">
      <c r="H1391" s="0" t="s">
        <v>227</v>
      </c>
      <c r="I1391" s="0" t="s">
        <v>305</v>
      </c>
      <c r="J1391" s="0" t="s">
        <v>856</v>
      </c>
      <c r="K1391" s="83" t="s">
        <v>3270</v>
      </c>
      <c r="L1391" s="0" t="s">
        <v>3271</v>
      </c>
      <c r="M1391" s="0" t="s">
        <v>36</v>
      </c>
      <c r="N1391" s="0" t="str">
        <f t="shared" si="21"/>
        <v>APINoyAkinyele</v>
      </c>
    </row>
    <row r="1392">
      <c r="H1392" s="0" t="s">
        <v>227</v>
      </c>
      <c r="I1392" s="0" t="s">
        <v>305</v>
      </c>
      <c r="J1392" s="0" t="s">
        <v>859</v>
      </c>
      <c r="K1392" s="83" t="s">
        <v>3272</v>
      </c>
      <c r="L1392" s="0" t="s">
        <v>3273</v>
      </c>
      <c r="M1392" s="0" t="s">
        <v>36</v>
      </c>
      <c r="N1392" s="0" t="str">
        <f t="shared" si="21"/>
        <v>APINoyAtiba</v>
      </c>
    </row>
    <row r="1393">
      <c r="H1393" s="0" t="s">
        <v>227</v>
      </c>
      <c r="I1393" s="0" t="s">
        <v>305</v>
      </c>
      <c r="J1393" s="0" t="s">
        <v>862</v>
      </c>
      <c r="K1393" s="83" t="s">
        <v>3274</v>
      </c>
      <c r="L1393" s="0" t="s">
        <v>3275</v>
      </c>
      <c r="M1393" s="0" t="s">
        <v>36</v>
      </c>
      <c r="N1393" s="0" t="str">
        <f t="shared" si="21"/>
        <v>APINoyAtisbo</v>
      </c>
    </row>
    <row r="1394">
      <c r="H1394" s="0" t="s">
        <v>227</v>
      </c>
      <c r="I1394" s="0" t="s">
        <v>305</v>
      </c>
      <c r="J1394" s="0" t="s">
        <v>862</v>
      </c>
      <c r="K1394" s="83" t="s">
        <v>3276</v>
      </c>
      <c r="L1394" s="0" t="s">
        <v>3277</v>
      </c>
      <c r="M1394" s="0" t="s">
        <v>36</v>
      </c>
      <c r="N1394" s="0" t="str">
        <f t="shared" si="21"/>
        <v>APINoyAtisbo</v>
      </c>
    </row>
    <row r="1395">
      <c r="H1395" s="0" t="s">
        <v>227</v>
      </c>
      <c r="I1395" s="0" t="s">
        <v>305</v>
      </c>
      <c r="J1395" s="0" t="s">
        <v>862</v>
      </c>
      <c r="K1395" s="83" t="s">
        <v>3278</v>
      </c>
      <c r="L1395" s="0" t="s">
        <v>3279</v>
      </c>
      <c r="M1395" s="0" t="s">
        <v>36</v>
      </c>
      <c r="N1395" s="0" t="str">
        <f t="shared" si="21"/>
        <v>APINoyAtisbo</v>
      </c>
    </row>
    <row r="1396">
      <c r="H1396" s="0" t="s">
        <v>227</v>
      </c>
      <c r="I1396" s="0" t="s">
        <v>305</v>
      </c>
      <c r="J1396" s="0" t="s">
        <v>862</v>
      </c>
      <c r="K1396" s="83" t="s">
        <v>3280</v>
      </c>
      <c r="L1396" s="0" t="s">
        <v>3281</v>
      </c>
      <c r="M1396" s="0" t="s">
        <v>36</v>
      </c>
      <c r="N1396" s="0" t="str">
        <f t="shared" si="21"/>
        <v>APINoyAtisbo</v>
      </c>
    </row>
    <row r="1397">
      <c r="H1397" s="0" t="s">
        <v>227</v>
      </c>
      <c r="I1397" s="0" t="s">
        <v>305</v>
      </c>
      <c r="J1397" s="0" t="s">
        <v>862</v>
      </c>
      <c r="K1397" s="83" t="s">
        <v>3282</v>
      </c>
      <c r="L1397" s="0" t="s">
        <v>3283</v>
      </c>
      <c r="M1397" s="0" t="s">
        <v>36</v>
      </c>
      <c r="N1397" s="0" t="str">
        <f t="shared" si="21"/>
        <v>APINoyAtisbo</v>
      </c>
    </row>
    <row r="1398">
      <c r="H1398" s="0" t="s">
        <v>227</v>
      </c>
      <c r="I1398" s="0" t="s">
        <v>305</v>
      </c>
      <c r="J1398" s="0" t="s">
        <v>862</v>
      </c>
      <c r="K1398" s="83" t="s">
        <v>3284</v>
      </c>
      <c r="L1398" s="0" t="s">
        <v>3285</v>
      </c>
      <c r="M1398" s="0" t="s">
        <v>36</v>
      </c>
      <c r="N1398" s="0" t="str">
        <f t="shared" si="21"/>
        <v>APINoyAtisbo</v>
      </c>
    </row>
    <row r="1399">
      <c r="H1399" s="0" t="s">
        <v>227</v>
      </c>
      <c r="I1399" s="0" t="s">
        <v>305</v>
      </c>
      <c r="J1399" s="0" t="s">
        <v>865</v>
      </c>
      <c r="K1399" s="83" t="s">
        <v>3286</v>
      </c>
      <c r="L1399" s="0" t="s">
        <v>3287</v>
      </c>
      <c r="M1399" s="0" t="s">
        <v>36</v>
      </c>
      <c r="N1399" s="0" t="str">
        <f t="shared" si="21"/>
        <v>APINoyEgbeda</v>
      </c>
    </row>
    <row r="1400">
      <c r="H1400" s="0" t="s">
        <v>227</v>
      </c>
      <c r="I1400" s="0" t="s">
        <v>305</v>
      </c>
      <c r="J1400" s="0" t="s">
        <v>868</v>
      </c>
      <c r="K1400" s="83" t="s">
        <v>3288</v>
      </c>
      <c r="L1400" s="0" t="s">
        <v>3289</v>
      </c>
      <c r="M1400" s="0" t="s">
        <v>36</v>
      </c>
      <c r="N1400" s="0" t="str">
        <f t="shared" si="21"/>
        <v>APINoyIbadanNorth</v>
      </c>
    </row>
    <row r="1401">
      <c r="H1401" s="0" t="s">
        <v>227</v>
      </c>
      <c r="I1401" s="0" t="s">
        <v>305</v>
      </c>
      <c r="J1401" s="0" t="s">
        <v>868</v>
      </c>
      <c r="K1401" s="83" t="s">
        <v>3290</v>
      </c>
      <c r="L1401" s="0" t="s">
        <v>3291</v>
      </c>
      <c r="M1401" s="0" t="s">
        <v>36</v>
      </c>
      <c r="N1401" s="0" t="str">
        <f t="shared" si="21"/>
        <v>APINoyIbadanNorth</v>
      </c>
    </row>
    <row r="1402">
      <c r="H1402" s="0" t="s">
        <v>227</v>
      </c>
      <c r="I1402" s="0" t="s">
        <v>305</v>
      </c>
      <c r="J1402" s="0" t="s">
        <v>868</v>
      </c>
      <c r="K1402" s="83" t="s">
        <v>3292</v>
      </c>
      <c r="L1402" s="0" t="s">
        <v>3293</v>
      </c>
      <c r="M1402" s="0" t="s">
        <v>36</v>
      </c>
      <c r="N1402" s="0" t="str">
        <f t="shared" si="21"/>
        <v>APINoyIbadanNorth</v>
      </c>
    </row>
    <row r="1403">
      <c r="H1403" s="0" t="s">
        <v>227</v>
      </c>
      <c r="I1403" s="0" t="s">
        <v>305</v>
      </c>
      <c r="J1403" s="0" t="s">
        <v>868</v>
      </c>
      <c r="K1403" s="83" t="s">
        <v>3294</v>
      </c>
      <c r="L1403" s="0" t="s">
        <v>3295</v>
      </c>
      <c r="M1403" s="0" t="s">
        <v>36</v>
      </c>
      <c r="N1403" s="0" t="str">
        <f t="shared" si="21"/>
        <v>APINoyIbadanNorth</v>
      </c>
    </row>
    <row r="1404">
      <c r="H1404" s="0" t="s">
        <v>227</v>
      </c>
      <c r="I1404" s="0" t="s">
        <v>305</v>
      </c>
      <c r="J1404" s="0" t="s">
        <v>868</v>
      </c>
      <c r="K1404" s="83" t="s">
        <v>3296</v>
      </c>
      <c r="L1404" s="0" t="s">
        <v>3297</v>
      </c>
      <c r="M1404" s="0" t="s">
        <v>36</v>
      </c>
      <c r="N1404" s="0" t="str">
        <f t="shared" si="21"/>
        <v>APINoyIbadanNorth</v>
      </c>
    </row>
    <row r="1405">
      <c r="H1405" s="0" t="s">
        <v>227</v>
      </c>
      <c r="I1405" s="0" t="s">
        <v>305</v>
      </c>
      <c r="J1405" s="0" t="s">
        <v>871</v>
      </c>
      <c r="K1405" s="83" t="s">
        <v>3298</v>
      </c>
      <c r="L1405" s="0" t="s">
        <v>3299</v>
      </c>
      <c r="M1405" s="0" t="s">
        <v>36</v>
      </c>
      <c r="N1405" s="0" t="str">
        <f t="shared" si="21"/>
        <v>APINoyIbadanNorthEast</v>
      </c>
    </row>
    <row r="1406">
      <c r="H1406" s="0" t="s">
        <v>227</v>
      </c>
      <c r="I1406" s="0" t="s">
        <v>305</v>
      </c>
      <c r="J1406" s="0" t="s">
        <v>871</v>
      </c>
      <c r="K1406" s="83" t="s">
        <v>3300</v>
      </c>
      <c r="L1406" s="0" t="s">
        <v>3301</v>
      </c>
      <c r="M1406" s="0" t="s">
        <v>36</v>
      </c>
      <c r="N1406" s="0" t="str">
        <f t="shared" si="21"/>
        <v>APINoyIbadanNorthEast</v>
      </c>
    </row>
    <row r="1407">
      <c r="H1407" s="0" t="s">
        <v>227</v>
      </c>
      <c r="I1407" s="0" t="s">
        <v>305</v>
      </c>
      <c r="J1407" s="0" t="s">
        <v>874</v>
      </c>
      <c r="K1407" s="83" t="s">
        <v>3302</v>
      </c>
      <c r="L1407" s="0" t="s">
        <v>3303</v>
      </c>
      <c r="M1407" s="0" t="s">
        <v>36</v>
      </c>
      <c r="N1407" s="0" t="str">
        <f t="shared" si="21"/>
        <v>APINoyIbadanNorthWest</v>
      </c>
    </row>
    <row r="1408">
      <c r="H1408" s="0" t="s">
        <v>227</v>
      </c>
      <c r="I1408" s="0" t="s">
        <v>305</v>
      </c>
      <c r="J1408" s="0" t="s">
        <v>874</v>
      </c>
      <c r="K1408" s="83" t="s">
        <v>3304</v>
      </c>
      <c r="L1408" s="0" t="s">
        <v>3305</v>
      </c>
      <c r="M1408" s="0" t="s">
        <v>36</v>
      </c>
      <c r="N1408" s="0" t="str">
        <f t="shared" si="21"/>
        <v>APINoyIbadanNorthWest</v>
      </c>
    </row>
    <row r="1409">
      <c r="H1409" s="0" t="s">
        <v>227</v>
      </c>
      <c r="I1409" s="0" t="s">
        <v>305</v>
      </c>
      <c r="J1409" s="0" t="s">
        <v>877</v>
      </c>
      <c r="K1409" s="83" t="s">
        <v>3306</v>
      </c>
      <c r="L1409" s="0" t="s">
        <v>3307</v>
      </c>
      <c r="M1409" s="0" t="s">
        <v>36</v>
      </c>
      <c r="N1409" s="0" t="str">
        <f t="shared" si="21"/>
        <v>APINoyIbadanSouthEast</v>
      </c>
    </row>
    <row r="1410">
      <c r="H1410" s="0" t="s">
        <v>227</v>
      </c>
      <c r="I1410" s="0" t="s">
        <v>305</v>
      </c>
      <c r="J1410" s="0" t="s">
        <v>877</v>
      </c>
      <c r="K1410" s="83" t="s">
        <v>3308</v>
      </c>
      <c r="L1410" s="0" t="s">
        <v>3309</v>
      </c>
      <c r="M1410" s="0" t="s">
        <v>36</v>
      </c>
      <c r="N1410" s="0" t="str">
        <f t="shared" si="21"/>
        <v>APINoyIbadanSouthEast</v>
      </c>
    </row>
    <row r="1411">
      <c r="H1411" s="0" t="s">
        <v>227</v>
      </c>
      <c r="I1411" s="0" t="s">
        <v>305</v>
      </c>
      <c r="J1411" s="0" t="s">
        <v>877</v>
      </c>
      <c r="K1411" s="83" t="s">
        <v>3310</v>
      </c>
      <c r="L1411" s="0" t="s">
        <v>3311</v>
      </c>
      <c r="M1411" s="0" t="s">
        <v>36</v>
      </c>
      <c r="N1411" s="0" t="str">
        <f ref="N1411:N1474" t="shared" si="22">SUBSTITUTE(SUBSTITUTE(M1411&amp;J1411," ",""),"-","")</f>
        <v>APINoyIbadanSouthEast</v>
      </c>
    </row>
    <row r="1412">
      <c r="H1412" s="0" t="s">
        <v>227</v>
      </c>
      <c r="I1412" s="0" t="s">
        <v>305</v>
      </c>
      <c r="J1412" s="0" t="s">
        <v>877</v>
      </c>
      <c r="K1412" s="83" t="s">
        <v>3312</v>
      </c>
      <c r="L1412" s="0" t="s">
        <v>3313</v>
      </c>
      <c r="M1412" s="0" t="s">
        <v>36</v>
      </c>
      <c r="N1412" s="0" t="str">
        <f t="shared" si="22"/>
        <v>APINoyIbadanSouthEast</v>
      </c>
    </row>
    <row r="1413">
      <c r="H1413" s="0" t="s">
        <v>227</v>
      </c>
      <c r="I1413" s="0" t="s">
        <v>305</v>
      </c>
      <c r="J1413" s="0" t="s">
        <v>877</v>
      </c>
      <c r="K1413" s="83" t="s">
        <v>3314</v>
      </c>
      <c r="L1413" s="0" t="s">
        <v>3315</v>
      </c>
      <c r="M1413" s="0" t="s">
        <v>36</v>
      </c>
      <c r="N1413" s="0" t="str">
        <f t="shared" si="22"/>
        <v>APINoyIbadanSouthEast</v>
      </c>
    </row>
    <row r="1414">
      <c r="H1414" s="0" t="s">
        <v>227</v>
      </c>
      <c r="I1414" s="0" t="s">
        <v>305</v>
      </c>
      <c r="J1414" s="0" t="s">
        <v>877</v>
      </c>
      <c r="K1414" s="83" t="s">
        <v>3316</v>
      </c>
      <c r="L1414" s="0" t="s">
        <v>3317</v>
      </c>
      <c r="M1414" s="0" t="s">
        <v>36</v>
      </c>
      <c r="N1414" s="0" t="str">
        <f t="shared" si="22"/>
        <v>APINoyIbadanSouthEast</v>
      </c>
    </row>
    <row r="1415">
      <c r="H1415" s="0" t="s">
        <v>227</v>
      </c>
      <c r="I1415" s="0" t="s">
        <v>305</v>
      </c>
      <c r="J1415" s="0" t="s">
        <v>880</v>
      </c>
      <c r="K1415" s="83" t="s">
        <v>3318</v>
      </c>
      <c r="L1415" s="0" t="s">
        <v>3319</v>
      </c>
      <c r="M1415" s="0" t="s">
        <v>36</v>
      </c>
      <c r="N1415" s="0" t="str">
        <f t="shared" si="22"/>
        <v>APINoyIbadanSouthWest</v>
      </c>
    </row>
    <row r="1416">
      <c r="H1416" s="0" t="s">
        <v>227</v>
      </c>
      <c r="I1416" s="0" t="s">
        <v>305</v>
      </c>
      <c r="J1416" s="0" t="s">
        <v>880</v>
      </c>
      <c r="K1416" s="83" t="s">
        <v>3320</v>
      </c>
      <c r="L1416" s="0" t="s">
        <v>3321</v>
      </c>
      <c r="M1416" s="0" t="s">
        <v>36</v>
      </c>
      <c r="N1416" s="0" t="str">
        <f t="shared" si="22"/>
        <v>APINoyIbadanSouthWest</v>
      </c>
    </row>
    <row r="1417">
      <c r="H1417" s="0" t="s">
        <v>227</v>
      </c>
      <c r="I1417" s="0" t="s">
        <v>305</v>
      </c>
      <c r="J1417" s="0" t="s">
        <v>883</v>
      </c>
      <c r="K1417" s="83" t="s">
        <v>3322</v>
      </c>
      <c r="L1417" s="0" t="s">
        <v>3323</v>
      </c>
      <c r="M1417" s="0" t="s">
        <v>36</v>
      </c>
      <c r="N1417" s="0" t="str">
        <f t="shared" si="22"/>
        <v>APINoyIbarapaCentral</v>
      </c>
    </row>
    <row r="1418">
      <c r="H1418" s="0" t="s">
        <v>227</v>
      </c>
      <c r="I1418" s="0" t="s">
        <v>305</v>
      </c>
      <c r="J1418" s="0" t="s">
        <v>886</v>
      </c>
      <c r="K1418" s="83" t="s">
        <v>3324</v>
      </c>
      <c r="L1418" s="0" t="s">
        <v>3325</v>
      </c>
      <c r="M1418" s="0" t="s">
        <v>36</v>
      </c>
      <c r="N1418" s="0" t="str">
        <f t="shared" si="22"/>
        <v>APINoyIdo</v>
      </c>
    </row>
    <row r="1419">
      <c r="H1419" s="0" t="s">
        <v>227</v>
      </c>
      <c r="I1419" s="0" t="s">
        <v>305</v>
      </c>
      <c r="J1419" s="0" t="s">
        <v>889</v>
      </c>
      <c r="K1419" s="83" t="s">
        <v>3326</v>
      </c>
      <c r="L1419" s="0" t="s">
        <v>3327</v>
      </c>
      <c r="M1419" s="0" t="s">
        <v>36</v>
      </c>
      <c r="N1419" s="0" t="str">
        <f t="shared" si="22"/>
        <v>APINoyIrepo</v>
      </c>
    </row>
    <row r="1420">
      <c r="H1420" s="0" t="s">
        <v>227</v>
      </c>
      <c r="I1420" s="0" t="s">
        <v>305</v>
      </c>
      <c r="J1420" s="0" t="s">
        <v>889</v>
      </c>
      <c r="K1420" s="83" t="s">
        <v>3328</v>
      </c>
      <c r="L1420" s="0" t="s">
        <v>3329</v>
      </c>
      <c r="M1420" s="0" t="s">
        <v>36</v>
      </c>
      <c r="N1420" s="0" t="str">
        <f t="shared" si="22"/>
        <v>APINoyIrepo</v>
      </c>
    </row>
    <row r="1421">
      <c r="H1421" s="0" t="s">
        <v>227</v>
      </c>
      <c r="I1421" s="0" t="s">
        <v>305</v>
      </c>
      <c r="J1421" s="0" t="s">
        <v>889</v>
      </c>
      <c r="K1421" s="83" t="s">
        <v>3330</v>
      </c>
      <c r="L1421" s="0" t="s">
        <v>3331</v>
      </c>
      <c r="M1421" s="0" t="s">
        <v>36</v>
      </c>
      <c r="N1421" s="0" t="str">
        <f t="shared" si="22"/>
        <v>APINoyIrepo</v>
      </c>
    </row>
    <row r="1422">
      <c r="H1422" s="0" t="s">
        <v>227</v>
      </c>
      <c r="I1422" s="0" t="s">
        <v>305</v>
      </c>
      <c r="J1422" s="0" t="s">
        <v>889</v>
      </c>
      <c r="K1422" s="83" t="s">
        <v>3332</v>
      </c>
      <c r="L1422" s="0" t="s">
        <v>3333</v>
      </c>
      <c r="M1422" s="0" t="s">
        <v>36</v>
      </c>
      <c r="N1422" s="0" t="str">
        <f t="shared" si="22"/>
        <v>APINoyIrepo</v>
      </c>
    </row>
    <row r="1423">
      <c r="H1423" s="0" t="s">
        <v>227</v>
      </c>
      <c r="I1423" s="0" t="s">
        <v>305</v>
      </c>
      <c r="J1423" s="0" t="s">
        <v>892</v>
      </c>
      <c r="K1423" s="83" t="s">
        <v>3334</v>
      </c>
      <c r="L1423" s="0" t="s">
        <v>3335</v>
      </c>
      <c r="M1423" s="0" t="s">
        <v>36</v>
      </c>
      <c r="N1423" s="0" t="str">
        <f t="shared" si="22"/>
        <v>APINoyIseyin</v>
      </c>
    </row>
    <row r="1424">
      <c r="H1424" s="0" t="s">
        <v>227</v>
      </c>
      <c r="I1424" s="0" t="s">
        <v>305</v>
      </c>
      <c r="J1424" s="0" t="s">
        <v>892</v>
      </c>
      <c r="K1424" s="83" t="s">
        <v>3336</v>
      </c>
      <c r="L1424" s="0" t="s">
        <v>3337</v>
      </c>
      <c r="M1424" s="0" t="s">
        <v>36</v>
      </c>
      <c r="N1424" s="0" t="str">
        <f t="shared" si="22"/>
        <v>APINoyIseyin</v>
      </c>
    </row>
    <row r="1425">
      <c r="H1425" s="0" t="s">
        <v>227</v>
      </c>
      <c r="I1425" s="0" t="s">
        <v>305</v>
      </c>
      <c r="J1425" s="0" t="s">
        <v>892</v>
      </c>
      <c r="K1425" s="83" t="s">
        <v>3338</v>
      </c>
      <c r="L1425" s="0" t="s">
        <v>3339</v>
      </c>
      <c r="M1425" s="0" t="s">
        <v>36</v>
      </c>
      <c r="N1425" s="0" t="str">
        <f t="shared" si="22"/>
        <v>APINoyIseyin</v>
      </c>
    </row>
    <row r="1426">
      <c r="H1426" s="0" t="s">
        <v>227</v>
      </c>
      <c r="I1426" s="0" t="s">
        <v>305</v>
      </c>
      <c r="J1426" s="0" t="s">
        <v>892</v>
      </c>
      <c r="K1426" s="83" t="s">
        <v>3340</v>
      </c>
      <c r="L1426" s="0" t="s">
        <v>3341</v>
      </c>
      <c r="M1426" s="0" t="s">
        <v>36</v>
      </c>
      <c r="N1426" s="0" t="str">
        <f t="shared" si="22"/>
        <v>APINoyIseyin</v>
      </c>
    </row>
    <row r="1427">
      <c r="H1427" s="0" t="s">
        <v>227</v>
      </c>
      <c r="I1427" s="0" t="s">
        <v>305</v>
      </c>
      <c r="J1427" s="0" t="s">
        <v>892</v>
      </c>
      <c r="K1427" s="83" t="s">
        <v>3342</v>
      </c>
      <c r="L1427" s="0" t="s">
        <v>3343</v>
      </c>
      <c r="M1427" s="0" t="s">
        <v>36</v>
      </c>
      <c r="N1427" s="0" t="str">
        <f t="shared" si="22"/>
        <v>APINoyIseyin</v>
      </c>
    </row>
    <row r="1428">
      <c r="H1428" s="0" t="s">
        <v>227</v>
      </c>
      <c r="I1428" s="0" t="s">
        <v>305</v>
      </c>
      <c r="J1428" s="0" t="s">
        <v>892</v>
      </c>
      <c r="K1428" s="83" t="s">
        <v>3344</v>
      </c>
      <c r="L1428" s="0" t="s">
        <v>3345</v>
      </c>
      <c r="M1428" s="0" t="s">
        <v>36</v>
      </c>
      <c r="N1428" s="0" t="str">
        <f t="shared" si="22"/>
        <v>APINoyIseyin</v>
      </c>
    </row>
    <row r="1429">
      <c r="H1429" s="0" t="s">
        <v>227</v>
      </c>
      <c r="I1429" s="0" t="s">
        <v>305</v>
      </c>
      <c r="J1429" s="0" t="s">
        <v>895</v>
      </c>
      <c r="K1429" s="83" t="s">
        <v>3346</v>
      </c>
      <c r="L1429" s="0" t="s">
        <v>3347</v>
      </c>
      <c r="M1429" s="0" t="s">
        <v>36</v>
      </c>
      <c r="N1429" s="0" t="str">
        <f t="shared" si="22"/>
        <v>APINoyItesiwaju</v>
      </c>
    </row>
    <row r="1430">
      <c r="H1430" s="0" t="s">
        <v>227</v>
      </c>
      <c r="I1430" s="0" t="s">
        <v>305</v>
      </c>
      <c r="J1430" s="0" t="s">
        <v>895</v>
      </c>
      <c r="K1430" s="83" t="s">
        <v>3348</v>
      </c>
      <c r="L1430" s="0" t="s">
        <v>3349</v>
      </c>
      <c r="M1430" s="0" t="s">
        <v>36</v>
      </c>
      <c r="N1430" s="0" t="str">
        <f t="shared" si="22"/>
        <v>APINoyItesiwaju</v>
      </c>
    </row>
    <row r="1431">
      <c r="H1431" s="0" t="s">
        <v>227</v>
      </c>
      <c r="I1431" s="0" t="s">
        <v>305</v>
      </c>
      <c r="J1431" s="0" t="s">
        <v>898</v>
      </c>
      <c r="K1431" s="83" t="s">
        <v>3350</v>
      </c>
      <c r="L1431" s="0" t="s">
        <v>3351</v>
      </c>
      <c r="M1431" s="0" t="s">
        <v>36</v>
      </c>
      <c r="N1431" s="0" t="str">
        <f t="shared" si="22"/>
        <v>APINoyIwajowa</v>
      </c>
    </row>
    <row r="1432">
      <c r="H1432" s="0" t="s">
        <v>227</v>
      </c>
      <c r="I1432" s="0" t="s">
        <v>305</v>
      </c>
      <c r="J1432" s="0" t="s">
        <v>898</v>
      </c>
      <c r="K1432" s="83" t="s">
        <v>3352</v>
      </c>
      <c r="L1432" s="0" t="s">
        <v>3353</v>
      </c>
      <c r="M1432" s="0" t="s">
        <v>36</v>
      </c>
      <c r="N1432" s="0" t="str">
        <f t="shared" si="22"/>
        <v>APINoyIwajowa</v>
      </c>
    </row>
    <row r="1433">
      <c r="H1433" s="0" t="s">
        <v>227</v>
      </c>
      <c r="I1433" s="0" t="s">
        <v>305</v>
      </c>
      <c r="J1433" s="0" t="s">
        <v>898</v>
      </c>
      <c r="K1433" s="83" t="s">
        <v>3354</v>
      </c>
      <c r="L1433" s="0" t="s">
        <v>3355</v>
      </c>
      <c r="M1433" s="0" t="s">
        <v>36</v>
      </c>
      <c r="N1433" s="0" t="str">
        <f t="shared" si="22"/>
        <v>APINoyIwajowa</v>
      </c>
    </row>
    <row r="1434">
      <c r="H1434" s="0" t="s">
        <v>227</v>
      </c>
      <c r="I1434" s="0" t="s">
        <v>305</v>
      </c>
      <c r="J1434" s="0" t="s">
        <v>901</v>
      </c>
      <c r="K1434" s="83" t="s">
        <v>3356</v>
      </c>
      <c r="L1434" s="0" t="s">
        <v>3357</v>
      </c>
      <c r="M1434" s="0" t="s">
        <v>36</v>
      </c>
      <c r="N1434" s="0" t="str">
        <f t="shared" si="22"/>
        <v>APINoyKajola</v>
      </c>
    </row>
    <row r="1435">
      <c r="H1435" s="0" t="s">
        <v>227</v>
      </c>
      <c r="I1435" s="0" t="s">
        <v>305</v>
      </c>
      <c r="J1435" s="0" t="s">
        <v>901</v>
      </c>
      <c r="K1435" s="83" t="s">
        <v>3358</v>
      </c>
      <c r="L1435" s="0" t="s">
        <v>3359</v>
      </c>
      <c r="M1435" s="0" t="s">
        <v>36</v>
      </c>
      <c r="N1435" s="0" t="str">
        <f t="shared" si="22"/>
        <v>APINoyKajola</v>
      </c>
    </row>
    <row r="1436">
      <c r="H1436" s="0" t="s">
        <v>227</v>
      </c>
      <c r="I1436" s="0" t="s">
        <v>305</v>
      </c>
      <c r="J1436" s="0" t="s">
        <v>901</v>
      </c>
      <c r="K1436" s="83" t="s">
        <v>3360</v>
      </c>
      <c r="L1436" s="0" t="s">
        <v>3361</v>
      </c>
      <c r="M1436" s="0" t="s">
        <v>36</v>
      </c>
      <c r="N1436" s="0" t="str">
        <f t="shared" si="22"/>
        <v>APINoyKajola</v>
      </c>
    </row>
    <row r="1437">
      <c r="H1437" s="0" t="s">
        <v>227</v>
      </c>
      <c r="I1437" s="0" t="s">
        <v>305</v>
      </c>
      <c r="J1437" s="0" t="s">
        <v>901</v>
      </c>
      <c r="K1437" s="83" t="s">
        <v>3362</v>
      </c>
      <c r="L1437" s="0" t="s">
        <v>3363</v>
      </c>
      <c r="M1437" s="0" t="s">
        <v>36</v>
      </c>
      <c r="N1437" s="0" t="str">
        <f t="shared" si="22"/>
        <v>APINoyKajola</v>
      </c>
    </row>
    <row r="1438">
      <c r="H1438" s="0" t="s">
        <v>227</v>
      </c>
      <c r="I1438" s="0" t="s">
        <v>305</v>
      </c>
      <c r="J1438" s="0" t="s">
        <v>901</v>
      </c>
      <c r="K1438" s="83" t="s">
        <v>3364</v>
      </c>
      <c r="L1438" s="0" t="s">
        <v>3365</v>
      </c>
      <c r="M1438" s="0" t="s">
        <v>36</v>
      </c>
      <c r="N1438" s="0" t="str">
        <f t="shared" si="22"/>
        <v>APINoyKajola</v>
      </c>
    </row>
    <row r="1439">
      <c r="H1439" s="0" t="s">
        <v>227</v>
      </c>
      <c r="I1439" s="0" t="s">
        <v>305</v>
      </c>
      <c r="J1439" s="0" t="s">
        <v>904</v>
      </c>
      <c r="K1439" s="83" t="s">
        <v>3366</v>
      </c>
      <c r="L1439" s="0" t="s">
        <v>3367</v>
      </c>
      <c r="M1439" s="0" t="s">
        <v>36</v>
      </c>
      <c r="N1439" s="0" t="str">
        <f t="shared" si="22"/>
        <v>APINoyLagelu</v>
      </c>
    </row>
    <row r="1440">
      <c r="H1440" s="0" t="s">
        <v>227</v>
      </c>
      <c r="I1440" s="0" t="s">
        <v>305</v>
      </c>
      <c r="J1440" s="0" t="s">
        <v>904</v>
      </c>
      <c r="K1440" s="83" t="s">
        <v>3368</v>
      </c>
      <c r="L1440" s="0" t="s">
        <v>3369</v>
      </c>
      <c r="M1440" s="0" t="s">
        <v>36</v>
      </c>
      <c r="N1440" s="0" t="str">
        <f t="shared" si="22"/>
        <v>APINoyLagelu</v>
      </c>
    </row>
    <row r="1441">
      <c r="H1441" s="0" t="s">
        <v>227</v>
      </c>
      <c r="I1441" s="0" t="s">
        <v>305</v>
      </c>
      <c r="J1441" s="0" t="s">
        <v>907</v>
      </c>
      <c r="K1441" s="83" t="s">
        <v>3370</v>
      </c>
      <c r="L1441" s="0" t="s">
        <v>3371</v>
      </c>
      <c r="M1441" s="0" t="s">
        <v>36</v>
      </c>
      <c r="N1441" s="0" t="str">
        <f t="shared" si="22"/>
        <v>APINoyOgbomosoNorth</v>
      </c>
    </row>
    <row r="1442">
      <c r="H1442" s="0" t="s">
        <v>227</v>
      </c>
      <c r="I1442" s="0" t="s">
        <v>305</v>
      </c>
      <c r="J1442" s="0" t="s">
        <v>907</v>
      </c>
      <c r="K1442" s="83" t="s">
        <v>3372</v>
      </c>
      <c r="L1442" s="0" t="s">
        <v>3373</v>
      </c>
      <c r="M1442" s="0" t="s">
        <v>36</v>
      </c>
      <c r="N1442" s="0" t="str">
        <f t="shared" si="22"/>
        <v>APINoyOgbomosoNorth</v>
      </c>
    </row>
    <row r="1443">
      <c r="H1443" s="0" t="s">
        <v>227</v>
      </c>
      <c r="I1443" s="0" t="s">
        <v>305</v>
      </c>
      <c r="J1443" s="0" t="s">
        <v>910</v>
      </c>
      <c r="K1443" s="83" t="s">
        <v>3374</v>
      </c>
      <c r="L1443" s="0" t="s">
        <v>3375</v>
      </c>
      <c r="M1443" s="0" t="s">
        <v>36</v>
      </c>
      <c r="N1443" s="0" t="str">
        <f t="shared" si="22"/>
        <v>APINoyOgbomosoSouth</v>
      </c>
    </row>
    <row r="1444">
      <c r="H1444" s="0" t="s">
        <v>227</v>
      </c>
      <c r="I1444" s="0" t="s">
        <v>305</v>
      </c>
      <c r="J1444" s="0" t="s">
        <v>913</v>
      </c>
      <c r="K1444" s="83" t="s">
        <v>3376</v>
      </c>
      <c r="L1444" s="0" t="s">
        <v>3377</v>
      </c>
      <c r="M1444" s="0" t="s">
        <v>36</v>
      </c>
      <c r="N1444" s="0" t="str">
        <f t="shared" si="22"/>
        <v>APINoyOgoOluwa</v>
      </c>
    </row>
    <row r="1445">
      <c r="H1445" s="0" t="s">
        <v>227</v>
      </c>
      <c r="I1445" s="0" t="s">
        <v>305</v>
      </c>
      <c r="J1445" s="0" t="s">
        <v>913</v>
      </c>
      <c r="K1445" s="83" t="s">
        <v>3378</v>
      </c>
      <c r="L1445" s="0" t="s">
        <v>3379</v>
      </c>
      <c r="M1445" s="0" t="s">
        <v>36</v>
      </c>
      <c r="N1445" s="0" t="str">
        <f t="shared" si="22"/>
        <v>APINoyOgoOluwa</v>
      </c>
    </row>
    <row r="1446">
      <c r="H1446" s="0" t="s">
        <v>227</v>
      </c>
      <c r="I1446" s="0" t="s">
        <v>305</v>
      </c>
      <c r="J1446" s="0" t="s">
        <v>916</v>
      </c>
      <c r="K1446" s="83" t="s">
        <v>3380</v>
      </c>
      <c r="L1446" s="0" t="s">
        <v>3381</v>
      </c>
      <c r="M1446" s="0" t="s">
        <v>36</v>
      </c>
      <c r="N1446" s="0" t="str">
        <f t="shared" si="22"/>
        <v>APINoyOlorunsogo</v>
      </c>
    </row>
    <row r="1447">
      <c r="H1447" s="0" t="s">
        <v>227</v>
      </c>
      <c r="I1447" s="0" t="s">
        <v>305</v>
      </c>
      <c r="J1447" s="0" t="s">
        <v>916</v>
      </c>
      <c r="K1447" s="83" t="s">
        <v>3382</v>
      </c>
      <c r="L1447" s="0" t="s">
        <v>3383</v>
      </c>
      <c r="M1447" s="0" t="s">
        <v>36</v>
      </c>
      <c r="N1447" s="0" t="str">
        <f t="shared" si="22"/>
        <v>APINoyOlorunsogo</v>
      </c>
    </row>
    <row r="1448">
      <c r="H1448" s="0" t="s">
        <v>227</v>
      </c>
      <c r="I1448" s="0" t="s">
        <v>305</v>
      </c>
      <c r="J1448" s="0" t="s">
        <v>919</v>
      </c>
      <c r="K1448" s="83" t="s">
        <v>3384</v>
      </c>
      <c r="L1448" s="0" t="s">
        <v>3385</v>
      </c>
      <c r="M1448" s="0" t="s">
        <v>36</v>
      </c>
      <c r="N1448" s="0" t="str">
        <f t="shared" si="22"/>
        <v>APINoyOluyole</v>
      </c>
    </row>
    <row r="1449">
      <c r="H1449" s="0" t="s">
        <v>227</v>
      </c>
      <c r="I1449" s="0" t="s">
        <v>305</v>
      </c>
      <c r="J1449" s="0" t="s">
        <v>922</v>
      </c>
      <c r="K1449" s="83" t="s">
        <v>3386</v>
      </c>
      <c r="L1449" s="0" t="s">
        <v>3387</v>
      </c>
      <c r="M1449" s="0" t="s">
        <v>36</v>
      </c>
      <c r="N1449" s="0" t="str">
        <f t="shared" si="22"/>
        <v>APINoyOnaAra</v>
      </c>
    </row>
    <row r="1450">
      <c r="H1450" s="0" t="s">
        <v>227</v>
      </c>
      <c r="I1450" s="0" t="s">
        <v>305</v>
      </c>
      <c r="J1450" s="0" t="s">
        <v>922</v>
      </c>
      <c r="K1450" s="83" t="s">
        <v>3388</v>
      </c>
      <c r="L1450" s="0" t="s">
        <v>3389</v>
      </c>
      <c r="M1450" s="0" t="s">
        <v>36</v>
      </c>
      <c r="N1450" s="0" t="str">
        <f t="shared" si="22"/>
        <v>APINoyOnaAra</v>
      </c>
    </row>
    <row r="1451">
      <c r="H1451" s="0" t="s">
        <v>227</v>
      </c>
      <c r="I1451" s="0" t="s">
        <v>305</v>
      </c>
      <c r="J1451" s="0" t="s">
        <v>925</v>
      </c>
      <c r="K1451" s="83" t="s">
        <v>3390</v>
      </c>
      <c r="L1451" s="0" t="s">
        <v>3391</v>
      </c>
      <c r="M1451" s="0" t="s">
        <v>36</v>
      </c>
      <c r="N1451" s="0" t="str">
        <f t="shared" si="22"/>
        <v>APINoyOrelope</v>
      </c>
    </row>
    <row r="1452">
      <c r="H1452" s="0" t="s">
        <v>227</v>
      </c>
      <c r="I1452" s="0" t="s">
        <v>305</v>
      </c>
      <c r="J1452" s="0" t="s">
        <v>925</v>
      </c>
      <c r="K1452" s="83" t="s">
        <v>3392</v>
      </c>
      <c r="L1452" s="0" t="s">
        <v>3393</v>
      </c>
      <c r="M1452" s="0" t="s">
        <v>36</v>
      </c>
      <c r="N1452" s="0" t="str">
        <f t="shared" si="22"/>
        <v>APINoyOrelope</v>
      </c>
    </row>
    <row r="1453">
      <c r="H1453" s="0" t="s">
        <v>227</v>
      </c>
      <c r="I1453" s="0" t="s">
        <v>305</v>
      </c>
      <c r="J1453" s="0" t="s">
        <v>928</v>
      </c>
      <c r="K1453" s="83" t="s">
        <v>3394</v>
      </c>
      <c r="L1453" s="0" t="s">
        <v>3395</v>
      </c>
      <c r="M1453" s="0" t="s">
        <v>36</v>
      </c>
      <c r="N1453" s="0" t="str">
        <f t="shared" si="22"/>
        <v>APINoyOriIre</v>
      </c>
    </row>
    <row r="1454">
      <c r="H1454" s="0" t="s">
        <v>227</v>
      </c>
      <c r="I1454" s="0" t="s">
        <v>305</v>
      </c>
      <c r="J1454" s="0" t="s">
        <v>931</v>
      </c>
      <c r="K1454" s="83" t="s">
        <v>3396</v>
      </c>
      <c r="L1454" s="0" t="s">
        <v>3397</v>
      </c>
      <c r="M1454" s="0" t="s">
        <v>36</v>
      </c>
      <c r="N1454" s="0" t="str">
        <f t="shared" si="22"/>
        <v>APINoyOyoEast</v>
      </c>
    </row>
    <row r="1455">
      <c r="H1455" s="0" t="s">
        <v>227</v>
      </c>
      <c r="I1455" s="0" t="s">
        <v>305</v>
      </c>
      <c r="J1455" s="0" t="s">
        <v>934</v>
      </c>
      <c r="K1455" s="83" t="s">
        <v>3398</v>
      </c>
      <c r="L1455" s="0" t="s">
        <v>3399</v>
      </c>
      <c r="M1455" s="0" t="s">
        <v>36</v>
      </c>
      <c r="N1455" s="0" t="str">
        <f t="shared" si="22"/>
        <v>APINoyOyoWest</v>
      </c>
    </row>
    <row r="1456">
      <c r="H1456" s="0" t="s">
        <v>227</v>
      </c>
      <c r="I1456" s="0" t="s">
        <v>305</v>
      </c>
      <c r="J1456" s="0" t="s">
        <v>937</v>
      </c>
      <c r="K1456" s="83" t="s">
        <v>3400</v>
      </c>
      <c r="L1456" s="0" t="s">
        <v>3401</v>
      </c>
      <c r="M1456" s="0" t="s">
        <v>36</v>
      </c>
      <c r="N1456" s="0" t="str">
        <f t="shared" si="22"/>
        <v>APINoySakiEast</v>
      </c>
    </row>
    <row r="1457">
      <c r="H1457" s="0" t="s">
        <v>227</v>
      </c>
      <c r="I1457" s="0" t="s">
        <v>305</v>
      </c>
      <c r="J1457" s="0" t="s">
        <v>937</v>
      </c>
      <c r="K1457" s="83" t="s">
        <v>3402</v>
      </c>
      <c r="L1457" s="0" t="s">
        <v>3403</v>
      </c>
      <c r="M1457" s="0" t="s">
        <v>36</v>
      </c>
      <c r="N1457" s="0" t="str">
        <f t="shared" si="22"/>
        <v>APINoySakiEast</v>
      </c>
    </row>
    <row r="1458">
      <c r="H1458" s="0" t="s">
        <v>227</v>
      </c>
      <c r="I1458" s="0" t="s">
        <v>305</v>
      </c>
      <c r="J1458" s="0" t="s">
        <v>937</v>
      </c>
      <c r="K1458" s="83" t="s">
        <v>3404</v>
      </c>
      <c r="L1458" s="0" t="s">
        <v>3405</v>
      </c>
      <c r="M1458" s="0" t="s">
        <v>36</v>
      </c>
      <c r="N1458" s="0" t="str">
        <f t="shared" si="22"/>
        <v>APINoySakiEast</v>
      </c>
    </row>
    <row r="1459">
      <c r="H1459" s="0" t="s">
        <v>227</v>
      </c>
      <c r="I1459" s="0" t="s">
        <v>305</v>
      </c>
      <c r="J1459" s="0" t="s">
        <v>940</v>
      </c>
      <c r="K1459" s="83" t="s">
        <v>3406</v>
      </c>
      <c r="L1459" s="0" t="s">
        <v>3407</v>
      </c>
      <c r="M1459" s="0" t="s">
        <v>36</v>
      </c>
      <c r="N1459" s="0" t="str">
        <f t="shared" si="22"/>
        <v>APINoySakiWest</v>
      </c>
    </row>
    <row r="1460">
      <c r="H1460" s="0" t="s">
        <v>227</v>
      </c>
      <c r="I1460" s="0" t="s">
        <v>305</v>
      </c>
      <c r="J1460" s="0" t="s">
        <v>943</v>
      </c>
      <c r="K1460" s="83" t="s">
        <v>3408</v>
      </c>
      <c r="L1460" s="0" t="s">
        <v>3409</v>
      </c>
      <c r="M1460" s="0" t="s">
        <v>36</v>
      </c>
      <c r="N1460" s="0" t="str">
        <f t="shared" si="22"/>
        <v>APINoySurulere</v>
      </c>
    </row>
    <row r="1461">
      <c r="H1461" s="0" t="s">
        <v>227</v>
      </c>
      <c r="I1461" s="0" t="s">
        <v>309</v>
      </c>
      <c r="J1461" s="0" t="s">
        <v>946</v>
      </c>
      <c r="K1461" s="83" t="s">
        <v>3410</v>
      </c>
      <c r="L1461" s="0" t="s">
        <v>3411</v>
      </c>
      <c r="M1461" s="0" t="s">
        <v>36</v>
      </c>
      <c r="N1461" s="0" t="str">
        <f t="shared" si="22"/>
        <v>APINplBarkinLadi</v>
      </c>
    </row>
    <row r="1462">
      <c r="H1462" s="0" t="s">
        <v>227</v>
      </c>
      <c r="I1462" s="0" t="s">
        <v>309</v>
      </c>
      <c r="J1462" s="0" t="s">
        <v>949</v>
      </c>
      <c r="K1462" s="83" t="s">
        <v>3412</v>
      </c>
      <c r="L1462" s="0" t="s">
        <v>3413</v>
      </c>
      <c r="M1462" s="0" t="s">
        <v>36</v>
      </c>
      <c r="N1462" s="0" t="str">
        <f t="shared" si="22"/>
        <v>APINplBassa</v>
      </c>
    </row>
    <row r="1463">
      <c r="H1463" s="0" t="s">
        <v>227</v>
      </c>
      <c r="I1463" s="0" t="s">
        <v>309</v>
      </c>
      <c r="J1463" s="0" t="s">
        <v>949</v>
      </c>
      <c r="K1463" s="83" t="s">
        <v>3414</v>
      </c>
      <c r="L1463" s="0" t="s">
        <v>3415</v>
      </c>
      <c r="M1463" s="0" t="s">
        <v>36</v>
      </c>
      <c r="N1463" s="0" t="str">
        <f t="shared" si="22"/>
        <v>APINplBassa</v>
      </c>
    </row>
    <row r="1464">
      <c r="H1464" s="0" t="s">
        <v>227</v>
      </c>
      <c r="I1464" s="0" t="s">
        <v>309</v>
      </c>
      <c r="J1464" s="0" t="s">
        <v>949</v>
      </c>
      <c r="K1464" s="83" t="s">
        <v>3416</v>
      </c>
      <c r="L1464" s="0" t="s">
        <v>3417</v>
      </c>
      <c r="M1464" s="0" t="s">
        <v>36</v>
      </c>
      <c r="N1464" s="0" t="str">
        <f t="shared" si="22"/>
        <v>APINplBassa</v>
      </c>
    </row>
    <row r="1465">
      <c r="H1465" s="0" t="s">
        <v>227</v>
      </c>
      <c r="I1465" s="0" t="s">
        <v>309</v>
      </c>
      <c r="J1465" s="0" t="s">
        <v>952</v>
      </c>
      <c r="K1465" s="83" t="s">
        <v>3418</v>
      </c>
      <c r="L1465" s="0" t="s">
        <v>3419</v>
      </c>
      <c r="M1465" s="0" t="s">
        <v>36</v>
      </c>
      <c r="N1465" s="0" t="str">
        <f t="shared" si="22"/>
        <v>APINplBokkos</v>
      </c>
    </row>
    <row r="1466">
      <c r="H1466" s="0" t="s">
        <v>227</v>
      </c>
      <c r="I1466" s="0" t="s">
        <v>309</v>
      </c>
      <c r="J1466" s="0" t="s">
        <v>952</v>
      </c>
      <c r="K1466" s="83" t="s">
        <v>3420</v>
      </c>
      <c r="L1466" s="0" t="s">
        <v>3421</v>
      </c>
      <c r="M1466" s="0" t="s">
        <v>36</v>
      </c>
      <c r="N1466" s="0" t="str">
        <f t="shared" si="22"/>
        <v>APINplBokkos</v>
      </c>
    </row>
    <row r="1467">
      <c r="H1467" s="0" t="s">
        <v>227</v>
      </c>
      <c r="I1467" s="0" t="s">
        <v>309</v>
      </c>
      <c r="J1467" s="0" t="s">
        <v>955</v>
      </c>
      <c r="K1467" s="83" t="s">
        <v>3422</v>
      </c>
      <c r="L1467" s="0" t="s">
        <v>3423</v>
      </c>
      <c r="M1467" s="0" t="s">
        <v>36</v>
      </c>
      <c r="N1467" s="0" t="str">
        <f t="shared" si="22"/>
        <v>APINplJosEast</v>
      </c>
    </row>
    <row r="1468">
      <c r="H1468" s="0" t="s">
        <v>227</v>
      </c>
      <c r="I1468" s="0" t="s">
        <v>309</v>
      </c>
      <c r="J1468" s="0" t="s">
        <v>955</v>
      </c>
      <c r="K1468" s="83" t="s">
        <v>3424</v>
      </c>
      <c r="L1468" s="0" t="s">
        <v>3425</v>
      </c>
      <c r="M1468" s="0" t="s">
        <v>36</v>
      </c>
      <c r="N1468" s="0" t="str">
        <f t="shared" si="22"/>
        <v>APINplJosEast</v>
      </c>
    </row>
    <row r="1469">
      <c r="H1469" s="0" t="s">
        <v>227</v>
      </c>
      <c r="I1469" s="0" t="s">
        <v>309</v>
      </c>
      <c r="J1469" s="0" t="s">
        <v>958</v>
      </c>
      <c r="K1469" s="83" t="s">
        <v>3426</v>
      </c>
      <c r="L1469" s="0" t="s">
        <v>3427</v>
      </c>
      <c r="M1469" s="0" t="s">
        <v>36</v>
      </c>
      <c r="N1469" s="0" t="str">
        <f t="shared" si="22"/>
        <v>APINplJosNorth</v>
      </c>
    </row>
    <row r="1470">
      <c r="H1470" s="0" t="s">
        <v>227</v>
      </c>
      <c r="I1470" s="0" t="s">
        <v>309</v>
      </c>
      <c r="J1470" s="0" t="s">
        <v>958</v>
      </c>
      <c r="K1470" s="83" t="s">
        <v>3428</v>
      </c>
      <c r="L1470" s="0" t="s">
        <v>3429</v>
      </c>
      <c r="M1470" s="0" t="s">
        <v>36</v>
      </c>
      <c r="N1470" s="0" t="str">
        <f t="shared" si="22"/>
        <v>APINplJosNorth</v>
      </c>
    </row>
    <row r="1471">
      <c r="H1471" s="0" t="s">
        <v>227</v>
      </c>
      <c r="I1471" s="0" t="s">
        <v>309</v>
      </c>
      <c r="J1471" s="0" t="s">
        <v>958</v>
      </c>
      <c r="K1471" s="83" t="s">
        <v>3430</v>
      </c>
      <c r="L1471" s="0" t="s">
        <v>3431</v>
      </c>
      <c r="M1471" s="0" t="s">
        <v>36</v>
      </c>
      <c r="N1471" s="0" t="str">
        <f t="shared" si="22"/>
        <v>APINplJosNorth</v>
      </c>
    </row>
    <row r="1472">
      <c r="H1472" s="0" t="s">
        <v>227</v>
      </c>
      <c r="I1472" s="0" t="s">
        <v>309</v>
      </c>
      <c r="J1472" s="0" t="s">
        <v>958</v>
      </c>
      <c r="K1472" s="83" t="s">
        <v>3432</v>
      </c>
      <c r="L1472" s="0" t="s">
        <v>3433</v>
      </c>
      <c r="M1472" s="0" t="s">
        <v>36</v>
      </c>
      <c r="N1472" s="0" t="str">
        <f t="shared" si="22"/>
        <v>APINplJosNorth</v>
      </c>
    </row>
    <row r="1473">
      <c r="H1473" s="0" t="s">
        <v>227</v>
      </c>
      <c r="I1473" s="0" t="s">
        <v>309</v>
      </c>
      <c r="J1473" s="0" t="s">
        <v>958</v>
      </c>
      <c r="K1473" s="83" t="s">
        <v>3434</v>
      </c>
      <c r="L1473" s="0" t="s">
        <v>3435</v>
      </c>
      <c r="M1473" s="0" t="s">
        <v>36</v>
      </c>
      <c r="N1473" s="0" t="str">
        <f t="shared" si="22"/>
        <v>APINplJosNorth</v>
      </c>
    </row>
    <row r="1474">
      <c r="H1474" s="0" t="s">
        <v>227</v>
      </c>
      <c r="I1474" s="0" t="s">
        <v>309</v>
      </c>
      <c r="J1474" s="0" t="s">
        <v>958</v>
      </c>
      <c r="K1474" s="83" t="s">
        <v>3436</v>
      </c>
      <c r="L1474" s="0" t="s">
        <v>3437</v>
      </c>
      <c r="M1474" s="0" t="s">
        <v>36</v>
      </c>
      <c r="N1474" s="0" t="str">
        <f t="shared" si="22"/>
        <v>APINplJosNorth</v>
      </c>
    </row>
    <row r="1475">
      <c r="H1475" s="0" t="s">
        <v>227</v>
      </c>
      <c r="I1475" s="0" t="s">
        <v>309</v>
      </c>
      <c r="J1475" s="0" t="s">
        <v>958</v>
      </c>
      <c r="K1475" s="83" t="s">
        <v>3438</v>
      </c>
      <c r="L1475" s="0" t="s">
        <v>3439</v>
      </c>
      <c r="M1475" s="0" t="s">
        <v>36</v>
      </c>
      <c r="N1475" s="0" t="str">
        <f ref="N1475:N1504" t="shared" si="23">SUBSTITUTE(SUBSTITUTE(M1475&amp;J1475," ",""),"-","")</f>
        <v>APINplJosNorth</v>
      </c>
    </row>
    <row r="1476">
      <c r="H1476" s="0" t="s">
        <v>227</v>
      </c>
      <c r="I1476" s="0" t="s">
        <v>309</v>
      </c>
      <c r="J1476" s="0" t="s">
        <v>958</v>
      </c>
      <c r="K1476" s="83" t="s">
        <v>3440</v>
      </c>
      <c r="L1476" s="0" t="s">
        <v>3441</v>
      </c>
      <c r="M1476" s="0" t="s">
        <v>36</v>
      </c>
      <c r="N1476" s="0" t="str">
        <f t="shared" si="23"/>
        <v>APINplJosNorth</v>
      </c>
    </row>
    <row r="1477">
      <c r="H1477" s="0" t="s">
        <v>227</v>
      </c>
      <c r="I1477" s="0" t="s">
        <v>309</v>
      </c>
      <c r="J1477" s="0" t="s">
        <v>958</v>
      </c>
      <c r="K1477" s="83" t="s">
        <v>3442</v>
      </c>
      <c r="L1477" s="0" t="s">
        <v>3443</v>
      </c>
      <c r="M1477" s="0" t="s">
        <v>36</v>
      </c>
      <c r="N1477" s="0" t="str">
        <f t="shared" si="23"/>
        <v>APINplJosNorth</v>
      </c>
    </row>
    <row r="1478">
      <c r="H1478" s="0" t="s">
        <v>227</v>
      </c>
      <c r="I1478" s="0" t="s">
        <v>309</v>
      </c>
      <c r="J1478" s="0" t="s">
        <v>961</v>
      </c>
      <c r="K1478" s="83" t="s">
        <v>3444</v>
      </c>
      <c r="L1478" s="0" t="s">
        <v>3445</v>
      </c>
      <c r="M1478" s="0" t="s">
        <v>36</v>
      </c>
      <c r="N1478" s="0" t="str">
        <f t="shared" si="23"/>
        <v>APINplJosSouth</v>
      </c>
    </row>
    <row r="1479">
      <c r="H1479" s="0" t="s">
        <v>227</v>
      </c>
      <c r="I1479" s="0" t="s">
        <v>309</v>
      </c>
      <c r="J1479" s="0" t="s">
        <v>961</v>
      </c>
      <c r="K1479" s="83" t="s">
        <v>3446</v>
      </c>
      <c r="L1479" s="0" t="s">
        <v>3447</v>
      </c>
      <c r="M1479" s="0" t="s">
        <v>36</v>
      </c>
      <c r="N1479" s="0" t="str">
        <f t="shared" si="23"/>
        <v>APINplJosSouth</v>
      </c>
    </row>
    <row r="1480">
      <c r="H1480" s="0" t="s">
        <v>227</v>
      </c>
      <c r="I1480" s="0" t="s">
        <v>309</v>
      </c>
      <c r="J1480" s="0" t="s">
        <v>961</v>
      </c>
      <c r="K1480" s="83" t="s">
        <v>3448</v>
      </c>
      <c r="L1480" s="0" t="s">
        <v>3449</v>
      </c>
      <c r="M1480" s="0" t="s">
        <v>36</v>
      </c>
      <c r="N1480" s="0" t="str">
        <f t="shared" si="23"/>
        <v>APINplJosSouth</v>
      </c>
    </row>
    <row r="1481">
      <c r="H1481" s="0" t="s">
        <v>227</v>
      </c>
      <c r="I1481" s="0" t="s">
        <v>309</v>
      </c>
      <c r="J1481" s="0" t="s">
        <v>961</v>
      </c>
      <c r="K1481" s="83" t="s">
        <v>3450</v>
      </c>
      <c r="L1481" s="0" t="s">
        <v>3451</v>
      </c>
      <c r="M1481" s="0" t="s">
        <v>36</v>
      </c>
      <c r="N1481" s="0" t="str">
        <f t="shared" si="23"/>
        <v>APINplJosSouth</v>
      </c>
    </row>
    <row r="1482">
      <c r="H1482" s="0" t="s">
        <v>227</v>
      </c>
      <c r="I1482" s="0" t="s">
        <v>309</v>
      </c>
      <c r="J1482" s="0" t="s">
        <v>961</v>
      </c>
      <c r="K1482" s="83" t="s">
        <v>3452</v>
      </c>
      <c r="L1482" s="0" t="s">
        <v>3453</v>
      </c>
      <c r="M1482" s="0" t="s">
        <v>36</v>
      </c>
      <c r="N1482" s="0" t="str">
        <f t="shared" si="23"/>
        <v>APINplJosSouth</v>
      </c>
    </row>
    <row r="1483">
      <c r="H1483" s="0" t="s">
        <v>227</v>
      </c>
      <c r="I1483" s="0" t="s">
        <v>309</v>
      </c>
      <c r="J1483" s="0" t="s">
        <v>961</v>
      </c>
      <c r="K1483" s="83" t="s">
        <v>3454</v>
      </c>
      <c r="L1483" s="0" t="s">
        <v>3455</v>
      </c>
      <c r="M1483" s="0" t="s">
        <v>36</v>
      </c>
      <c r="N1483" s="0" t="str">
        <f t="shared" si="23"/>
        <v>APINplJosSouth</v>
      </c>
    </row>
    <row r="1484">
      <c r="H1484" s="0" t="s">
        <v>227</v>
      </c>
      <c r="I1484" s="0" t="s">
        <v>309</v>
      </c>
      <c r="J1484" s="0" t="s">
        <v>964</v>
      </c>
      <c r="K1484" s="83" t="s">
        <v>3456</v>
      </c>
      <c r="L1484" s="0" t="s">
        <v>3457</v>
      </c>
      <c r="M1484" s="0" t="s">
        <v>36</v>
      </c>
      <c r="N1484" s="0" t="str">
        <f t="shared" si="23"/>
        <v>APINplKanam</v>
      </c>
    </row>
    <row r="1485">
      <c r="H1485" s="0" t="s">
        <v>227</v>
      </c>
      <c r="I1485" s="0" t="s">
        <v>309</v>
      </c>
      <c r="J1485" s="0" t="s">
        <v>964</v>
      </c>
      <c r="K1485" s="83" t="s">
        <v>3458</v>
      </c>
      <c r="L1485" s="0" t="s">
        <v>3459</v>
      </c>
      <c r="M1485" s="0" t="s">
        <v>36</v>
      </c>
      <c r="N1485" s="0" t="str">
        <f t="shared" si="23"/>
        <v>APINplKanam</v>
      </c>
    </row>
    <row r="1486">
      <c r="H1486" s="0" t="s">
        <v>227</v>
      </c>
      <c r="I1486" s="0" t="s">
        <v>309</v>
      </c>
      <c r="J1486" s="0" t="s">
        <v>964</v>
      </c>
      <c r="K1486" s="83" t="s">
        <v>3460</v>
      </c>
      <c r="L1486" s="0" t="s">
        <v>3461</v>
      </c>
      <c r="M1486" s="0" t="s">
        <v>36</v>
      </c>
      <c r="N1486" s="0" t="str">
        <f t="shared" si="23"/>
        <v>APINplKanam</v>
      </c>
    </row>
    <row r="1487">
      <c r="H1487" s="0" t="s">
        <v>227</v>
      </c>
      <c r="I1487" s="0" t="s">
        <v>309</v>
      </c>
      <c r="J1487" s="0" t="s">
        <v>967</v>
      </c>
      <c r="K1487" s="83" t="s">
        <v>3462</v>
      </c>
      <c r="L1487" s="0" t="s">
        <v>3463</v>
      </c>
      <c r="M1487" s="0" t="s">
        <v>36</v>
      </c>
      <c r="N1487" s="0" t="str">
        <f t="shared" si="23"/>
        <v>APINplKanke</v>
      </c>
    </row>
    <row r="1488">
      <c r="H1488" s="0" t="s">
        <v>227</v>
      </c>
      <c r="I1488" s="0" t="s">
        <v>309</v>
      </c>
      <c r="J1488" s="0" t="s">
        <v>967</v>
      </c>
      <c r="K1488" s="83" t="s">
        <v>3464</v>
      </c>
      <c r="L1488" s="0" t="s">
        <v>3465</v>
      </c>
      <c r="M1488" s="0" t="s">
        <v>36</v>
      </c>
      <c r="N1488" s="0" t="str">
        <f t="shared" si="23"/>
        <v>APINplKanke</v>
      </c>
    </row>
    <row r="1489">
      <c r="H1489" s="0" t="s">
        <v>227</v>
      </c>
      <c r="I1489" s="0" t="s">
        <v>309</v>
      </c>
      <c r="J1489" s="0" t="s">
        <v>970</v>
      </c>
      <c r="K1489" s="83" t="s">
        <v>3466</v>
      </c>
      <c r="L1489" s="0" t="s">
        <v>3467</v>
      </c>
      <c r="M1489" s="0" t="s">
        <v>36</v>
      </c>
      <c r="N1489" s="0" t="str">
        <f t="shared" si="23"/>
        <v>APINplLangtangNorth</v>
      </c>
    </row>
    <row r="1490">
      <c r="H1490" s="0" t="s">
        <v>227</v>
      </c>
      <c r="I1490" s="0" t="s">
        <v>309</v>
      </c>
      <c r="J1490" s="0" t="s">
        <v>973</v>
      </c>
      <c r="K1490" s="83" t="s">
        <v>3468</v>
      </c>
      <c r="L1490" s="0" t="s">
        <v>3469</v>
      </c>
      <c r="M1490" s="0" t="s">
        <v>36</v>
      </c>
      <c r="N1490" s="0" t="str">
        <f t="shared" si="23"/>
        <v>APINplLangtangSouth</v>
      </c>
    </row>
    <row r="1491">
      <c r="H1491" s="0" t="s">
        <v>227</v>
      </c>
      <c r="I1491" s="0" t="s">
        <v>309</v>
      </c>
      <c r="J1491" s="0" t="s">
        <v>973</v>
      </c>
      <c r="K1491" s="83" t="s">
        <v>3470</v>
      </c>
      <c r="L1491" s="0" t="s">
        <v>3471</v>
      </c>
      <c r="M1491" s="0" t="s">
        <v>36</v>
      </c>
      <c r="N1491" s="0" t="str">
        <f t="shared" si="23"/>
        <v>APINplLangtangSouth</v>
      </c>
    </row>
    <row r="1492">
      <c r="H1492" s="0" t="s">
        <v>227</v>
      </c>
      <c r="I1492" s="0" t="s">
        <v>309</v>
      </c>
      <c r="J1492" s="0" t="s">
        <v>976</v>
      </c>
      <c r="K1492" s="83" t="s">
        <v>3472</v>
      </c>
      <c r="L1492" s="0" t="s">
        <v>3473</v>
      </c>
      <c r="M1492" s="0" t="s">
        <v>36</v>
      </c>
      <c r="N1492" s="0" t="str">
        <f t="shared" si="23"/>
        <v>APINplMangu</v>
      </c>
    </row>
    <row r="1493">
      <c r="H1493" s="0" t="s">
        <v>227</v>
      </c>
      <c r="I1493" s="0" t="s">
        <v>309</v>
      </c>
      <c r="J1493" s="0" t="s">
        <v>976</v>
      </c>
      <c r="K1493" s="83" t="s">
        <v>3474</v>
      </c>
      <c r="L1493" s="0" t="s">
        <v>3475</v>
      </c>
      <c r="M1493" s="0" t="s">
        <v>36</v>
      </c>
      <c r="N1493" s="0" t="str">
        <f t="shared" si="23"/>
        <v>APINplMangu</v>
      </c>
    </row>
    <row r="1494">
      <c r="H1494" s="0" t="s">
        <v>227</v>
      </c>
      <c r="I1494" s="0" t="s">
        <v>309</v>
      </c>
      <c r="J1494" s="0" t="s">
        <v>976</v>
      </c>
      <c r="K1494" s="83" t="s">
        <v>3476</v>
      </c>
      <c r="L1494" s="0" t="s">
        <v>3477</v>
      </c>
      <c r="M1494" s="0" t="s">
        <v>36</v>
      </c>
      <c r="N1494" s="0" t="str">
        <f t="shared" si="23"/>
        <v>APINplMangu</v>
      </c>
    </row>
    <row r="1495">
      <c r="H1495" s="0" t="s">
        <v>227</v>
      </c>
      <c r="I1495" s="0" t="s">
        <v>309</v>
      </c>
      <c r="J1495" s="0" t="s">
        <v>979</v>
      </c>
      <c r="K1495" s="83" t="s">
        <v>3478</v>
      </c>
      <c r="L1495" s="0" t="s">
        <v>3479</v>
      </c>
      <c r="M1495" s="0" t="s">
        <v>36</v>
      </c>
      <c r="N1495" s="0" t="str">
        <f t="shared" si="23"/>
        <v>APINplMikang</v>
      </c>
    </row>
    <row r="1496">
      <c r="H1496" s="0" t="s">
        <v>227</v>
      </c>
      <c r="I1496" s="0" t="s">
        <v>309</v>
      </c>
      <c r="J1496" s="0" t="s">
        <v>979</v>
      </c>
      <c r="K1496" s="83" t="s">
        <v>3480</v>
      </c>
      <c r="L1496" s="0" t="s">
        <v>3481</v>
      </c>
      <c r="M1496" s="0" t="s">
        <v>36</v>
      </c>
      <c r="N1496" s="0" t="str">
        <f t="shared" si="23"/>
        <v>APINplMikang</v>
      </c>
    </row>
    <row r="1497">
      <c r="H1497" s="0" t="s">
        <v>227</v>
      </c>
      <c r="I1497" s="0" t="s">
        <v>309</v>
      </c>
      <c r="J1497" s="0" t="s">
        <v>982</v>
      </c>
      <c r="K1497" s="83" t="s">
        <v>3482</v>
      </c>
      <c r="L1497" s="0" t="s">
        <v>3483</v>
      </c>
      <c r="M1497" s="0" t="s">
        <v>36</v>
      </c>
      <c r="N1497" s="0" t="str">
        <f t="shared" si="23"/>
        <v>APINplPankshin</v>
      </c>
    </row>
    <row r="1498">
      <c r="H1498" s="0" t="s">
        <v>227</v>
      </c>
      <c r="I1498" s="0" t="s">
        <v>309</v>
      </c>
      <c r="J1498" s="0" t="s">
        <v>982</v>
      </c>
      <c r="K1498" s="83" t="s">
        <v>3484</v>
      </c>
      <c r="L1498" s="0" t="s">
        <v>3485</v>
      </c>
      <c r="M1498" s="0" t="s">
        <v>36</v>
      </c>
      <c r="N1498" s="0" t="str">
        <f t="shared" si="23"/>
        <v>APINplPankshin</v>
      </c>
    </row>
    <row r="1499">
      <c r="H1499" s="0" t="s">
        <v>227</v>
      </c>
      <c r="I1499" s="0" t="s">
        <v>309</v>
      </c>
      <c r="J1499" s="0" t="s">
        <v>3486</v>
      </c>
      <c r="K1499" s="83" t="s">
        <v>3487</v>
      </c>
      <c r="L1499" s="0" t="s">
        <v>3488</v>
      </c>
      <c r="M1499" s="0" t="s">
        <v>36</v>
      </c>
      <c r="N1499" s="0" t="str">
        <f t="shared" si="23"/>
        <v>APINplQuaanPan</v>
      </c>
    </row>
    <row r="1500">
      <c r="H1500" s="0" t="s">
        <v>227</v>
      </c>
      <c r="I1500" s="0" t="s">
        <v>309</v>
      </c>
      <c r="J1500" s="0" t="s">
        <v>3486</v>
      </c>
      <c r="K1500" s="83" t="s">
        <v>3489</v>
      </c>
      <c r="L1500" s="0" t="s">
        <v>3490</v>
      </c>
      <c r="M1500" s="0" t="s">
        <v>36</v>
      </c>
      <c r="N1500" s="0" t="str">
        <f t="shared" si="23"/>
        <v>APINplQuaanPan</v>
      </c>
    </row>
    <row r="1501">
      <c r="H1501" s="0" t="s">
        <v>227</v>
      </c>
      <c r="I1501" s="0" t="s">
        <v>309</v>
      </c>
      <c r="J1501" s="0" t="s">
        <v>988</v>
      </c>
      <c r="K1501" s="83" t="s">
        <v>3491</v>
      </c>
      <c r="L1501" s="0" t="s">
        <v>3492</v>
      </c>
      <c r="M1501" s="0" t="s">
        <v>36</v>
      </c>
      <c r="N1501" s="0" t="str">
        <f t="shared" si="23"/>
        <v>APINplShendam</v>
      </c>
    </row>
    <row r="1502">
      <c r="H1502" s="0" t="s">
        <v>227</v>
      </c>
      <c r="I1502" s="0" t="s">
        <v>309</v>
      </c>
      <c r="J1502" s="0" t="s">
        <v>988</v>
      </c>
      <c r="K1502" s="83" t="s">
        <v>3493</v>
      </c>
      <c r="L1502" s="0" t="s">
        <v>3494</v>
      </c>
      <c r="M1502" s="0" t="s">
        <v>36</v>
      </c>
      <c r="N1502" s="0" t="str">
        <f t="shared" si="23"/>
        <v>APINplShendam</v>
      </c>
    </row>
    <row r="1503">
      <c r="H1503" s="0" t="s">
        <v>227</v>
      </c>
      <c r="I1503" s="0" t="s">
        <v>309</v>
      </c>
      <c r="J1503" s="0" t="s">
        <v>988</v>
      </c>
      <c r="K1503" s="83" t="s">
        <v>3495</v>
      </c>
      <c r="L1503" s="0" t="s">
        <v>3496</v>
      </c>
      <c r="M1503" s="0" t="s">
        <v>36</v>
      </c>
      <c r="N1503" s="0" t="str">
        <f t="shared" si="23"/>
        <v>APINplShendam</v>
      </c>
    </row>
    <row r="1504">
      <c r="H1504" s="0" t="s">
        <v>227</v>
      </c>
      <c r="I1504" s="0" t="s">
        <v>309</v>
      </c>
      <c r="J1504" s="0" t="s">
        <v>988</v>
      </c>
      <c r="K1504" s="83" t="s">
        <v>3497</v>
      </c>
      <c r="L1504" s="0" t="s">
        <v>3498</v>
      </c>
      <c r="M1504" s="0" t="s">
        <v>36</v>
      </c>
      <c r="N1504" s="0" t="str">
        <f t="shared" si="23"/>
        <v>APINplShendam</v>
      </c>
    </row>
  </sheetData>
  <autoFilter ref="A1:N21"/>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E Madubuko</cp:lastModifiedBy>
  <cp:lastPrinted>2017-01-11T15:12:50Z</cp:lastPrinted>
  <dcterms:created xsi:type="dcterms:W3CDTF">2017-01-08T13:42:03Z</dcterms:created>
  <dcterms:modified xsi:type="dcterms:W3CDTF">2018-02-14T12:12:12Z</dcterms:modified>
</cp:coreProperties>
</file>