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11970" windowHeight="45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W17" i="11"/>
  <c r="T24" i="11" s="1"/>
  <c r="X17" i="11"/>
  <c r="P25" i="11" s="1"/>
  <c r="Y17" i="11"/>
  <c r="Q25" i="11" s="1"/>
  <c r="Z17" i="11"/>
  <c r="AA17" i="11"/>
  <c r="S25" i="11" s="1"/>
  <c r="AB17" i="11"/>
  <c r="T25" i="11" s="1"/>
  <c r="R25" i="11"/>
  <c r="S24" i="11"/>
  <c r="T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<sst xmlns="http://schemas.openxmlformats.org/spreadsheetml/2006/main" count="27101" uniqueCount="4025">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</sst>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12.824999999999999</c:v>
                </c:pt>
                <c:pt idx="1">
                  <c:v>0.65625</c:v>
                </c:pt>
                <c:pt idx="2">
                  <c:v>11.848484848484846</c:v>
                </c:pt>
                <c:pt idx="3">
                  <c:v>8.7687500000000007</c:v>
                </c:pt>
                <c:pt idx="4">
                  <c:v>19.666666666666668</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12.05</c:v>
                </c:pt>
                <c:pt idx="1">
                  <c:v>2.010416666666667</c:v>
                </c:pt>
                <c:pt idx="2">
                  <c:v>10.772727272727273</c:v>
                </c:pt>
                <c:pt idx="3">
                  <c:v>8.5749999999999993</c:v>
                </c:pt>
                <c:pt idx="4">
                  <c:v>18.388888888888889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7.5125000000000002</c:v>
                </c:pt>
                <c:pt idx="1">
                  <c:v>0.51041666666666674</c:v>
                </c:pt>
                <c:pt idx="2">
                  <c:v>5.5303030303030303</c:v>
                </c:pt>
                <c:pt idx="3">
                  <c:v>4.6749999999999998</c:v>
                </c:pt>
                <c:pt idx="4">
                  <c:v>11.444444444444445</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39197632"/>
        <c:axId val="587852832"/>
      </c:radarChart>
      <c:catAx>
        <c:axId val="53919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7852832"/>
        <c:crosses val="autoZero"/>
        <c:auto val="1"/>
        <c:lblAlgn val="ctr"/>
        <c:lblOffset val="100"/>
        <c:noMultiLvlLbl val="0"/>
      </c:catAx>
      <c:valAx>
        <c:axId val="58785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19763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9" t="s">
        <v>62</v>
      </c>
      <c r="B1" s="330"/>
      <c r="C1" s="330"/>
      <c r="D1" s="330"/>
      <c r="E1" s="330"/>
      <c r="F1" s="330"/>
      <c r="G1" s="330"/>
      <c r="H1" s="330"/>
      <c r="I1" s="330"/>
      <c r="J1" s="330"/>
      <c r="K1" s="330"/>
      <c r="L1" s="330"/>
      <c r="M1" s="330"/>
      <c r="N1" s="330"/>
      <c r="O1" s="330"/>
      <c r="P1" s="330"/>
      <c r="Q1" s="330"/>
      <c r="R1" s="330"/>
      <c r="S1" s="330"/>
      <c r="T1" s="331"/>
    </row>
    <row r="2" spans="1:20" ht="24" thickBot="1" x14ac:dyDescent="0.4">
      <c r="A2" s="318" t="s">
        <v>95</v>
      </c>
      <c r="B2" s="319"/>
      <c r="C2" s="320"/>
      <c r="D2" s="321" t="str">
        <f>Worksheet!P2</f>
        <v>CCFN</v>
      </c>
      <c r="E2" s="322"/>
      <c r="F2" s="322"/>
      <c r="G2" s="322"/>
      <c r="H2" s="322"/>
      <c r="I2" s="322"/>
      <c r="J2" s="323"/>
      <c r="K2" s="324" t="s">
        <v>4022</v>
      </c>
      <c r="L2" s="325"/>
      <c r="M2" s="325"/>
      <c r="N2" s="325"/>
      <c r="O2" s="326" t="str">
        <f>Worksheet!M18</f>
        <v>John Doe</v>
      </c>
      <c r="P2" s="327"/>
      <c r="Q2" s="327"/>
      <c r="R2" s="327"/>
      <c r="S2" s="327"/>
      <c r="T2" s="328"/>
    </row>
    <row r="3" spans="1:20" ht="24" thickBot="1" x14ac:dyDescent="0.4">
      <c r="A3" s="318" t="s">
        <v>94</v>
      </c>
      <c r="B3" s="319" t="s">
        <v>1</v>
      </c>
      <c r="C3" s="320"/>
      <c r="D3" s="321" t="str">
        <f>Worksheet!R2</f>
        <v>Benue</v>
      </c>
      <c r="E3" s="322"/>
      <c r="F3" s="322"/>
      <c r="G3" s="322"/>
      <c r="H3" s="322"/>
      <c r="I3" s="322"/>
      <c r="J3" s="323"/>
      <c r="K3" s="324" t="s">
        <v>3969</v>
      </c>
      <c r="L3" s="325"/>
      <c r="M3" s="325"/>
      <c r="N3" s="325"/>
      <c r="O3" s="326" t="str">
        <f>Worksheet!W18</f>
        <v>10th Feb 2017</v>
      </c>
      <c r="P3" s="327"/>
      <c r="Q3" s="327"/>
      <c r="R3" s="327"/>
      <c r="S3" s="327"/>
      <c r="T3" s="328"/>
    </row>
    <row r="4" spans="1:20" ht="24" thickBot="1" x14ac:dyDescent="0.4">
      <c r="A4" s="318" t="s">
        <v>93</v>
      </c>
      <c r="B4" s="319"/>
      <c r="C4" s="320" t="s">
        <v>3</v>
      </c>
      <c r="D4" s="321" t="str">
        <f>Worksheet!T2</f>
        <v>be Ushongo</v>
      </c>
      <c r="E4" s="322"/>
      <c r="F4" s="322"/>
      <c r="G4" s="322"/>
      <c r="H4" s="322"/>
      <c r="I4" s="322"/>
      <c r="J4" s="323"/>
      <c r="K4" s="324" t="s">
        <v>4023</v>
      </c>
      <c r="L4" s="325"/>
      <c r="M4" s="325"/>
      <c r="N4" s="325"/>
      <c r="O4" s="326" t="str">
        <f>Worksheet!M19</f>
        <v>Mary Doe</v>
      </c>
      <c r="P4" s="327"/>
      <c r="Q4" s="327"/>
      <c r="R4" s="327"/>
      <c r="S4" s="327"/>
      <c r="T4" s="328"/>
    </row>
    <row r="5" spans="1:20" ht="24" thickBot="1" x14ac:dyDescent="0.4">
      <c r="A5" s="318" t="s">
        <v>92</v>
      </c>
      <c r="B5" s="319"/>
      <c r="C5" s="320" t="s">
        <v>6</v>
      </c>
      <c r="D5" s="321" t="str">
        <f>Worksheet!V2</f>
        <v>Nongu u Kristu ke Sudan hen Tiv (NKST) Health Center - Ifo Mbakuwa</v>
      </c>
      <c r="E5" s="322"/>
      <c r="F5" s="322"/>
      <c r="G5" s="322"/>
      <c r="H5" s="322"/>
      <c r="I5" s="322"/>
      <c r="J5" s="323"/>
      <c r="K5" s="324" t="s">
        <v>3969</v>
      </c>
      <c r="L5" s="325"/>
      <c r="M5" s="325"/>
      <c r="N5" s="325"/>
      <c r="O5" s="326">
        <f>Worksheet!W19</f>
        <v>0</v>
      </c>
      <c r="P5" s="327"/>
      <c r="Q5" s="327"/>
      <c r="R5" s="327"/>
      <c r="S5" s="327"/>
      <c r="T5" s="328"/>
    </row>
    <row r="6" spans="1:20" ht="24" thickBot="1" x14ac:dyDescent="0.3">
      <c r="A6" s="309" t="s">
        <v>68</v>
      </c>
      <c r="B6" s="309" t="s">
        <v>80</v>
      </c>
      <c r="C6" s="100" t="s">
        <v>81</v>
      </c>
      <c r="D6" s="311">
        <v>42644</v>
      </c>
      <c r="E6" s="312"/>
      <c r="F6" s="312"/>
      <c r="G6" s="312"/>
      <c r="H6" s="313"/>
      <c r="I6" s="311">
        <v>42675</v>
      </c>
      <c r="J6" s="314"/>
      <c r="K6" s="314"/>
      <c r="L6" s="314"/>
      <c r="M6" s="315"/>
      <c r="N6" s="311">
        <v>42705</v>
      </c>
      <c r="O6" s="314"/>
      <c r="P6" s="314"/>
      <c r="Q6" s="314"/>
      <c r="R6" s="315"/>
      <c r="S6" s="316" t="s">
        <v>63</v>
      </c>
      <c r="T6" s="307" t="s">
        <v>96</v>
      </c>
    </row>
    <row r="7" spans="1:20" ht="31.9" customHeight="1" thickBot="1" x14ac:dyDescent="0.3">
      <c r="A7" s="310"/>
      <c r="B7" s="310"/>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7"/>
      <c r="T7" s="308"/>
    </row>
    <row r="8" spans="1:20" ht="72.599999999999994" customHeight="1" thickBot="1" x14ac:dyDescent="0.3">
      <c r="A8" s="102">
        <v>1</v>
      </c>
      <c r="B8" s="103" t="s">
        <v>89</v>
      </c>
      <c r="C8" s="104" t="s">
        <v>3970</v>
      </c>
      <c r="D8" s="152">
        <f ca="1">(SUM('All Questions'!D10:D14)/5)+D12</f>
        <v>50.3</v>
      </c>
      <c r="E8" s="152">
        <f ca="1">SUM('All Questions'!D15:D21)/7+E12</f>
        <v>2</v>
      </c>
      <c r="F8" s="152">
        <f ca="1">SUM('All Questions'!D23:D30)/4+F12</f>
        <v>57.166666666666664</v>
      </c>
      <c r="G8" s="152">
        <f ca="1">SUM('All Questions'!D31:D35)/5+G12</f>
        <v>34.700000000000003</v>
      </c>
      <c r="H8" s="153">
        <f ca="1">SUM('All Questions'!D37,'All Questions'!D40)/2+'All Questions'!D26+H12</f>
        <v>86</v>
      </c>
      <c r="I8" s="154">
        <f ca="1">(SUM('All Questions'!E10:E14)/5)+I12</f>
        <v>47.7</v>
      </c>
      <c r="J8" s="152">
        <f ca="1">SUM('All Questions'!E15:E21)/7+J12</f>
        <v>7.666666666666667</v>
      </c>
      <c r="K8" s="152">
        <f ca="1">SUM('All Questions'!E23:E30)/4+K12</f>
        <v>53.25</v>
      </c>
      <c r="L8" s="152">
        <f ca="1">SUM('All Questions'!E31:E35)/5+L12</f>
        <v>34.299999999999997</v>
      </c>
      <c r="M8" s="153">
        <f ca="1">('All Questions'!E37+'All Questions'!E40)/2+'All Questions'!E26+M12</f>
        <v>82.5</v>
      </c>
      <c r="N8" s="154">
        <f ca="1">(SUM('All Questions'!F10:F14)/5)+N12</f>
        <v>29.3</v>
      </c>
      <c r="O8" s="152">
        <f ca="1">SUM('All Questions'!F15:F21)/7+O12</f>
        <v>1.6666666666666667</v>
      </c>
      <c r="P8" s="152">
        <f ca="1">SUM('All Questions'!F23:F30)/4+P12</f>
        <v>26.416666666666668</v>
      </c>
      <c r="Q8" s="152">
        <f ca="1">SUM('All Questions'!F31:F35)/5+Q12</f>
        <v>18.7</v>
      </c>
      <c r="R8" s="153">
        <f ca="1">('All Questions'!F37+'All Questions'!F40)/2+'All Questions'!F26+R12</f>
        <v>50</v>
      </c>
      <c r="S8" s="138">
        <f ca="1">'All Questions'!F2</f>
        <v>433</v>
      </c>
      <c r="T8" s="139">
        <f t="shared" ref="T8:T17" ca="1" si="0">(((SUM(D8:H8)/5)+(SUM(I8:M8)/5)+(SUM(N8:R8)/5)))/S8</f>
        <v>0.26866820631254812</v>
      </c>
    </row>
    <row r="9" spans="1:20" ht="72.599999999999994" customHeight="1" thickBot="1" x14ac:dyDescent="0.3">
      <c r="A9" s="105">
        <v>1.1000000000000001</v>
      </c>
      <c r="B9" s="106" t="s">
        <v>89</v>
      </c>
      <c r="C9" s="107" t="s">
        <v>3971</v>
      </c>
      <c r="D9" s="155"/>
      <c r="E9" s="155"/>
      <c r="F9" s="156">
        <f ca="1">'All Questions'!D29</f>
        <v>8</v>
      </c>
      <c r="G9" s="155"/>
      <c r="H9" s="157"/>
      <c r="I9" s="158"/>
      <c r="J9" s="155"/>
      <c r="K9" s="156">
        <f ca="1">'All Questions'!E29</f>
        <v>6</v>
      </c>
      <c r="L9" s="155"/>
      <c r="M9" s="157"/>
      <c r="N9" s="158"/>
      <c r="O9" s="155"/>
      <c r="P9" s="156">
        <f ca="1">'All Questions'!F29</f>
        <v>3</v>
      </c>
      <c r="Q9" s="155"/>
      <c r="R9" s="157"/>
      <c r="S9" s="138">
        <f ca="1">'All Questions'!F3</f>
        <v>16</v>
      </c>
      <c r="T9" s="140">
        <f t="shared" ca="1" si="0"/>
        <v>0.21249999999999999</v>
      </c>
    </row>
    <row r="10" spans="1:20" ht="72.599999999999994" customHeight="1" thickBot="1" x14ac:dyDescent="0.3">
      <c r="A10" s="105" t="s">
        <v>141</v>
      </c>
      <c r="B10" s="106" t="s">
        <v>79</v>
      </c>
      <c r="C10" s="107" t="s">
        <v>3972</v>
      </c>
      <c r="D10" s="156">
        <f ca="1">(SUM('All Questions'!D10:D14)/5)</f>
        <v>46.8</v>
      </c>
      <c r="E10" s="156">
        <f ca="1">SUM('All Questions'!D15:D21)/7</f>
        <v>0</v>
      </c>
      <c r="F10" s="156">
        <f ca="1">(SUM('All Questions'!D23:D24)+SUM('All Questions'!D25:D26)+SUM('All Questions'!D27:D28)+SUM('All Questions'!D29:D30))/4</f>
        <v>56.5</v>
      </c>
      <c r="G10" s="156">
        <f ca="1">SUM('All Questions'!D31:D35)/5</f>
        <v>31.2</v>
      </c>
      <c r="H10" s="159">
        <f ca="1">('All Questions'!D37+'All Questions'!D40)/2+'All Questions'!D26</f>
        <v>78</v>
      </c>
      <c r="I10" s="160">
        <f ca="1">(SUM('All Questions'!E10:E14)/5)</f>
        <v>40.200000000000003</v>
      </c>
      <c r="J10" s="161">
        <f ca="1">SUM('All Questions'!E15:E21)/7</f>
        <v>0</v>
      </c>
      <c r="K10" s="161">
        <f ca="1">(SUM('All Questions'!E23:E24)+SUM('All Questions'!E25:E26)+SUM('All Questions'!E27:E28)+SUM('All Questions'!E29:E30))/4</f>
        <v>50.25</v>
      </c>
      <c r="L10" s="161">
        <f ca="1">SUM('All Questions'!E31:E35)/5</f>
        <v>26.8</v>
      </c>
      <c r="M10" s="162">
        <f ca="1">('All Questions'!E37+'All Questions'!E40)/2+'All Questions'!E26</f>
        <v>67</v>
      </c>
      <c r="N10" s="163">
        <f ca="1">(SUM('All Questions'!F10:F14)/5)</f>
        <v>25.8</v>
      </c>
      <c r="O10" s="161">
        <f ca="1">SUM('All Questions'!F15:F21)/7</f>
        <v>0</v>
      </c>
      <c r="P10" s="161">
        <f ca="1">(SUM('All Questions'!F23:F24)+SUM('All Questions'!F25:F26)+SUM('All Questions'!F27:F28)+SUM('All Questions'!F29:F30))/4</f>
        <v>25.75</v>
      </c>
      <c r="Q10" s="161">
        <f ca="1">SUM('All Questions'!F31:F35)/5</f>
        <v>17.2</v>
      </c>
      <c r="R10" s="162">
        <f ca="1">('All Questions'!F37+'All Questions'!F40)/2+'All Questions'!F26</f>
        <v>43</v>
      </c>
      <c r="S10" s="138">
        <f ca="1">'All Questions'!F4</f>
        <v>258</v>
      </c>
      <c r="T10" s="140">
        <f t="shared" ca="1" si="0"/>
        <v>0.39418604651162786</v>
      </c>
    </row>
    <row r="11" spans="1:20" ht="72.599999999999994" customHeight="1" thickBot="1" x14ac:dyDescent="0.3">
      <c r="A11" s="108" t="s">
        <v>3973</v>
      </c>
      <c r="B11" s="109" t="s">
        <v>79</v>
      </c>
      <c r="C11" s="110" t="s">
        <v>88</v>
      </c>
      <c r="D11" s="164"/>
      <c r="E11" s="164"/>
      <c r="F11" s="165">
        <f ca="1">'All Questions'!D29</f>
        <v>8</v>
      </c>
      <c r="G11" s="164"/>
      <c r="H11" s="166"/>
      <c r="I11" s="167"/>
      <c r="J11" s="164"/>
      <c r="K11" s="168">
        <f ca="1">'All Questions'!E29</f>
        <v>6</v>
      </c>
      <c r="L11" s="164"/>
      <c r="M11" s="166"/>
      <c r="N11" s="167"/>
      <c r="O11" s="164"/>
      <c r="P11" s="168">
        <f ca="1">'All Questions'!F29</f>
        <v>3</v>
      </c>
      <c r="Q11" s="164"/>
      <c r="R11" s="166"/>
      <c r="S11" s="138">
        <f ca="1">'All Questions'!F5</f>
        <v>12</v>
      </c>
      <c r="T11" s="141">
        <f t="shared" ca="1" si="0"/>
        <v>0.28333333333333333</v>
      </c>
    </row>
    <row r="12" spans="1:20" ht="72.599999999999994" customHeight="1" x14ac:dyDescent="0.25">
      <c r="A12" s="111">
        <v>2</v>
      </c>
      <c r="B12" s="112" t="s">
        <v>83</v>
      </c>
      <c r="C12" s="113" t="s">
        <v>3974</v>
      </c>
      <c r="D12" s="169">
        <f ca="1">SUM('All Questions'!D55:D58)/4</f>
        <v>3.5</v>
      </c>
      <c r="E12" s="170">
        <f ca="1">SUM('All Questions'!D60:D75)/6</f>
        <v>2</v>
      </c>
      <c r="F12" s="170">
        <f ca="1">SUM('All Questions'!D67:D72)/3</f>
        <v>0.66666666666666663</v>
      </c>
      <c r="G12" s="170">
        <f ca="1">SUM('All Questions'!D73:D80)/4</f>
        <v>3.5</v>
      </c>
      <c r="H12" s="171">
        <f ca="1">SUM('All Questions'!D82:D83)/2</f>
        <v>8</v>
      </c>
      <c r="I12" s="172">
        <f ca="1">SUM('All Questions'!E55:E58)/4</f>
        <v>7.5</v>
      </c>
      <c r="J12" s="173">
        <f ca="1">SUM('All Questions'!E60:E75)/6</f>
        <v>7.666666666666667</v>
      </c>
      <c r="K12" s="173">
        <f ca="1">SUM('All Questions'!E67:E72)/3</f>
        <v>3</v>
      </c>
      <c r="L12" s="173">
        <f ca="1">SUM('All Questions'!E73:E80)/4</f>
        <v>7.5</v>
      </c>
      <c r="M12" s="174">
        <f ca="1">SUM('All Questions'!E82:E83)/2</f>
        <v>15.5</v>
      </c>
      <c r="N12" s="175">
        <f ca="1">SUM('All Questions'!F55:F58)/4</f>
        <v>3.5</v>
      </c>
      <c r="O12" s="173">
        <f ca="1">SUM('All Questions'!F60:F75)/6</f>
        <v>1.6666666666666667</v>
      </c>
      <c r="P12" s="173">
        <f ca="1">SUM('All Questions'!F67:F72)/3</f>
        <v>0.66666666666666663</v>
      </c>
      <c r="Q12" s="173">
        <f ca="1">SUM('All Questions'!F73:F80)/4</f>
        <v>1.5</v>
      </c>
      <c r="R12" s="174">
        <f ca="1">SUM('All Questions'!F82:F83)/2</f>
        <v>7</v>
      </c>
      <c r="S12" s="142">
        <f ca="1">'All Questions'!F46</f>
        <v>175</v>
      </c>
      <c r="T12" s="143">
        <f t="shared" ca="1" si="0"/>
        <v>8.3619047619047621E-2</v>
      </c>
    </row>
    <row r="13" spans="1:20" ht="72.599999999999994" customHeight="1" x14ac:dyDescent="0.25">
      <c r="A13" s="105">
        <v>2.1</v>
      </c>
      <c r="B13" s="106" t="s">
        <v>83</v>
      </c>
      <c r="C13" s="114" t="s">
        <v>3975</v>
      </c>
      <c r="D13" s="158"/>
      <c r="E13" s="155"/>
      <c r="F13" s="176">
        <f ca="1">'All Questions'!D72</f>
        <v>0</v>
      </c>
      <c r="G13" s="155"/>
      <c r="H13" s="177">
        <f ca="1">SUM('All Questions'!D85:D86)/2</f>
        <v>3.5</v>
      </c>
      <c r="I13" s="178"/>
      <c r="J13" s="179"/>
      <c r="K13" s="180">
        <f ca="1">'All Questions'!E72</f>
        <v>0</v>
      </c>
      <c r="L13" s="179"/>
      <c r="M13" s="181">
        <f ca="1">SUM('All Questions'!E85:E86)/2</f>
        <v>0.5</v>
      </c>
      <c r="N13" s="182"/>
      <c r="O13" s="179"/>
      <c r="P13" s="180">
        <f ca="1">'All Questions'!F72</f>
        <v>0</v>
      </c>
      <c r="Q13" s="179"/>
      <c r="R13" s="181">
        <f ca="1">SUM('All Questions'!F85:F86)/2</f>
        <v>0</v>
      </c>
      <c r="S13" s="142">
        <f ca="1">'All Questions'!F47</f>
        <v>4</v>
      </c>
      <c r="T13" s="144">
        <f t="shared" ca="1" si="0"/>
        <v>0.19999999999999998</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0.75</v>
      </c>
      <c r="H14" s="177">
        <f ca="1">SUM('All Questions'!D88:D89)/2</f>
        <v>1.5</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2</v>
      </c>
      <c r="Q14" s="180">
        <f ca="1">SUM('All Questions'!F74,'All Questions'!F76,'All Questions'!F78,'All Questions'!F80)/4</f>
        <v>0</v>
      </c>
      <c r="R14" s="181">
        <f ca="1">SUM('All Questions'!F88:F89)/2</f>
        <v>3</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2</v>
      </c>
      <c r="E16" s="188">
        <f ca="1">SUM('All Questions'!D97:D100)/4</f>
        <v>1.25</v>
      </c>
      <c r="F16" s="188">
        <f ca="1">SUM('All Questions'!D101:D105)/2</f>
        <v>0</v>
      </c>
      <c r="G16" s="188">
        <f ca="1">SUM('All Questions'!D106:D108)/3</f>
        <v>0</v>
      </c>
      <c r="H16" s="189">
        <f ca="1">SUM('All Questions'!D111+'All Questions'!D112+'All Questions'!D114+'All Questions'!D115)/4</f>
        <v>0</v>
      </c>
      <c r="I16" s="190">
        <f ca="1">SUM('All Questions'!E93:E94)/2</f>
        <v>1</v>
      </c>
      <c r="J16" s="191">
        <f ca="1">SUM('All Questions'!E97:E100)/4</f>
        <v>0.75</v>
      </c>
      <c r="K16" s="191">
        <f ca="1">SUM('All Questions'!E101:E105)/2</f>
        <v>0</v>
      </c>
      <c r="L16" s="191">
        <f ca="1">SUM('All Questions'!E106:E108)/3</f>
        <v>0</v>
      </c>
      <c r="M16" s="192">
        <f ca="1">SUM('All Questions'!E111+'All Questions'!E112+'All Questions'!E114+'All Questions'!E115)/4</f>
        <v>0</v>
      </c>
      <c r="N16" s="193">
        <f ca="1">SUM('All Questions'!F93:F94)/2</f>
        <v>1.5</v>
      </c>
      <c r="O16" s="191">
        <f ca="1">SUM('All Questions'!F97:F100)/4</f>
        <v>0.75</v>
      </c>
      <c r="P16" s="191">
        <f ca="1">SUM('All Questions'!F101:F105)/2</f>
        <v>0</v>
      </c>
      <c r="Q16" s="191">
        <f ca="1">SUM('All Questions'!F106:F108)/3</f>
        <v>0</v>
      </c>
      <c r="R16" s="192">
        <f ca="1">SUM('All Questions'!F111+'All Questions'!F112+'All Questions'!F114+'All Questions'!F115)/4</f>
        <v>0</v>
      </c>
      <c r="S16" s="146">
        <f ca="1">'All Questions'!F91</f>
        <v>4</v>
      </c>
      <c r="T16" s="147">
        <f t="shared" ca="1" si="0"/>
        <v>0.36249999999999999</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5" zoomScaleNormal="60" zoomScaleSheetLayoutView="75" zoomScalePageLayoutView="10" workbookViewId="0">
      <pane xSplit="9" topLeftCell="M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6">
        <v>20170218</v>
      </c>
      <c r="G1" s="357"/>
      <c r="H1" s="63"/>
      <c r="I1" s="63"/>
      <c r="J1" s="63"/>
      <c r="K1" s="359" t="s">
        <v>4024</v>
      </c>
      <c r="L1" s="359"/>
      <c r="M1" s="359"/>
      <c r="N1" s="359"/>
      <c r="O1" s="359"/>
      <c r="P1" s="359"/>
      <c r="Q1" s="359"/>
      <c r="R1" s="359"/>
      <c r="S1" s="359"/>
      <c r="T1" s="359"/>
      <c r="U1" s="359"/>
      <c r="V1" s="359"/>
      <c r="W1" s="359"/>
      <c r="X1" s="359"/>
      <c r="Y1" s="359"/>
      <c r="Z1" s="359"/>
      <c r="AA1" s="359"/>
      <c r="AB1" s="359"/>
      <c r="AC1" s="359"/>
      <c r="AD1" s="359"/>
    </row>
    <row r="2" spans="1:30" ht="40.15" customHeight="1" x14ac:dyDescent="0.25">
      <c r="A2" s="63"/>
      <c r="B2" s="217" t="s">
        <v>3804</v>
      </c>
      <c r="C2" s="218" t="s">
        <v>4008</v>
      </c>
      <c r="D2" s="219" t="s">
        <v>3978</v>
      </c>
      <c r="E2" s="220"/>
      <c r="F2" s="221" t="s">
        <v>4009</v>
      </c>
      <c r="G2" s="222"/>
      <c r="H2" s="223"/>
      <c r="I2" s="63"/>
      <c r="J2" s="63"/>
      <c r="K2" s="358" t="s">
        <v>157</v>
      </c>
      <c r="L2" s="358"/>
      <c r="M2" s="66" t="s">
        <v>83</v>
      </c>
      <c r="N2" s="358" t="s">
        <v>158</v>
      </c>
      <c r="O2" s="358"/>
      <c r="P2" s="66" t="s">
        <v>151</v>
      </c>
      <c r="Q2" s="302" t="s">
        <v>1</v>
      </c>
      <c r="R2" s="66" t="s">
        <v>167</v>
      </c>
      <c r="S2" s="302" t="s">
        <v>3</v>
      </c>
      <c r="T2" s="66" t="s">
        <v>588</v>
      </c>
      <c r="U2" s="67" t="s">
        <v>159</v>
      </c>
      <c r="V2" s="66" t="s">
        <v>1735</v>
      </c>
      <c r="W2" s="66"/>
      <c r="X2" s="67" t="s">
        <v>160</v>
      </c>
      <c r="Y2" s="66" t="s">
        <v>149</v>
      </c>
      <c r="Z2" s="96" t="s">
        <v>3803</v>
      </c>
      <c r="AA2" s="68" t="str">
        <f>VLOOKUP(V2,[2]Data_donotedit!AY2:AZ1504,2,FALSE)</f>
        <v>iCI3qip67kQ</v>
      </c>
      <c r="AB2" s="68"/>
      <c r="AC2" s="68"/>
      <c r="AD2" s="68"/>
    </row>
    <row r="3" spans="1:30" ht="40.15" customHeight="1" x14ac:dyDescent="0.25">
      <c r="A3" s="63"/>
      <c r="B3" s="224"/>
      <c r="C3" s="253" t="s">
        <v>83</v>
      </c>
      <c r="D3" s="254" t="s">
        <v>3987</v>
      </c>
      <c r="E3" s="226"/>
      <c r="F3" s="229"/>
      <c r="G3" s="304">
        <f ca="1">_xlfn.IFNA(VLOOKUP(C3,Worksheet!$C$3:$G$46,5,FALSE),G3)</f>
        <v>175</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304">
        <f ca="1">_xlfn.IFNA(VLOOKUP(C4,Worksheet!$C$3:$G$46,5,FALSE),G4)</f>
        <v>4</v>
      </c>
      <c r="H4" s="205" t="s">
        <v>83</v>
      </c>
      <c r="I4" s="63"/>
      <c r="J4" s="63"/>
      <c r="K4" s="363" t="s">
        <v>80</v>
      </c>
      <c r="L4" s="354" t="s">
        <v>81</v>
      </c>
      <c r="M4" s="355"/>
      <c r="N4" s="351">
        <v>42644</v>
      </c>
      <c r="O4" s="352"/>
      <c r="P4" s="352"/>
      <c r="Q4" s="352"/>
      <c r="R4" s="353"/>
      <c r="S4" s="351">
        <v>42675</v>
      </c>
      <c r="T4" s="352"/>
      <c r="U4" s="352"/>
      <c r="V4" s="352"/>
      <c r="W4" s="353"/>
      <c r="X4" s="351">
        <v>42705</v>
      </c>
      <c r="Y4" s="352"/>
      <c r="Z4" s="352"/>
      <c r="AA4" s="352"/>
      <c r="AB4" s="353"/>
      <c r="AC4" s="360" t="s">
        <v>63</v>
      </c>
      <c r="AD4" s="360" t="s">
        <v>96</v>
      </c>
    </row>
    <row r="5" spans="1:30" ht="40.15" customHeight="1" x14ac:dyDescent="0.25">
      <c r="A5" s="63"/>
      <c r="B5" s="224"/>
      <c r="C5" s="255" t="s">
        <v>4015</v>
      </c>
      <c r="D5" s="226" t="s">
        <v>3976</v>
      </c>
      <c r="E5" s="226"/>
      <c r="F5" s="256"/>
      <c r="G5" s="304">
        <f ca="1">_xlfn.IFNA(VLOOKUP(C5,Worksheet!$C$3:$G$46,5,FALSE),G5)</f>
        <v>0</v>
      </c>
      <c r="H5" s="205" t="s">
        <v>83</v>
      </c>
      <c r="I5" s="63"/>
      <c r="J5" s="63"/>
      <c r="K5" s="363"/>
      <c r="L5" s="354" t="s">
        <v>82</v>
      </c>
      <c r="M5" s="355"/>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1"/>
      <c r="AD5" s="362"/>
    </row>
    <row r="6" spans="1:30" ht="40.15" customHeight="1" x14ac:dyDescent="0.25">
      <c r="A6" s="63"/>
      <c r="B6" s="224"/>
      <c r="C6" s="257" t="s">
        <v>4016</v>
      </c>
      <c r="D6" s="258" t="s">
        <v>3988</v>
      </c>
      <c r="E6" s="233"/>
      <c r="F6" s="259"/>
      <c r="G6" s="235">
        <f ca="1">_xlfn.IFNA(VLOOKUP(G3,Data_donotedit!$BE$2:$BG$25,3,TRUE),0)</f>
        <v>67</v>
      </c>
      <c r="H6" s="205" t="s">
        <v>83</v>
      </c>
      <c r="I6" s="63"/>
      <c r="J6" s="63"/>
      <c r="K6" s="132" t="s">
        <v>89</v>
      </c>
      <c r="L6" s="349" t="s">
        <v>3970</v>
      </c>
      <c r="M6" s="350"/>
      <c r="N6" s="71">
        <v>50.3</v>
      </c>
      <c r="O6" s="71">
        <v>2</v>
      </c>
      <c r="P6" s="71">
        <v>57.166666666666664</v>
      </c>
      <c r="Q6" s="71">
        <v>34.700000000000003</v>
      </c>
      <c r="R6" s="72">
        <v>86</v>
      </c>
      <c r="S6" s="71">
        <v>47.7</v>
      </c>
      <c r="T6" s="71">
        <v>7.666666666666667</v>
      </c>
      <c r="U6" s="71">
        <v>53.25</v>
      </c>
      <c r="V6" s="71">
        <v>34.299999999999997</v>
      </c>
      <c r="W6" s="72">
        <v>82.5</v>
      </c>
      <c r="X6" s="71">
        <v>29.3</v>
      </c>
      <c r="Y6" s="71">
        <v>1.6666666666666667</v>
      </c>
      <c r="Z6" s="71">
        <v>26.416666666666668</v>
      </c>
      <c r="AA6" s="71">
        <v>18.7</v>
      </c>
      <c r="AB6" s="71">
        <v>50</v>
      </c>
      <c r="AC6" s="73">
        <v>433</v>
      </c>
      <c r="AD6" s="74">
        <v>0.26866820631254812</v>
      </c>
    </row>
    <row r="7" spans="1:30" ht="40.15" customHeight="1" x14ac:dyDescent="0.25">
      <c r="A7" s="63"/>
      <c r="B7" s="224"/>
      <c r="C7" s="236"/>
      <c r="D7" s="260" t="s">
        <v>3840</v>
      </c>
      <c r="E7" s="238" t="s">
        <v>76</v>
      </c>
      <c r="F7" s="238" t="s">
        <v>77</v>
      </c>
      <c r="G7" s="239" t="s">
        <v>78</v>
      </c>
      <c r="H7" s="205" t="s">
        <v>83</v>
      </c>
      <c r="I7" s="63"/>
      <c r="J7" s="65"/>
      <c r="K7" s="59" t="s">
        <v>89</v>
      </c>
      <c r="L7" s="336" t="s">
        <v>3971</v>
      </c>
      <c r="M7" s="337"/>
      <c r="N7" s="133"/>
      <c r="O7" s="133"/>
      <c r="P7" s="78">
        <v>8</v>
      </c>
      <c r="Q7" s="133"/>
      <c r="R7" s="134"/>
      <c r="S7" s="133"/>
      <c r="T7" s="133"/>
      <c r="U7" s="78">
        <v>6</v>
      </c>
      <c r="V7" s="133"/>
      <c r="W7" s="134"/>
      <c r="X7" s="133"/>
      <c r="Y7" s="133"/>
      <c r="Z7" s="78">
        <v>3</v>
      </c>
      <c r="AA7" s="133"/>
      <c r="AB7" s="133"/>
      <c r="AC7" s="80">
        <v>16</v>
      </c>
      <c r="AD7" s="81">
        <v>0.21249999999999999</v>
      </c>
    </row>
    <row r="8" spans="1:30" ht="40.15" customHeight="1" x14ac:dyDescent="0.25">
      <c r="A8" s="63"/>
      <c r="B8" s="261" t="s">
        <v>3841</v>
      </c>
      <c r="C8" s="236">
        <v>1211</v>
      </c>
      <c r="D8" s="240" t="s">
        <v>3842</v>
      </c>
      <c r="E8" s="305">
        <f ca="1">_xlfn.IFNA(VLOOKUP(C8,Worksheet!$C$3:$G$46,3,FALSE),E8)</f>
        <v>1</v>
      </c>
      <c r="F8" s="305">
        <f ca="1">_xlfn.IFNA(VLOOKUP(C8,Worksheet!$C$3:$G$46,4,FALSE),F8)</f>
        <v>1</v>
      </c>
      <c r="G8" s="305">
        <f ca="1">_xlfn.IFNA(VLOOKUP(C8,Worksheet!$C$3:$G$46,5,FALSE),G8)</f>
        <v>1</v>
      </c>
      <c r="H8" s="205" t="s">
        <v>83</v>
      </c>
      <c r="I8" s="63"/>
      <c r="J8" s="70"/>
      <c r="K8" s="58" t="s">
        <v>79</v>
      </c>
      <c r="L8" s="334" t="s">
        <v>3972</v>
      </c>
      <c r="M8" s="335"/>
      <c r="N8" s="71">
        <v>46.8</v>
      </c>
      <c r="O8" s="71">
        <v>0</v>
      </c>
      <c r="P8" s="71">
        <v>56.5</v>
      </c>
      <c r="Q8" s="71">
        <v>31.2</v>
      </c>
      <c r="R8" s="72">
        <v>78</v>
      </c>
      <c r="S8" s="71">
        <v>40.200000000000003</v>
      </c>
      <c r="T8" s="71">
        <v>0</v>
      </c>
      <c r="U8" s="71">
        <v>50.25</v>
      </c>
      <c r="V8" s="71">
        <v>26.8</v>
      </c>
      <c r="W8" s="72">
        <v>67</v>
      </c>
      <c r="X8" s="71">
        <v>25.8</v>
      </c>
      <c r="Y8" s="71">
        <v>0</v>
      </c>
      <c r="Z8" s="71">
        <v>25.75</v>
      </c>
      <c r="AA8" s="71">
        <v>17.2</v>
      </c>
      <c r="AB8" s="71">
        <v>43</v>
      </c>
      <c r="AC8" s="75">
        <v>258</v>
      </c>
      <c r="AD8" s="76">
        <v>0.39418604651162786</v>
      </c>
    </row>
    <row r="9" spans="1:30" ht="40.15" customHeight="1" x14ac:dyDescent="0.25">
      <c r="A9" s="63"/>
      <c r="B9" s="261" t="s">
        <v>3843</v>
      </c>
      <c r="C9" s="236">
        <v>1212</v>
      </c>
      <c r="D9" s="240" t="s">
        <v>3844</v>
      </c>
      <c r="E9" s="305">
        <f ca="1">_xlfn.IFNA(VLOOKUP(C9,Worksheet!$C$3:$G$46,3,FALSE),E9)</f>
        <v>1</v>
      </c>
      <c r="F9" s="305">
        <f ca="1">_xlfn.IFNA(VLOOKUP(C9,Worksheet!$C$3:$G$46,4,FALSE),F9)</f>
        <v>1</v>
      </c>
      <c r="G9" s="305">
        <f ca="1">_xlfn.IFNA(VLOOKUP(C9,Worksheet!$C$3:$G$46,5,FALSE),G9)</f>
        <v>1</v>
      </c>
      <c r="H9" s="205" t="s">
        <v>83</v>
      </c>
      <c r="I9" s="63"/>
      <c r="J9" s="70"/>
      <c r="K9" s="59" t="s">
        <v>79</v>
      </c>
      <c r="L9" s="336" t="s">
        <v>88</v>
      </c>
      <c r="M9" s="337"/>
      <c r="N9" s="133"/>
      <c r="O9" s="133"/>
      <c r="P9" s="78">
        <v>8</v>
      </c>
      <c r="Q9" s="133"/>
      <c r="R9" s="134"/>
      <c r="S9" s="133"/>
      <c r="T9" s="133"/>
      <c r="U9" s="78">
        <v>6</v>
      </c>
      <c r="V9" s="133"/>
      <c r="W9" s="134"/>
      <c r="X9" s="133"/>
      <c r="Y9" s="133"/>
      <c r="Z9" s="78">
        <v>3</v>
      </c>
      <c r="AA9" s="133"/>
      <c r="AB9" s="133"/>
      <c r="AC9" s="80">
        <v>12</v>
      </c>
      <c r="AD9" s="81">
        <v>0.28333333333333333</v>
      </c>
    </row>
    <row r="10" spans="1:30" ht="40.15" customHeight="1" x14ac:dyDescent="0.25">
      <c r="A10" s="63"/>
      <c r="B10" s="224"/>
      <c r="C10" s="236">
        <v>1213</v>
      </c>
      <c r="D10" s="240" t="s">
        <v>3845</v>
      </c>
      <c r="E10" s="305">
        <f ca="1">_xlfn.IFNA(VLOOKUP(C10,Worksheet!$C$3:$G$46,3,FALSE),E10)</f>
        <v>4</v>
      </c>
      <c r="F10" s="305">
        <f ca="1">_xlfn.IFNA(VLOOKUP(C10,Worksheet!$C$3:$G$46,4,FALSE),F10)</f>
        <v>10</v>
      </c>
      <c r="G10" s="305">
        <f ca="1">_xlfn.IFNA(VLOOKUP(C10,Worksheet!$C$3:$G$46,5,FALSE),G10)</f>
        <v>2</v>
      </c>
      <c r="H10" s="205" t="s">
        <v>83</v>
      </c>
      <c r="I10" s="63"/>
      <c r="J10" s="70"/>
      <c r="K10" s="121" t="s">
        <v>83</v>
      </c>
      <c r="L10" s="338" t="s">
        <v>3974</v>
      </c>
      <c r="M10" s="339"/>
      <c r="N10" s="122">
        <v>3.5</v>
      </c>
      <c r="O10" s="71">
        <v>2</v>
      </c>
      <c r="P10" s="71">
        <v>0.66666666666666663</v>
      </c>
      <c r="Q10" s="71">
        <v>3.5</v>
      </c>
      <c r="R10" s="71">
        <v>8</v>
      </c>
      <c r="S10" s="122">
        <v>7.5</v>
      </c>
      <c r="T10" s="71">
        <v>7.666666666666667</v>
      </c>
      <c r="U10" s="71">
        <v>3</v>
      </c>
      <c r="V10" s="71">
        <v>7.5</v>
      </c>
      <c r="W10" s="71">
        <v>15.5</v>
      </c>
      <c r="X10" s="122">
        <v>3.5</v>
      </c>
      <c r="Y10" s="71">
        <v>1.6666666666666667</v>
      </c>
      <c r="Z10" s="71">
        <v>0.66666666666666663</v>
      </c>
      <c r="AA10" s="71">
        <v>1.5</v>
      </c>
      <c r="AB10" s="71">
        <v>7</v>
      </c>
      <c r="AC10" s="124">
        <v>175</v>
      </c>
      <c r="AD10" s="125">
        <v>8.3619047619047621E-2</v>
      </c>
    </row>
    <row r="11" spans="1:30" ht="50.45" customHeight="1" x14ac:dyDescent="0.25">
      <c r="A11" s="63"/>
      <c r="B11" s="224"/>
      <c r="C11" s="236">
        <v>1214</v>
      </c>
      <c r="D11" s="262" t="s">
        <v>3846</v>
      </c>
      <c r="E11" s="305">
        <f ca="1">_xlfn.IFNA(VLOOKUP(C11,Worksheet!$C$3:$G$46,3,FALSE),E11)</f>
        <v>4</v>
      </c>
      <c r="F11" s="305">
        <f ca="1">_xlfn.IFNA(VLOOKUP(C11,Worksheet!$C$3:$G$46,4,FALSE),F11)</f>
        <v>10</v>
      </c>
      <c r="G11" s="305">
        <f ca="1">_xlfn.IFNA(VLOOKUP(C11,Worksheet!$C$3:$G$46,5,FALSE),G11)</f>
        <v>2</v>
      </c>
      <c r="H11" s="205" t="s">
        <v>83</v>
      </c>
      <c r="I11" s="63"/>
      <c r="J11" s="65"/>
      <c r="K11" s="120" t="s">
        <v>83</v>
      </c>
      <c r="L11" s="340" t="s">
        <v>3975</v>
      </c>
      <c r="M11" s="341"/>
      <c r="N11" s="135"/>
      <c r="O11" s="136"/>
      <c r="P11" s="71">
        <v>0</v>
      </c>
      <c r="Q11" s="136"/>
      <c r="R11" s="71">
        <v>3.5</v>
      </c>
      <c r="S11" s="135"/>
      <c r="T11" s="136"/>
      <c r="U11" s="71">
        <v>0</v>
      </c>
      <c r="V11" s="136"/>
      <c r="W11" s="71">
        <v>0.5</v>
      </c>
      <c r="X11" s="135"/>
      <c r="Y11" s="136"/>
      <c r="Z11" s="71">
        <v>0</v>
      </c>
      <c r="AA11" s="136"/>
      <c r="AB11" s="71">
        <v>0</v>
      </c>
      <c r="AC11" s="123">
        <v>4</v>
      </c>
      <c r="AD11" s="126">
        <v>0.19999999999999998</v>
      </c>
    </row>
    <row r="12" spans="1:30" ht="48.6" customHeight="1" x14ac:dyDescent="0.25">
      <c r="A12" s="63"/>
      <c r="B12" s="224"/>
      <c r="C12" s="236">
        <v>1215</v>
      </c>
      <c r="D12" s="240" t="s">
        <v>3847</v>
      </c>
      <c r="E12" s="305">
        <f ca="1">_xlfn.IFNA(VLOOKUP(C12,Worksheet!$C$3:$G$46,3,FALSE),E12)</f>
        <v>11</v>
      </c>
      <c r="F12" s="305">
        <f ca="1">_xlfn.IFNA(VLOOKUP(C12,Worksheet!$C$3:$G$46,4,FALSE),F12)</f>
        <v>20</v>
      </c>
      <c r="G12" s="305">
        <f ca="1">_xlfn.IFNA(VLOOKUP(C12,Worksheet!$C$3:$G$46,5,FALSE),G12)</f>
        <v>12</v>
      </c>
      <c r="H12" s="205" t="s">
        <v>83</v>
      </c>
      <c r="I12" s="63"/>
      <c r="J12" s="65"/>
      <c r="K12" s="127" t="s">
        <v>83</v>
      </c>
      <c r="L12" s="342" t="s">
        <v>3976</v>
      </c>
      <c r="M12" s="343"/>
      <c r="N12" s="77">
        <v>0</v>
      </c>
      <c r="O12" s="78">
        <v>0</v>
      </c>
      <c r="P12" s="78">
        <v>0</v>
      </c>
      <c r="Q12" s="78">
        <v>0.75</v>
      </c>
      <c r="R12" s="78">
        <v>1.5</v>
      </c>
      <c r="S12" s="77">
        <v>0</v>
      </c>
      <c r="T12" s="78">
        <v>0</v>
      </c>
      <c r="U12" s="78">
        <v>0</v>
      </c>
      <c r="V12" s="78">
        <v>0</v>
      </c>
      <c r="W12" s="78">
        <v>0</v>
      </c>
      <c r="X12" s="77">
        <v>0</v>
      </c>
      <c r="Y12" s="78">
        <v>0</v>
      </c>
      <c r="Z12" s="78">
        <v>2</v>
      </c>
      <c r="AA12" s="78">
        <v>0</v>
      </c>
      <c r="AB12" s="78">
        <v>3</v>
      </c>
      <c r="AC12" s="128">
        <v>0</v>
      </c>
      <c r="AD12" s="129" t="e">
        <v>#DIV/0!</v>
      </c>
    </row>
    <row r="13" spans="1:30" ht="48.6" customHeight="1" x14ac:dyDescent="0.25">
      <c r="A13" s="63"/>
      <c r="B13" s="224"/>
      <c r="C13" s="236">
        <v>1216</v>
      </c>
      <c r="D13" s="241" t="s">
        <v>3848</v>
      </c>
      <c r="E13" s="305">
        <f ca="1">_xlfn.IFNA(VLOOKUP(C13,Worksheet!$C$3:$G$46,3,FALSE),E13)</f>
        <v>2</v>
      </c>
      <c r="F13" s="305">
        <f ca="1">_xlfn.IFNA(VLOOKUP(C13,Worksheet!$C$3:$G$46,4,FALSE),F13)</f>
        <v>9</v>
      </c>
      <c r="G13" s="305">
        <f ca="1">_xlfn.IFNA(VLOOKUP(C13,Worksheet!$C$3:$G$46,5,FALSE),G13)</f>
        <v>2</v>
      </c>
      <c r="H13" s="205" t="s">
        <v>83</v>
      </c>
      <c r="I13" s="63"/>
      <c r="J13" s="65"/>
      <c r="K13" s="60" t="s">
        <v>86</v>
      </c>
      <c r="L13" s="332" t="s">
        <v>87</v>
      </c>
      <c r="M13" s="33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305">
        <f ca="1">_xlfn.IFNA(VLOOKUP(C14,Worksheet!$C$3:$G$46,3,FALSE),E14)</f>
        <v>0</v>
      </c>
      <c r="F14" s="305">
        <f ca="1">_xlfn.IFNA(VLOOKUP(C14,Worksheet!$C$3:$G$46,4,FALSE),F14)</f>
        <v>0</v>
      </c>
      <c r="G14" s="305">
        <f ca="1">_xlfn.IFNA(VLOOKUP(C14,Worksheet!$C$3:$G$46,5,FALSE),G14)</f>
        <v>0</v>
      </c>
      <c r="H14" s="205" t="s">
        <v>83</v>
      </c>
      <c r="I14" s="63"/>
      <c r="J14" s="70"/>
      <c r="K14" s="59" t="s">
        <v>84</v>
      </c>
      <c r="L14" s="342" t="s">
        <v>85</v>
      </c>
      <c r="M14" s="347"/>
      <c r="N14" s="77">
        <v>2</v>
      </c>
      <c r="O14" s="78">
        <v>1.25</v>
      </c>
      <c r="P14" s="78">
        <v>0</v>
      </c>
      <c r="Q14" s="78">
        <v>0</v>
      </c>
      <c r="R14" s="79">
        <v>0</v>
      </c>
      <c r="S14" s="78">
        <v>1</v>
      </c>
      <c r="T14" s="78">
        <v>0.75</v>
      </c>
      <c r="U14" s="78">
        <v>0</v>
      </c>
      <c r="V14" s="78">
        <v>0</v>
      </c>
      <c r="W14" s="79">
        <v>0</v>
      </c>
      <c r="X14" s="78">
        <v>1.5</v>
      </c>
      <c r="Y14" s="78">
        <v>0.75</v>
      </c>
      <c r="Z14" s="78">
        <v>0</v>
      </c>
      <c r="AA14" s="78">
        <v>0</v>
      </c>
      <c r="AB14" s="78">
        <v>0</v>
      </c>
      <c r="AC14" s="80">
        <v>4</v>
      </c>
      <c r="AD14" s="81">
        <v>0.36249999999999999</v>
      </c>
    </row>
    <row r="15" spans="1:30" ht="47.45" customHeight="1" x14ac:dyDescent="0.25">
      <c r="A15" s="63"/>
      <c r="B15" s="224"/>
      <c r="C15" s="236">
        <v>1218</v>
      </c>
      <c r="D15" s="241" t="s">
        <v>3850</v>
      </c>
      <c r="E15" s="305">
        <f ca="1">_xlfn.IFNA(VLOOKUP(C15,Worksheet!$C$3:$G$46,3,FALSE),E15)</f>
        <v>1</v>
      </c>
      <c r="F15" s="305">
        <f ca="1">_xlfn.IFNA(VLOOKUP(C15,Worksheet!$C$3:$G$46,4,FALSE),F15)</f>
        <v>1</v>
      </c>
      <c r="G15" s="305">
        <f ca="1">_xlfn.IFNA(VLOOKUP(C15,Worksheet!$C$3:$G$46,5,FALSE),G15)</f>
        <v>0</v>
      </c>
      <c r="H15" s="205" t="s">
        <v>83</v>
      </c>
      <c r="I15" s="63"/>
      <c r="J15" s="70"/>
      <c r="K15" s="60" t="s">
        <v>90</v>
      </c>
      <c r="L15" s="332" t="s">
        <v>74</v>
      </c>
      <c r="M15" s="346"/>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305">
        <f ca="1">_xlfn.IFNA(VLOOKUP(C16,Worksheet!$C$3:$G$46,3,FALSE),E16)</f>
        <v>2</v>
      </c>
      <c r="F16" s="305">
        <f ca="1">_xlfn.IFNA(VLOOKUP(C16,Worksheet!$C$3:$G$46,4,FALSE),F16)</f>
        <v>9</v>
      </c>
      <c r="G16" s="305">
        <f ca="1">_xlfn.IFNA(VLOOKUP(C16,Worksheet!$C$3:$G$46,5,FALSE),G16)</f>
        <v>2</v>
      </c>
      <c r="H16" s="205" t="s">
        <v>83</v>
      </c>
      <c r="I16" s="63"/>
      <c r="J16" s="70"/>
      <c r="K16" s="60" t="s">
        <v>91</v>
      </c>
      <c r="L16" s="332" t="s">
        <v>75</v>
      </c>
      <c r="M16" s="346"/>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305">
        <f ca="1">_xlfn.IFNA(VLOOKUP(C17,Worksheet!$C$3:$G$46,3,FALSE),E17)</f>
        <v>2</v>
      </c>
      <c r="F17" s="305">
        <f ca="1">_xlfn.IFNA(VLOOKUP(C17,Worksheet!$C$3:$G$46,4,FALSE),F17)</f>
        <v>9</v>
      </c>
      <c r="G17" s="305">
        <f ca="1">_xlfn.IFNA(VLOOKUP(C17,Worksheet!$C$3:$G$46,5,FALSE),G17)</f>
        <v>2</v>
      </c>
      <c r="H17" s="205" t="s">
        <v>83</v>
      </c>
      <c r="I17" s="63"/>
      <c r="J17" s="65"/>
      <c r="K17" s="63"/>
      <c r="L17" s="63"/>
      <c r="M17" s="63"/>
      <c r="N17" s="87">
        <f>AVERAGE(N6:N16)</f>
        <v>12.824999999999999</v>
      </c>
      <c r="O17" s="87">
        <f t="shared" ref="O17:AB17" si="0">AVERAGE(O6:O16)</f>
        <v>0.65625</v>
      </c>
      <c r="P17" s="87">
        <f t="shared" si="0"/>
        <v>11.848484848484846</v>
      </c>
      <c r="Q17" s="87">
        <f t="shared" si="0"/>
        <v>8.7687500000000007</v>
      </c>
      <c r="R17" s="87">
        <f t="shared" si="0"/>
        <v>19.666666666666668</v>
      </c>
      <c r="S17" s="87">
        <f t="shared" si="0"/>
        <v>12.05</v>
      </c>
      <c r="T17" s="87">
        <f t="shared" si="0"/>
        <v>2.010416666666667</v>
      </c>
      <c r="U17" s="87">
        <f t="shared" si="0"/>
        <v>10.772727272727273</v>
      </c>
      <c r="V17" s="87">
        <f t="shared" si="0"/>
        <v>8.5749999999999993</v>
      </c>
      <c r="W17" s="87">
        <f t="shared" si="0"/>
        <v>18.388888888888889</v>
      </c>
      <c r="X17" s="87">
        <f t="shared" si="0"/>
        <v>7.5125000000000002</v>
      </c>
      <c r="Y17" s="87">
        <f t="shared" si="0"/>
        <v>0.51041666666666674</v>
      </c>
      <c r="Z17" s="87">
        <f t="shared" si="0"/>
        <v>5.5303030303030303</v>
      </c>
      <c r="AA17" s="87">
        <f t="shared" si="0"/>
        <v>4.6749999999999998</v>
      </c>
      <c r="AB17" s="87">
        <f t="shared" si="0"/>
        <v>11.444444444444445</v>
      </c>
      <c r="AC17" s="63"/>
      <c r="AD17" s="63"/>
    </row>
    <row r="18" spans="1:30" ht="40.15" customHeight="1" x14ac:dyDescent="0.3">
      <c r="A18" s="63"/>
      <c r="B18" s="224"/>
      <c r="C18" s="236">
        <v>1223</v>
      </c>
      <c r="D18" s="262" t="s">
        <v>3853</v>
      </c>
      <c r="E18" s="305">
        <f ca="1">_xlfn.IFNA(VLOOKUP(C18,Worksheet!$C$3:$G$46,3,FALSE),E18)</f>
        <v>2</v>
      </c>
      <c r="F18" s="305">
        <f ca="1">_xlfn.IFNA(VLOOKUP(C18,Worksheet!$C$3:$G$46,4,FALSE),F18)</f>
        <v>9</v>
      </c>
      <c r="G18" s="305">
        <f ca="1">_xlfn.IFNA(VLOOKUP(C18,Worksheet!$C$3:$G$46,5,FALSE),G18)</f>
        <v>2</v>
      </c>
      <c r="H18" s="205" t="s">
        <v>83</v>
      </c>
      <c r="I18" s="63"/>
      <c r="J18" s="65"/>
      <c r="K18" s="348" t="s">
        <v>563</v>
      </c>
      <c r="L18" s="348"/>
      <c r="M18" s="206" t="s">
        <v>564</v>
      </c>
      <c r="N18" s="207"/>
      <c r="O18" s="208"/>
      <c r="P18" s="208"/>
      <c r="Q18" s="208"/>
      <c r="R18" s="303" t="s">
        <v>561</v>
      </c>
      <c r="S18" s="306" t="s">
        <v>567</v>
      </c>
      <c r="T18" s="209"/>
      <c r="U18" s="345" t="s">
        <v>562</v>
      </c>
      <c r="V18" s="345"/>
      <c r="W18" s="210" t="s">
        <v>566</v>
      </c>
      <c r="X18" s="210"/>
      <c r="Y18" s="88"/>
      <c r="Z18" s="88"/>
      <c r="AA18" s="88"/>
      <c r="AB18" s="88"/>
      <c r="AC18" s="63"/>
      <c r="AD18" s="63"/>
    </row>
    <row r="19" spans="1:30" ht="40.15" customHeight="1" x14ac:dyDescent="0.3">
      <c r="A19" s="63"/>
      <c r="B19" s="224"/>
      <c r="C19" s="236">
        <v>1224</v>
      </c>
      <c r="D19" s="262" t="s">
        <v>3854</v>
      </c>
      <c r="E19" s="305">
        <f ca="1">_xlfn.IFNA(VLOOKUP(C19,Worksheet!$C$3:$G$46,3,FALSE),E19)</f>
        <v>0</v>
      </c>
      <c r="F19" s="305">
        <f ca="1">_xlfn.IFNA(VLOOKUP(C19,Worksheet!$C$3:$G$46,4,FALSE),F19)</f>
        <v>0</v>
      </c>
      <c r="G19" s="305">
        <f ca="1">_xlfn.IFNA(VLOOKUP(C19,Worksheet!$C$3:$G$46,5,FALSE),G19)</f>
        <v>0</v>
      </c>
      <c r="H19" s="205" t="s">
        <v>83</v>
      </c>
      <c r="I19" s="63"/>
      <c r="J19" s="65"/>
      <c r="K19" s="344" t="s">
        <v>61</v>
      </c>
      <c r="L19" s="344"/>
      <c r="M19" s="206" t="s">
        <v>565</v>
      </c>
      <c r="N19" s="206"/>
      <c r="O19" s="206"/>
      <c r="P19" s="206"/>
      <c r="Q19" s="206"/>
      <c r="R19" s="303" t="s">
        <v>561</v>
      </c>
      <c r="S19" s="209"/>
      <c r="T19" s="209"/>
      <c r="U19" s="345" t="s">
        <v>562</v>
      </c>
      <c r="V19" s="345"/>
      <c r="W19" s="210"/>
      <c r="X19" s="210"/>
      <c r="Y19" s="63"/>
      <c r="Z19" s="63"/>
      <c r="AA19" s="63"/>
      <c r="AB19" s="63"/>
      <c r="AC19" s="63"/>
      <c r="AD19" s="63"/>
    </row>
    <row r="20" spans="1:30" ht="40.15" customHeight="1" x14ac:dyDescent="0.25">
      <c r="A20" s="63"/>
      <c r="B20" s="224"/>
      <c r="C20" s="236">
        <v>1225</v>
      </c>
      <c r="D20" s="262" t="s">
        <v>3855</v>
      </c>
      <c r="E20" s="305">
        <f ca="1">_xlfn.IFNA(VLOOKUP(C20,Worksheet!$C$3:$G$46,3,FALSE),E20)</f>
        <v>0</v>
      </c>
      <c r="F20" s="305">
        <f ca="1">_xlfn.IFNA(VLOOKUP(C20,Worksheet!$C$3:$G$46,4,FALSE),F20)</f>
        <v>0</v>
      </c>
      <c r="G20" s="305">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305">
        <f ca="1">_xlfn.IFNA(VLOOKUP(C21,Worksheet!$C$3:$G$46,3,FALSE),E21)</f>
        <v>0</v>
      </c>
      <c r="F21" s="305">
        <f ca="1">_xlfn.IFNA(VLOOKUP(C21,Worksheet!$C$3:$G$46,4,FALSE),F21)</f>
        <v>0</v>
      </c>
      <c r="G21" s="305">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305">
        <f ca="1">_xlfn.IFNA(VLOOKUP(C22,Worksheet!$C$3:$G$46,3,FALSE),E22)</f>
        <v>0</v>
      </c>
      <c r="F22" s="305">
        <f ca="1">_xlfn.IFNA(VLOOKUP(C22,Worksheet!$C$3:$G$46,4,FALSE),F22)</f>
        <v>0</v>
      </c>
      <c r="G22" s="305">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12.824999999999999</v>
      </c>
      <c r="Q23" s="93">
        <f>O17</f>
        <v>0.65625</v>
      </c>
      <c r="R23" s="93">
        <f>P17</f>
        <v>11.848484848484846</v>
      </c>
      <c r="S23" s="93">
        <f>Q17</f>
        <v>8.7687500000000007</v>
      </c>
      <c r="T23" s="93">
        <f>R17</f>
        <v>19.666666666666668</v>
      </c>
      <c r="U23" s="63"/>
      <c r="V23" s="63"/>
      <c r="W23" s="63"/>
      <c r="X23" s="63"/>
      <c r="Y23" s="63"/>
      <c r="Z23" s="63"/>
      <c r="AA23" s="63"/>
      <c r="AB23" s="63"/>
      <c r="AC23" s="63"/>
      <c r="AD23" s="63"/>
    </row>
    <row r="24" spans="1:30" ht="40.15" customHeight="1" x14ac:dyDescent="0.25">
      <c r="A24" s="63"/>
      <c r="B24" s="224"/>
      <c r="C24" s="236">
        <v>1231</v>
      </c>
      <c r="D24" s="240" t="s">
        <v>3858</v>
      </c>
      <c r="E24" s="305">
        <f ca="1">_xlfn.IFNA(VLOOKUP(C24,Worksheet!$C$3:$G$46,3,FALSE),E24)</f>
        <v>2</v>
      </c>
      <c r="F24" s="305">
        <f ca="1">_xlfn.IFNA(VLOOKUP(C24,Worksheet!$C$3:$G$46,4,FALSE),F24)</f>
        <v>9</v>
      </c>
      <c r="G24" s="305">
        <f ca="1">_xlfn.IFNA(VLOOKUP(C24,Worksheet!$C$3:$G$46,5,FALSE),G24)</f>
        <v>2</v>
      </c>
      <c r="H24" s="205" t="s">
        <v>83</v>
      </c>
      <c r="I24" s="63"/>
      <c r="J24" s="65"/>
      <c r="K24" s="63"/>
      <c r="L24" s="63"/>
      <c r="M24" s="63"/>
      <c r="N24" s="63"/>
      <c r="O24" s="91">
        <v>42675</v>
      </c>
      <c r="P24" s="92">
        <f>S17</f>
        <v>12.05</v>
      </c>
      <c r="Q24" s="93">
        <f>T17</f>
        <v>2.010416666666667</v>
      </c>
      <c r="R24" s="93">
        <f>U17</f>
        <v>10.772727272727273</v>
      </c>
      <c r="S24" s="93">
        <f>V17</f>
        <v>8.5749999999999993</v>
      </c>
      <c r="T24" s="93">
        <f>W17</f>
        <v>18.388888888888889</v>
      </c>
      <c r="U24" s="63"/>
      <c r="V24" s="63"/>
      <c r="W24" s="63"/>
      <c r="X24" s="63"/>
      <c r="Y24" s="63"/>
      <c r="Z24" s="63"/>
      <c r="AA24" s="63"/>
      <c r="AB24" s="63"/>
      <c r="AC24" s="63"/>
      <c r="AD24" s="63"/>
    </row>
    <row r="25" spans="1:30" ht="40.15" customHeight="1" x14ac:dyDescent="0.25">
      <c r="A25" s="63"/>
      <c r="B25" s="224"/>
      <c r="C25" s="236">
        <v>1232</v>
      </c>
      <c r="D25" s="240" t="s">
        <v>3859</v>
      </c>
      <c r="E25" s="305">
        <f ca="1">_xlfn.IFNA(VLOOKUP(C25,Worksheet!$C$3:$G$46,3,FALSE),E25)</f>
        <v>0</v>
      </c>
      <c r="F25" s="305">
        <f ca="1">_xlfn.IFNA(VLOOKUP(C25,Worksheet!$C$3:$G$46,4,FALSE),F25)</f>
        <v>0</v>
      </c>
      <c r="G25" s="305">
        <f ca="1">_xlfn.IFNA(VLOOKUP(C25,Worksheet!$C$3:$G$46,5,FALSE),G25)</f>
        <v>0</v>
      </c>
      <c r="H25" s="205" t="s">
        <v>83</v>
      </c>
      <c r="I25" s="63"/>
      <c r="J25" s="63"/>
      <c r="K25" s="63"/>
      <c r="L25" s="63"/>
      <c r="M25" s="63"/>
      <c r="N25" s="63"/>
      <c r="O25" s="91">
        <v>42705</v>
      </c>
      <c r="P25" s="92">
        <f>X17</f>
        <v>7.5125000000000002</v>
      </c>
      <c r="Q25" s="93">
        <f>Y17</f>
        <v>0.51041666666666674</v>
      </c>
      <c r="R25" s="93">
        <f>Z17</f>
        <v>5.5303030303030303</v>
      </c>
      <c r="S25" s="93">
        <f>AA17</f>
        <v>4.6749999999999998</v>
      </c>
      <c r="T25" s="93">
        <f>AB17</f>
        <v>11.444444444444445</v>
      </c>
      <c r="U25" s="63"/>
      <c r="V25" s="63"/>
      <c r="W25" s="63"/>
      <c r="X25" s="63"/>
      <c r="Y25" s="63"/>
      <c r="Z25" s="63"/>
      <c r="AA25" s="63"/>
      <c r="AB25" s="63"/>
      <c r="AC25" s="63"/>
      <c r="AD25" s="63"/>
    </row>
    <row r="26" spans="1:30" ht="40.15" customHeight="1" x14ac:dyDescent="0.25">
      <c r="A26" s="63"/>
      <c r="B26" s="224"/>
      <c r="C26" s="236">
        <v>1233</v>
      </c>
      <c r="D26" s="240" t="s">
        <v>3860</v>
      </c>
      <c r="E26" s="305">
        <f ca="1">_xlfn.IFNA(VLOOKUP(C26,Worksheet!$C$3:$G$46,3,FALSE),E26)</f>
        <v>0</v>
      </c>
      <c r="F26" s="305">
        <f ca="1">_xlfn.IFNA(VLOOKUP(C26,Worksheet!$C$3:$G$46,4,FALSE),F26)</f>
        <v>0</v>
      </c>
      <c r="G26" s="305">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305">
        <f ca="1">_xlfn.IFNA(VLOOKUP(C27,Worksheet!$C$3:$G$46,3,FALSE),E27)</f>
        <v>0</v>
      </c>
      <c r="F27" s="305">
        <f ca="1">_xlfn.IFNA(VLOOKUP(C27,Worksheet!$C$3:$G$46,4,FALSE),F27)</f>
        <v>0</v>
      </c>
      <c r="G27" s="305">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305">
        <f ca="1">_xlfn.IFNA(VLOOKUP(C28,Worksheet!$C$3:$G$46,3,FALSE),E28)</f>
        <v>0</v>
      </c>
      <c r="F28" s="305">
        <f ca="1">_xlfn.IFNA(VLOOKUP(C28,Worksheet!$C$3:$G$46,4,FALSE),F28)</f>
        <v>0</v>
      </c>
      <c r="G28" s="305">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305">
        <f ca="1">_xlfn.IFNA(VLOOKUP(C29,Worksheet!$C$3:$G$46,3,FALSE),E29)</f>
        <v>0</v>
      </c>
      <c r="F29" s="305">
        <f ca="1">_xlfn.IFNA(VLOOKUP(C29,Worksheet!$C$3:$G$46,4,FALSE),F29)</f>
        <v>0</v>
      </c>
      <c r="G29" s="305">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305">
        <f ca="1">_xlfn.IFNA(VLOOKUP(C30,Worksheet!$C$3:$G$46,3,FALSE),E30)</f>
        <v>4</v>
      </c>
      <c r="F30" s="305">
        <f ca="1">_xlfn.IFNA(VLOOKUP(C30,Worksheet!$C$3:$G$46,4,FALSE),F30)</f>
        <v>10</v>
      </c>
      <c r="G30" s="305">
        <f ca="1">_xlfn.IFNA(VLOOKUP(C30,Worksheet!$C$3:$G$46,5,FALSE),G30)</f>
        <v>2</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305">
        <f ca="1">_xlfn.IFNA(VLOOKUP(C31,Worksheet!$C$3:$G$46,3,FALSE),E31)</f>
        <v>0</v>
      </c>
      <c r="F31" s="305">
        <f ca="1">_xlfn.IFNA(VLOOKUP(C31,Worksheet!$C$3:$G$46,4,FALSE),F31)</f>
        <v>0</v>
      </c>
      <c r="G31" s="305">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305">
        <f ca="1">_xlfn.IFNA(VLOOKUP(C32,Worksheet!$C$3:$G$46,3,FALSE),E32)</f>
        <v>2</v>
      </c>
      <c r="F32" s="305">
        <f ca="1">_xlfn.IFNA(VLOOKUP(C32,Worksheet!$C$3:$G$46,4,FALSE),F32)</f>
        <v>9</v>
      </c>
      <c r="G32" s="305">
        <f ca="1">_xlfn.IFNA(VLOOKUP(C32,Worksheet!$C$3:$G$46,5,FALSE),G32)</f>
        <v>2</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305">
        <f ca="1">_xlfn.IFNA(VLOOKUP(C33,Worksheet!$C$3:$G$46,3,FALSE),E33)</f>
        <v>0</v>
      </c>
      <c r="F33" s="305">
        <f ca="1">_xlfn.IFNA(VLOOKUP(C33,Worksheet!$C$3:$G$46,4,FALSE),F33)</f>
        <v>0</v>
      </c>
      <c r="G33" s="305">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305">
        <f ca="1">_xlfn.IFNA(VLOOKUP(C34,Worksheet!$C$3:$G$46,3,FALSE),E34)</f>
        <v>0</v>
      </c>
      <c r="F34" s="305">
        <f ca="1">_xlfn.IFNA(VLOOKUP(C34,Worksheet!$C$3:$G$46,4,FALSE),F34)</f>
        <v>0</v>
      </c>
      <c r="G34" s="305">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305">
        <f ca="1">_xlfn.IFNA(VLOOKUP(C35,Worksheet!$C$3:$G$46,3,FALSE),E35)</f>
        <v>0</v>
      </c>
      <c r="F35" s="305">
        <f ca="1">_xlfn.IFNA(VLOOKUP(C35,Worksheet!$C$3:$G$46,4,FALSE),F35)</f>
        <v>0</v>
      </c>
      <c r="G35" s="305">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305">
        <f ca="1">_xlfn.IFNA(VLOOKUP(C36,Worksheet!$C$3:$G$46,3,FALSE),E36)</f>
        <v>5</v>
      </c>
      <c r="F36" s="305">
        <f ca="1">_xlfn.IFNA(VLOOKUP(C36,Worksheet!$C$3:$G$46,4,FALSE),F36)</f>
        <v>11</v>
      </c>
      <c r="G36" s="305">
        <f ca="1">_xlfn.IFNA(VLOOKUP(C36,Worksheet!$C$3:$G$46,5,FALSE),G36)</f>
        <v>2</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305">
        <f ca="1">_xlfn.IFNA(VLOOKUP(C37,Worksheet!$C$3:$G$46,3,FALSE),E37)</f>
        <v>3</v>
      </c>
      <c r="F37" s="305">
        <f ca="1">_xlfn.IFNA(VLOOKUP(C37,Worksheet!$C$3:$G$46,4,FALSE),F37)</f>
        <v>0</v>
      </c>
      <c r="G37" s="305">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305">
        <f ca="1">_xlfn.IFNA(VLOOKUP(C38,Worksheet!$C$3:$G$46,3,FALSE),E38)</f>
        <v>11</v>
      </c>
      <c r="F38" s="305">
        <f ca="1">_xlfn.IFNA(VLOOKUP(C38,Worksheet!$C$3:$G$46,4,FALSE),F38)</f>
        <v>20</v>
      </c>
      <c r="G38" s="305">
        <f ca="1">_xlfn.IFNA(VLOOKUP(C38,Worksheet!$C$3:$G$46,5,FALSE),G38)</f>
        <v>12</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305">
        <f ca="1">_xlfn.IFNA(VLOOKUP(C39,Worksheet!$C$3:$G$46,3,FALSE),E39)</f>
        <v>5</v>
      </c>
      <c r="F39" s="305">
        <f ca="1">_xlfn.IFNA(VLOOKUP(C39,Worksheet!$C$3:$G$46,4,FALSE),F39)</f>
        <v>11</v>
      </c>
      <c r="G39" s="305">
        <f ca="1">_xlfn.IFNA(VLOOKUP(C39,Worksheet!$C$3:$G$46,5,FALSE),G39)</f>
        <v>2</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305">
        <f ca="1">_xlfn.IFNA(VLOOKUP(C40,Worksheet!$C$3:$G$46,3,FALSE),E40)</f>
        <v>4</v>
      </c>
      <c r="F40" s="305">
        <f ca="1">_xlfn.IFNA(VLOOKUP(C40,Worksheet!$C$3:$G$46,4,FALSE),F40)</f>
        <v>1</v>
      </c>
      <c r="G40" s="305">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305">
        <f ca="1">_xlfn.IFNA(VLOOKUP(C41,Worksheet!$C$3:$G$46,3,FALSE),E41)</f>
        <v>3</v>
      </c>
      <c r="F41" s="305">
        <f ca="1">_xlfn.IFNA(VLOOKUP(C41,Worksheet!$C$3:$G$46,4,FALSE),F41)</f>
        <v>0</v>
      </c>
      <c r="G41" s="305">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305">
        <f ca="1">_xlfn.IFNA(VLOOKUP(C42,Worksheet!$C$3:$G$46,3,FALSE),E42)</f>
        <v>0</v>
      </c>
      <c r="F42" s="305">
        <f ca="1">_xlfn.IFNA(VLOOKUP(C42,Worksheet!$C$3:$G$46,4,FALSE),F42)</f>
        <v>0</v>
      </c>
      <c r="G42" s="305">
        <f ca="1">_xlfn.IFNA(VLOOKUP(C42,Worksheet!$C$3:$G$46,5,FALSE),G42)</f>
        <v>3</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305">
        <f ca="1">_xlfn.IFNA(VLOOKUP(C43,Worksheet!$C$3:$G$46,3,FALSE),E43)</f>
        <v>3</v>
      </c>
      <c r="F43" s="305">
        <f ca="1">_xlfn.IFNA(VLOOKUP(C43,Worksheet!$C$3:$G$46,4,FALSE),F43)</f>
        <v>0</v>
      </c>
      <c r="G43" s="305">
        <f ca="1">_xlfn.IFNA(VLOOKUP(C43,Worksheet!$C$3:$G$46,5,FALSE),G43)</f>
        <v>3</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s2OusTtGHoXK4IdYBD1znoZo1s5vg9/f33pyOr+AdzIvTLLS16e9gFVaFDpErz/RoAQcRr/XFqcji/WkG7TvWg==" saltValue="8oSozSuO+LI/BP3shtqwi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433</v>
      </c>
      <c r="G2" s="205" t="s">
        <v>150</v>
      </c>
    </row>
    <row r="3" spans="1:7" ht="45" hidden="1" customHeight="1" x14ac:dyDescent="0.25">
      <c r="A3" s="224"/>
      <c r="B3" s="228" t="s">
        <v>4010</v>
      </c>
      <c r="C3" s="226" t="s">
        <v>3980</v>
      </c>
      <c r="D3" s="226"/>
      <c r="E3" s="229"/>
      <c r="F3" s="298">
        <f ca="1">_xlfn.IFNA(VLOOKUP(B3,Worksheet!$C$3:$G$46,5,FALSE),F3)</f>
        <v>16</v>
      </c>
      <c r="G3" s="205" t="s">
        <v>150</v>
      </c>
    </row>
    <row r="4" spans="1:7" ht="45" hidden="1" customHeight="1" x14ac:dyDescent="0.25">
      <c r="A4" s="224"/>
      <c r="B4" s="228" t="s">
        <v>4011</v>
      </c>
      <c r="C4" s="226" t="s">
        <v>3981</v>
      </c>
      <c r="D4" s="230"/>
      <c r="E4" s="229"/>
      <c r="F4" s="298">
        <f ca="1">_xlfn.IFNA(VLOOKUP(B4,Worksheet!$C$3:$G$46,5,FALSE),F4)</f>
        <v>258</v>
      </c>
      <c r="G4" s="205" t="s">
        <v>150</v>
      </c>
    </row>
    <row r="5" spans="1:7" ht="45" hidden="1" customHeight="1" x14ac:dyDescent="0.25">
      <c r="A5" s="224"/>
      <c r="B5" s="228" t="s">
        <v>4012</v>
      </c>
      <c r="C5" s="226" t="s">
        <v>3982</v>
      </c>
      <c r="D5" s="226"/>
      <c r="E5" s="229"/>
      <c r="F5" s="298">
        <f ca="1">_xlfn.IFNA(VLOOKUP(B5,Worksheet!$C$3:$G$46,5,FALSE),F5)</f>
        <v>12</v>
      </c>
      <c r="G5" s="205" t="s">
        <v>150</v>
      </c>
    </row>
    <row r="6" spans="1:7" ht="45" hidden="1" customHeight="1" x14ac:dyDescent="0.25">
      <c r="A6" s="224"/>
      <c r="B6" s="231" t="s">
        <v>4013</v>
      </c>
      <c r="C6" s="232" t="s">
        <v>3983</v>
      </c>
      <c r="D6" s="233"/>
      <c r="E6" s="234"/>
      <c r="F6" s="235">
        <f ca="1">_xlfn.IFNA(VLOOKUP(F2,Data_donotedit!$BE$2:$BG$25,3,TRUE),0)</f>
        <v>87</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3806</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3807</v>
      </c>
      <c r="D10" s="299">
        <f ca="1">_xlfn.IFNA(VLOOKUP(B10,Worksheet!$C$3:$G$46,3,FALSE),D10)</f>
        <v>78</v>
      </c>
      <c r="E10" s="299">
        <f ca="1">_xlfn.IFNA(VLOOKUP(B10,Worksheet!$C$3:$G$46,4,FALSE),E10)</f>
        <v>67</v>
      </c>
      <c r="F10" s="299">
        <f ca="1">_xlfn.IFNA(VLOOKUP(B10,Worksheet!$C$3:$G$46,5,FALSE),F10)</f>
        <v>43</v>
      </c>
      <c r="G10" s="205" t="s">
        <v>150</v>
      </c>
    </row>
    <row r="11" spans="1:7" ht="45" hidden="1" customHeight="1" x14ac:dyDescent="0.25">
      <c r="A11" s="224"/>
      <c r="B11" s="236">
        <v>1114</v>
      </c>
      <c r="C11" s="241" t="s">
        <v>3808</v>
      </c>
      <c r="D11" s="299">
        <f ca="1">_xlfn.IFNA(VLOOKUP(B11,Worksheet!$C$3:$G$46,3,FALSE),D11)</f>
        <v>78</v>
      </c>
      <c r="E11" s="299">
        <f ca="1">_xlfn.IFNA(VLOOKUP(B11,Worksheet!$C$3:$G$46,4,FALSE),E11)</f>
        <v>67</v>
      </c>
      <c r="F11" s="299">
        <f ca="1">_xlfn.IFNA(VLOOKUP(B11,Worksheet!$C$3:$G$46,5,FALSE),F11)</f>
        <v>43</v>
      </c>
      <c r="G11" s="205" t="s">
        <v>150</v>
      </c>
    </row>
    <row r="12" spans="1:7" ht="45" hidden="1" customHeight="1" x14ac:dyDescent="0.25">
      <c r="A12" s="224"/>
      <c r="B12" s="236">
        <v>1115</v>
      </c>
      <c r="C12" s="240" t="s">
        <v>3809</v>
      </c>
      <c r="D12" s="299">
        <f ca="1">_xlfn.IFNA(VLOOKUP(B12,Worksheet!$C$3:$G$46,3,FALSE),D12)</f>
        <v>78</v>
      </c>
      <c r="E12" s="299">
        <f ca="1">_xlfn.IFNA(VLOOKUP(B12,Worksheet!$C$3:$G$46,4,FALSE),E12)</f>
        <v>67</v>
      </c>
      <c r="F12" s="299">
        <f ca="1">_xlfn.IFNA(VLOOKUP(B12,Worksheet!$C$3:$G$46,5,FALSE),F12)</f>
        <v>43</v>
      </c>
      <c r="G12" s="205" t="s">
        <v>150</v>
      </c>
    </row>
    <row r="13" spans="1:7" ht="45" hidden="1" customHeight="1" x14ac:dyDescent="0.25">
      <c r="A13" s="224" t="s">
        <v>3810</v>
      </c>
      <c r="B13" s="236">
        <v>1116</v>
      </c>
      <c r="C13" s="240" t="s">
        <v>3811</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3813</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3814</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3815</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3816</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3820</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3821</v>
      </c>
      <c r="D25" s="299">
        <f ca="1">_xlfn.IFNA(VLOOKUP(B25,Worksheet!$C$3:$G$46,3,FALSE),D25)</f>
        <v>70</v>
      </c>
      <c r="E25" s="299">
        <f ca="1">_xlfn.IFNA(VLOOKUP(B25,Worksheet!$C$3:$G$46,4,FALSE),E25)</f>
        <v>53</v>
      </c>
      <c r="F25" s="299">
        <f ca="1">_xlfn.IFNA(VLOOKUP(B25,Worksheet!$C$3:$G$46,5,FALSE),F25)</f>
        <v>37</v>
      </c>
      <c r="G25" s="205" t="s">
        <v>150</v>
      </c>
    </row>
    <row r="26" spans="1:7" ht="45" hidden="1" customHeight="1" x14ac:dyDescent="0.25">
      <c r="A26" s="224"/>
      <c r="B26" s="236">
        <v>1134</v>
      </c>
      <c r="C26" s="240" t="s">
        <v>3822</v>
      </c>
      <c r="D26" s="299">
        <f ca="1">_xlfn.IFNA(VLOOKUP(B26,Worksheet!$C$3:$G$46,3,FALSE),D26)</f>
        <v>8</v>
      </c>
      <c r="E26" s="299">
        <f ca="1">_xlfn.IFNA(VLOOKUP(B26,Worksheet!$C$3:$G$46,4,FALSE),E26)</f>
        <v>14</v>
      </c>
      <c r="F26" s="299">
        <f ca="1">_xlfn.IFNA(VLOOKUP(B26,Worksheet!$C$3:$G$46,5,FALSE),F26)</f>
        <v>6</v>
      </c>
      <c r="G26" s="205" t="s">
        <v>150</v>
      </c>
    </row>
    <row r="27" spans="1:7" ht="45" hidden="1" customHeight="1" x14ac:dyDescent="0.25">
      <c r="A27" s="224"/>
      <c r="B27" s="236">
        <v>1135</v>
      </c>
      <c r="C27" s="240" t="s">
        <v>3823</v>
      </c>
      <c r="D27" s="299">
        <f ca="1">_xlfn.IFNA(VLOOKUP(B27,Worksheet!$C$3:$G$46,3,FALSE),D27)</f>
        <v>70</v>
      </c>
      <c r="E27" s="299">
        <f ca="1">_xlfn.IFNA(VLOOKUP(B27,Worksheet!$C$3:$G$46,4,FALSE),E27)</f>
        <v>67</v>
      </c>
      <c r="F27" s="299">
        <f ca="1">_xlfn.IFNA(VLOOKUP(B27,Worksheet!$C$3:$G$46,5,FALSE),F27)</f>
        <v>29</v>
      </c>
      <c r="G27" s="205" t="s">
        <v>150</v>
      </c>
    </row>
    <row r="28" spans="1:7" ht="45" hidden="1"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1</v>
      </c>
      <c r="G28" s="205" t="s">
        <v>150</v>
      </c>
    </row>
    <row r="29" spans="1:7" ht="45" hidden="1" customHeight="1" x14ac:dyDescent="0.25">
      <c r="A29" s="224"/>
      <c r="B29" s="236">
        <v>1137</v>
      </c>
      <c r="C29" s="240" t="s">
        <v>3825</v>
      </c>
      <c r="D29" s="299">
        <f ca="1">_xlfn.IFNA(VLOOKUP(B29,Worksheet!$C$3:$G$46,3,FALSE),D29)</f>
        <v>8</v>
      </c>
      <c r="E29" s="299">
        <f ca="1">_xlfn.IFNA(VLOOKUP(B29,Worksheet!$C$3:$G$46,4,FALSE),E29)</f>
        <v>6</v>
      </c>
      <c r="F29" s="299">
        <f ca="1">_xlfn.IFNA(VLOOKUP(B29,Worksheet!$C$3:$G$46,5,FALSE),F29)</f>
        <v>3</v>
      </c>
      <c r="G29" s="205" t="s">
        <v>150</v>
      </c>
    </row>
    <row r="30" spans="1:7" ht="45" hidden="1" customHeight="1" x14ac:dyDescent="0.25">
      <c r="A30" s="224"/>
      <c r="B30" s="236">
        <v>1138</v>
      </c>
      <c r="C30" s="240" t="s">
        <v>3826</v>
      </c>
      <c r="D30" s="299">
        <f ca="1">_xlfn.IFNA(VLOOKUP(B30,Worksheet!$C$3:$G$46,3,FALSE),D30)</f>
        <v>70</v>
      </c>
      <c r="E30" s="299">
        <f ca="1">_xlfn.IFNA(VLOOKUP(B30,Worksheet!$C$3:$G$46,4,FALSE),E30)</f>
        <v>61</v>
      </c>
      <c r="F30" s="299">
        <f ca="1">_xlfn.IFNA(VLOOKUP(B30,Worksheet!$C$3:$G$46,5,FALSE),F30)</f>
        <v>27</v>
      </c>
      <c r="G30" s="205" t="s">
        <v>150</v>
      </c>
    </row>
    <row r="31" spans="1:7" ht="45" hidden="1" customHeight="1" x14ac:dyDescent="0.25">
      <c r="A31" s="224">
        <v>1116</v>
      </c>
      <c r="B31" s="236">
        <v>1141</v>
      </c>
      <c r="C31" s="240" t="s">
        <v>3827</v>
      </c>
      <c r="D31" s="300">
        <f ca="1">D13</f>
        <v>0</v>
      </c>
      <c r="E31" s="300">
        <f ca="1">E13</f>
        <v>0</v>
      </c>
      <c r="F31" s="300">
        <f ca="1">F13</f>
        <v>0</v>
      </c>
      <c r="G31" s="205"/>
    </row>
    <row r="32" spans="1:7" ht="45" hidden="1" customHeight="1" x14ac:dyDescent="0.25">
      <c r="A32" s="224"/>
      <c r="B32" s="236">
        <v>1142</v>
      </c>
      <c r="C32" s="241" t="s">
        <v>3828</v>
      </c>
      <c r="D32" s="300">
        <f ca="1">D18</f>
        <v>0</v>
      </c>
      <c r="E32" s="300">
        <f ca="1">E18</f>
        <v>0</v>
      </c>
      <c r="F32" s="300">
        <f ca="1">F18</f>
        <v>0</v>
      </c>
      <c r="G32" s="205"/>
    </row>
    <row r="33" spans="1:7" ht="45" hidden="1" customHeight="1" x14ac:dyDescent="0.25">
      <c r="A33" s="224"/>
      <c r="B33" s="236">
        <v>1143</v>
      </c>
      <c r="C33" s="240" t="s">
        <v>3829</v>
      </c>
      <c r="D33" s="299">
        <f ca="1">_xlfn.IFNA(VLOOKUP(B33,Worksheet!$C$3:$G$46,3,FALSE),D33)</f>
        <v>78</v>
      </c>
      <c r="E33" s="299">
        <f ca="1">_xlfn.IFNA(VLOOKUP(B33,Worksheet!$C$3:$G$46,4,FALSE),E33)</f>
        <v>67</v>
      </c>
      <c r="F33" s="299">
        <f ca="1">_xlfn.IFNA(VLOOKUP(B33,Worksheet!$C$3:$G$46,5,FALSE),F33)</f>
        <v>43</v>
      </c>
      <c r="G33" s="205" t="s">
        <v>150</v>
      </c>
    </row>
    <row r="34" spans="1:7" ht="45" hidden="1" customHeight="1" x14ac:dyDescent="0.25">
      <c r="A34" s="224"/>
      <c r="B34" s="236">
        <v>1144</v>
      </c>
      <c r="C34" s="240" t="s">
        <v>3830</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78</v>
      </c>
      <c r="E35" s="299">
        <f ca="1">_xlfn.IFNA(VLOOKUP(B35,Worksheet!$C$3:$G$46,4,FALSE),E35)</f>
        <v>67</v>
      </c>
      <c r="F35" s="299">
        <f ca="1">_xlfn.IFNA(VLOOKUP(B35,Worksheet!$C$3:$G$46,5,FALSE),F35)</f>
        <v>43</v>
      </c>
      <c r="G35" s="205" t="s">
        <v>150</v>
      </c>
    </row>
    <row r="36" spans="1:7" ht="45" hidden="1" customHeight="1" x14ac:dyDescent="0.25">
      <c r="A36" s="224"/>
      <c r="B36" s="236">
        <v>1151</v>
      </c>
      <c r="C36" s="246" t="s">
        <v>3832</v>
      </c>
      <c r="D36" s="247">
        <f ca="1">D37/D38</f>
        <v>1.0144927536231885</v>
      </c>
      <c r="E36" s="247">
        <f t="shared" ref="E36:F36" ca="1" si="1">E37/E38</f>
        <v>1.0192307692307692</v>
      </c>
      <c r="F36" s="247">
        <f t="shared" ca="1" si="1"/>
        <v>0.92500000000000004</v>
      </c>
      <c r="G36" s="205"/>
    </row>
    <row r="37" spans="1:7" ht="45" hidden="1" customHeight="1" x14ac:dyDescent="0.25">
      <c r="A37" s="224"/>
      <c r="B37" s="236">
        <v>1152</v>
      </c>
      <c r="C37" s="240" t="s">
        <v>3833</v>
      </c>
      <c r="D37" s="299">
        <f ca="1">_xlfn.IFNA(VLOOKUP(B37,Worksheet!$C$3:$G$46,3,FALSE),D37)</f>
        <v>70</v>
      </c>
      <c r="E37" s="299">
        <f ca="1">_xlfn.IFNA(VLOOKUP(B37,Worksheet!$C$3:$G$46,4,FALSE),E37)</f>
        <v>53</v>
      </c>
      <c r="F37" s="299">
        <f ca="1">_xlfn.IFNA(VLOOKUP(B37,Worksheet!$C$3:$G$46,5,FALSE),F37)</f>
        <v>37</v>
      </c>
      <c r="G37" s="205" t="s">
        <v>150</v>
      </c>
    </row>
    <row r="38" spans="1:7" ht="45" hidden="1" customHeight="1" x14ac:dyDescent="0.25">
      <c r="A38" s="224"/>
      <c r="B38" s="236">
        <v>1153</v>
      </c>
      <c r="C38" s="240" t="s">
        <v>3834</v>
      </c>
      <c r="D38" s="299">
        <f ca="1">_xlfn.IFNA(VLOOKUP(B38,Worksheet!$C$3:$G$46,3,FALSE),D38)</f>
        <v>69</v>
      </c>
      <c r="E38" s="299">
        <f ca="1">_xlfn.IFNA(VLOOKUP(B38,Worksheet!$C$3:$G$46,4,FALSE),E38)</f>
        <v>52</v>
      </c>
      <c r="F38" s="299">
        <f ca="1">_xlfn.IFNA(VLOOKUP(B38,Worksheet!$C$3:$G$46,5,FALSE),F38)</f>
        <v>40</v>
      </c>
      <c r="G38" s="205" t="s">
        <v>150</v>
      </c>
    </row>
    <row r="39" spans="1:7" ht="45" hidden="1" customHeight="1" x14ac:dyDescent="0.25">
      <c r="A39" s="224"/>
      <c r="B39" s="236">
        <v>1154</v>
      </c>
      <c r="C39" s="246" t="s">
        <v>3835</v>
      </c>
      <c r="D39" s="247">
        <f ca="1">D40/D41</f>
        <v>1.0144927536231885</v>
      </c>
      <c r="E39" s="247">
        <f t="shared" ref="E39:F39" ca="1" si="2">E40/E41</f>
        <v>1.0192307692307692</v>
      </c>
      <c r="F39" s="247">
        <f t="shared" ca="1" si="2"/>
        <v>1</v>
      </c>
      <c r="G39" s="205"/>
    </row>
    <row r="40" spans="1:7" ht="45" hidden="1" customHeight="1" x14ac:dyDescent="0.25">
      <c r="A40" s="224"/>
      <c r="B40" s="236">
        <v>1155</v>
      </c>
      <c r="C40" s="240" t="s">
        <v>3833</v>
      </c>
      <c r="D40" s="299">
        <f ca="1">_xlfn.IFNA(VLOOKUP(B40,Worksheet!$C$3:$G$46,3,FALSE),D40)</f>
        <v>70</v>
      </c>
      <c r="E40" s="299">
        <f ca="1">_xlfn.IFNA(VLOOKUP(B40,Worksheet!$C$3:$G$46,4,FALSE),E40)</f>
        <v>53</v>
      </c>
      <c r="F40" s="299">
        <f ca="1">_xlfn.IFNA(VLOOKUP(B40,Worksheet!$C$3:$G$46,5,FALSE),F40)</f>
        <v>37</v>
      </c>
      <c r="G40" s="205" t="s">
        <v>150</v>
      </c>
    </row>
    <row r="41" spans="1:7" ht="45" hidden="1" customHeight="1" x14ac:dyDescent="0.25">
      <c r="A41" s="224"/>
      <c r="B41" s="236">
        <v>1156</v>
      </c>
      <c r="C41" s="240" t="s">
        <v>3836</v>
      </c>
      <c r="D41" s="299">
        <f ca="1">_xlfn.IFNA(VLOOKUP(B41,Worksheet!$C$3:$G$46,3,FALSE),D41)</f>
        <v>69</v>
      </c>
      <c r="E41" s="299">
        <f ca="1">_xlfn.IFNA(VLOOKUP(B41,Worksheet!$C$3:$G$46,4,FALSE),E41)</f>
        <v>52</v>
      </c>
      <c r="F41" s="299">
        <f ca="1">_xlfn.IFNA(VLOOKUP(B41,Worksheet!$C$3:$G$46,5,FALSE),F41)</f>
        <v>37</v>
      </c>
      <c r="G41" s="205" t="s">
        <v>150</v>
      </c>
    </row>
    <row r="42" spans="1:7" ht="45" hidden="1" customHeight="1" x14ac:dyDescent="0.25">
      <c r="A42" s="224"/>
      <c r="B42" s="236">
        <v>1157</v>
      </c>
      <c r="C42" s="246" t="s">
        <v>3837</v>
      </c>
      <c r="D42" s="247">
        <f ca="1">D43/D44</f>
        <v>1</v>
      </c>
      <c r="E42" s="247">
        <f t="shared" ref="E42:F42" ca="1" si="3">E43/E44</f>
        <v>1</v>
      </c>
      <c r="F42" s="247">
        <f t="shared" ca="1" si="3"/>
        <v>1</v>
      </c>
      <c r="G42" s="205"/>
    </row>
    <row r="43" spans="1:7" ht="45" hidden="1" customHeight="1" x14ac:dyDescent="0.25">
      <c r="A43" s="224"/>
      <c r="B43" s="236">
        <v>1158</v>
      </c>
      <c r="C43" s="240" t="s">
        <v>3838</v>
      </c>
      <c r="D43" s="299">
        <f ca="1">_xlfn.IFNA(VLOOKUP(B43,Worksheet!$C$3:$G$46,3,FALSE),D43)</f>
        <v>7</v>
      </c>
      <c r="E43" s="299">
        <f ca="1">_xlfn.IFNA(VLOOKUP(B43,Worksheet!$C$3:$G$46,4,FALSE),E43)</f>
        <v>5</v>
      </c>
      <c r="F43" s="299">
        <f ca="1">_xlfn.IFNA(VLOOKUP(B43,Worksheet!$C$3:$G$46,5,FALSE),F43)</f>
        <v>3</v>
      </c>
      <c r="G43" s="205" t="s">
        <v>150</v>
      </c>
    </row>
    <row r="44" spans="1:7" s="248" customFormat="1" ht="45" hidden="1" customHeight="1" x14ac:dyDescent="0.25">
      <c r="A44" s="224"/>
      <c r="B44" s="236">
        <v>1159</v>
      </c>
      <c r="C44" s="240" t="s">
        <v>3839</v>
      </c>
      <c r="D44" s="299">
        <f ca="1">_xlfn.IFNA(VLOOKUP(B44,Worksheet!$C$3:$G$46,3,FALSE),D44)</f>
        <v>7</v>
      </c>
      <c r="E44" s="299">
        <f ca="1">_xlfn.IFNA(VLOOKUP(B44,Worksheet!$C$3:$G$46,4,FALSE),E44)</f>
        <v>5</v>
      </c>
      <c r="F44" s="299">
        <f ca="1">_xlfn.IFNA(VLOOKUP(B44,Worksheet!$C$3:$G$46,5,FALSE),F44)</f>
        <v>3</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 ca="1">_xlfn.IFNA(VLOOKUP(B46,Worksheet!$C$3:$G$46,5,FALSE),F46)</f>
        <v>175</v>
      </c>
      <c r="G46" s="205" t="s">
        <v>83</v>
      </c>
    </row>
    <row r="47" spans="1:7" s="248" customFormat="1" ht="45" customHeight="1" x14ac:dyDescent="0.25">
      <c r="A47" s="224"/>
      <c r="B47" s="255" t="s">
        <v>4014</v>
      </c>
      <c r="C47" s="226" t="s">
        <v>3975</v>
      </c>
      <c r="D47" s="230"/>
      <c r="E47" s="229"/>
      <c r="F47" s="298">
        <f ca="1">_xlfn.IFNA(VLOOKUP(B47,Worksheet!$C$3:$G$46,5,FALSE),F47)</f>
        <v>4</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 ca="1">_xlfn.IFNA(VLOOKUP(F46,Data_donotedit!$BE$2:$BG$25,3,TRUE),0)</f>
        <v>67</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3843</v>
      </c>
      <c r="B52" s="236">
        <v>1212</v>
      </c>
      <c r="C52" s="240" t="s">
        <v>3844</v>
      </c>
      <c r="D52" s="299">
        <f ca="1">_xlfn.IFNA(VLOOKUP(B52,Worksheet!$C$3:$G$46,3,FALSE),D52)</f>
        <v>1</v>
      </c>
      <c r="E52" s="299">
        <f ca="1">_xlfn.IFNA(VLOOKUP(B52,Worksheet!$C$3:$G$46,4,FALSE),E52)</f>
        <v>1</v>
      </c>
      <c r="F52" s="299">
        <f ca="1">_xlfn.IFNA(VLOOKUP(B52,Worksheet!$C$3:$G$46,5,FALSE),F52)</f>
        <v>1</v>
      </c>
      <c r="G52" s="205" t="s">
        <v>83</v>
      </c>
    </row>
    <row r="53" spans="1:7" ht="45" customHeight="1" x14ac:dyDescent="0.25">
      <c r="A53" s="224"/>
      <c r="B53" s="236">
        <v>1213</v>
      </c>
      <c r="C53" s="240" t="s">
        <v>3845</v>
      </c>
      <c r="D53" s="299">
        <f ca="1">_xlfn.IFNA(VLOOKUP(B53,Worksheet!$C$3:$G$46,3,FALSE),D53)</f>
        <v>4</v>
      </c>
      <c r="E53" s="299">
        <f ca="1">_xlfn.IFNA(VLOOKUP(B53,Worksheet!$C$3:$G$46,4,FALSE),E53)</f>
        <v>10</v>
      </c>
      <c r="F53" s="299">
        <f ca="1">_xlfn.IFNA(VLOOKUP(B53,Worksheet!$C$3:$G$46,5,FALSE),F53)</f>
        <v>2</v>
      </c>
      <c r="G53" s="205" t="s">
        <v>83</v>
      </c>
    </row>
    <row r="54" spans="1:7" ht="45" customHeight="1" x14ac:dyDescent="0.25">
      <c r="A54" s="224"/>
      <c r="B54" s="236">
        <v>1214</v>
      </c>
      <c r="C54" s="262" t="s">
        <v>3846</v>
      </c>
      <c r="D54" s="299">
        <f ca="1">_xlfn.IFNA(VLOOKUP(B54,Worksheet!$C$3:$G$46,3,FALSE),D54)</f>
        <v>4</v>
      </c>
      <c r="E54" s="299">
        <f ca="1">_xlfn.IFNA(VLOOKUP(B54,Worksheet!$C$3:$G$46,4,FALSE),E54)</f>
        <v>10</v>
      </c>
      <c r="F54" s="299">
        <f ca="1">_xlfn.IFNA(VLOOKUP(B54,Worksheet!$C$3:$G$46,5,FALSE),F54)</f>
        <v>2</v>
      </c>
      <c r="G54" s="205" t="s">
        <v>83</v>
      </c>
    </row>
    <row r="55" spans="1:7" ht="45" customHeight="1" x14ac:dyDescent="0.25">
      <c r="A55" s="224"/>
      <c r="B55" s="236">
        <v>1215</v>
      </c>
      <c r="C55" s="240" t="s">
        <v>3847</v>
      </c>
      <c r="D55" s="299">
        <f ca="1">_xlfn.IFNA(VLOOKUP(B55,Worksheet!$C$3:$G$46,3,FALSE),D55)</f>
        <v>11</v>
      </c>
      <c r="E55" s="299">
        <f ca="1">_xlfn.IFNA(VLOOKUP(B55,Worksheet!$C$3:$G$46,4,FALSE),E55)</f>
        <v>20</v>
      </c>
      <c r="F55" s="299">
        <f ca="1">_xlfn.IFNA(VLOOKUP(B55,Worksheet!$C$3:$G$46,5,FALSE),F55)</f>
        <v>12</v>
      </c>
      <c r="G55" s="205" t="s">
        <v>83</v>
      </c>
    </row>
    <row r="56" spans="1:7" ht="45" customHeight="1" x14ac:dyDescent="0.25">
      <c r="A56" s="224"/>
      <c r="B56" s="236">
        <v>1216</v>
      </c>
      <c r="C56" s="241" t="s">
        <v>3848</v>
      </c>
      <c r="D56" s="299">
        <f ca="1">_xlfn.IFNA(VLOOKUP(B56,Worksheet!$C$3:$G$46,3,FALSE),D56)</f>
        <v>2</v>
      </c>
      <c r="E56" s="299">
        <f ca="1">_xlfn.IFNA(VLOOKUP(B56,Worksheet!$C$3:$G$46,4,FALSE),E56)</f>
        <v>9</v>
      </c>
      <c r="F56" s="299">
        <f ca="1">_xlfn.IFNA(VLOOKUP(B56,Worksheet!$C$3:$G$46,5,FALSE),F56)</f>
        <v>2</v>
      </c>
      <c r="G56" s="205" t="s">
        <v>83</v>
      </c>
    </row>
    <row r="57" spans="1:7" ht="45"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3850</v>
      </c>
      <c r="D58" s="299">
        <f ca="1">_xlfn.IFNA(VLOOKUP(B58,Worksheet!$C$3:$G$46,3,FALSE),D58)</f>
        <v>1</v>
      </c>
      <c r="E58" s="299">
        <f ca="1">_xlfn.IFNA(VLOOKUP(B58,Worksheet!$C$3:$G$46,4,FALSE),E58)</f>
        <v>1</v>
      </c>
      <c r="F58" s="299">
        <f ca="1">_xlfn.IFNA(VLOOKUP(B58,Worksheet!$C$3:$G$46,5,FALSE),F58)</f>
        <v>0</v>
      </c>
      <c r="G58" s="205" t="s">
        <v>83</v>
      </c>
    </row>
    <row r="59" spans="1:7" ht="45" customHeight="1" x14ac:dyDescent="0.25">
      <c r="A59" s="224"/>
      <c r="B59" s="236">
        <v>1221</v>
      </c>
      <c r="C59" s="262" t="s">
        <v>3851</v>
      </c>
      <c r="D59" s="299">
        <f ca="1">_xlfn.IFNA(VLOOKUP(B59,Worksheet!$C$3:$G$46,3,FALSE),D59)</f>
        <v>2</v>
      </c>
      <c r="E59" s="299">
        <f ca="1">_xlfn.IFNA(VLOOKUP(B59,Worksheet!$C$3:$G$46,4,FALSE),E59)</f>
        <v>9</v>
      </c>
      <c r="F59" s="299">
        <f ca="1">_xlfn.IFNA(VLOOKUP(B59,Worksheet!$C$3:$G$46,5,FALSE),F59)</f>
        <v>2</v>
      </c>
      <c r="G59" s="205" t="s">
        <v>83</v>
      </c>
    </row>
    <row r="60" spans="1:7" ht="45" customHeight="1" x14ac:dyDescent="0.25">
      <c r="A60" s="224"/>
      <c r="B60" s="236">
        <v>1222</v>
      </c>
      <c r="C60" s="262" t="s">
        <v>3852</v>
      </c>
      <c r="D60" s="299">
        <f ca="1">_xlfn.IFNA(VLOOKUP(B60,Worksheet!$C$3:$G$46,3,FALSE),D60)</f>
        <v>2</v>
      </c>
      <c r="E60" s="299">
        <f ca="1">_xlfn.IFNA(VLOOKUP(B60,Worksheet!$C$3:$G$46,4,FALSE),E60)</f>
        <v>9</v>
      </c>
      <c r="F60" s="299">
        <f ca="1">_xlfn.IFNA(VLOOKUP(B60,Worksheet!$C$3:$G$46,5,FALSE),F60)</f>
        <v>2</v>
      </c>
      <c r="G60" s="205" t="s">
        <v>83</v>
      </c>
    </row>
    <row r="61" spans="1:7" ht="45" customHeight="1" x14ac:dyDescent="0.25">
      <c r="A61" s="224"/>
      <c r="B61" s="236">
        <v>1223</v>
      </c>
      <c r="C61" s="262" t="s">
        <v>3853</v>
      </c>
      <c r="D61" s="299">
        <f ca="1">_xlfn.IFNA(VLOOKUP(B61,Worksheet!$C$3:$G$46,3,FALSE),D61)</f>
        <v>2</v>
      </c>
      <c r="E61" s="299">
        <f ca="1">_xlfn.IFNA(VLOOKUP(B61,Worksheet!$C$3:$G$46,4,FALSE),E61)</f>
        <v>9</v>
      </c>
      <c r="F61" s="299">
        <f ca="1">_xlfn.IFNA(VLOOKUP(B61,Worksheet!$C$3:$G$46,5,FALSE),F61)</f>
        <v>2</v>
      </c>
      <c r="G61" s="205" t="s">
        <v>83</v>
      </c>
    </row>
    <row r="62" spans="1:7" ht="54.6"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 ca="1">_xlfn.IFNA(VLOOKUP(B67,Worksheet!$C$3:$G$46,3,FALSE),D67)</f>
        <v>2</v>
      </c>
      <c r="E67" s="299">
        <f ca="1">_xlfn.IFNA(VLOOKUP(B67,Worksheet!$C$3:$G$46,4,FALSE),E67)</f>
        <v>9</v>
      </c>
      <c r="F67" s="299">
        <f ca="1">_xlfn.IFNA(VLOOKUP(B67,Worksheet!$C$3:$G$46,5,FALSE),F67)</f>
        <v>2</v>
      </c>
      <c r="G67" s="205" t="s">
        <v>83</v>
      </c>
    </row>
    <row r="68" spans="1:7" ht="42"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 ca="1">_xlfn.IFNA(VLOOKUP(B73,Worksheet!$C$3:$G$46,3,FALSE),D73)</f>
        <v>4</v>
      </c>
      <c r="E73" s="299">
        <f ca="1">_xlfn.IFNA(VLOOKUP(B73,Worksheet!$C$3:$G$46,4,FALSE),E73)</f>
        <v>10</v>
      </c>
      <c r="F73" s="299">
        <f ca="1">_xlfn.IFNA(VLOOKUP(B73,Worksheet!$C$3:$G$46,5,FALSE),F73)</f>
        <v>2</v>
      </c>
      <c r="G73" s="205" t="s">
        <v>83</v>
      </c>
    </row>
    <row r="74" spans="1:7" ht="45"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 ca="1">_xlfn.IFNA(VLOOKUP(B75,Worksheet!$C$3:$G$46,3,FALSE),D75)</f>
        <v>2</v>
      </c>
      <c r="E75" s="299">
        <f ca="1">_xlfn.IFNA(VLOOKUP(B75,Worksheet!$C$3:$G$46,4,FALSE),E75)</f>
        <v>9</v>
      </c>
      <c r="F75" s="299">
        <f ca="1">_xlfn.IFNA(VLOOKUP(B75,Worksheet!$C$3:$G$46,5,FALSE),F75)</f>
        <v>2</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 ca="1">_xlfn.IFNA(VLOOKUP(B79,Worksheet!$C$3:$G$46,3,FALSE),D79)</f>
        <v>5</v>
      </c>
      <c r="E79" s="299">
        <f ca="1">_xlfn.IFNA(VLOOKUP(B79,Worksheet!$C$3:$G$46,4,FALSE),E79)</f>
        <v>11</v>
      </c>
      <c r="F79" s="299">
        <f ca="1">_xlfn.IFNA(VLOOKUP(B79,Worksheet!$C$3:$G$46,5,FALSE),F79)</f>
        <v>2</v>
      </c>
      <c r="G79" s="205" t="s">
        <v>83</v>
      </c>
    </row>
    <row r="80" spans="1:7" ht="45" customHeight="1" x14ac:dyDescent="0.25">
      <c r="A80" s="224"/>
      <c r="B80" s="236">
        <v>1248</v>
      </c>
      <c r="C80" s="240" t="s">
        <v>3871</v>
      </c>
      <c r="D80" s="299">
        <f ca="1">_xlfn.IFNA(VLOOKUP(B80,Worksheet!$C$3:$G$46,3,FALSE),D80)</f>
        <v>3</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11</v>
      </c>
      <c r="E81" s="263">
        <f t="shared" ref="E81:F81" ca="1" si="4">E82</f>
        <v>20</v>
      </c>
      <c r="F81" s="263">
        <f t="shared" ca="1" si="4"/>
        <v>12</v>
      </c>
      <c r="G81" s="205"/>
    </row>
    <row r="82" spans="1:7" ht="45" customHeight="1" x14ac:dyDescent="0.25">
      <c r="A82" s="224"/>
      <c r="B82" s="236">
        <v>1252</v>
      </c>
      <c r="C82" s="240" t="s">
        <v>3873</v>
      </c>
      <c r="D82" s="299">
        <f ca="1">_xlfn.IFNA(VLOOKUP(B82,Worksheet!$C$3:$G$46,3,FALSE),D82)</f>
        <v>11</v>
      </c>
      <c r="E82" s="299">
        <f ca="1">_xlfn.IFNA(VLOOKUP(B82,Worksheet!$C$3:$G$46,4,FALSE),E82)</f>
        <v>20</v>
      </c>
      <c r="F82" s="299">
        <f ca="1">_xlfn.IFNA(VLOOKUP(B82,Worksheet!$C$3:$G$46,5,FALSE),F82)</f>
        <v>12</v>
      </c>
      <c r="G82" s="205" t="s">
        <v>83</v>
      </c>
    </row>
    <row r="83" spans="1:7" ht="45" customHeight="1" x14ac:dyDescent="0.25">
      <c r="A83" s="224"/>
      <c r="B83" s="236">
        <v>1253</v>
      </c>
      <c r="C83" s="240" t="s">
        <v>3874</v>
      </c>
      <c r="D83" s="299">
        <f ca="1">_xlfn.IFNA(VLOOKUP(B83,Worksheet!$C$3:$G$46,3,FALSE),D83)</f>
        <v>5</v>
      </c>
      <c r="E83" s="299">
        <f ca="1">_xlfn.IFNA(VLOOKUP(B83,Worksheet!$C$3:$G$46,4,FALSE),E83)</f>
        <v>11</v>
      </c>
      <c r="F83" s="299">
        <f ca="1">_xlfn.IFNA(VLOOKUP(B83,Worksheet!$C$3:$G$46,5,FALSE),F83)</f>
        <v>2</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4</v>
      </c>
      <c r="E85" s="299">
        <f ca="1">_xlfn.IFNA(VLOOKUP(B85,Worksheet!$C$3:$G$46,4,FALSE),E85)</f>
        <v>1</v>
      </c>
      <c r="F85" s="299">
        <f ca="1">_xlfn.IFNA(VLOOKUP(B85,Worksheet!$C$3:$G$46,5,FALSE),F85)</f>
        <v>0</v>
      </c>
      <c r="G85" s="205" t="s">
        <v>83</v>
      </c>
    </row>
    <row r="86" spans="1:7" ht="45" customHeight="1" x14ac:dyDescent="0.25">
      <c r="A86" s="224"/>
      <c r="B86" s="236">
        <v>1256</v>
      </c>
      <c r="C86" s="240" t="s">
        <v>3877</v>
      </c>
      <c r="D86" s="299">
        <f ca="1">_xlfn.IFNA(VLOOKUP(B86,Worksheet!$C$3:$G$46,3,FALSE),D86)</f>
        <v>3</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3</v>
      </c>
      <c r="G88" s="205" t="s">
        <v>83</v>
      </c>
    </row>
    <row r="89" spans="1:7" ht="45" customHeight="1" x14ac:dyDescent="0.25">
      <c r="A89" s="224"/>
      <c r="B89" s="236">
        <v>1259</v>
      </c>
      <c r="C89" s="240" t="s">
        <v>3880</v>
      </c>
      <c r="D89" s="299">
        <f ca="1">_xlfn.IFNA(VLOOKUP(B89,Worksheet!$C$3:$G$46,3,FALSE),D89)</f>
        <v>3</v>
      </c>
      <c r="E89" s="299">
        <f ca="1">_xlfn.IFNA(VLOOKUP(B89,Worksheet!$C$3:$G$46,4,FALSE),E89)</f>
        <v>0</v>
      </c>
      <c r="F89" s="299">
        <f ca="1">_xlfn.IFNA(VLOOKUP(B89,Worksheet!$C$3:$G$46,5,FALSE),F89)</f>
        <v>3</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4</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4</v>
      </c>
      <c r="E93" s="299">
        <f ca="1">_xlfn.IFNA(VLOOKUP(B93,Worksheet!$C$3:$G$46,4,FALSE),E93)</f>
        <v>2</v>
      </c>
      <c r="F93" s="299">
        <f ca="1">_xlfn.IFNA(VLOOKUP(B93,Worksheet!$C$3:$G$46,5,FALSE),F93)</f>
        <v>3</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4</v>
      </c>
      <c r="E97" s="299">
        <f ca="1">_xlfn.IFNA(VLOOKUP(B97,Worksheet!$C$3:$G$46,4,FALSE),E97)</f>
        <v>2</v>
      </c>
      <c r="F97" s="299">
        <f ca="1">_xlfn.IFNA(VLOOKUP(B97,Worksheet!$C$3:$G$46,5,FALSE),F97)</f>
        <v>3</v>
      </c>
      <c r="G97" s="264" t="s">
        <v>155</v>
      </c>
    </row>
    <row r="98" spans="1:7" s="268" customFormat="1" ht="45" hidden="1" customHeight="1" x14ac:dyDescent="0.25">
      <c r="A98" s="224"/>
      <c r="B98" s="236">
        <v>1322</v>
      </c>
      <c r="C98" s="240" t="s">
        <v>3887</v>
      </c>
      <c r="D98" s="299">
        <f ca="1">_xlfn.IFNA(VLOOKUP(B98,Worksheet!$C$3:$G$46,3,FALSE),D98)</f>
        <v>1</v>
      </c>
      <c r="E98" s="299">
        <f ca="1">_xlfn.IFNA(VLOOKUP(B98,Worksheet!$C$3:$G$46,4,FALSE),E98)</f>
        <v>1</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3</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BHSD31fM22p9sSiNS7d+tAZAxgIaXioxt9q5GeG1dwSk7Ppe7uoayw63fE16livvGc/DqTaTYRUuB/yvZBD8Q==" saltValue="cdybcHfxZt9607mFf0EPaQ=="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4" t="s">
        <v>62</v>
      </c>
      <c r="C3" s="365"/>
      <c r="D3" s="365"/>
      <c r="E3" s="365"/>
      <c r="F3" s="365"/>
      <c r="G3" s="365"/>
      <c r="H3" s="365"/>
      <c r="I3" s="365"/>
      <c r="J3" s="365"/>
      <c r="K3" s="365"/>
      <c r="L3" s="365"/>
      <c r="M3" s="365"/>
      <c r="N3" s="365"/>
      <c r="O3" s="365"/>
      <c r="P3" s="365"/>
      <c r="Q3" s="365"/>
      <c r="R3" s="365"/>
      <c r="S3" s="365"/>
      <c r="T3" s="365"/>
      <c r="U3" s="365"/>
      <c r="V3" s="365"/>
      <c r="W3" s="365"/>
      <c r="X3" s="365"/>
      <c r="Y3" s="366"/>
      <c r="Z3" s="7"/>
      <c r="AA3" s="8"/>
    </row>
    <row r="4" spans="2:27" s="3" customFormat="1" ht="36.6" customHeight="1" thickBot="1" x14ac:dyDescent="0.3">
      <c r="B4" s="367" t="s">
        <v>0</v>
      </c>
      <c r="C4" s="368"/>
      <c r="D4" s="369"/>
      <c r="E4" s="370"/>
      <c r="F4" s="370"/>
      <c r="G4" s="370"/>
      <c r="H4" s="370"/>
      <c r="I4" s="370"/>
      <c r="J4" s="370"/>
      <c r="K4" s="371"/>
      <c r="L4" s="9"/>
      <c r="M4" s="372"/>
      <c r="N4" s="373"/>
      <c r="O4" s="373"/>
      <c r="P4" s="374"/>
      <c r="Q4" s="375"/>
      <c r="R4" s="376"/>
      <c r="S4" s="376"/>
      <c r="T4" s="376"/>
      <c r="U4" s="376"/>
      <c r="V4" s="376"/>
      <c r="W4" s="376"/>
      <c r="X4" s="376"/>
      <c r="Y4" s="377"/>
    </row>
    <row r="5" spans="2:27" s="3" customFormat="1" ht="36.6" customHeight="1" thickBot="1" x14ac:dyDescent="0.3">
      <c r="B5" s="378" t="s">
        <v>1</v>
      </c>
      <c r="C5" s="379"/>
      <c r="D5" s="380"/>
      <c r="E5" s="381"/>
      <c r="F5" s="381"/>
      <c r="G5" s="381"/>
      <c r="H5" s="381"/>
      <c r="I5" s="381"/>
      <c r="J5" s="381"/>
      <c r="K5" s="382"/>
      <c r="L5" s="9"/>
      <c r="M5" s="378" t="s">
        <v>2</v>
      </c>
      <c r="N5" s="383"/>
      <c r="O5" s="383"/>
      <c r="P5" s="379"/>
      <c r="Q5" s="375"/>
      <c r="R5" s="376"/>
      <c r="S5" s="376"/>
      <c r="T5" s="376"/>
      <c r="U5" s="376"/>
      <c r="V5" s="376"/>
      <c r="W5" s="376"/>
      <c r="X5" s="376"/>
      <c r="Y5" s="377"/>
    </row>
    <row r="6" spans="2:27" s="3" customFormat="1" ht="36.6" customHeight="1" thickBot="1" x14ac:dyDescent="0.3">
      <c r="B6" s="372" t="s">
        <v>3</v>
      </c>
      <c r="C6" s="374"/>
      <c r="D6" s="384"/>
      <c r="E6" s="385"/>
      <c r="F6" s="385"/>
      <c r="G6" s="386"/>
      <c r="H6" s="387" t="s">
        <v>4</v>
      </c>
      <c r="I6" s="388"/>
      <c r="J6" s="388"/>
      <c r="K6" s="389"/>
      <c r="L6" s="9"/>
      <c r="M6" s="372" t="s">
        <v>5</v>
      </c>
      <c r="N6" s="373"/>
      <c r="O6" s="373"/>
      <c r="P6" s="374"/>
      <c r="Q6" s="390"/>
      <c r="R6" s="391"/>
      <c r="S6" s="391"/>
      <c r="T6" s="391"/>
      <c r="U6" s="391"/>
      <c r="V6" s="391"/>
      <c r="W6" s="391"/>
      <c r="X6" s="391"/>
      <c r="Y6" s="392"/>
    </row>
    <row r="7" spans="2:27" s="3" customFormat="1" ht="36.6" customHeight="1" thickBot="1" x14ac:dyDescent="0.3">
      <c r="B7" s="393" t="s">
        <v>6</v>
      </c>
      <c r="C7" s="394"/>
      <c r="D7" s="384"/>
      <c r="E7" s="385"/>
      <c r="F7" s="385"/>
      <c r="G7" s="385"/>
      <c r="H7" s="385"/>
      <c r="I7" s="385"/>
      <c r="J7" s="385"/>
      <c r="K7" s="386"/>
      <c r="L7" s="9"/>
      <c r="M7" s="372" t="s">
        <v>7</v>
      </c>
      <c r="N7" s="373"/>
      <c r="O7" s="373"/>
      <c r="P7" s="374"/>
      <c r="Q7" s="375"/>
      <c r="R7" s="376"/>
      <c r="S7" s="376"/>
      <c r="T7" s="376"/>
      <c r="U7" s="376"/>
      <c r="V7" s="376"/>
      <c r="W7" s="376"/>
      <c r="X7" s="376"/>
      <c r="Y7" s="377"/>
    </row>
    <row r="8" spans="2:27" s="3" customFormat="1" ht="36.6" customHeight="1" thickBot="1" x14ac:dyDescent="0.3">
      <c r="B8" s="393" t="s">
        <v>8</v>
      </c>
      <c r="C8" s="394"/>
      <c r="D8" s="384"/>
      <c r="E8" s="385"/>
      <c r="F8" s="385"/>
      <c r="G8" s="385"/>
      <c r="H8" s="385"/>
      <c r="I8" s="385"/>
      <c r="J8" s="385"/>
      <c r="K8" s="386"/>
      <c r="L8" s="10"/>
      <c r="M8" s="372" t="s">
        <v>9</v>
      </c>
      <c r="N8" s="373"/>
      <c r="O8" s="373"/>
      <c r="P8" s="374"/>
      <c r="Q8" s="390"/>
      <c r="R8" s="391"/>
      <c r="S8" s="391"/>
      <c r="T8" s="391"/>
      <c r="U8" s="391"/>
      <c r="V8" s="391"/>
      <c r="W8" s="391"/>
      <c r="X8" s="391"/>
      <c r="Y8" s="392"/>
    </row>
    <row r="9" spans="2:27" s="3" customFormat="1" ht="32.25" customHeight="1" thickBot="1" x14ac:dyDescent="0.3">
      <c r="B9" s="11"/>
      <c r="C9" s="397" t="s">
        <v>10</v>
      </c>
      <c r="D9" s="399" t="s">
        <v>11</v>
      </c>
      <c r="E9" s="401" t="s">
        <v>12</v>
      </c>
      <c r="F9" s="401"/>
      <c r="G9" s="401"/>
      <c r="H9" s="401"/>
      <c r="I9" s="401"/>
      <c r="J9" s="401"/>
      <c r="K9" s="401"/>
      <c r="L9" s="401"/>
      <c r="M9" s="401"/>
      <c r="N9" s="401"/>
      <c r="O9" s="401"/>
      <c r="P9" s="401"/>
      <c r="Q9" s="401"/>
      <c r="R9" s="402"/>
      <c r="S9" s="403" t="s">
        <v>13</v>
      </c>
      <c r="T9" s="405" t="s">
        <v>14</v>
      </c>
      <c r="U9" s="407" t="s">
        <v>15</v>
      </c>
      <c r="V9" s="407"/>
      <c r="W9" s="407"/>
      <c r="X9" s="407"/>
      <c r="Y9" s="408"/>
    </row>
    <row r="10" spans="2:27" s="14" customFormat="1" ht="120" customHeight="1" thickBot="1" x14ac:dyDescent="0.35">
      <c r="B10" s="12"/>
      <c r="C10" s="398"/>
      <c r="D10" s="400"/>
      <c r="E10" s="416" t="s">
        <v>16</v>
      </c>
      <c r="F10" s="417"/>
      <c r="G10" s="416" t="s">
        <v>17</v>
      </c>
      <c r="H10" s="417"/>
      <c r="I10" s="416" t="s">
        <v>18</v>
      </c>
      <c r="J10" s="417"/>
      <c r="K10" s="416" t="s">
        <v>19</v>
      </c>
      <c r="L10" s="417"/>
      <c r="M10" s="395" t="s">
        <v>20</v>
      </c>
      <c r="N10" s="418"/>
      <c r="O10" s="419"/>
      <c r="P10" s="395" t="s">
        <v>21</v>
      </c>
      <c r="Q10" s="396"/>
      <c r="R10" s="13" t="s">
        <v>22</v>
      </c>
      <c r="S10" s="404"/>
      <c r="T10" s="406"/>
      <c r="U10" s="409"/>
      <c r="V10" s="409"/>
      <c r="W10" s="409"/>
      <c r="X10" s="409"/>
      <c r="Y10" s="410"/>
    </row>
    <row r="11" spans="2:27" s="3" customFormat="1" ht="87.6" customHeight="1" x14ac:dyDescent="0.25">
      <c r="B11" s="15">
        <v>1</v>
      </c>
      <c r="C11" s="16" t="s">
        <v>23</v>
      </c>
      <c r="D11" s="411"/>
      <c r="E11" s="413">
        <v>213</v>
      </c>
      <c r="F11" s="414"/>
      <c r="G11" s="414">
        <v>186</v>
      </c>
      <c r="H11" s="414"/>
      <c r="I11" s="414">
        <v>168</v>
      </c>
      <c r="J11" s="414"/>
      <c r="K11" s="414">
        <v>264</v>
      </c>
      <c r="L11" s="414"/>
      <c r="M11" s="415">
        <v>292</v>
      </c>
      <c r="N11" s="415"/>
      <c r="O11" s="415"/>
      <c r="P11" s="414">
        <v>295</v>
      </c>
      <c r="Q11" s="420"/>
      <c r="R11" s="17">
        <v>1418</v>
      </c>
      <c r="S11" s="18"/>
      <c r="T11" s="19" t="s">
        <v>24</v>
      </c>
      <c r="U11" s="421"/>
      <c r="V11" s="422"/>
      <c r="W11" s="422"/>
      <c r="X11" s="422"/>
      <c r="Y11" s="423"/>
    </row>
    <row r="12" spans="2:27" s="3" customFormat="1" ht="87.6" customHeight="1" x14ac:dyDescent="0.25">
      <c r="B12" s="15" t="s">
        <v>25</v>
      </c>
      <c r="C12" s="16" t="s">
        <v>26</v>
      </c>
      <c r="D12" s="412"/>
      <c r="E12" s="424">
        <v>35</v>
      </c>
      <c r="F12" s="425"/>
      <c r="G12" s="425">
        <v>18</v>
      </c>
      <c r="H12" s="425"/>
      <c r="I12" s="425">
        <v>18</v>
      </c>
      <c r="J12" s="425"/>
      <c r="K12" s="425">
        <v>28</v>
      </c>
      <c r="L12" s="425"/>
      <c r="M12" s="426">
        <v>40</v>
      </c>
      <c r="N12" s="426"/>
      <c r="O12" s="426"/>
      <c r="P12" s="425">
        <v>21</v>
      </c>
      <c r="Q12" s="427"/>
      <c r="R12" s="17">
        <v>160</v>
      </c>
      <c r="S12" s="20"/>
      <c r="T12" s="19" t="s">
        <v>24</v>
      </c>
      <c r="U12" s="421"/>
      <c r="V12" s="422"/>
      <c r="W12" s="422"/>
      <c r="X12" s="422"/>
      <c r="Y12" s="423"/>
    </row>
    <row r="13" spans="2:27" s="3" customFormat="1" ht="87.6" customHeight="1" x14ac:dyDescent="0.25">
      <c r="B13" s="15">
        <v>2</v>
      </c>
      <c r="C13" s="16" t="s">
        <v>27</v>
      </c>
      <c r="D13" s="21">
        <v>5365</v>
      </c>
      <c r="E13" s="424">
        <v>836</v>
      </c>
      <c r="F13" s="425"/>
      <c r="G13" s="425">
        <v>783</v>
      </c>
      <c r="H13" s="425"/>
      <c r="I13" s="425">
        <v>1394</v>
      </c>
      <c r="J13" s="425"/>
      <c r="K13" s="425">
        <v>667</v>
      </c>
      <c r="L13" s="425"/>
      <c r="M13" s="426">
        <v>827</v>
      </c>
      <c r="N13" s="426"/>
      <c r="O13" s="426"/>
      <c r="P13" s="425">
        <v>827</v>
      </c>
      <c r="Q13" s="427"/>
      <c r="R13" s="17">
        <v>5334</v>
      </c>
      <c r="S13" s="22">
        <v>1.0049999999999999</v>
      </c>
      <c r="T13" s="19" t="s">
        <v>24</v>
      </c>
      <c r="U13" s="421"/>
      <c r="V13" s="422"/>
      <c r="W13" s="422"/>
      <c r="X13" s="422"/>
      <c r="Y13" s="423"/>
    </row>
    <row r="14" spans="2:27" s="3" customFormat="1" ht="87.6" customHeight="1" x14ac:dyDescent="0.25">
      <c r="B14" s="15" t="s">
        <v>28</v>
      </c>
      <c r="C14" s="16" t="s">
        <v>29</v>
      </c>
      <c r="D14" s="21">
        <v>4</v>
      </c>
      <c r="E14" s="424">
        <v>0</v>
      </c>
      <c r="F14" s="425"/>
      <c r="G14" s="425">
        <v>1</v>
      </c>
      <c r="H14" s="425"/>
      <c r="I14" s="425">
        <v>2</v>
      </c>
      <c r="J14" s="425"/>
      <c r="K14" s="425">
        <v>0</v>
      </c>
      <c r="L14" s="425"/>
      <c r="M14" s="426">
        <v>0</v>
      </c>
      <c r="N14" s="426"/>
      <c r="O14" s="426"/>
      <c r="P14" s="425">
        <v>1</v>
      </c>
      <c r="Q14" s="427"/>
      <c r="R14" s="17">
        <v>4</v>
      </c>
      <c r="S14" s="22">
        <v>1</v>
      </c>
      <c r="T14" s="19" t="s">
        <v>24</v>
      </c>
      <c r="U14" s="421"/>
      <c r="V14" s="422"/>
      <c r="W14" s="422"/>
      <c r="X14" s="422"/>
      <c r="Y14" s="423"/>
    </row>
    <row r="15" spans="2:27" s="3" customFormat="1" ht="87.6" customHeight="1" thickBot="1" x14ac:dyDescent="0.3">
      <c r="B15" s="15" t="s">
        <v>30</v>
      </c>
      <c r="C15" s="16" t="s">
        <v>31</v>
      </c>
      <c r="D15" s="21">
        <v>21</v>
      </c>
      <c r="E15" s="431">
        <v>2</v>
      </c>
      <c r="F15" s="432"/>
      <c r="G15" s="432">
        <v>0</v>
      </c>
      <c r="H15" s="432"/>
      <c r="I15" s="432">
        <v>5</v>
      </c>
      <c r="J15" s="432"/>
      <c r="K15" s="432">
        <v>2</v>
      </c>
      <c r="L15" s="432"/>
      <c r="M15" s="433">
        <v>4</v>
      </c>
      <c r="N15" s="433"/>
      <c r="O15" s="433"/>
      <c r="P15" s="432">
        <v>8</v>
      </c>
      <c r="Q15" s="434"/>
      <c r="R15" s="23">
        <v>21</v>
      </c>
      <c r="S15" s="22">
        <v>1</v>
      </c>
      <c r="T15" s="19" t="s">
        <v>24</v>
      </c>
      <c r="U15" s="421"/>
      <c r="V15" s="422"/>
      <c r="W15" s="422"/>
      <c r="X15" s="422"/>
      <c r="Y15" s="423"/>
    </row>
    <row r="16" spans="2:27" s="3" customFormat="1" ht="87.6" customHeight="1" thickBot="1" x14ac:dyDescent="0.3">
      <c r="B16" s="15"/>
      <c r="C16" s="24" t="s">
        <v>32</v>
      </c>
      <c r="D16" s="21">
        <v>6836</v>
      </c>
      <c r="E16" s="428">
        <v>1049</v>
      </c>
      <c r="F16" s="429"/>
      <c r="G16" s="428">
        <v>969</v>
      </c>
      <c r="H16" s="429"/>
      <c r="I16" s="428">
        <v>1562</v>
      </c>
      <c r="J16" s="429"/>
      <c r="K16" s="428">
        <v>931</v>
      </c>
      <c r="L16" s="429"/>
      <c r="M16" s="428">
        <v>1119</v>
      </c>
      <c r="N16" s="430"/>
      <c r="O16" s="429"/>
      <c r="P16" s="428">
        <v>1122</v>
      </c>
      <c r="Q16" s="429"/>
      <c r="R16" s="25">
        <v>6752</v>
      </c>
      <c r="S16" s="22">
        <v>1.012</v>
      </c>
      <c r="T16" s="19" t="s">
        <v>24</v>
      </c>
      <c r="U16" s="421"/>
      <c r="V16" s="422"/>
      <c r="W16" s="422"/>
      <c r="X16" s="422"/>
      <c r="Y16" s="423"/>
    </row>
    <row r="17" spans="2:28" s="3" customFormat="1" ht="87.6" customHeight="1" thickBot="1" x14ac:dyDescent="0.3">
      <c r="B17" s="15"/>
      <c r="C17" s="16" t="s">
        <v>33</v>
      </c>
      <c r="D17" s="21">
        <v>187</v>
      </c>
      <c r="E17" s="428">
        <v>35</v>
      </c>
      <c r="F17" s="429"/>
      <c r="G17" s="428">
        <v>19</v>
      </c>
      <c r="H17" s="429"/>
      <c r="I17" s="428">
        <v>20</v>
      </c>
      <c r="J17" s="429"/>
      <c r="K17" s="428">
        <v>28</v>
      </c>
      <c r="L17" s="429"/>
      <c r="M17" s="428">
        <v>40</v>
      </c>
      <c r="N17" s="430"/>
      <c r="O17" s="429"/>
      <c r="P17" s="428">
        <v>22</v>
      </c>
      <c r="Q17" s="429"/>
      <c r="R17" s="25">
        <v>164</v>
      </c>
      <c r="S17" s="22">
        <v>1.1399999999999999</v>
      </c>
      <c r="T17" s="19" t="s">
        <v>24</v>
      </c>
      <c r="U17" s="421"/>
      <c r="V17" s="422"/>
      <c r="W17" s="422"/>
      <c r="X17" s="422"/>
      <c r="Y17" s="423"/>
    </row>
    <row r="18" spans="2:28" s="3" customFormat="1" ht="87.6" customHeight="1" x14ac:dyDescent="0.25">
      <c r="B18" s="15">
        <v>3</v>
      </c>
      <c r="C18" s="16" t="s">
        <v>34</v>
      </c>
      <c r="D18" s="21">
        <v>25</v>
      </c>
      <c r="E18" s="435">
        <v>2</v>
      </c>
      <c r="F18" s="436"/>
      <c r="G18" s="436">
        <v>1</v>
      </c>
      <c r="H18" s="436"/>
      <c r="I18" s="436">
        <v>7</v>
      </c>
      <c r="J18" s="436"/>
      <c r="K18" s="436">
        <v>2</v>
      </c>
      <c r="L18" s="436"/>
      <c r="M18" s="437">
        <v>4</v>
      </c>
      <c r="N18" s="437"/>
      <c r="O18" s="437"/>
      <c r="P18" s="436">
        <v>9</v>
      </c>
      <c r="Q18" s="438"/>
      <c r="R18" s="26">
        <v>25</v>
      </c>
      <c r="S18" s="22">
        <v>1</v>
      </c>
      <c r="T18" s="19" t="s">
        <v>24</v>
      </c>
      <c r="U18" s="421"/>
      <c r="V18" s="422"/>
      <c r="W18" s="422"/>
      <c r="X18" s="422"/>
      <c r="Y18" s="423"/>
    </row>
    <row r="19" spans="2:28" s="3" customFormat="1" ht="87.6" customHeight="1" thickBot="1" x14ac:dyDescent="0.3">
      <c r="B19" s="15">
        <v>4</v>
      </c>
      <c r="C19" s="16" t="s">
        <v>35</v>
      </c>
      <c r="D19" s="27">
        <v>104</v>
      </c>
      <c r="E19" s="454">
        <v>24</v>
      </c>
      <c r="F19" s="455"/>
      <c r="G19" s="455">
        <v>10</v>
      </c>
      <c r="H19" s="455"/>
      <c r="I19" s="455">
        <v>4</v>
      </c>
      <c r="J19" s="455"/>
      <c r="K19" s="455">
        <v>19</v>
      </c>
      <c r="L19" s="455"/>
      <c r="M19" s="456">
        <v>21</v>
      </c>
      <c r="N19" s="456"/>
      <c r="O19" s="456"/>
      <c r="P19" s="455">
        <v>26</v>
      </c>
      <c r="Q19" s="457"/>
      <c r="R19" s="17">
        <v>104</v>
      </c>
      <c r="S19" s="22">
        <v>1</v>
      </c>
      <c r="T19" s="19" t="s">
        <v>24</v>
      </c>
      <c r="U19" s="421"/>
      <c r="V19" s="422"/>
      <c r="W19" s="422"/>
      <c r="X19" s="422"/>
      <c r="Y19" s="423"/>
    </row>
    <row r="20" spans="2:28" s="3" customFormat="1" ht="24.75" customHeight="1" thickBot="1" x14ac:dyDescent="0.3">
      <c r="B20" s="15"/>
      <c r="C20" s="439" t="s">
        <v>36</v>
      </c>
      <c r="D20" s="442" t="s">
        <v>37</v>
      </c>
      <c r="E20" s="443"/>
      <c r="F20" s="443"/>
      <c r="G20" s="443"/>
      <c r="H20" s="443"/>
      <c r="I20" s="443"/>
      <c r="J20" s="443"/>
      <c r="K20" s="443"/>
      <c r="L20" s="443"/>
      <c r="M20" s="444"/>
      <c r="N20" s="445"/>
      <c r="O20" s="447" t="s">
        <v>38</v>
      </c>
      <c r="P20" s="443"/>
      <c r="Q20" s="443"/>
      <c r="R20" s="448"/>
      <c r="S20" s="448"/>
      <c r="T20" s="448"/>
      <c r="U20" s="443"/>
      <c r="V20" s="443"/>
      <c r="W20" s="443"/>
      <c r="X20" s="444"/>
      <c r="Y20" s="28" t="s">
        <v>15</v>
      </c>
      <c r="Z20" s="29"/>
      <c r="AA20" s="30"/>
      <c r="AB20" s="31"/>
    </row>
    <row r="21" spans="2:28" s="14" customFormat="1" ht="111.6" customHeight="1" x14ac:dyDescent="0.3">
      <c r="B21" s="32">
        <v>5</v>
      </c>
      <c r="C21" s="440"/>
      <c r="D21" s="449" t="s">
        <v>39</v>
      </c>
      <c r="E21" s="450"/>
      <c r="F21" s="451" t="s">
        <v>40</v>
      </c>
      <c r="G21" s="450"/>
      <c r="H21" s="451" t="s">
        <v>41</v>
      </c>
      <c r="I21" s="452"/>
      <c r="J21" s="453" t="s">
        <v>42</v>
      </c>
      <c r="K21" s="450"/>
      <c r="L21" s="451" t="s">
        <v>43</v>
      </c>
      <c r="M21" s="452"/>
      <c r="N21" s="445"/>
      <c r="O21" s="449" t="s">
        <v>44</v>
      </c>
      <c r="P21" s="450"/>
      <c r="Q21" s="451" t="s">
        <v>45</v>
      </c>
      <c r="R21" s="450"/>
      <c r="S21" s="451" t="s">
        <v>46</v>
      </c>
      <c r="T21" s="452"/>
      <c r="U21" s="453" t="s">
        <v>47</v>
      </c>
      <c r="V21" s="450"/>
      <c r="W21" s="451" t="s">
        <v>48</v>
      </c>
      <c r="X21" s="452"/>
      <c r="Y21" s="463"/>
      <c r="Z21" s="33"/>
      <c r="AA21" s="34"/>
      <c r="AB21" s="34"/>
    </row>
    <row r="22" spans="2:28" s="3" customFormat="1" ht="58.5" customHeight="1" thickBot="1" x14ac:dyDescent="0.3">
      <c r="B22" s="35"/>
      <c r="C22" s="441"/>
      <c r="D22" s="458">
        <v>87</v>
      </c>
      <c r="E22" s="459"/>
      <c r="F22" s="465">
        <v>87</v>
      </c>
      <c r="G22" s="459"/>
      <c r="H22" s="465">
        <v>87</v>
      </c>
      <c r="I22" s="466"/>
      <c r="J22" s="460">
        <v>1</v>
      </c>
      <c r="K22" s="461"/>
      <c r="L22" s="460">
        <v>1</v>
      </c>
      <c r="M22" s="461"/>
      <c r="N22" s="446"/>
      <c r="O22" s="458">
        <v>109</v>
      </c>
      <c r="P22" s="459"/>
      <c r="Q22" s="465">
        <v>109</v>
      </c>
      <c r="R22" s="459"/>
      <c r="S22" s="465">
        <v>109</v>
      </c>
      <c r="T22" s="466"/>
      <c r="U22" s="460">
        <v>1</v>
      </c>
      <c r="V22" s="461"/>
      <c r="W22" s="460">
        <v>1</v>
      </c>
      <c r="X22" s="461"/>
      <c r="Y22" s="464"/>
      <c r="Z22" s="30"/>
      <c r="AA22" s="31"/>
      <c r="AB22" s="31"/>
    </row>
    <row r="23" spans="2:28" ht="10.15" customHeight="1" thickBot="1" x14ac:dyDescent="0.3"/>
    <row r="24" spans="2:28" s="41" customFormat="1" ht="60" customHeight="1" thickBot="1" x14ac:dyDescent="0.3">
      <c r="B24" s="467" t="s">
        <v>49</v>
      </c>
      <c r="C24" s="467"/>
      <c r="D24" s="37" t="s">
        <v>50</v>
      </c>
      <c r="E24" s="468" t="s">
        <v>51</v>
      </c>
      <c r="F24" s="469"/>
      <c r="G24" s="470"/>
      <c r="H24" s="471"/>
      <c r="I24" s="471"/>
      <c r="J24" s="471"/>
      <c r="K24" s="472"/>
      <c r="L24" s="38"/>
      <c r="M24" s="39"/>
      <c r="N24" s="39"/>
      <c r="O24" s="39"/>
      <c r="P24" s="39"/>
      <c r="Q24" s="39"/>
      <c r="R24" s="39"/>
      <c r="S24" s="39"/>
      <c r="T24" s="39"/>
      <c r="U24" s="39"/>
      <c r="V24" s="39"/>
      <c r="W24" s="39"/>
      <c r="X24" s="39"/>
      <c r="Y24" s="40"/>
    </row>
    <row r="25" spans="2:28" ht="54" customHeight="1" thickBot="1" x14ac:dyDescent="0.3">
      <c r="B25" s="467" t="s">
        <v>52</v>
      </c>
      <c r="C25" s="467"/>
      <c r="D25" s="37" t="s">
        <v>53</v>
      </c>
      <c r="E25" s="42"/>
      <c r="F25" s="42"/>
      <c r="G25" s="42"/>
      <c r="H25" s="43"/>
      <c r="I25" s="43"/>
      <c r="J25" s="43"/>
      <c r="K25" s="43"/>
      <c r="L25" s="43"/>
    </row>
    <row r="26" spans="2:28" ht="59.45" customHeight="1" thickBot="1" x14ac:dyDescent="0.3">
      <c r="B26" s="473" t="s">
        <v>54</v>
      </c>
      <c r="C26" s="474"/>
      <c r="D26" s="37" t="s">
        <v>50</v>
      </c>
      <c r="E26" s="468" t="s">
        <v>55</v>
      </c>
      <c r="F26" s="469"/>
      <c r="G26" s="470"/>
      <c r="H26" s="471"/>
      <c r="I26" s="471"/>
      <c r="J26" s="471"/>
      <c r="K26" s="472"/>
      <c r="L26" s="43"/>
    </row>
    <row r="27" spans="2:28" ht="10.5" customHeight="1" x14ac:dyDescent="0.25">
      <c r="B27" s="44"/>
      <c r="C27" s="44"/>
    </row>
    <row r="28" spans="2:28" s="41" customFormat="1" ht="54.6" customHeight="1" x14ac:dyDescent="0.25">
      <c r="B28" s="45"/>
      <c r="C28" s="45" t="s">
        <v>56</v>
      </c>
      <c r="D28" s="462" t="s">
        <v>57</v>
      </c>
      <c r="E28" s="462"/>
      <c r="F28" s="462"/>
      <c r="G28" s="462"/>
      <c r="H28" s="462"/>
      <c r="I28" s="462"/>
      <c r="J28" s="462"/>
      <c r="K28" s="46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2" t="s">
        <v>57</v>
      </c>
      <c r="E30" s="462"/>
      <c r="F30" s="462"/>
      <c r="G30" s="462"/>
      <c r="H30" s="462"/>
      <c r="I30" s="462"/>
      <c r="J30" s="462"/>
      <c r="K30" s="462"/>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8" t="s">
        <v>99</v>
      </c>
      <c r="E2" s="51" t="s">
        <v>100</v>
      </c>
    </row>
    <row r="3" spans="3:5" x14ac:dyDescent="0.25">
      <c r="C3" s="476"/>
      <c r="D3" s="479"/>
      <c r="E3" s="51"/>
    </row>
    <row r="4" spans="3:5" ht="30.75" thickBot="1" x14ac:dyDescent="0.3">
      <c r="C4" s="476"/>
      <c r="D4" s="480"/>
      <c r="E4" s="52" t="s">
        <v>101</v>
      </c>
    </row>
    <row r="5" spans="3:5" x14ac:dyDescent="0.25">
      <c r="C5" s="476"/>
      <c r="D5" s="478" t="s">
        <v>102</v>
      </c>
      <c r="E5" s="51" t="s">
        <v>103</v>
      </c>
    </row>
    <row r="6" spans="3:5" ht="15.75" thickBot="1" x14ac:dyDescent="0.3">
      <c r="C6" s="476"/>
      <c r="D6" s="480"/>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8" t="s">
        <v>109</v>
      </c>
      <c r="E9" s="51" t="s">
        <v>110</v>
      </c>
    </row>
    <row r="10" spans="3:5" ht="45.75" thickBot="1" x14ac:dyDescent="0.3">
      <c r="C10" s="477"/>
      <c r="D10" s="480"/>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8" t="s">
        <v>122</v>
      </c>
    </row>
    <row r="16" spans="3:5" ht="30" x14ac:dyDescent="0.25">
      <c r="C16" s="476"/>
      <c r="D16" s="51" t="s">
        <v>119</v>
      </c>
      <c r="E16" s="479"/>
    </row>
    <row r="17" spans="3:5" ht="30" x14ac:dyDescent="0.25">
      <c r="C17" s="476"/>
      <c r="D17" s="51" t="s">
        <v>120</v>
      </c>
      <c r="E17" s="479"/>
    </row>
    <row r="18" spans="3:5" ht="15.75" thickBot="1" x14ac:dyDescent="0.3">
      <c r="C18" s="477"/>
      <c r="D18" s="52" t="s">
        <v>121</v>
      </c>
      <c r="E18" s="480"/>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8" t="s">
        <v>122</v>
      </c>
    </row>
    <row r="26" spans="3:5" ht="30" x14ac:dyDescent="0.25">
      <c r="C26" s="476"/>
      <c r="D26" s="51" t="s">
        <v>133</v>
      </c>
      <c r="E26" s="479"/>
    </row>
    <row r="27" spans="3:5" ht="15.75" thickBot="1" x14ac:dyDescent="0.3">
      <c r="C27" s="476"/>
      <c r="D27" s="52" t="s">
        <v>134</v>
      </c>
      <c r="E27" s="480"/>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8" t="s">
        <v>101</v>
      </c>
    </row>
    <row r="31" spans="3:5" ht="15.75" thickBot="1" x14ac:dyDescent="0.3">
      <c r="C31" s="476"/>
      <c r="D31" s="52" t="s">
        <v>138</v>
      </c>
      <c r="E31" s="480"/>
    </row>
    <row r="32" spans="3:5" ht="45.75" thickBot="1" x14ac:dyDescent="0.3">
      <c r="C32" s="477"/>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2017-03-10T08:35:37Z</dcterms:modified>
</cp:coreProperties>
</file>