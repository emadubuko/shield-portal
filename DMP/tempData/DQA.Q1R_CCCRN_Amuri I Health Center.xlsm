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DQA reports\Stephen Edi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U17" i="11"/>
  <c r="R24" i="11" s="1"/>
  <c r="V17" i="11"/>
  <c r="W17" i="11"/>
  <c r="X17" i="11"/>
  <c r="Y17" i="11"/>
  <c r="Q25" i="11" s="1"/>
  <c r="Z17" i="11"/>
  <c r="AA17" i="11"/>
  <c r="S25" i="11" s="1"/>
  <c r="AB17" i="11"/>
  <c r="T25" i="11"/>
  <c r="R25" i="11"/>
  <c r="P25" i="11"/>
  <c r="T24" i="11"/>
  <c r="S24" i="11"/>
  <c r="Q24" i="11"/>
  <c r="P24" i="11"/>
  <c r="T23"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6" i="11"/>
  <c r="F46" i="10"/>
  <c r="S12" i="12"/>
  <c r="F49" i="10"/>
  <c r="D51" i="10"/>
  <c r="D52" i="10"/>
  <c r="D53" i="10"/>
  <c r="E53" i="10"/>
  <c r="F53" i="10"/>
  <c r="D54" i="10"/>
  <c r="E54" i="10"/>
  <c r="F54" i="10"/>
  <c r="D59" i="10"/>
  <c r="E59" i="10"/>
  <c r="F59" i="10"/>
  <c r="F58" i="10"/>
  <c r="E58" i="10"/>
  <c r="D58" i="10"/>
  <c r="D57" i="10"/>
  <c r="D14" i="12"/>
  <c r="F57" i="10"/>
  <c r="N14" i="12"/>
  <c r="E57" i="10"/>
  <c r="I14" i="12"/>
  <c r="D60" i="10"/>
  <c r="D61" i="10"/>
  <c r="D55" i="10"/>
  <c r="E55" i="10"/>
  <c r="F55" i="10"/>
  <c r="D56" i="10"/>
  <c r="D12" i="12"/>
  <c r="E56" i="10"/>
  <c r="I12" i="12"/>
  <c r="F56" i="10"/>
  <c r="N12" i="12"/>
  <c r="E61" i="10"/>
  <c r="E60" i="10"/>
  <c r="F61" i="10"/>
  <c r="F60" i="10"/>
  <c r="D62" i="10"/>
  <c r="D63" i="10"/>
  <c r="D67" i="10"/>
  <c r="D68" i="10"/>
  <c r="E67" i="10"/>
  <c r="F67" i="10"/>
  <c r="D71" i="10"/>
  <c r="D73" i="10"/>
  <c r="D74" i="10"/>
  <c r="D75" i="10"/>
  <c r="E73" i="10"/>
  <c r="F73" i="10"/>
  <c r="E75" i="10"/>
  <c r="F75" i="10"/>
  <c r="D77" i="10"/>
  <c r="D79" i="10"/>
  <c r="E79" i="10"/>
  <c r="F79" i="10"/>
  <c r="D80" i="10"/>
  <c r="D83" i="10"/>
  <c r="D82" i="10"/>
  <c r="D81" i="10"/>
  <c r="H12" i="12"/>
  <c r="E82" i="10"/>
  <c r="E81" i="10"/>
  <c r="F82" i="10"/>
  <c r="F81" i="10"/>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7" i="10"/>
  <c r="F48" i="10"/>
  <c r="E51" i="10"/>
  <c r="F51" i="10"/>
  <c r="E52" i="10"/>
  <c r="F52" i="10"/>
  <c r="E62" i="10"/>
  <c r="F62" i="10"/>
  <c r="E63" i="10"/>
  <c r="F63" i="10"/>
  <c r="D64" i="10"/>
  <c r="E64" i="10"/>
  <c r="F64" i="10"/>
  <c r="D65" i="10"/>
  <c r="E65" i="10"/>
  <c r="F65" i="10"/>
  <c r="E68" i="10"/>
  <c r="F68" i="10"/>
  <c r="D69" i="10"/>
  <c r="E69" i="10"/>
  <c r="F69" i="10"/>
  <c r="D70" i="10"/>
  <c r="E70" i="10"/>
  <c r="F70" i="10"/>
  <c r="E71" i="10"/>
  <c r="F71" i="10"/>
  <c r="D72" i="10"/>
  <c r="E72" i="10"/>
  <c r="F72" i="10"/>
  <c r="E74" i="10"/>
  <c r="F74" i="10"/>
  <c r="D76" i="10"/>
  <c r="E76" i="10"/>
  <c r="F76" i="10"/>
  <c r="E77" i="10"/>
  <c r="F77" i="10"/>
  <c r="D78" i="10"/>
  <c r="E78" i="10"/>
  <c r="F78" i="10"/>
  <c r="E80" i="10"/>
  <c r="F80"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E12" i="12"/>
  <c r="F12" i="12"/>
  <c r="G12" i="12"/>
  <c r="J12" i="12"/>
  <c r="K12" i="12"/>
  <c r="L12" i="12"/>
  <c r="M12" i="12"/>
  <c r="O12" i="12"/>
  <c r="P12" i="12"/>
  <c r="Q12" i="12"/>
  <c r="R12" i="12"/>
  <c r="T12" i="12"/>
  <c r="F13" i="12"/>
  <c r="H13" i="12"/>
  <c r="K13" i="12"/>
  <c r="M13" i="12"/>
  <c r="P13" i="12"/>
  <c r="R13" i="12"/>
  <c r="S13" i="12"/>
  <c r="T13" i="12"/>
  <c r="E14" i="12"/>
  <c r="F14" i="12"/>
  <c r="G14" i="12"/>
  <c r="H14" i="12"/>
  <c r="J14" i="12"/>
  <c r="K14" i="12"/>
  <c r="L14" i="12"/>
  <c r="M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4" i="11"/>
  <c r="G5" i="11"/>
  <c r="F8" i="11"/>
  <c r="G8" i="11"/>
  <c r="F9" i="11"/>
  <c r="G9" i="11"/>
  <c r="F19" i="11"/>
  <c r="G19" i="11"/>
  <c r="F20" i="11"/>
  <c r="G20" i="11"/>
  <c r="E21" i="11"/>
  <c r="F21" i="11"/>
  <c r="G21" i="11"/>
  <c r="E22" i="11"/>
  <c r="F22" i="11"/>
  <c r="G22" i="11"/>
  <c r="F25" i="11"/>
  <c r="G25" i="11"/>
  <c r="E26" i="11"/>
  <c r="F26" i="11"/>
  <c r="G26" i="11"/>
  <c r="E27" i="11"/>
  <c r="F27" i="11"/>
  <c r="G27" i="11"/>
  <c r="F28" i="11"/>
  <c r="G28" i="11"/>
  <c r="E29" i="11"/>
  <c r="F29" i="11"/>
  <c r="G29" i="11"/>
  <c r="F31" i="11"/>
  <c r="G31" i="11"/>
  <c r="E33" i="11"/>
  <c r="F33" i="11"/>
  <c r="G33" i="11"/>
  <c r="F34" i="11"/>
  <c r="G34" i="11"/>
  <c r="E35" i="11"/>
  <c r="F35" i="11"/>
  <c r="G35" i="11"/>
  <c r="F37" i="11"/>
  <c r="G37" i="11"/>
  <c r="F39" i="11"/>
  <c r="G39"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<sst xmlns="http://schemas.openxmlformats.org/spreadsheetml/2006/main" count="27101" uniqueCount="4025">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</sst>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10.6</c:v>
                </c:pt>
                <c:pt idx="1">
                  <c:v>11.529761904761903</c:v>
                </c:pt>
                <c:pt idx="2">
                  <c:v>9.6363636363636367</c:v>
                </c:pt>
                <c:pt idx="3">
                  <c:v>14.6875</c:v>
                </c:pt>
                <c:pt idx="4">
                  <c:v>16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14.35</c:v>
                </c:pt>
                <c:pt idx="1">
                  <c:v>14.172619047619046</c:v>
                </c:pt>
                <c:pt idx="2">
                  <c:v>12.560606060606061</c:v>
                </c:pt>
                <c:pt idx="3">
                  <c:v>14.225</c:v>
                </c:pt>
                <c:pt idx="4">
                  <c:v>20.555555555555557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8.7750000000000004</c:v>
                </c:pt>
                <c:pt idx="1">
                  <c:v>8.7559523809523814</c:v>
                </c:pt>
                <c:pt idx="2">
                  <c:v>8.1212121212121211</c:v>
                </c:pt>
                <c:pt idx="3">
                  <c:v>8.7249999999999996</c:v>
                </c:pt>
                <c:pt idx="4">
                  <c:v>12.555555555555555</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18270680"/>
        <c:axId val="618271072"/>
      </c:radarChart>
      <c:catAx>
        <c:axId val="618270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8271072"/>
        <c:crosses val="autoZero"/>
        <c:auto val="1"/>
        <c:lblAlgn val="ctr"/>
        <c:lblOffset val="100"/>
        <c:noMultiLvlLbl val="0"/>
      </c:catAx>
      <c:valAx>
        <c:axId val="6182710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27068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CCCRN</v>
      </c>
      <c r="E2" s="322"/>
      <c r="F2" s="322"/>
      <c r="G2" s="322"/>
      <c r="H2" s="322"/>
      <c r="I2" s="322"/>
      <c r="J2" s="323"/>
      <c r="K2" s="324" t="s">
        <v>4022</v>
      </c>
      <c r="L2" s="325"/>
      <c r="M2" s="325"/>
      <c r="N2" s="325"/>
      <c r="O2" s="326" t="str">
        <f>Worksheet!M18</f>
        <v>John Doe</v>
      </c>
      <c r="P2" s="327"/>
      <c r="Q2" s="327"/>
      <c r="R2" s="327"/>
      <c r="S2" s="327"/>
      <c r="T2" s="328"/>
    </row>
    <row r="3" spans="1:20" ht="24" thickBot="1" x14ac:dyDescent="0.4">
      <c r="A3" s="318" t="s">
        <v>94</v>
      </c>
      <c r="B3" s="319" t="s">
        <v>1</v>
      </c>
      <c r="C3" s="320"/>
      <c r="D3" s="321" t="str">
        <f>Worksheet!R2</f>
        <v>Enugu</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4">
      <c r="A4" s="318" t="s">
        <v>93</v>
      </c>
      <c r="B4" s="319"/>
      <c r="C4" s="320" t="s">
        <v>3</v>
      </c>
      <c r="D4" s="321" t="str">
        <f>Worksheet!T2</f>
        <v>en Nkanu West</v>
      </c>
      <c r="E4" s="322"/>
      <c r="F4" s="322"/>
      <c r="G4" s="322"/>
      <c r="H4" s="322"/>
      <c r="I4" s="322"/>
      <c r="J4" s="323"/>
      <c r="K4" s="324" t="s">
        <v>4023</v>
      </c>
      <c r="L4" s="325"/>
      <c r="M4" s="325"/>
      <c r="N4" s="325"/>
      <c r="O4" s="326" t="str">
        <f>Worksheet!M19</f>
        <v>Mary Doe</v>
      </c>
      <c r="P4" s="327"/>
      <c r="Q4" s="327"/>
      <c r="R4" s="327"/>
      <c r="S4" s="327"/>
      <c r="T4" s="328"/>
    </row>
    <row r="5" spans="1:20" ht="24" thickBot="1" x14ac:dyDescent="0.4">
      <c r="A5" s="318" t="s">
        <v>92</v>
      </c>
      <c r="B5" s="319"/>
      <c r="C5" s="320" t="s">
        <v>6</v>
      </c>
      <c r="D5" s="321" t="str">
        <f>Worksheet!V2</f>
        <v>Amurri 1 Health Center</v>
      </c>
      <c r="E5" s="322"/>
      <c r="F5" s="322"/>
      <c r="G5" s="322"/>
      <c r="H5" s="322"/>
      <c r="I5" s="322"/>
      <c r="J5" s="323"/>
      <c r="K5" s="324" t="s">
        <v>3969</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3970</v>
      </c>
      <c r="D8" s="152">
        <f ca="1">(SUM('All Questions'!D10:D14)/5)+D12</f>
        <v>42.4</v>
      </c>
      <c r="E8" s="152">
        <f ca="1">SUM('All Questions'!D15:D21)/7+E12</f>
        <v>46.11904761904762</v>
      </c>
      <c r="F8" s="152">
        <f ca="1">SUM('All Questions'!D23:D30)/4+F12</f>
        <v>53</v>
      </c>
      <c r="G8" s="152">
        <f ca="1">SUM('All Questions'!D31:D35)/5+G12</f>
        <v>58.75</v>
      </c>
      <c r="H8" s="153">
        <f ca="1">SUM('All Questions'!D37,'All Questions'!D40)/2+'All Questions'!D26+H12</f>
        <v>72</v>
      </c>
      <c r="I8" s="154">
        <f ca="1">(SUM('All Questions'!E10:E14)/5)+I12</f>
        <v>57.4</v>
      </c>
      <c r="J8" s="152">
        <f ca="1">SUM('All Questions'!E15:E21)/7+J12</f>
        <v>56.69047619047619</v>
      </c>
      <c r="K8" s="152">
        <f ca="1">SUM('All Questions'!E23:E30)/4+K12</f>
        <v>69.083333333333329</v>
      </c>
      <c r="L8" s="152">
        <f ca="1">SUM('All Questions'!E31:E35)/5+L12</f>
        <v>56.9</v>
      </c>
      <c r="M8" s="153">
        <f ca="1">('All Questions'!E37+'All Questions'!E40)/2+'All Questions'!E26+M12</f>
        <v>92.5</v>
      </c>
      <c r="N8" s="154">
        <f ca="1">(SUM('All Questions'!F10:F14)/5)+N12</f>
        <v>35.1</v>
      </c>
      <c r="O8" s="152">
        <f ca="1">SUM('All Questions'!F15:F21)/7+O12</f>
        <v>35.023809523809526</v>
      </c>
      <c r="P8" s="152">
        <f ca="1">SUM('All Questions'!F23:F30)/4+P12</f>
        <v>42.166666666666664</v>
      </c>
      <c r="Q8" s="152">
        <f ca="1">SUM('All Questions'!F31:F35)/5+Q12</f>
        <v>34.9</v>
      </c>
      <c r="R8" s="153">
        <f ca="1">('All Questions'!F37+'All Questions'!F40)/2+'All Questions'!F26+R12</f>
        <v>56.5</v>
      </c>
      <c r="S8" s="138">
        <f ca="1">'All Questions'!F2</f>
        <v>206</v>
      </c>
      <c r="T8" s="139">
        <f t="shared" ref="T8:T17" ca="1" si="0">(((SUM(D8:H8)/5)+(SUM(I8:M8)/5)+(SUM(N8:R8)/5)))/S8</f>
        <v>0.78498381877022649</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40.4</v>
      </c>
      <c r="E10" s="156">
        <f ca="1">SUM('All Questions'!D15:D21)/7</f>
        <v>39.285714285714285</v>
      </c>
      <c r="F10" s="156">
        <f ca="1">(SUM('All Questions'!D23:D24)+SUM('All Questions'!D25:D26)+SUM('All Questions'!D27:D28)+SUM('All Questions'!D29:D30))/4</f>
        <v>50</v>
      </c>
      <c r="G10" s="156">
        <f ca="1">SUM('All Questions'!D31:D35)/5</f>
        <v>53</v>
      </c>
      <c r="H10" s="159">
        <f ca="1">('All Questions'!D37+'All Questions'!D40)/2+'All Questions'!D26</f>
        <v>65</v>
      </c>
      <c r="I10" s="160">
        <f ca="1">(SUM('All Questions'!E10:E14)/5)</f>
        <v>55.4</v>
      </c>
      <c r="J10" s="161">
        <f ca="1">SUM('All Questions'!E15:E21)/7</f>
        <v>50.857142857142854</v>
      </c>
      <c r="K10" s="161">
        <f ca="1">(SUM('All Questions'!E23:E24)+SUM('All Questions'!E25:E26)+SUM('All Questions'!E27:E28)+SUM('All Questions'!E29:E30))/4</f>
        <v>66.75</v>
      </c>
      <c r="L10" s="161">
        <f ca="1">SUM('All Questions'!E31:E35)/5</f>
        <v>53.4</v>
      </c>
      <c r="M10" s="162">
        <f ca="1">('All Questions'!E37+'All Questions'!E40)/2+'All Questions'!E26</f>
        <v>89</v>
      </c>
      <c r="N10" s="163">
        <f ca="1">(SUM('All Questions'!F10:F14)/5)</f>
        <v>33.6</v>
      </c>
      <c r="O10" s="161">
        <f ca="1">SUM('All Questions'!F15:F21)/7</f>
        <v>30.857142857142858</v>
      </c>
      <c r="P10" s="161">
        <f ca="1">(SUM('All Questions'!F23:F24)+SUM('All Questions'!F25:F26)+SUM('All Questions'!F27:F28)+SUM('All Questions'!F29:F30))/4</f>
        <v>40.5</v>
      </c>
      <c r="Q10" s="161">
        <f ca="1">SUM('All Questions'!F31:F35)/5</f>
        <v>32.4</v>
      </c>
      <c r="R10" s="162">
        <f ca="1">('All Questions'!F37+'All Questions'!F40)/2+'All Questions'!F26</f>
        <v>54</v>
      </c>
      <c r="S10" s="138">
        <f ca="1">'All Questions'!F4</f>
        <v>206</v>
      </c>
      <c r="T10" s="140">
        <f t="shared" ca="1" si="0"/>
        <v>0.73247572815533979</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SUM('All Questions'!D55:D58)/4</f>
        <v>2</v>
      </c>
      <c r="E12" s="170">
        <f ca="1">SUM('All Questions'!D60:D75)/6</f>
        <v>6.833333333333333</v>
      </c>
      <c r="F12" s="170">
        <f ca="1">SUM('All Questions'!D67:D72)/3</f>
        <v>3</v>
      </c>
      <c r="G12" s="170">
        <f ca="1">SUM('All Questions'!D73:D80)/4</f>
        <v>5.75</v>
      </c>
      <c r="H12" s="171">
        <f>SUM('All Questions'!D82:D83)/2</f>
        <v>7</v>
      </c>
      <c r="I12" s="172">
        <f>SUM('All Questions'!E55:E58)/4</f>
        <v>2</v>
      </c>
      <c r="J12" s="173">
        <f ca="1">SUM('All Questions'!E60:E75)/6</f>
        <v>5.833333333333333</v>
      </c>
      <c r="K12" s="173">
        <f ca="1">SUM('All Questions'!E67:E72)/3</f>
        <v>2.3333333333333335</v>
      </c>
      <c r="L12" s="173">
        <f ca="1">SUM('All Questions'!E73:E80)/4</f>
        <v>3.5</v>
      </c>
      <c r="M12" s="174">
        <f ca="1">SUM('All Questions'!E82:E83)/2</f>
        <v>3.5</v>
      </c>
      <c r="N12" s="175">
        <f>SUM('All Questions'!F55:F58)/4</f>
        <v>1.5</v>
      </c>
      <c r="O12" s="173">
        <f ca="1">SUM('All Questions'!F60:F75)/6</f>
        <v>4.166666666666667</v>
      </c>
      <c r="P12" s="173">
        <f ca="1">SUM('All Questions'!F67:F72)/3</f>
        <v>1.6666666666666667</v>
      </c>
      <c r="Q12" s="173">
        <f ca="1">SUM('All Questions'!F73:F80)/4</f>
        <v>2.5</v>
      </c>
      <c r="R12" s="174">
        <f ca="1">SUM('All Questions'!F82:F83)/2</f>
        <v>2.5</v>
      </c>
      <c r="S12" s="142">
        <f>'All Questions'!F46</f>
        <v>19</v>
      </c>
      <c r="T12" s="143">
        <f t="shared" ca="1" si="0"/>
        <v>0.56929824561403497</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'All Questions'!D57</f>
        <v>0</v>
      </c>
      <c r="E14" s="176">
        <f ca="1">'All Questions'!D64</f>
        <v>0</v>
      </c>
      <c r="F14" s="176">
        <f ca="1">SUM('All Questions'!D69:D70)</f>
        <v>0</v>
      </c>
      <c r="G14" s="176">
        <f ca="1">SUM('All Questions'!D74,'All Questions'!D76,'All Questions'!D78,'All Questions'!D80)/4</f>
        <v>0</v>
      </c>
      <c r="H14" s="177">
        <f ca="1">SUM('All Questions'!D88:D89)/2</f>
        <v>0</v>
      </c>
      <c r="I14" s="184">
        <f>'All Questions'!E57</f>
        <v>0</v>
      </c>
      <c r="J14" s="180">
        <f ca="1">'All Questions'!E64</f>
        <v>0</v>
      </c>
      <c r="K14" s="180">
        <f ca="1">SUM('All Questions'!E69:E70)</f>
        <v>0</v>
      </c>
      <c r="L14" s="180">
        <f ca="1">SUM('All Questions'!E74,'All Questions'!E76,'All Questions'!E78,'All Questions'!E80)/4</f>
        <v>0</v>
      </c>
      <c r="M14" s="181">
        <f ca="1">SUM('All Questions'!E88:E89)/2</f>
        <v>0</v>
      </c>
      <c r="N14" s="185">
        <f>'All Questions'!F57</f>
        <v>0</v>
      </c>
      <c r="O14" s="180">
        <f ca="1">'All Questions'!E64</f>
        <v>0</v>
      </c>
      <c r="P14" s="180">
        <f ca="1">SUM('All Questions'!F75:F76)</f>
        <v>5</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3804</v>
      </c>
      <c r="C2" s="218" t="s">
        <v>4008</v>
      </c>
      <c r="D2" s="219" t="s">
        <v>3978</v>
      </c>
      <c r="E2" s="220"/>
      <c r="F2" s="221" t="s">
        <v>4009</v>
      </c>
      <c r="G2" s="222"/>
      <c r="H2" s="223"/>
      <c r="I2" s="63"/>
      <c r="J2" s="63"/>
      <c r="K2" s="358" t="s">
        <v>157</v>
      </c>
      <c r="L2" s="358"/>
      <c r="M2" s="66" t="s">
        <v>83</v>
      </c>
      <c r="N2" s="358" t="s">
        <v>158</v>
      </c>
      <c r="O2" s="358"/>
      <c r="P2" s="66" t="s">
        <v>143</v>
      </c>
      <c r="Q2" s="305" t="s">
        <v>1</v>
      </c>
      <c r="R2" s="66" t="s">
        <v>174</v>
      </c>
      <c r="S2" s="305" t="s">
        <v>3</v>
      </c>
      <c r="T2" s="66" t="s">
        <v>630</v>
      </c>
      <c r="U2" s="67" t="s">
        <v>159</v>
      </c>
      <c r="V2" s="66" t="s">
        <v>1465</v>
      </c>
      <c r="W2" s="66"/>
      <c r="X2" s="67" t="s">
        <v>160</v>
      </c>
      <c r="Y2" s="66" t="s">
        <v>149</v>
      </c>
      <c r="Z2" s="96" t="s">
        <v>3803</v>
      </c>
      <c r="AA2" s="68" t="str">
        <f>VLOOKUP(V2,[2]Data_donotedit!AY2:AZ1504,2,FALSE)</f>
        <v>EieEFMENYmf</v>
      </c>
      <c r="AB2" s="68"/>
      <c r="AC2" s="68"/>
      <c r="AD2" s="68"/>
    </row>
    <row r="3" spans="1:30" ht="40.15" customHeight="1" x14ac:dyDescent="0.25">
      <c r="A3" s="63"/>
      <c r="B3" s="224"/>
      <c r="C3" s="253" t="s">
        <v>83</v>
      </c>
      <c r="D3" s="254" t="s">
        <v>3987</v>
      </c>
      <c r="E3" s="226"/>
      <c r="F3" s="229"/>
      <c r="G3" s="302">
        <v>19</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302">
        <f ca="1">_xlfn.IFNA(VLOOKUP(C4,Worksheet!$C$3:$G$46,5,FALSE),G4)</f>
        <v>0</v>
      </c>
      <c r="H4" s="205" t="s">
        <v>83</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55" t="s">
        <v>4015</v>
      </c>
      <c r="D5" s="226" t="s">
        <v>3976</v>
      </c>
      <c r="E5" s="226"/>
      <c r="F5" s="256"/>
      <c r="G5" s="302">
        <f ca="1">_xlfn.IFNA(VLOOKUP(C5,Worksheet!$C$3:$G$46,5,FALSE),G5)</f>
        <v>0</v>
      </c>
      <c r="H5" s="205" t="s">
        <v>83</v>
      </c>
      <c r="I5" s="63"/>
      <c r="J5" s="63"/>
      <c r="K5" s="363"/>
      <c r="L5" s="354" t="s">
        <v>82</v>
      </c>
      <c r="M5" s="355"/>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57" t="s">
        <v>4016</v>
      </c>
      <c r="D6" s="258" t="s">
        <v>3988</v>
      </c>
      <c r="E6" s="233"/>
      <c r="F6" s="259"/>
      <c r="G6" s="235">
        <f>_xlfn.IFNA(VLOOKUP(G3,Data_donotedit!$BE$2:$BG$25,3,TRUE),0)</f>
        <v>20</v>
      </c>
      <c r="H6" s="205" t="s">
        <v>83</v>
      </c>
      <c r="I6" s="63"/>
      <c r="J6" s="63"/>
      <c r="K6" s="132" t="s">
        <v>89</v>
      </c>
      <c r="L6" s="349" t="s">
        <v>3970</v>
      </c>
      <c r="M6" s="350"/>
      <c r="N6" s="71">
        <v>42.4</v>
      </c>
      <c r="O6" s="71">
        <v>46.11904761904762</v>
      </c>
      <c r="P6" s="71">
        <v>53</v>
      </c>
      <c r="Q6" s="71">
        <v>58.75</v>
      </c>
      <c r="R6" s="72">
        <v>72</v>
      </c>
      <c r="S6" s="71">
        <v>57.4</v>
      </c>
      <c r="T6" s="71">
        <v>56.69047619047619</v>
      </c>
      <c r="U6" s="71">
        <v>69.083333333333329</v>
      </c>
      <c r="V6" s="71">
        <v>56.9</v>
      </c>
      <c r="W6" s="72">
        <v>92.5</v>
      </c>
      <c r="X6" s="71">
        <v>35.1</v>
      </c>
      <c r="Y6" s="71">
        <v>35.023809523809526</v>
      </c>
      <c r="Z6" s="71">
        <v>42.166666666666664</v>
      </c>
      <c r="AA6" s="71">
        <v>34.9</v>
      </c>
      <c r="AB6" s="71">
        <v>56.5</v>
      </c>
      <c r="AC6" s="73">
        <v>206</v>
      </c>
      <c r="AD6" s="74">
        <v>0.78498381877022649</v>
      </c>
    </row>
    <row r="7" spans="1:30" ht="40.15" customHeight="1" x14ac:dyDescent="0.25">
      <c r="A7" s="63"/>
      <c r="B7" s="224"/>
      <c r="C7" s="236"/>
      <c r="D7" s="260" t="s">
        <v>3840</v>
      </c>
      <c r="E7" s="238" t="s">
        <v>76</v>
      </c>
      <c r="F7" s="238" t="s">
        <v>77</v>
      </c>
      <c r="G7" s="239" t="s">
        <v>78</v>
      </c>
      <c r="H7" s="205" t="s">
        <v>83</v>
      </c>
      <c r="I7" s="63"/>
      <c r="J7" s="65"/>
      <c r="K7" s="59" t="s">
        <v>89</v>
      </c>
      <c r="L7" s="336" t="s">
        <v>3971</v>
      </c>
      <c r="M7" s="337"/>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303">
        <v>1</v>
      </c>
      <c r="F8" s="303">
        <f ca="1">_xlfn.IFNA(VLOOKUP(C8,Worksheet!$C$3:$G$46,4,FALSE),F8)</f>
        <v>0</v>
      </c>
      <c r="G8" s="303">
        <f ca="1">_xlfn.IFNA(VLOOKUP(C8,Worksheet!$C$3:$G$46,5,FALSE),G8)</f>
        <v>0</v>
      </c>
      <c r="H8" s="205" t="s">
        <v>83</v>
      </c>
      <c r="I8" s="63"/>
      <c r="J8" s="70"/>
      <c r="K8" s="58" t="s">
        <v>79</v>
      </c>
      <c r="L8" s="334" t="s">
        <v>3972</v>
      </c>
      <c r="M8" s="335"/>
      <c r="N8" s="71">
        <v>40.4</v>
      </c>
      <c r="O8" s="71">
        <v>39.285714285714285</v>
      </c>
      <c r="P8" s="71">
        <v>50</v>
      </c>
      <c r="Q8" s="71">
        <v>53</v>
      </c>
      <c r="R8" s="72">
        <v>65</v>
      </c>
      <c r="S8" s="71">
        <v>55.4</v>
      </c>
      <c r="T8" s="71">
        <v>50.857142857142854</v>
      </c>
      <c r="U8" s="71">
        <v>66.75</v>
      </c>
      <c r="V8" s="71">
        <v>53.4</v>
      </c>
      <c r="W8" s="72">
        <v>89</v>
      </c>
      <c r="X8" s="71">
        <v>33.6</v>
      </c>
      <c r="Y8" s="71">
        <v>30.857142857142858</v>
      </c>
      <c r="Z8" s="71">
        <v>40.5</v>
      </c>
      <c r="AA8" s="71">
        <v>32.4</v>
      </c>
      <c r="AB8" s="71">
        <v>54</v>
      </c>
      <c r="AC8" s="75">
        <v>206</v>
      </c>
      <c r="AD8" s="76">
        <v>0.73247572815533979</v>
      </c>
    </row>
    <row r="9" spans="1:30" ht="40.15" customHeight="1" x14ac:dyDescent="0.25">
      <c r="A9" s="63"/>
      <c r="B9" s="261" t="s">
        <v>3843</v>
      </c>
      <c r="C9" s="236">
        <v>1212</v>
      </c>
      <c r="D9" s="240" t="s">
        <v>3844</v>
      </c>
      <c r="E9" s="303">
        <v>1</v>
      </c>
      <c r="F9" s="303">
        <f ca="1">_xlfn.IFNA(VLOOKUP(C9,Worksheet!$C$3:$G$46,4,FALSE),F9)</f>
        <v>0</v>
      </c>
      <c r="G9" s="303">
        <f ca="1">_xlfn.IFNA(VLOOKUP(C9,Worksheet!$C$3:$G$46,5,FALSE),G9)</f>
        <v>0</v>
      </c>
      <c r="H9" s="205" t="s">
        <v>83</v>
      </c>
      <c r="I9" s="63"/>
      <c r="J9" s="70"/>
      <c r="K9" s="59" t="s">
        <v>79</v>
      </c>
      <c r="L9" s="336" t="s">
        <v>88</v>
      </c>
      <c r="M9" s="337"/>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303">
        <v>1</v>
      </c>
      <c r="F10" s="303">
        <v>1</v>
      </c>
      <c r="G10" s="303">
        <v>1</v>
      </c>
      <c r="H10" s="205" t="s">
        <v>83</v>
      </c>
      <c r="I10" s="63"/>
      <c r="J10" s="70"/>
      <c r="K10" s="121" t="s">
        <v>83</v>
      </c>
      <c r="L10" s="338" t="s">
        <v>3974</v>
      </c>
      <c r="M10" s="339"/>
      <c r="N10" s="122">
        <v>2</v>
      </c>
      <c r="O10" s="71">
        <v>6.833333333333333</v>
      </c>
      <c r="P10" s="71">
        <v>3</v>
      </c>
      <c r="Q10" s="71">
        <v>5.75</v>
      </c>
      <c r="R10" s="71">
        <v>7</v>
      </c>
      <c r="S10" s="122">
        <v>2</v>
      </c>
      <c r="T10" s="71">
        <v>5.833333333333333</v>
      </c>
      <c r="U10" s="71">
        <v>2.3333333333333335</v>
      </c>
      <c r="V10" s="71">
        <v>3.5</v>
      </c>
      <c r="W10" s="71">
        <v>3.5</v>
      </c>
      <c r="X10" s="122">
        <v>1.5</v>
      </c>
      <c r="Y10" s="71">
        <v>4.166666666666667</v>
      </c>
      <c r="Z10" s="71">
        <v>1.6666666666666667</v>
      </c>
      <c r="AA10" s="71">
        <v>2.5</v>
      </c>
      <c r="AB10" s="71">
        <v>2.5</v>
      </c>
      <c r="AC10" s="124">
        <v>19</v>
      </c>
      <c r="AD10" s="125">
        <v>0.56929824561403497</v>
      </c>
    </row>
    <row r="11" spans="1:30" ht="50.45" customHeight="1" x14ac:dyDescent="0.25">
      <c r="A11" s="63"/>
      <c r="B11" s="224"/>
      <c r="C11" s="236">
        <v>1214</v>
      </c>
      <c r="D11" s="262" t="s">
        <v>3846</v>
      </c>
      <c r="E11" s="303">
        <v>7</v>
      </c>
      <c r="F11" s="303">
        <v>7</v>
      </c>
      <c r="G11" s="303">
        <v>5</v>
      </c>
      <c r="H11" s="205" t="s">
        <v>83</v>
      </c>
      <c r="I11" s="63"/>
      <c r="J11" s="65"/>
      <c r="K11" s="120" t="s">
        <v>83</v>
      </c>
      <c r="L11" s="340" t="s">
        <v>3975</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303">
        <v>1</v>
      </c>
      <c r="F12" s="303">
        <v>1</v>
      </c>
      <c r="G12" s="303">
        <v>1</v>
      </c>
      <c r="H12" s="205" t="s">
        <v>83</v>
      </c>
      <c r="I12" s="63"/>
      <c r="J12" s="65"/>
      <c r="K12" s="127" t="s">
        <v>83</v>
      </c>
      <c r="L12" s="342" t="s">
        <v>3976</v>
      </c>
      <c r="M12" s="343"/>
      <c r="N12" s="77">
        <v>0</v>
      </c>
      <c r="O12" s="78">
        <v>0</v>
      </c>
      <c r="P12" s="78">
        <v>0</v>
      </c>
      <c r="Q12" s="78">
        <v>0</v>
      </c>
      <c r="R12" s="78">
        <v>0</v>
      </c>
      <c r="S12" s="77">
        <v>0</v>
      </c>
      <c r="T12" s="78">
        <v>0</v>
      </c>
      <c r="U12" s="78">
        <v>0</v>
      </c>
      <c r="V12" s="78">
        <v>0</v>
      </c>
      <c r="W12" s="78">
        <v>0</v>
      </c>
      <c r="X12" s="77">
        <v>0</v>
      </c>
      <c r="Y12" s="78">
        <v>0</v>
      </c>
      <c r="Z12" s="78">
        <v>5</v>
      </c>
      <c r="AA12" s="78">
        <v>0</v>
      </c>
      <c r="AB12" s="78">
        <v>0</v>
      </c>
      <c r="AC12" s="128">
        <v>0</v>
      </c>
      <c r="AD12" s="129" t="e">
        <v>#DIV/0!</v>
      </c>
    </row>
    <row r="13" spans="1:30" ht="48.6" customHeight="1" x14ac:dyDescent="0.25">
      <c r="A13" s="63"/>
      <c r="B13" s="224"/>
      <c r="C13" s="236">
        <v>1216</v>
      </c>
      <c r="D13" s="241" t="s">
        <v>3848</v>
      </c>
      <c r="E13" s="303">
        <v>7</v>
      </c>
      <c r="F13" s="303">
        <v>7</v>
      </c>
      <c r="G13" s="303">
        <v>5</v>
      </c>
      <c r="H13" s="205" t="s">
        <v>83</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303">
        <v>0</v>
      </c>
      <c r="F14" s="303">
        <v>0</v>
      </c>
      <c r="G14" s="303">
        <v>0</v>
      </c>
      <c r="H14" s="205" t="s">
        <v>83</v>
      </c>
      <c r="I14" s="63"/>
      <c r="J14" s="70"/>
      <c r="K14" s="59" t="s">
        <v>84</v>
      </c>
      <c r="L14" s="342" t="s">
        <v>85</v>
      </c>
      <c r="M14" s="34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303">
        <v>0</v>
      </c>
      <c r="F15" s="303">
        <v>0</v>
      </c>
      <c r="G15" s="303">
        <v>0</v>
      </c>
      <c r="H15" s="205" t="s">
        <v>83</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303">
        <v>7</v>
      </c>
      <c r="F16" s="303">
        <v>7</v>
      </c>
      <c r="G16" s="303">
        <v>5</v>
      </c>
      <c r="H16" s="205" t="s">
        <v>83</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303">
        <v>7</v>
      </c>
      <c r="F17" s="303">
        <v>7</v>
      </c>
      <c r="G17" s="303">
        <v>5</v>
      </c>
      <c r="H17" s="205" t="s">
        <v>83</v>
      </c>
      <c r="I17" s="63"/>
      <c r="J17" s="65"/>
      <c r="K17" s="63"/>
      <c r="L17" s="63"/>
      <c r="M17" s="63"/>
      <c r="N17" s="87">
        <f>AVERAGE(N6:N16)</f>
        <v>10.6</v>
      </c>
      <c r="O17" s="87">
        <f t="shared" ref="O17:AB17" si="0">AVERAGE(O6:O16)</f>
        <v>11.529761904761903</v>
      </c>
      <c r="P17" s="87">
        <f t="shared" si="0"/>
        <v>9.6363636363636367</v>
      </c>
      <c r="Q17" s="87">
        <f t="shared" si="0"/>
        <v>14.6875</v>
      </c>
      <c r="R17" s="87">
        <f t="shared" si="0"/>
        <v>16</v>
      </c>
      <c r="S17" s="87">
        <f t="shared" si="0"/>
        <v>14.35</v>
      </c>
      <c r="T17" s="87">
        <f t="shared" si="0"/>
        <v>14.172619047619046</v>
      </c>
      <c r="U17" s="87">
        <f t="shared" si="0"/>
        <v>12.560606060606061</v>
      </c>
      <c r="V17" s="87">
        <f t="shared" si="0"/>
        <v>14.225</v>
      </c>
      <c r="W17" s="87">
        <f t="shared" si="0"/>
        <v>20.555555555555557</v>
      </c>
      <c r="X17" s="87">
        <f t="shared" si="0"/>
        <v>8.7750000000000004</v>
      </c>
      <c r="Y17" s="87">
        <f t="shared" si="0"/>
        <v>8.7559523809523814</v>
      </c>
      <c r="Z17" s="87">
        <f t="shared" si="0"/>
        <v>8.1212121212121211</v>
      </c>
      <c r="AA17" s="87">
        <f t="shared" si="0"/>
        <v>8.7249999999999996</v>
      </c>
      <c r="AB17" s="87">
        <f t="shared" si="0"/>
        <v>12.555555555555555</v>
      </c>
      <c r="AC17" s="63"/>
      <c r="AD17" s="63"/>
    </row>
    <row r="18" spans="1:30" ht="40.15" customHeight="1" x14ac:dyDescent="0.3">
      <c r="A18" s="63"/>
      <c r="B18" s="224"/>
      <c r="C18" s="236">
        <v>1223</v>
      </c>
      <c r="D18" s="262" t="s">
        <v>3853</v>
      </c>
      <c r="E18" s="303">
        <v>7</v>
      </c>
      <c r="F18" s="303">
        <v>7</v>
      </c>
      <c r="G18" s="303">
        <v>5</v>
      </c>
      <c r="H18" s="205" t="s">
        <v>83</v>
      </c>
      <c r="I18" s="63"/>
      <c r="J18" s="65"/>
      <c r="K18" s="348" t="s">
        <v>563</v>
      </c>
      <c r="L18" s="348"/>
      <c r="M18" s="206" t="s">
        <v>564</v>
      </c>
      <c r="N18" s="207"/>
      <c r="O18" s="208"/>
      <c r="P18" s="208"/>
      <c r="Q18" s="208"/>
      <c r="R18" s="306" t="s">
        <v>561</v>
      </c>
      <c r="S18" s="304" t="s">
        <v>567</v>
      </c>
      <c r="T18" s="209"/>
      <c r="U18" s="345" t="s">
        <v>562</v>
      </c>
      <c r="V18" s="345"/>
      <c r="W18" s="210" t="s">
        <v>566</v>
      </c>
      <c r="X18" s="210"/>
      <c r="Y18" s="88"/>
      <c r="Z18" s="88"/>
      <c r="AA18" s="88"/>
      <c r="AB18" s="88"/>
      <c r="AC18" s="63"/>
      <c r="AD18" s="63"/>
    </row>
    <row r="19" spans="1:30" ht="40.15" customHeight="1" x14ac:dyDescent="0.3">
      <c r="A19" s="63"/>
      <c r="B19" s="224"/>
      <c r="C19" s="236">
        <v>1224</v>
      </c>
      <c r="D19" s="262" t="s">
        <v>3854</v>
      </c>
      <c r="E19" s="303">
        <v>2</v>
      </c>
      <c r="F19" s="303">
        <f ca="1">_xlfn.IFNA(VLOOKUP(C19,Worksheet!$C$3:$G$46,4,FALSE),F19)</f>
        <v>0</v>
      </c>
      <c r="G19" s="303">
        <f ca="1">_xlfn.IFNA(VLOOKUP(C19,Worksheet!$C$3:$G$46,5,FALSE),G19)</f>
        <v>0</v>
      </c>
      <c r="H19" s="205" t="s">
        <v>83</v>
      </c>
      <c r="I19" s="63"/>
      <c r="J19" s="65"/>
      <c r="K19" s="344" t="s">
        <v>61</v>
      </c>
      <c r="L19" s="344"/>
      <c r="M19" s="206" t="s">
        <v>565</v>
      </c>
      <c r="N19" s="206"/>
      <c r="O19" s="206"/>
      <c r="P19" s="206"/>
      <c r="Q19" s="206"/>
      <c r="R19" s="306" t="s">
        <v>561</v>
      </c>
      <c r="S19" s="209"/>
      <c r="T19" s="209"/>
      <c r="U19" s="345" t="s">
        <v>562</v>
      </c>
      <c r="V19" s="345"/>
      <c r="W19" s="210"/>
      <c r="X19" s="210"/>
      <c r="Y19" s="63"/>
      <c r="Z19" s="63"/>
      <c r="AA19" s="63"/>
      <c r="AB19" s="63"/>
      <c r="AC19" s="63"/>
      <c r="AD19" s="63"/>
    </row>
    <row r="20" spans="1:30" ht="40.15" customHeight="1" x14ac:dyDescent="0.25">
      <c r="A20" s="63"/>
      <c r="B20" s="224"/>
      <c r="C20" s="236">
        <v>1225</v>
      </c>
      <c r="D20" s="262" t="s">
        <v>3855</v>
      </c>
      <c r="E20" s="303">
        <v>2</v>
      </c>
      <c r="F20" s="303">
        <f ca="1">_xlfn.IFNA(VLOOKUP(C20,Worksheet!$C$3:$G$46,4,FALSE),F20)</f>
        <v>0</v>
      </c>
      <c r="G20" s="303">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303">
        <f ca="1">_xlfn.IFNA(VLOOKUP(C21,Worksheet!$C$3:$G$46,3,FALSE),E21)</f>
        <v>0</v>
      </c>
      <c r="F21" s="303">
        <f ca="1">_xlfn.IFNA(VLOOKUP(C21,Worksheet!$C$3:$G$46,4,FALSE),F21)</f>
        <v>0</v>
      </c>
      <c r="G21" s="303">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303">
        <f ca="1">_xlfn.IFNA(VLOOKUP(C22,Worksheet!$C$3:$G$46,3,FALSE),E22)</f>
        <v>0</v>
      </c>
      <c r="F22" s="303">
        <f ca="1">_xlfn.IFNA(VLOOKUP(C22,Worksheet!$C$3:$G$46,4,FALSE),F22)</f>
        <v>0</v>
      </c>
      <c r="G22" s="303">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10.6</v>
      </c>
      <c r="Q23" s="93">
        <f>O17</f>
        <v>11.529761904761903</v>
      </c>
      <c r="R23" s="93">
        <f>P17</f>
        <v>9.6363636363636367</v>
      </c>
      <c r="S23" s="93">
        <f>Q17</f>
        <v>14.6875</v>
      </c>
      <c r="T23" s="93">
        <f>R17</f>
        <v>16</v>
      </c>
      <c r="U23" s="63"/>
      <c r="V23" s="63"/>
      <c r="W23" s="63"/>
      <c r="X23" s="63"/>
      <c r="Y23" s="63"/>
      <c r="Z23" s="63"/>
      <c r="AA23" s="63"/>
      <c r="AB23" s="63"/>
      <c r="AC23" s="63"/>
      <c r="AD23" s="63"/>
    </row>
    <row r="24" spans="1:30" ht="40.15" customHeight="1" x14ac:dyDescent="0.25">
      <c r="A24" s="63"/>
      <c r="B24" s="224"/>
      <c r="C24" s="236">
        <v>1231</v>
      </c>
      <c r="D24" s="240" t="s">
        <v>3858</v>
      </c>
      <c r="E24" s="303">
        <v>7</v>
      </c>
      <c r="F24" s="303">
        <v>7</v>
      </c>
      <c r="G24" s="303">
        <v>5</v>
      </c>
      <c r="H24" s="205" t="s">
        <v>83</v>
      </c>
      <c r="I24" s="63"/>
      <c r="J24" s="65"/>
      <c r="K24" s="63"/>
      <c r="L24" s="63"/>
      <c r="M24" s="63"/>
      <c r="N24" s="63"/>
      <c r="O24" s="91">
        <v>42675</v>
      </c>
      <c r="P24" s="92">
        <f>S17</f>
        <v>14.35</v>
      </c>
      <c r="Q24" s="93">
        <f>T17</f>
        <v>14.172619047619046</v>
      </c>
      <c r="R24" s="93">
        <f>U17</f>
        <v>12.560606060606061</v>
      </c>
      <c r="S24" s="93">
        <f>V17</f>
        <v>14.225</v>
      </c>
      <c r="T24" s="93">
        <f>W17</f>
        <v>20.555555555555557</v>
      </c>
      <c r="U24" s="63"/>
      <c r="V24" s="63"/>
      <c r="W24" s="63"/>
      <c r="X24" s="63"/>
      <c r="Y24" s="63"/>
      <c r="Z24" s="63"/>
      <c r="AA24" s="63"/>
      <c r="AB24" s="63"/>
      <c r="AC24" s="63"/>
      <c r="AD24" s="63"/>
    </row>
    <row r="25" spans="1:30" ht="40.15" customHeight="1" x14ac:dyDescent="0.25">
      <c r="A25" s="63"/>
      <c r="B25" s="224"/>
      <c r="C25" s="236">
        <v>1232</v>
      </c>
      <c r="D25" s="240" t="s">
        <v>3859</v>
      </c>
      <c r="E25" s="303">
        <v>0</v>
      </c>
      <c r="F25" s="303">
        <f ca="1">_xlfn.IFNA(VLOOKUP(C25,Worksheet!$C$3:$G$46,4,FALSE),F25)</f>
        <v>0</v>
      </c>
      <c r="G25" s="303">
        <f ca="1">_xlfn.IFNA(VLOOKUP(C25,Worksheet!$C$3:$G$46,5,FALSE),G25)</f>
        <v>0</v>
      </c>
      <c r="H25" s="205" t="s">
        <v>83</v>
      </c>
      <c r="I25" s="63"/>
      <c r="J25" s="63"/>
      <c r="K25" s="63"/>
      <c r="L25" s="63"/>
      <c r="M25" s="63"/>
      <c r="N25" s="63"/>
      <c r="O25" s="91">
        <v>42705</v>
      </c>
      <c r="P25" s="92">
        <f>X17</f>
        <v>8.7750000000000004</v>
      </c>
      <c r="Q25" s="93">
        <f>Y17</f>
        <v>8.7559523809523814</v>
      </c>
      <c r="R25" s="93">
        <f>Z17</f>
        <v>8.1212121212121211</v>
      </c>
      <c r="S25" s="93">
        <f>AA17</f>
        <v>8.7249999999999996</v>
      </c>
      <c r="T25" s="93">
        <f>AB17</f>
        <v>12.555555555555555</v>
      </c>
      <c r="U25" s="63"/>
      <c r="V25" s="63"/>
      <c r="W25" s="63"/>
      <c r="X25" s="63"/>
      <c r="Y25" s="63"/>
      <c r="Z25" s="63"/>
      <c r="AA25" s="63"/>
      <c r="AB25" s="63"/>
      <c r="AC25" s="63"/>
      <c r="AD25" s="63"/>
    </row>
    <row r="26" spans="1:30" ht="40.15" customHeight="1" x14ac:dyDescent="0.25">
      <c r="A26" s="63"/>
      <c r="B26" s="224"/>
      <c r="C26" s="236">
        <v>1233</v>
      </c>
      <c r="D26" s="240" t="s">
        <v>3860</v>
      </c>
      <c r="E26" s="303">
        <f ca="1">_xlfn.IFNA(VLOOKUP(C26,Worksheet!$C$3:$G$46,3,FALSE),E26)</f>
        <v>0</v>
      </c>
      <c r="F26" s="303">
        <f ca="1">_xlfn.IFNA(VLOOKUP(C26,Worksheet!$C$3:$G$46,4,FALSE),F26)</f>
        <v>0</v>
      </c>
      <c r="G26" s="303">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303">
        <f ca="1">_xlfn.IFNA(VLOOKUP(C27,Worksheet!$C$3:$G$46,3,FALSE),E27)</f>
        <v>0</v>
      </c>
      <c r="F27" s="303">
        <f ca="1">_xlfn.IFNA(VLOOKUP(C27,Worksheet!$C$3:$G$46,4,FALSE),F27)</f>
        <v>0</v>
      </c>
      <c r="G27" s="303">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303">
        <v>2</v>
      </c>
      <c r="F28" s="303">
        <f ca="1">_xlfn.IFNA(VLOOKUP(C28,Worksheet!$C$3:$G$46,4,FALSE),F28)</f>
        <v>0</v>
      </c>
      <c r="G28" s="303">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303">
        <f ca="1">_xlfn.IFNA(VLOOKUP(C29,Worksheet!$C$3:$G$46,3,FALSE),E29)</f>
        <v>0</v>
      </c>
      <c r="F29" s="303">
        <f ca="1">_xlfn.IFNA(VLOOKUP(C29,Worksheet!$C$3:$G$46,4,FALSE),F29)</f>
        <v>0</v>
      </c>
      <c r="G29" s="303">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303">
        <v>7</v>
      </c>
      <c r="F30" s="303">
        <v>7</v>
      </c>
      <c r="G30" s="303">
        <v>5</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303">
        <v>0</v>
      </c>
      <c r="F31" s="303">
        <f ca="1">_xlfn.IFNA(VLOOKUP(C31,Worksheet!$C$3:$G$46,4,FALSE),F31)</f>
        <v>0</v>
      </c>
      <c r="G31" s="303">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303">
        <v>7</v>
      </c>
      <c r="F32" s="303">
        <v>7</v>
      </c>
      <c r="G32" s="303">
        <v>5</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303">
        <f ca="1">_xlfn.IFNA(VLOOKUP(C33,Worksheet!$C$3:$G$46,3,FALSE),E33)</f>
        <v>0</v>
      </c>
      <c r="F33" s="303">
        <f ca="1">_xlfn.IFNA(VLOOKUP(C33,Worksheet!$C$3:$G$46,4,FALSE),F33)</f>
        <v>0</v>
      </c>
      <c r="G33" s="303">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303">
        <v>2</v>
      </c>
      <c r="F34" s="303">
        <f ca="1">_xlfn.IFNA(VLOOKUP(C34,Worksheet!$C$3:$G$46,4,FALSE),F34)</f>
        <v>0</v>
      </c>
      <c r="G34" s="303">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303">
        <f ca="1">_xlfn.IFNA(VLOOKUP(C35,Worksheet!$C$3:$G$46,3,FALSE),E35)</f>
        <v>0</v>
      </c>
      <c r="F35" s="303">
        <f ca="1">_xlfn.IFNA(VLOOKUP(C35,Worksheet!$C$3:$G$46,4,FALSE),F35)</f>
        <v>0</v>
      </c>
      <c r="G35" s="303">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303">
        <v>7</v>
      </c>
      <c r="F36" s="303">
        <v>0</v>
      </c>
      <c r="G36" s="303">
        <v>0</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303">
        <v>0</v>
      </c>
      <c r="F37" s="303">
        <f ca="1">_xlfn.IFNA(VLOOKUP(C37,Worksheet!$C$3:$G$46,4,FALSE),F37)</f>
        <v>0</v>
      </c>
      <c r="G37" s="303">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303">
        <v>7</v>
      </c>
      <c r="F38" s="303">
        <v>7</v>
      </c>
      <c r="G38" s="303">
        <v>5</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303">
        <v>7</v>
      </c>
      <c r="F39" s="303">
        <f ca="1">_xlfn.IFNA(VLOOKUP(C39,Worksheet!$C$3:$G$46,4,FALSE),F39)</f>
        <v>0</v>
      </c>
      <c r="G39" s="303">
        <f ca="1">_xlfn.IFNA(VLOOKUP(C39,Worksheet!$C$3:$G$46,5,FALSE),G39)</f>
        <v>0</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303">
        <f ca="1">_xlfn.IFNA(VLOOKUP(C40,Worksheet!$C$3:$G$46,3,FALSE),E40)</f>
        <v>0</v>
      </c>
      <c r="F40" s="303">
        <f ca="1">_xlfn.IFNA(VLOOKUP(C40,Worksheet!$C$3:$G$46,4,FALSE),F40)</f>
        <v>0</v>
      </c>
      <c r="G40" s="303">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303">
        <f ca="1">_xlfn.IFNA(VLOOKUP(C41,Worksheet!$C$3:$G$46,3,FALSE),E41)</f>
        <v>0</v>
      </c>
      <c r="F41" s="303">
        <f ca="1">_xlfn.IFNA(VLOOKUP(C41,Worksheet!$C$3:$G$46,4,FALSE),F41)</f>
        <v>0</v>
      </c>
      <c r="G41" s="303">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303">
        <f ca="1">_xlfn.IFNA(VLOOKUP(C42,Worksheet!$C$3:$G$46,3,FALSE),E42)</f>
        <v>0</v>
      </c>
      <c r="F42" s="303">
        <f ca="1">_xlfn.IFNA(VLOOKUP(C42,Worksheet!$C$3:$G$46,4,FALSE),F42)</f>
        <v>0</v>
      </c>
      <c r="G42" s="303">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303">
        <f ca="1">_xlfn.IFNA(VLOOKUP(C43,Worksheet!$C$3:$G$46,3,FALSE),E43)</f>
        <v>0</v>
      </c>
      <c r="F43" s="303">
        <f ca="1">_xlfn.IFNA(VLOOKUP(C43,Worksheet!$C$3:$G$46,4,FALSE),F43)</f>
        <v>0</v>
      </c>
      <c r="G43" s="303">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BVMGoVo81RTvDKkXBAMjrHA0kxhHFyZtz6vqsL96M24iJLPVHwvdWw1SypBibEKIMQNg3t2yZamOSlFddFobCw==" saltValue="onKbf8pJYeusNgYATg6oQ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36" fitToWidth="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206</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206</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75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0</v>
      </c>
      <c r="F8" s="299">
        <f ca="1">_xlfn.IFNA(VLOOKUP(B8,Worksheet!$C$3:$G$46,5,FALSE),F8)</f>
        <v>0</v>
      </c>
      <c r="G8" s="205" t="s">
        <v>150</v>
      </c>
    </row>
    <row r="9" spans="1:7" ht="45" hidden="1" customHeight="1" x14ac:dyDescent="0.25">
      <c r="A9" s="224"/>
      <c r="B9" s="236">
        <v>1112</v>
      </c>
      <c r="C9" s="240" t="s">
        <v>3806</v>
      </c>
      <c r="D9" s="299">
        <f ca="1">_xlfn.IFNA(VLOOKUP(B9,Worksheet!$C$3:$G$46,3,FALSE),D9)</f>
        <v>1</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7</v>
      </c>
      <c r="E10" s="299">
        <f ca="1">_xlfn.IFNA(VLOOKUP(B10,Worksheet!$C$3:$G$46,4,FALSE),E10)</f>
        <v>10</v>
      </c>
      <c r="F10" s="299">
        <f ca="1">_xlfn.IFNA(VLOOKUP(B10,Worksheet!$C$3:$G$46,5,FALSE),F10)</f>
        <v>6</v>
      </c>
      <c r="G10" s="205" t="s">
        <v>150</v>
      </c>
    </row>
    <row r="11" spans="1:7" ht="45" hidden="1" customHeight="1" x14ac:dyDescent="0.25">
      <c r="A11" s="224"/>
      <c r="B11" s="236">
        <v>1114</v>
      </c>
      <c r="C11" s="241" t="s">
        <v>3808</v>
      </c>
      <c r="D11" s="299">
        <f ca="1">_xlfn.IFNA(VLOOKUP(B11,Worksheet!$C$3:$G$46,3,FALSE),D11)</f>
        <v>65</v>
      </c>
      <c r="E11" s="299">
        <f ca="1">_xlfn.IFNA(VLOOKUP(B11,Worksheet!$C$3:$G$46,4,FALSE),E11)</f>
        <v>89</v>
      </c>
      <c r="F11" s="299">
        <f ca="1">_xlfn.IFNA(VLOOKUP(B11,Worksheet!$C$3:$G$46,5,FALSE),F11)</f>
        <v>54</v>
      </c>
      <c r="G11" s="205" t="s">
        <v>150</v>
      </c>
    </row>
    <row r="12" spans="1:7" ht="45" hidden="1" customHeight="1" x14ac:dyDescent="0.25">
      <c r="A12" s="224"/>
      <c r="B12" s="236">
        <v>1115</v>
      </c>
      <c r="C12" s="240" t="s">
        <v>3809</v>
      </c>
      <c r="D12" s="299">
        <f ca="1">_xlfn.IFNA(VLOOKUP(B12,Worksheet!$C$3:$G$46,3,FALSE),D12)</f>
        <v>65</v>
      </c>
      <c r="E12" s="299">
        <f ca="1">_xlfn.IFNA(VLOOKUP(B12,Worksheet!$C$3:$G$46,4,FALSE),E12)</f>
        <v>89</v>
      </c>
      <c r="F12" s="299">
        <f ca="1">_xlfn.IFNA(VLOOKUP(B12,Worksheet!$C$3:$G$46,5,FALSE),F12)</f>
        <v>54</v>
      </c>
      <c r="G12" s="205" t="s">
        <v>150</v>
      </c>
    </row>
    <row r="13" spans="1:7" ht="45" hidden="1" customHeight="1" x14ac:dyDescent="0.25">
      <c r="A13" s="224" t="s">
        <v>3810</v>
      </c>
      <c r="B13" s="236">
        <v>1116</v>
      </c>
      <c r="C13" s="240" t="s">
        <v>3811</v>
      </c>
      <c r="D13" s="299">
        <f ca="1">_xlfn.IFNA(VLOOKUP(B13,Worksheet!$C$3:$G$46,3,FALSE),D13)</f>
        <v>65</v>
      </c>
      <c r="E13" s="299">
        <f ca="1">_xlfn.IFNA(VLOOKUP(B13,Worksheet!$C$3:$G$46,4,FALSE),E13)</f>
        <v>89</v>
      </c>
      <c r="F13" s="299">
        <f ca="1">_xlfn.IFNA(VLOOKUP(B13,Worksheet!$C$3:$G$46,5,FALSE),F13)</f>
        <v>54</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65</v>
      </c>
      <c r="E15" s="300">
        <f t="shared" ref="E15:F15" ca="1" si="0">E13</f>
        <v>89</v>
      </c>
      <c r="F15" s="300">
        <f t="shared" ca="1" si="0"/>
        <v>54</v>
      </c>
      <c r="G15" s="205"/>
    </row>
    <row r="16" spans="1:7" ht="45" hidden="1" customHeight="1" x14ac:dyDescent="0.25">
      <c r="A16" s="224"/>
      <c r="B16" s="236">
        <v>1122</v>
      </c>
      <c r="C16" s="241" t="s">
        <v>3813</v>
      </c>
      <c r="D16" s="299">
        <f ca="1">_xlfn.IFNA(VLOOKUP(B16,Worksheet!$C$3:$G$46,3,FALSE),D16)</f>
        <v>65</v>
      </c>
      <c r="E16" s="299">
        <f ca="1">_xlfn.IFNA(VLOOKUP(B16,Worksheet!$C$3:$G$46,4,FALSE),E16)</f>
        <v>89</v>
      </c>
      <c r="F16" s="299">
        <f ca="1">_xlfn.IFNA(VLOOKUP(B16,Worksheet!$C$3:$G$46,5,FALSE),F16)</f>
        <v>54</v>
      </c>
      <c r="G16" s="205" t="s">
        <v>150</v>
      </c>
    </row>
    <row r="17" spans="1:7" ht="45" hidden="1" customHeight="1" x14ac:dyDescent="0.25">
      <c r="A17" s="224"/>
      <c r="B17" s="236">
        <v>1123</v>
      </c>
      <c r="C17" s="240" t="s">
        <v>3814</v>
      </c>
      <c r="D17" s="299">
        <f ca="1">_xlfn.IFNA(VLOOKUP(B17,Worksheet!$C$3:$G$46,3,FALSE),D17)</f>
        <v>65</v>
      </c>
      <c r="E17" s="299">
        <f ca="1">_xlfn.IFNA(VLOOKUP(B17,Worksheet!$C$3:$G$46,4,FALSE),E17)</f>
        <v>89</v>
      </c>
      <c r="F17" s="299">
        <f ca="1">_xlfn.IFNA(VLOOKUP(B17,Worksheet!$C$3:$G$46,5,FALSE),F17)</f>
        <v>54</v>
      </c>
      <c r="G17" s="205" t="s">
        <v>150</v>
      </c>
    </row>
    <row r="18" spans="1:7" ht="45" hidden="1" customHeight="1" x14ac:dyDescent="0.25">
      <c r="A18" s="224"/>
      <c r="B18" s="236">
        <v>1124</v>
      </c>
      <c r="C18" s="240" t="s">
        <v>3815</v>
      </c>
      <c r="D18" s="299">
        <f ca="1">_xlfn.IFNA(VLOOKUP(B18,Worksheet!$C$3:$G$46,3,FALSE),D18)</f>
        <v>65</v>
      </c>
      <c r="E18" s="299">
        <f ca="1">_xlfn.IFNA(VLOOKUP(B18,Worksheet!$C$3:$G$46,4,FALSE),E18)</f>
        <v>89</v>
      </c>
      <c r="F18" s="299">
        <f ca="1">_xlfn.IFNA(VLOOKUP(B18,Worksheet!$C$3:$G$46,5,FALSE),F18)</f>
        <v>54</v>
      </c>
      <c r="G18" s="205" t="s">
        <v>150</v>
      </c>
    </row>
    <row r="19" spans="1:7" ht="45" hidden="1" customHeight="1" x14ac:dyDescent="0.25">
      <c r="A19" s="224"/>
      <c r="B19" s="236">
        <v>1125</v>
      </c>
      <c r="C19" s="240" t="s">
        <v>3816</v>
      </c>
      <c r="D19" s="299">
        <f ca="1">_xlfn.IFNA(VLOOKUP(B19,Worksheet!$C$3:$G$46,3,FALSE),D19)</f>
        <v>5</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5</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5</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24</v>
      </c>
      <c r="E23" s="299">
        <f ca="1">_xlfn.IFNA(VLOOKUP(B23,Worksheet!$C$3:$G$46,4,FALSE),E23)</f>
        <v>23</v>
      </c>
      <c r="F23" s="299">
        <f ca="1">_xlfn.IFNA(VLOOKUP(B23,Worksheet!$C$3:$G$46,5,FALSE),F23)</f>
        <v>10</v>
      </c>
      <c r="G23" s="205" t="s">
        <v>150</v>
      </c>
    </row>
    <row r="24" spans="1:7" ht="45" hidden="1" customHeight="1" x14ac:dyDescent="0.25">
      <c r="A24" s="224"/>
      <c r="B24" s="236">
        <v>1132</v>
      </c>
      <c r="C24" s="240" t="s">
        <v>3820</v>
      </c>
      <c r="D24" s="299">
        <f ca="1">_xlfn.IFNA(VLOOKUP(B24,Worksheet!$C$3:$G$46,3,FALSE),D24)</f>
        <v>41</v>
      </c>
      <c r="E24" s="299">
        <f ca="1">_xlfn.IFNA(VLOOKUP(B24,Worksheet!$C$3:$G$46,4,FALSE),E24)</f>
        <v>66</v>
      </c>
      <c r="F24" s="299">
        <f ca="1">_xlfn.IFNA(VLOOKUP(B24,Worksheet!$C$3:$G$46,5,FALSE),F24)</f>
        <v>44</v>
      </c>
      <c r="G24" s="205" t="s">
        <v>150</v>
      </c>
    </row>
    <row r="25" spans="1:7" ht="45" hidden="1" customHeight="1" x14ac:dyDescent="0.25">
      <c r="A25" s="224"/>
      <c r="B25" s="236">
        <v>1133</v>
      </c>
      <c r="C25" s="240" t="s">
        <v>3821</v>
      </c>
      <c r="D25" s="299">
        <f ca="1">_xlfn.IFNA(VLOOKUP(B25,Worksheet!$C$3:$G$46,3,FALSE),D25)</f>
        <v>54</v>
      </c>
      <c r="E25" s="299">
        <f ca="1">_xlfn.IFNA(VLOOKUP(B25,Worksheet!$C$3:$G$46,4,FALSE),E25)</f>
        <v>58</v>
      </c>
      <c r="F25" s="299">
        <f ca="1">_xlfn.IFNA(VLOOKUP(B25,Worksheet!$C$3:$G$46,5,FALSE),F25)</f>
        <v>49</v>
      </c>
      <c r="G25" s="205" t="s">
        <v>150</v>
      </c>
    </row>
    <row r="26" spans="1:7" ht="45" hidden="1" customHeight="1" x14ac:dyDescent="0.25">
      <c r="A26" s="224"/>
      <c r="B26" s="236">
        <v>1134</v>
      </c>
      <c r="C26" s="240" t="s">
        <v>3822</v>
      </c>
      <c r="D26" s="299">
        <f ca="1">_xlfn.IFNA(VLOOKUP(B26,Worksheet!$C$3:$G$46,3,FALSE),D26)</f>
        <v>11</v>
      </c>
      <c r="E26" s="299">
        <f ca="1">_xlfn.IFNA(VLOOKUP(B26,Worksheet!$C$3:$G$46,4,FALSE),E26)</f>
        <v>31</v>
      </c>
      <c r="F26" s="299">
        <f ca="1">_xlfn.IFNA(VLOOKUP(B26,Worksheet!$C$3:$G$46,5,FALSE),F26)</f>
        <v>5</v>
      </c>
      <c r="G26" s="205" t="s">
        <v>150</v>
      </c>
    </row>
    <row r="27" spans="1:7" ht="45" hidden="1" customHeight="1" x14ac:dyDescent="0.25">
      <c r="A27" s="224"/>
      <c r="B27" s="236">
        <v>1135</v>
      </c>
      <c r="C27" s="240" t="s">
        <v>3823</v>
      </c>
      <c r="D27" s="299">
        <f ca="1">_xlfn.IFNA(VLOOKUP(B27,Worksheet!$C$3:$G$46,3,FALSE),D27)</f>
        <v>1</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64</v>
      </c>
      <c r="E28" s="299">
        <f ca="1">_xlfn.IFNA(VLOOKUP(B28,Worksheet!$C$3:$G$46,4,FALSE),E28)</f>
        <v>89</v>
      </c>
      <c r="F28" s="299">
        <f ca="1">_xlfn.IFNA(VLOOKUP(B28,Worksheet!$C$3:$G$46,5,FALSE),F28)</f>
        <v>54</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5</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65</v>
      </c>
      <c r="E31" s="300">
        <f ca="1">E13</f>
        <v>89</v>
      </c>
      <c r="F31" s="300">
        <f ca="1">F13</f>
        <v>54</v>
      </c>
      <c r="G31" s="205"/>
    </row>
    <row r="32" spans="1:7" ht="45" hidden="1" customHeight="1" x14ac:dyDescent="0.25">
      <c r="A32" s="224"/>
      <c r="B32" s="236">
        <v>1142</v>
      </c>
      <c r="C32" s="241" t="s">
        <v>3828</v>
      </c>
      <c r="D32" s="300">
        <f ca="1">D18</f>
        <v>65</v>
      </c>
      <c r="E32" s="300">
        <f ca="1">E18</f>
        <v>89</v>
      </c>
      <c r="F32" s="300">
        <f ca="1">F18</f>
        <v>54</v>
      </c>
      <c r="G32" s="205"/>
    </row>
    <row r="33" spans="1:7" ht="45" hidden="1" customHeight="1" x14ac:dyDescent="0.25">
      <c r="A33" s="224"/>
      <c r="B33" s="236">
        <v>1143</v>
      </c>
      <c r="C33" s="240" t="s">
        <v>3829</v>
      </c>
      <c r="D33" s="299">
        <f ca="1">_xlfn.IFNA(VLOOKUP(B33,Worksheet!$C$3:$G$46,3,FALSE),D33)</f>
        <v>65</v>
      </c>
      <c r="E33" s="299">
        <f ca="1">_xlfn.IFNA(VLOOKUP(B33,Worksheet!$C$3:$G$46,4,FALSE),E33)</f>
        <v>89</v>
      </c>
      <c r="F33" s="299">
        <f ca="1">_xlfn.IFNA(VLOOKUP(B33,Worksheet!$C$3:$G$46,5,FALSE),F33)</f>
        <v>54</v>
      </c>
      <c r="G33" s="205" t="s">
        <v>150</v>
      </c>
    </row>
    <row r="34" spans="1:7" ht="45" hidden="1" customHeight="1" x14ac:dyDescent="0.25">
      <c r="A34" s="224"/>
      <c r="B34" s="236">
        <v>1144</v>
      </c>
      <c r="C34" s="240" t="s">
        <v>3830</v>
      </c>
      <c r="D34" s="299">
        <f ca="1">_xlfn.IFNA(VLOOKUP(B34,Worksheet!$C$3:$G$46,3,FALSE),D34)</f>
        <v>5</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65</v>
      </c>
      <c r="E35" s="299">
        <f ca="1">_xlfn.IFNA(VLOOKUP(B35,Worksheet!$C$3:$G$46,4,FALSE),E35)</f>
        <v>0</v>
      </c>
      <c r="F35" s="299">
        <f ca="1">_xlfn.IFNA(VLOOKUP(B35,Worksheet!$C$3:$G$46,5,FALSE),F35)</f>
        <v>0</v>
      </c>
      <c r="G35" s="205" t="s">
        <v>150</v>
      </c>
    </row>
    <row r="36" spans="1:7" ht="45" hidden="1" customHeight="1" x14ac:dyDescent="0.25">
      <c r="A36" s="224"/>
      <c r="B36" s="236">
        <v>1151</v>
      </c>
      <c r="C36" s="246" t="s">
        <v>3832</v>
      </c>
      <c r="D36" s="247">
        <f ca="1">D37/D38</f>
        <v>1</v>
      </c>
      <c r="E36" s="247" t="e">
        <f t="shared" ref="E36:F36" ca="1" si="1">E37/E38</f>
        <v>#DIV/0!</v>
      </c>
      <c r="F36" s="247" t="e">
        <f t="shared" ca="1" si="1"/>
        <v>#DIV/0!</v>
      </c>
      <c r="G36" s="205"/>
    </row>
    <row r="37" spans="1:7" ht="45" hidden="1" customHeight="1" x14ac:dyDescent="0.25">
      <c r="A37" s="224"/>
      <c r="B37" s="236">
        <v>1152</v>
      </c>
      <c r="C37" s="240" t="s">
        <v>3833</v>
      </c>
      <c r="D37" s="299">
        <f ca="1">_xlfn.IFNA(VLOOKUP(B37,Worksheet!$C$3:$G$46,3,FALSE),D37)</f>
        <v>54</v>
      </c>
      <c r="E37" s="299">
        <f ca="1">_xlfn.IFNA(VLOOKUP(B37,Worksheet!$C$3:$G$46,4,FALSE),E37)</f>
        <v>58</v>
      </c>
      <c r="F37" s="299">
        <f ca="1">_xlfn.IFNA(VLOOKUP(B37,Worksheet!$C$3:$G$46,5,FALSE),F37)</f>
        <v>49</v>
      </c>
      <c r="G37" s="205" t="s">
        <v>150</v>
      </c>
    </row>
    <row r="38" spans="1:7" ht="45" hidden="1" customHeight="1" x14ac:dyDescent="0.25">
      <c r="A38" s="224"/>
      <c r="B38" s="236">
        <v>1153</v>
      </c>
      <c r="C38" s="240" t="s">
        <v>3834</v>
      </c>
      <c r="D38" s="299">
        <f ca="1">_xlfn.IFNA(VLOOKUP(B38,Worksheet!$C$3:$G$46,3,FALSE),D38)</f>
        <v>54</v>
      </c>
      <c r="E38" s="299">
        <f ca="1">_xlfn.IFNA(VLOOKUP(B38,Worksheet!$C$3:$G$46,4,FALSE),E38)</f>
        <v>0</v>
      </c>
      <c r="F38" s="299">
        <f ca="1">_xlfn.IFNA(VLOOKUP(B38,Worksheet!$C$3:$G$46,5,FALSE),F38)</f>
        <v>0</v>
      </c>
      <c r="G38" s="205" t="s">
        <v>150</v>
      </c>
    </row>
    <row r="39" spans="1:7" ht="45" hidden="1" customHeight="1" x14ac:dyDescent="0.25">
      <c r="A39" s="224"/>
      <c r="B39" s="236">
        <v>1154</v>
      </c>
      <c r="C39" s="246" t="s">
        <v>3835</v>
      </c>
      <c r="D39" s="247">
        <f ca="1">D40/D41</f>
        <v>1</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54</v>
      </c>
      <c r="E40" s="299">
        <f ca="1">_xlfn.IFNA(VLOOKUP(B40,Worksheet!$C$3:$G$46,4,FALSE),E40)</f>
        <v>58</v>
      </c>
      <c r="F40" s="299">
        <f ca="1">_xlfn.IFNA(VLOOKUP(B40,Worksheet!$C$3:$G$46,5,FALSE),F40)</f>
        <v>49</v>
      </c>
      <c r="G40" s="205" t="s">
        <v>150</v>
      </c>
    </row>
    <row r="41" spans="1:7" ht="45" hidden="1" customHeight="1" x14ac:dyDescent="0.25">
      <c r="A41" s="224"/>
      <c r="B41" s="236">
        <v>1156</v>
      </c>
      <c r="C41" s="240" t="s">
        <v>3836</v>
      </c>
      <c r="D41" s="299">
        <f ca="1">_xlfn.IFNA(VLOOKUP(B41,Worksheet!$C$3:$G$46,3,FALSE),D41)</f>
        <v>54</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_xlfn.IFNA(VLOOKUP(B46,Worksheet!$C$3:$G$46,5,FALSE),F46)</f>
        <v>19</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_xlfn.IFNA(VLOOKUP(F46,Data_donotedit!$BE$2:$BG$25,3,TRUE),0)</f>
        <v>20</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 ca="1">_xlfn.IFNA(VLOOKUP(B51,Worksheet!$C$3:$G$46,4,FALSE),E51)</f>
        <v>0</v>
      </c>
      <c r="F51" s="299">
        <f ca="1">_xlfn.IFNA(VLOOKUP(B51,Worksheet!$C$3:$G$46,5,FALSE),F51)</f>
        <v>0</v>
      </c>
      <c r="G51" s="205" t="s">
        <v>83</v>
      </c>
    </row>
    <row r="52" spans="1:7" ht="45" customHeight="1" x14ac:dyDescent="0.25">
      <c r="A52" s="261" t="s">
        <v>3843</v>
      </c>
      <c r="B52" s="236">
        <v>1212</v>
      </c>
      <c r="C52" s="240" t="s">
        <v>3844</v>
      </c>
      <c r="D52" s="299">
        <f>_xlfn.IFNA(VLOOKUP(B52,Worksheet!$C$3:$G$46,3,FALSE),D52)</f>
        <v>1</v>
      </c>
      <c r="E52" s="299">
        <f ca="1">_xlfn.IFNA(VLOOKUP(B52,Worksheet!$C$3:$G$46,4,FALSE),E52)</f>
        <v>0</v>
      </c>
      <c r="F52" s="299">
        <f ca="1">_xlfn.IFNA(VLOOKUP(B52,Worksheet!$C$3:$G$46,5,FALSE),F52)</f>
        <v>0</v>
      </c>
      <c r="G52" s="205" t="s">
        <v>83</v>
      </c>
    </row>
    <row r="53" spans="1:7" ht="45" customHeight="1" x14ac:dyDescent="0.25">
      <c r="A53" s="224"/>
      <c r="B53" s="236">
        <v>1213</v>
      </c>
      <c r="C53" s="240" t="s">
        <v>3845</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3846</v>
      </c>
      <c r="D54" s="299">
        <f>_xlfn.IFNA(VLOOKUP(B54,Worksheet!$C$3:$G$46,3,FALSE),D54)</f>
        <v>7</v>
      </c>
      <c r="E54" s="299">
        <f>_xlfn.IFNA(VLOOKUP(B54,Worksheet!$C$3:$G$46,4,FALSE),E54)</f>
        <v>7</v>
      </c>
      <c r="F54" s="299">
        <f>_xlfn.IFNA(VLOOKUP(B54,Worksheet!$C$3:$G$46,5,FALSE),F54)</f>
        <v>5</v>
      </c>
      <c r="G54" s="205" t="s">
        <v>83</v>
      </c>
    </row>
    <row r="55" spans="1:7" ht="45" customHeight="1" x14ac:dyDescent="0.25">
      <c r="A55" s="224"/>
      <c r="B55" s="236">
        <v>1215</v>
      </c>
      <c r="C55" s="240" t="s">
        <v>3847</v>
      </c>
      <c r="D55" s="299">
        <f>_xlfn.IFNA(VLOOKUP(B55,Worksheet!$C$3:$G$46,3,FALSE),D55)</f>
        <v>1</v>
      </c>
      <c r="E55" s="299">
        <f>_xlfn.IFNA(VLOOKUP(B55,Worksheet!$C$3:$G$46,4,FALSE),E55)</f>
        <v>1</v>
      </c>
      <c r="F55" s="299">
        <f>_xlfn.IFNA(VLOOKUP(B55,Worksheet!$C$3:$G$46,5,FALSE),F55)</f>
        <v>1</v>
      </c>
      <c r="G55" s="205" t="s">
        <v>83</v>
      </c>
    </row>
    <row r="56" spans="1:7" ht="45" customHeight="1" x14ac:dyDescent="0.25">
      <c r="A56" s="224"/>
      <c r="B56" s="236">
        <v>1216</v>
      </c>
      <c r="C56" s="241" t="s">
        <v>3848</v>
      </c>
      <c r="D56" s="299">
        <f>_xlfn.IFNA(VLOOKUP(B56,Worksheet!$C$3:$G$46,3,FALSE),D56)</f>
        <v>7</v>
      </c>
      <c r="E56" s="299">
        <f>_xlfn.IFNA(VLOOKUP(B56,Worksheet!$C$3:$G$46,4,FALSE),E56)</f>
        <v>7</v>
      </c>
      <c r="F56" s="299">
        <f>_xlfn.IFNA(VLOOKUP(B56,Worksheet!$C$3:$G$46,5,FALSE),F56)</f>
        <v>5</v>
      </c>
      <c r="G56" s="205" t="s">
        <v>83</v>
      </c>
    </row>
    <row r="57" spans="1:7" ht="45" customHeight="1" x14ac:dyDescent="0.25">
      <c r="A57" s="224"/>
      <c r="B57" s="236">
        <v>1217</v>
      </c>
      <c r="C57" s="241" t="s">
        <v>3849</v>
      </c>
      <c r="D57" s="299">
        <f>_xlfn.IFNA(VLOOKUP(B57,Worksheet!$C$3:$G$46,3,FALSE),D57)</f>
        <v>0</v>
      </c>
      <c r="E57" s="299">
        <f>_xlfn.IFNA(VLOOKUP(B57,Worksheet!$C$3:$G$46,4,FALSE),E57)</f>
        <v>0</v>
      </c>
      <c r="F57" s="299">
        <f>_xlfn.IFNA(VLOOKUP(B57,Worksheet!$C$3:$G$46,5,FALSE),F57)</f>
        <v>0</v>
      </c>
      <c r="G57" s="205" t="s">
        <v>83</v>
      </c>
    </row>
    <row r="58" spans="1:7" ht="45" customHeight="1" x14ac:dyDescent="0.25">
      <c r="A58" s="224"/>
      <c r="B58" s="236">
        <v>1218</v>
      </c>
      <c r="C58" s="241" t="s">
        <v>3850</v>
      </c>
      <c r="D58" s="299">
        <f>_xlfn.IFNA(VLOOKUP(B58,Worksheet!$C$3:$G$46,3,FALSE),D58)</f>
        <v>0</v>
      </c>
      <c r="E58" s="299">
        <f>_xlfn.IFNA(VLOOKUP(B58,Worksheet!$C$3:$G$46,4,FALSE),E58)</f>
        <v>0</v>
      </c>
      <c r="F58" s="299">
        <f>_xlfn.IFNA(VLOOKUP(B58,Worksheet!$C$3:$G$46,5,FALSE),F58)</f>
        <v>0</v>
      </c>
      <c r="G58" s="205" t="s">
        <v>83</v>
      </c>
    </row>
    <row r="59" spans="1:7" ht="45" customHeight="1" x14ac:dyDescent="0.25">
      <c r="A59" s="224"/>
      <c r="B59" s="236">
        <v>1221</v>
      </c>
      <c r="C59" s="262" t="s">
        <v>3851</v>
      </c>
      <c r="D59" s="299">
        <f>_xlfn.IFNA(VLOOKUP(B59,Worksheet!$C$3:$G$46,3,FALSE),D59)</f>
        <v>7</v>
      </c>
      <c r="E59" s="299">
        <f>_xlfn.IFNA(VLOOKUP(B59,Worksheet!$C$3:$G$46,4,FALSE),E59)</f>
        <v>7</v>
      </c>
      <c r="F59" s="299">
        <f>_xlfn.IFNA(VLOOKUP(B59,Worksheet!$C$3:$G$46,5,FALSE),F59)</f>
        <v>5</v>
      </c>
      <c r="G59" s="205" t="s">
        <v>83</v>
      </c>
    </row>
    <row r="60" spans="1:7" ht="45" customHeight="1" x14ac:dyDescent="0.25">
      <c r="A60" s="224"/>
      <c r="B60" s="236">
        <v>1222</v>
      </c>
      <c r="C60" s="262" t="s">
        <v>3852</v>
      </c>
      <c r="D60" s="299">
        <f>_xlfn.IFNA(VLOOKUP(B60,Worksheet!$C$3:$G$46,3,FALSE),D60)</f>
        <v>7</v>
      </c>
      <c r="E60" s="299">
        <f>_xlfn.IFNA(VLOOKUP(B60,Worksheet!$C$3:$G$46,4,FALSE),E60)</f>
        <v>7</v>
      </c>
      <c r="F60" s="299">
        <f>_xlfn.IFNA(VLOOKUP(B60,Worksheet!$C$3:$G$46,5,FALSE),F60)</f>
        <v>5</v>
      </c>
      <c r="G60" s="205" t="s">
        <v>83</v>
      </c>
    </row>
    <row r="61" spans="1:7" ht="45" customHeight="1" x14ac:dyDescent="0.25">
      <c r="A61" s="224"/>
      <c r="B61" s="236">
        <v>1223</v>
      </c>
      <c r="C61" s="262" t="s">
        <v>3853</v>
      </c>
      <c r="D61" s="299">
        <f>_xlfn.IFNA(VLOOKUP(B61,Worksheet!$C$3:$G$46,3,FALSE),D61)</f>
        <v>7</v>
      </c>
      <c r="E61" s="299">
        <f>_xlfn.IFNA(VLOOKUP(B61,Worksheet!$C$3:$G$46,4,FALSE),E61)</f>
        <v>7</v>
      </c>
      <c r="F61" s="299">
        <f>_xlfn.IFNA(VLOOKUP(B61,Worksheet!$C$3:$G$46,5,FALSE),F61)</f>
        <v>5</v>
      </c>
      <c r="G61" s="205" t="s">
        <v>83</v>
      </c>
    </row>
    <row r="62" spans="1:7" ht="54.6" customHeight="1" x14ac:dyDescent="0.25">
      <c r="A62" s="224"/>
      <c r="B62" s="236">
        <v>1224</v>
      </c>
      <c r="C62" s="262" t="s">
        <v>3854</v>
      </c>
      <c r="D62" s="299">
        <f>_xlfn.IFNA(VLOOKUP(B62,Worksheet!$C$3:$G$46,3,FALSE),D62)</f>
        <v>2</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3855</v>
      </c>
      <c r="D63" s="299">
        <f>_xlfn.IFNA(VLOOKUP(B63,Worksheet!$C$3:$G$46,3,FALSE),D63)</f>
        <v>2</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7</v>
      </c>
      <c r="E67" s="299">
        <f>_xlfn.IFNA(VLOOKUP(B67,Worksheet!$C$3:$G$46,4,FALSE),E67)</f>
        <v>7</v>
      </c>
      <c r="F67" s="299">
        <f>_xlfn.IFNA(VLOOKUP(B67,Worksheet!$C$3:$G$46,5,FALSE),F67)</f>
        <v>5</v>
      </c>
      <c r="G67" s="205" t="s">
        <v>83</v>
      </c>
    </row>
    <row r="68" spans="1:7" ht="42" customHeight="1" x14ac:dyDescent="0.25">
      <c r="A68" s="224"/>
      <c r="B68" s="236">
        <v>1232</v>
      </c>
      <c r="C68" s="240" t="s">
        <v>3859</v>
      </c>
      <c r="D68" s="299">
        <f>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_xlfn.IFNA(VLOOKUP(B71,Worksheet!$C$3:$G$46,3,FALSE),D71)</f>
        <v>2</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7</v>
      </c>
      <c r="E73" s="299">
        <f>_xlfn.IFNA(VLOOKUP(B73,Worksheet!$C$3:$G$46,4,FALSE),E73)</f>
        <v>7</v>
      </c>
      <c r="F73" s="299">
        <f>_xlfn.IFNA(VLOOKUP(B73,Worksheet!$C$3:$G$46,5,FALSE),F73)</f>
        <v>5</v>
      </c>
      <c r="G73" s="205" t="s">
        <v>83</v>
      </c>
    </row>
    <row r="74" spans="1:7" ht="45" customHeight="1" x14ac:dyDescent="0.25">
      <c r="A74" s="224"/>
      <c r="B74" s="236">
        <v>1242</v>
      </c>
      <c r="C74" s="240" t="s">
        <v>3865</v>
      </c>
      <c r="D74" s="299">
        <f>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7</v>
      </c>
      <c r="E75" s="299">
        <f>_xlfn.IFNA(VLOOKUP(B75,Worksheet!$C$3:$G$46,4,FALSE),E75)</f>
        <v>7</v>
      </c>
      <c r="F75" s="299">
        <f>_xlfn.IFNA(VLOOKUP(B75,Worksheet!$C$3:$G$46,5,FALSE),F75)</f>
        <v>5</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_xlfn.IFNA(VLOOKUP(B77,Worksheet!$C$3:$G$46,3,FALSE),D77)</f>
        <v>2</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_xlfn.IFNA(VLOOKUP(B79,Worksheet!$C$3:$G$46,3,FALSE),D79)</f>
        <v>7</v>
      </c>
      <c r="E79" s="299">
        <f>_xlfn.IFNA(VLOOKUP(B79,Worksheet!$C$3:$G$46,4,FALSE),E79)</f>
        <v>0</v>
      </c>
      <c r="F79" s="299">
        <f>_xlfn.IFNA(VLOOKUP(B79,Worksheet!$C$3:$G$46,5,FALSE),F79)</f>
        <v>0</v>
      </c>
      <c r="G79" s="205" t="s">
        <v>83</v>
      </c>
    </row>
    <row r="80" spans="1:7" ht="45" customHeight="1" x14ac:dyDescent="0.25">
      <c r="A80" s="224"/>
      <c r="B80" s="236">
        <v>1248</v>
      </c>
      <c r="C80" s="240" t="s">
        <v>3871</v>
      </c>
      <c r="D80" s="299">
        <f>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7</v>
      </c>
      <c r="E81" s="263">
        <f t="shared" ref="E81:F81" si="4">E82</f>
        <v>7</v>
      </c>
      <c r="F81" s="263">
        <f t="shared" si="4"/>
        <v>5</v>
      </c>
      <c r="G81" s="205"/>
    </row>
    <row r="82" spans="1:7" ht="45" customHeight="1" x14ac:dyDescent="0.25">
      <c r="A82" s="224"/>
      <c r="B82" s="236">
        <v>1252</v>
      </c>
      <c r="C82" s="240" t="s">
        <v>3873</v>
      </c>
      <c r="D82" s="299">
        <f>_xlfn.IFNA(VLOOKUP(B82,Worksheet!$C$3:$G$46,3,FALSE),D82)</f>
        <v>7</v>
      </c>
      <c r="E82" s="299">
        <f>_xlfn.IFNA(VLOOKUP(B82,Worksheet!$C$3:$G$46,4,FALSE),E82)</f>
        <v>7</v>
      </c>
      <c r="F82" s="299">
        <f>_xlfn.IFNA(VLOOKUP(B82,Worksheet!$C$3:$G$46,5,FALSE),F82)</f>
        <v>5</v>
      </c>
      <c r="G82" s="205" t="s">
        <v>83</v>
      </c>
    </row>
    <row r="83" spans="1:7" ht="45" customHeight="1" x14ac:dyDescent="0.25">
      <c r="A83" s="224"/>
      <c r="B83" s="236">
        <v>1253</v>
      </c>
      <c r="C83" s="240" t="s">
        <v>3874</v>
      </c>
      <c r="D83" s="299">
        <f>_xlfn.IFNA(VLOOKUP(B83,Worksheet!$C$3:$G$46,3,FALSE),D83)</f>
        <v>7</v>
      </c>
      <c r="E83" s="299">
        <f ca="1">_xlfn.IFNA(VLOOKUP(B83,Worksheet!$C$3:$G$46,4,FALSE),E83)</f>
        <v>0</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d7/DfVCf8T8ExGMo67AKMVt6D2FdsbN+0dIZ0gfZ2S4hE738w+3LhIBQZ/tmKwYF0JoA6g7X59eSVUH9Z9OYg==" saltValue="hxiDVyngPBt1CfzygJdMLw=="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2017-02-23T07:24:50Z</cp:lastPrinted>
  <dcterms:created xsi:type="dcterms:W3CDTF">2017-01-08T13:42:03Z</dcterms:created>
  <dcterms:modified xsi:type="dcterms:W3CDTF">2017-03-01T14:56:04Z</dcterms:modified>
</cp:coreProperties>
</file>