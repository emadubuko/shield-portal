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MAECHI\Desktop\GH Mbieri\SHEILD_DQA_Q1R\"/>
    </mc:Choice>
  </mc:AlternateContent>
  <workbookProtection workbookAlgorithmName="SHA-512" workbookHashValue="wI6ZYaZOHmHh9TCE5Qe4D9VnGX7nbaVwgQvnsl0d+tw091XbOzbw3Dg5l+nLo3nUw1V0ut/ernTrKKlEXG0K9w==" workbookSaltValue="YsFY6/D0HfgXriaPtHhiwQ==" workbookSpinCount="100000" lockStructure="1"/>
  <bookViews>
    <workbookView minimized="1"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6" i="10"/>
  <c r="F167" i="10"/>
  <c r="S18" i="12"/>
  <c r="G4" i="11"/>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T18" i="12"/>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<sst xmlns="http://schemas.openxmlformats.org/spreadsheetml/2006/main" count="27089" uniqueCount="4026">
  <si>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</si>
  <si>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</si>
  <si>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</si>
  <si>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</si>
  <si>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</si>
  <si>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</si>
  <si>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</si>
  <si>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</si>
  <si>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</si>
  <si>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</si>
  <si>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</si>
  <si>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</si>
  <si>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</si>
  <si>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</si>
  <si>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</si>
  <si>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</si>
  <si>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</si>
  <si>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</si>
  <si>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</si>
  <si>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</si>
  <si>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</si>
  <si>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</si>
  <si>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</si>
  <si>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</si>
  <si>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</si>
  <si>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</si>
  <si>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</si>
  <si>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</si>
  <si>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</si>
  <si>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</si>
  <si>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</si>
  <si>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</si>
  <si>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</si>
  <si>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</si>
  <si>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</si>
  <si>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</si>
  <si>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</si>
  <si>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</si>
  <si>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</si>
  <si>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</si>
  <si>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</si>
  <si>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</si>
  <si>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</si>
  <si>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</si>
  <si>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</si>
  <si>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</si>
  <si>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</si>
  <si>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</si>
  <si>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</si>
  <si>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</si>
  <si>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</si>
  <si>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</si>
  <si>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</si>
  <si>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</si>
  <si>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</si>
  <si>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</si>
  <si>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</si>
  <si>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</si>
  <si>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</si>
  <si>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</si>
  <si>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</si>
  <si>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</si>
  <si>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</si>
  <si>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</si>
  <si>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</si>
  <si>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</si>
  <si>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</si>
  <si>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</si>
  <si>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</si>
  <si>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</si>
  <si>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</si>
  <si>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</si>
  <si>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</si>
  <si>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</si>
  <si>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</si>
  <si>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</si>
  <si>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</si>
  <si>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</si>
  <si>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</si>
  <si>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</si>
  <si>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</si>
  <si>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</si>
  <si>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</si>
  <si>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</si>
  <si>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</si>
  <si>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</si>
  <si>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</si>
  <si>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</si>
  <si>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</si>
  <si>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</si>
  <si>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</si>
  <si>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</si>
  <si>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</si>
  <si>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</si>
  <si>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</si>
  <si>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</si>
  <si>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</si>
  <si>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</si>
  <si>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</si>
  <si>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</si>
  <si>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</si>
  <si>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</si>
  <si>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</si>
  <si>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</si>
  <si>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</si>
  <si>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</si>
  <si>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</si>
  <si>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</si>
  <si>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</si>
  <si>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</si>
  <si>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</si>
  <si>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</si>
  <si>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</si>
  <si>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</si>
  <si>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</si>
  <si>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</si>
  <si>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</si>
  <si>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</si>
  <si>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</si>
  <si>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</si>
  <si>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</si>
  <si>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</si>
  <si>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</si>
  <si>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</si>
  <si>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</si>
  <si>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</si>
  <si>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</si>
  <si>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</si>
  <si>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</si>
  <si>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</si>
  <si>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</si>
  <si>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</si>
  <si>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</si>
  <si>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</si>
  <si>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</si>
  <si>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</si>
  <si>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</si>
  <si>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</si>
  <si>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</si>
  <si>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</si>
  <si>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</si>
  <si>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</si>
  <si>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</si>
  <si>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</si>
  <si>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</si>
  <si>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</si>
  <si>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</si>
  <si>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</si>
  <si>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</si>
  <si>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</si>
  <si>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</si>
  <si>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</si>
  <si>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</si>
  <si>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</si>
  <si>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</si>
  <si>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</si>
  <si>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</si>
  <si>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</si>
  <si>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</si>
  <si>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</si>
  <si>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</si>
  <si>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</si>
  <si>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</si>
  <si>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</si>
  <si>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</si>
  <si>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</si>
  <si>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</si>
  <si>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</si>
  <si>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</si>
  <si>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</si>
  <si>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</si>
  <si>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</si>
  <si>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</si>
  <si>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</si>
  <si>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</si>
  <si>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</si>
  <si>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</si>
  <si>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</si>
  <si>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</si>
  <si>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</si>
  <si>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</si>
  <si>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</si>
  <si>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</si>
  <si>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</si>
  <si>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</si>
  <si>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</si>
  <si>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</si>
  <si>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</si>
  <si>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</si>
  <si>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</si>
  <si>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</si>
  <si>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</si>
  <si>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</si>
  <si>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</si>
  <si>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</si>
  <si>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</si>
  <si>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</si>
  <si>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</si>
  <si>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</si>
  <si>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</si>
  <si>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</si>
  <si>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</si>
  <si>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</si>
  <si>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</si>
  <si>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</si>
  <si>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</si>
  <si>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</si>
  <si>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</si>
  <si>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</si>
  <si>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</si>
  <si>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</si>
  <si>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</si>
  <si>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</si>
  <si>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</si>
  <si>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</si>
  <si>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</si>
  <si>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</si>
  <si>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</si>
  <si>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</si>
  <si>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</si>
  <si>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</si>
  <si>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</si>
  <si>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</si>
  <si>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</si>
  <si>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</si>
  <si>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</si>
  <si>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</si>
  <si>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</si>
  <si>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</si>
  <si>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</si>
  <si>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</si>
  <si>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</si>
  <si>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</si>
  <si>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</si>
  <si>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</si>
  <si>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</si>
  <si>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</si>
  <si>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</si>
  <si>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</si>
  <si>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</si>
  <si>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</si>
  <si>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</si>
  <si>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</si>
  <si>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</si>
  <si>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</si>
  <si>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</si>
  <si>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</si>
  <si>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</si>
  <si>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</si>
  <si>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</si>
  <si>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</si>
  <si>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</si>
  <si>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</si>
  <si>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</si>
  <si>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</si>
  <si>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</si>
  <si>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</si>
  <si>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</si>
  <si>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</si>
  <si>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</si>
  <si>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</si>
  <si>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</si>
  <si>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</si>
  <si>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</si>
  <si>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</si>
  <si>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</si>
  <si>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</si>
  <si>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</si>
  <si>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</si>
  <si>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</si>
  <si>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</si>
  <si>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</si>
  <si>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</si>
  <si>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</si>
  <si>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</si>
  <si>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</si>
  <si>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</si>
  <si>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</si>
  <si>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</si>
  <si>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</si>
  <si>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</si>
  <si>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</si>
  <si>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</si>
  <si>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</si>
  <si>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</si>
  <si>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</si>
  <si>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</si>
  <si>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</si>
  <si>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</si>
  <si>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</si>
  <si>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</si>
  <si>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</si>
  <si>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</si>
  <si>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</si>
  <si>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</si>
  <si>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</si>
  <si>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</si>
  <si>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</si>
  <si>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</si>
  <si>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</si>
  <si>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</si>
  <si>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</si>
  <si>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</si>
  <si>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</si>
  <si>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</si>
  <si>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</si>
  <si>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</si>
  <si>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</si>
  <si>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</si>
  <si>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</si>
  <si>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</si>
  <si>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</si>
  <si>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</si>
  <si>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</si>
  <si>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</si>
  <si>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</si>
  <si>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</si>
  <si>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</si>
  <si>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</si>
  <si>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</si>
  <si>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</si>
  <si>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</si>
  <si>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</si>
  <si>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</si>
  <si>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</si>
  <si>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</si>
  <si>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</si>
  <si>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</si>
  <si>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</si>
  <si>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</si>
  <si>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</si>
  <si>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</si>
  <si>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</si>
  <si>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</si>
  <si>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</si>
  <si>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</si>
  <si>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</si>
  <si>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</si>
  <si>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</si>
  <si>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</si>
  <si>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</si>
  <si>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</si>
  <si>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</si>
  <si>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</si>
  <si>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</si>
  <si>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</si>
  <si>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</si>
  <si>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</si>
  <si>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</si>
  <si>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</si>
  <si>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</si>
  <si>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</si>
  <si>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</si>
  <si>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</si>
  <si>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</si>
  <si>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</si>
  <si>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</si>
  <si>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</si>
  <si>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</si>
  <si>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</si>
  <si>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</si>
  <si>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</si>
  <si>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</si>
  <si>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</si>
  <si>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</si>
  <si>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</si>
  <si>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</si>
  <si>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</si>
  <si>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</si>
  <si>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</si>
  <si>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</si>
  <si>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</si>
  <si>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</si>
  <si>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</si>
  <si>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</si>
  <si>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</si>
  <si>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</si>
  <si>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</si>
  <si>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</si>
  <si>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</si>
  <si>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</si>
  <si>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</si>
  <si>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</si>
  <si>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</si>
  <si>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</si>
  <si>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</si>
  <si>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</si>
  <si>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</si>
  <si>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</si>
  <si>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</si>
  <si>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</si>
  <si>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</si>
  <si>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</si>
  <si>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</si>
  <si>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</si>
  <si>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</si>
  <si>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</si>
  <si>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</si>
  <si>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</si>
  <si>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</si>
  <si>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</si>
  <si>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</si>
  <si>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</si>
  <si>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</si>
  <si>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</si>
  <si>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</si>
  <si>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</si>
  <si>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</si>
  <si>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</si>
  <si>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</si>
  <si>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</si>
  <si>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</si>
  <si>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</si>
  <si>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</si>
  <si>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</si>
  <si>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</si>
  <si>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</si>
  <si>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</si>
  <si>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</si>
  <si>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</si>
  <si>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</si>
  <si>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</si>
  <si>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</si>
  <si>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</si>
  <si>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</si>
  <si>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</si>
  <si>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</si>
  <si>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</si>
  <si>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</si>
  <si>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</si>
  <si>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</si>
  <si>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</si>
  <si>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</si>
  <si>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</si>
  <si>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</si>
  <si>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</si>
  <si>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</si>
  <si>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</si>
  <si>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</si>
  <si>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</si>
  <si>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</si>
  <si>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</si>
  <si>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</si>
  <si>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</si>
  <si>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</si>
  <si>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</si>
  <si>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</si>
  <si>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</si>
  <si>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</si>
  <si>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</si>
  <si>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</si>
  <si>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</si>
  <si>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</si>
  <si>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</si>
  <si>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</si>
  <si>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</si>
  <si>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</si>
  <si>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</si>
  <si>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</si>
  <si>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</si>
  <si>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</si>
  <si>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</si>
  <si>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</si>
  <si>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</si>
  <si>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</si>
  <si>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</si>
  <si>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</si>
  <si>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</si>
  <si>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</si>
  <si>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</si>
  <si>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</si>
  <si>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</si>
  <si>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</si>
  <si>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</si>
  <si>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</si>
  <si>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</si>
  <si>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</si>
  <si>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</si>
  <si>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</si>
  <si>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</si>
  <si>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</si>
  <si>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</si>
  <si>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</si>
  <si>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</si>
  <si>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</si>
  <si>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</si>
  <si>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</si>
  <si>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</si>
  <si>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</si>
  <si>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</si>
  <si>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</si>
  <si>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</si>
  <si>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</si>
  <si>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</si>
  <si>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</si>
  <si>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</si>
  <si>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</si>
  <si>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</si>
  <si>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</si>
  <si>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</si>
  <si>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</si>
  <si>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</si>
  <si>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</si>
  <si>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</si>
  <si>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</si>
  <si>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</si>
  <si>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</si>
  <si>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</si>
  <si>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</si>
  <si>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</si>
  <si>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</si>
  <si>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</si>
  <si>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</si>
  <si>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</si>
  <si>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</si>
  <si>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</si>
  <si>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</si>
  <si>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</si>
  <si>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</si>
  <si>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</si>
  <si>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</si>
  <si>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</si>
  <si>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</si>
  <si>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</si>
  <si>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</si>
  <si>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</si>
  <si>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</si>
  <si>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</si>
  <si>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</si>
  <si>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</si>
  <si>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</si>
  <si>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</si>
  <si>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</si>
  <si>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</si>
  <si>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</si>
  <si>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</si>
  <si>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</si>
  <si>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</si>
  <si>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</si>
  <si>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</si>
  <si>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</si>
  <si>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</si>
  <si>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</si>
  <si>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</si>
  <si>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</si>
  <si>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</si>
  <si>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</si>
  <si>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</si>
  <si>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</si>
  <si>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</si>
  <si>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</si>
  <si>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</si>
  <si>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</si>
  <si>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</si>
  <si>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</si>
  <si>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</si>
  <si>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</si>
  <si>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</si>
  <si>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</si>
  <si>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</si>
  <si>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</si>
  <si>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</si>
  <si>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</si>
  <si>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</si>
  <si>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</si>
  <si>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</si>
  <si>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</si>
  <si>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</si>
  <si>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</si>
  <si>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</si>
  <si>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</si>
  <si>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</si>
  <si>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</si>
  <si>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</si>
  <si>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</si>
  <si>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</si>
  <si>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</si>
  <si>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</si>
  <si>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</si>
  <si>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</si>
  <si>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</si>
  <si>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</si>
  <si>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</si>
  <si>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</si>
  <si>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</si>
  <si>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</si>
  <si>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</si>
  <si>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</si>
  <si>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</si>
  <si>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</si>
  <si>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</si>
  <si>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</si>
  <si>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</si>
  <si>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</si>
  <si>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</si>
  <si>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</si>
  <si>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</si>
  <si>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</si>
  <si>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</si>
  <si>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</si>
  <si>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</si>
  <si>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</si>
  <si>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</si>
  <si>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</si>
  <si>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</si>
  <si>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</si>
  <si>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</si>
  <si>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</si>
  <si>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</si>
  <si>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</si>
  <si>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</si>
  <si>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</si>
  <si>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</si>
  <si>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</si>
  <si>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</si>
  <si>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</si>
  <si>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</si>
  <si>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</si>
  <si>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</si>
  <si>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</si>
  <si>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</si>
  <si>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</si>
  <si>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</si>
  <si>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</si>
  <si>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</si>
  <si>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</si>
  <si>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</si>
  <si>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</si>
  <si>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</si>
  <si>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</si>
  <si>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</si>
  <si>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</si>
  <si>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</si>
  <si>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</si>
  <si>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</si>
  <si>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</si>
  <si>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</si>
  <si>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</si>
  <si>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</si>
  <si>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</si>
  <si>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</si>
  <si>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</si>
  <si>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</si>
  <si>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</si>
  <si>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</si>
  <si>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</si>
  <si>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</si>
  <si>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</si>
  <si>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</si>
  <si>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</si>
  <si>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</si>
  <si>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</si>
  <si>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</si>
  <si>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</si>
  <si>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</si>
  <si>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</si>
  <si>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</si>
  <si>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</si>
  <si>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</si>
  <si>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</si>
  <si>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</si>
  <si>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</si>
  <si>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</si>
  <si>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</si>
  <si>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</si>
  <si>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</si>
  <si>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</si>
  <si>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</si>
  <si>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</si>
  <si>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</si>
  <si>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</si>
  <si>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</si>
  <si>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</si>
  <si>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</si>
  <si>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</si>
  <si>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</si>
  <si>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</si>
  <si>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</si>
  <si>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</si>
  <si>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</si>
  <si>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</si>
  <si>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</si>
  <si>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</si>
  <si>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</si>
  <si>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</si>
  <si>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</si>
  <si>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</si>
  <si>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</si>
  <si>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</si>
  <si>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</si>
  <si>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</si>
  <si>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</si>
  <si>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</si>
  <si>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</si>
  <si>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</si>
  <si>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</si>
  <si>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</si>
  <si>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</si>
  <si>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</si>
  <si>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</si>
  <si>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</si>
  <si>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</si>
  <si>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</si>
  <si>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</si>
  <si>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</si>
  <si>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</si>
  <si>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</si>
  <si>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</si>
  <si>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</si>
  <si>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</si>
  <si>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</si>
  <si>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</si>
  <si>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</si>
  <si>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</si>
  <si>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</si>
  <si>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</si>
  <si>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</si>
  <si>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</si>
  <si>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</si>
  <si>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</si>
  <si>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</si>
  <si>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</si>
  <si>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</si>
  <si>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</si>
  <si>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</si>
  <si>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</si>
  <si>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</si>
  <si>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</si>
  <si>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</si>
  <si>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</si>
  <si>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</si>
  <si>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</si>
  <si>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</si>
  <si>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</si>
  <si>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</si>
  <si>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</si>
  <si>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</si>
  <si>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</si>
  <si>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</si>
  <si>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</si>
  <si>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</si>
  <si>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</si>
  <si>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</si>
  <si>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</si>
  <si>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</si>
  <si>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</si>
  <si>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</si>
  <si>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</si>
  <si>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</si>
  <si>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</si>
  <si>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</si>
  <si>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</si>
  <si>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</si>
  <si>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</si>
  <si>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</si>
  <si>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</si>
  <si>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</si>
  <si>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</si>
  <si>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</si>
  <si>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</si>
  <si>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</si>
  <si>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</si>
  <si>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</si>
  <si>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</si>
  <si>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</si>
  <si>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</si>
  <si>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</si>
  <si>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</si>
  <si>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</si>
  <si>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</si>
  <si>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</si>
  <si>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</si>
  <si>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</si>
  <si>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</si>
  <si>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</si>
  <si>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</si>
  <si>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</si>
  <si>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</si>
  <si>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</si>
  <si>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</si>
  <si>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</si>
  <si>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</si>
  <si>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</si>
  <si>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</si>
  <si>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</si>
  <si>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</si>
  <si>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</si>
  <si>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</si>
  <si>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</si>
  <si>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</si>
  <si>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</si>
  <si>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</si>
  <si>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</si>
  <si>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</si>
  <si>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</si>
  <si>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</si>
  <si>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</si>
  <si>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</si>
  <si>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</si>
  <si>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</si>
  <si>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</si>
  <si>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</si>
  <si>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</si>
  <si>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</si>
  <si>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</si>
  <si>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</si>
  <si>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</si>
  <si>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</si>
  <si>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</si>
  <si>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</si>
  <si>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</si>
  <si>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</si>
  <si>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</si>
  <si>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</si>
  <si>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</si>
  <si>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</si>
  <si>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</si>
  <si>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</si>
  <si>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</si>
  <si>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</si>
  <si>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</si>
  <si>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</si>
  <si>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</si>
  <si>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</si>
  <si>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</si>
  <si>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</si>
  <si>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</si>
  <si>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</si>
  <si>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</si>
  <si>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</si>
  <si>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</si>
  <si>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</si>
  <si>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</si>
  <si>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</si>
  <si>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</si>
  <si>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</si>
  <si>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</si>
  <si>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</si>
  <si>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</si>
  <si>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</si>
  <si>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</si>
  <si>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</si>
  <si>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</si>
  <si>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</si>
  <si>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</si>
  <si>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</si>
  <si>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</si>
  <si>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</si>
  <si>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</si>
  <si>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</si>
  <si>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</si>
  <si>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</si>
  <si>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</si>
  <si>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</si>
  <si>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</si>
  <si>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</si>
  <si>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</si>
  <si>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</si>
  <si>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</si>
  <si>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</si>
  <si>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</si>
  <si>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</si>
  <si>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</si>
  <si>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</si>
  <si>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</si>
  <si>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</si>
  <si>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</si>
  <si>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</si>
  <si>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</si>
  <si>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</si>
  <si>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</si>
  <si>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</si>
  <si>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</si>
  <si>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</si>
  <si>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</si>
  <si>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</si>
  <si>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</si>
  <si>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</si>
  <si>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</si>
  <si>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</si>
  <si>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</si>
  <si>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</si>
  <si>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</si>
  <si>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</si>
  <si>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</si>
  <si>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</si>
  <si>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</si>
  <si>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</si>
  <si>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</si>
  <si>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</si>
  <si>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</si>
  <si>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</si>
  <si>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</si>
  <si>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</si>
  <si>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</si>
  <si>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</si>
  <si>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</si>
  <si>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</si>
  <si>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</si>
  <si>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</si>
  <si>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</si>
  <si>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</si>
  <si>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</si>
  <si>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</si>
  <si>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</si>
  <si>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</si>
  <si>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</si>
  <si>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</si>
  <si>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</si>
  <si>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</si>
  <si>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</si>
  <si>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</si>
  <si>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</si>
  <si>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</si>
  <si>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</si>
  <si>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</si>
  <si>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</si>
  <si>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</si>
  <si>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</si>
  <si>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</si>
  <si>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</si>
  <si>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</si>
  <si>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</si>
  <si>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</si>
  <si>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</si>
  <si>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</si>
  <si>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</si>
  <si>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</si>
  <si>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</si>
  <si>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</si>
  <si>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</si>
  <si>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</si>
  <si>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</si>
  <si>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</si>
  <si>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</si>
  <si>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</si>
  <si>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</si>
  <si>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</si>
  <si>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</si>
  <si>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</si>
  <si>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</si>
  <si>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</si>
  <si>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</si>
  <si>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</si>
  <si>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</si>
  <si>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</si>
  <si>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</si>
  <si>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</si>
  <si>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</si>
  <si>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</si>
  <si>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</si>
  <si>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</si>
  <si>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</si>
  <si>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</si>
  <si>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</si>
  <si>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</si>
  <si>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</si>
  <si>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</si>
  <si>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</si>
  <si>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</si>
  <si>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</si>
  <si>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</si>
  <si>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</si>
  <si>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</si>
  <si>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</si>
  <si>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</si>
  <si>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</si>
  <si>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</si>
  <si>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</si>
  <si>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</si>
  <si>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</si>
  <si>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</si>
  <si>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</si>
  <si>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</si>
  <si>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</si>
  <si>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</si>
  <si>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</si>
  <si>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</si>
  <si>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</si>
  <si>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</si>
  <si>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</si>
  <si>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</si>
  <si>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</si>
  <si>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</si>
  <si>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</si>
  <si>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</si>
  <si>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</si>
  <si>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</si>
  <si>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</si>
  <si>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</si>
  <si>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</si>
  <si>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</si>
  <si>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</si>
  <si>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</si>
  <si>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</si>
  <si>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</si>
  <si>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</si>
  <si>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</si>
  <si>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</si>
  <si>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</si>
  <si>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</si>
  <si>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</si>
  <si>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</si>
  <si>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</si>
  <si>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</si>
  <si>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</si>
  <si>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</si>
  <si>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</si>
  <si>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</si>
  <si>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</si>
  <si>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</si>
  <si>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</si>
  <si>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</si>
  <si>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</si>
  <si>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</si>
  <si>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</si>
  <si>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</si>
  <si>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</si>
  <si>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</si>
  <si>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</si>
  <si>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</si>
  <si>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</si>
  <si>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</si>
  <si>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</si>
  <si>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</si>
  <si>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</si>
  <si>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</si>
  <si>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</si>
  <si>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</si>
  <si>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</si>
  <si>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</si>
  <si>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</si>
  <si>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</si>
  <si>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</si>
  <si>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</si>
  <si>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</si>
  <si>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</si>
  <si>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</si>
  <si>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</si>
  <si>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</si>
  <si>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</si>
  <si>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</si>
  <si>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</si>
  <si>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</si>
  <si>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</si>
  <si>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</si>
  <si>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</si>
  <si>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</si>
  <si>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</si>
  <si>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</si>
  <si>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</si>
  <si>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</si>
  <si>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</si>
  <si>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</si>
  <si>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</si>
  <si>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</si>
  <si>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</si>
  <si>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</si>
  <si>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</si>
  <si>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</si>
  <si>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</si>
  <si>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</si>
  <si>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</si>
  <si>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</si>
  <si>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</si>
  <si>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</si>
  <si>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</si>
  <si>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</si>
  <si>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</si>
  <si>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</si>
  <si>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</si>
  <si>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</si>
  <si>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</si>
  <si>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</si>
  <si>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</si>
  <si>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</si>
  <si>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</si>
  <si>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</si>
  <si>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</si>
  <si>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</si>
  <si>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</si>
  <si>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</si>
  <si>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</si>
  <si>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</si>
  <si>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</si>
  <si>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</si>
  <si>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</si>
  <si>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</si>
  <si>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</si>
  <si>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</si>
  <si>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</si>
  <si>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</si>
  <si>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</si>
  <si>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</si>
  <si>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</si>
  <si>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</si>
  <si>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</si>
  <si>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</si>
  <si>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</si>
  <si>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</si>
  <si>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</si>
  <si>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</si>
  <si>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</si>
  <si>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</si>
  <si>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</si>
  <si>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</si>
  <si>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</si>
  <si>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</si>
  <si>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</si>
  <si>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</si>
  <si>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</si>
  <si>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</si>
  <si>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</si>
  <si>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</si>
  <si>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</si>
  <si>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</si>
  <si>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</si>
  <si>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</si>
  <si>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</si>
  <si>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</si>
  <si>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</si>
  <si>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</si>
  <si>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</si>
  <si>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</si>
  <si>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</si>
  <si>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</si>
  <si>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</si>
  <si>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</si>
  <si>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</si>
  <si>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</si>
  <si>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</si>
  <si>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</si>
  <si>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</si>
  <si>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</si>
  <si>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</si>
  <si>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</si>
  <si>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</si>
  <si>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</si>
  <si>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</si>
  <si>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</si>
  <si>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</si>
  <si>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</si>
  <si>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</si>
  <si>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</si>
  <si>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</si>
  <si>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</si>
  <si>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</si>
  <si>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</si>
  <si>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</si>
  <si>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</si>
  <si>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</si>
  <si>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</si>
  <si>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</si>
  <si>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</si>
  <si>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</si>
  <si>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</si>
  <si>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</si>
  <si>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</si>
  <si>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</si>
  <si>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</si>
  <si>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</si>
  <si>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</si>
  <si>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</si>
  <si>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</si>
  <si>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</si>
  <si>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</si>
  <si>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</si>
  <si>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</si>
  <si>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</si>
  <si>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</si>
  <si>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</si>
  <si>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</si>
  <si>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</si>
  <si>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</si>
  <si>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</si>
  <si>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</si>
  <si>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</si>
  <si>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</si>
  <si>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</si>
  <si>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</si>
  <si>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</si>
  <si>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</si>
  <si>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</si>
  <si>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</si>
  <si>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</si>
  <si>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</si>
  <si>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</si>
  <si>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</si>
  <si>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</si>
  <si>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</si>
  <si>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</si>
  <si>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</si>
  <si>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</si>
  <si>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</si>
  <si>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</si>
  <si>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</si>
  <si>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</si>
  <si>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</si>
  <si>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</si>
  <si>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</si>
  <si>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</si>
  <si>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</si>
  <si>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</si>
  <si>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</si>
  <si>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</si>
  <si>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</si>
  <si>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</si>
  <si>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</si>
  <si>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</si>
  <si>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</si>
  <si>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</si>
  <si>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</si>
  <si>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</si>
  <si>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</si>
  <si>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</si>
  <si>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</si>
  <si>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</si>
  <si>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</si>
  <si>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</si>
  <si>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</si>
  <si>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</si>
  <si>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</si>
  <si>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</si>
  <si>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</si>
  <si>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</si>
  <si>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</si>
  <si>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</si>
  <si>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</si>
  <si>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</si>
  <si>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</si>
  <si>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</si>
  <si>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</si>
  <si>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</si>
  <si>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</si>
  <si>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</si>
  <si>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</si>
  <si>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</si>
  <si>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</si>
  <si>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</si>
  <si>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</si>
  <si>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</si>
  <si>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</si>
  <si>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</si>
  <si>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</si>
  <si>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</si>
  <si>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</si>
  <si>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</si>
  <si>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</si>
  <si>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</si>
  <si>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</si>
  <si>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</si>
  <si>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</si>
  <si>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</si>
  <si>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</si>
  <si>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</si>
  <si>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</si>
  <si>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</si>
  <si>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</si>
  <si>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</si>
  <si>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</si>
  <si>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</si>
  <si>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</si>
  <si>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</si>
  <si>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</si>
  <si>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</si>
  <si>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</si>
  <si>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</si>
  <si>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</si>
  <si>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</si>
  <si>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</si>
  <si>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</si>
  <si>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</si>
  <si>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</si>
  <si>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</si>
  <si>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</si>
  <si>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</si>
  <si>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</si>
  <si>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</si>
  <si>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</si>
  <si>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</si>
  <si>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</si>
  <si>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</si>
  <si>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</si>
  <si>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</si>
  <si>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</si>
  <si>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</si>
  <si>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</si>
  <si>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</si>
  <si>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</si>
  <si>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</si>
  <si>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</si>
  <si>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</si>
  <si>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</si>
  <si>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</si>
  <si>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</si>
  <si>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</si>
  <si>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</si>
  <si>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</si>
  <si>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</si>
  <si>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</si>
  <si>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</si>
  <si>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</si>
  <si>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</si>
  <si>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</si>
  <si>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</si>
  <si>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</si>
  <si>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</si>
  <si>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</si>
  <si>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</si>
  <si>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</si>
  <si>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</si>
  <si>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</si>
  <si>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</si>
  <si>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</si>
  <si>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</si>
  <si>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</si>
  <si>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</si>
  <si>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</si>
  <si>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</si>
  <si>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</si>
  <si>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</si>
  <si>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</si>
  <si>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</si>
  <si>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</si>
  <si>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</si>
  <si>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</si>
  <si>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</si>
  <si>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</si>
  <si>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</si>
  <si>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</si>
  <si>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</si>
  <si>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</si>
  <si>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</si>
  <si>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</si>
  <si>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</si>
  <si>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</si>
  <si>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</si>
  <si>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</si>
  <si>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</si>
  <si>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</si>
  <si>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</si>
  <si>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</si>
  <si>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</si>
  <si>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</si>
  <si>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</si>
  <si>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</si>
  <si>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</si>
  <si>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</si>
  <si>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</si>
  <si>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</si>
  <si>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</si>
  <si>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</si>
  <si>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</si>
  <si>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</si>
  <si>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</si>
  <si>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</si>
  <si>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</si>
  <si>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</si>
  <si>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</si>
  <si>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</si>
  <si>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</si>
  <si>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</si>
  <si>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</si>
  <si>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</si>
  <si>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</si>
  <si>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</si>
  <si>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</si>
  <si>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</si>
  <si>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</si>
  <si>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</si>
  <si>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</si>
  <si>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</si>
  <si>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</si>
  <si>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</si>
  <si>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</si>
  <si>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</si>
  <si>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</si>
  <si>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</si>
  <si>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</si>
  <si>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</si>
  <si>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</si>
  <si>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</si>
  <si>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</si>
  <si>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</si>
  <si>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</si>
  <si>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</si>
  <si>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</si>
  <si>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</si>
  <si>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</si>
  <si>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</si>
  <si>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</si>
  <si>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</si>
  <si>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</si>
  <si>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</si>
  <si>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</si>
  <si>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</si>
  <si>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</si>
  <si>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</si>
  <si>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</si>
  <si>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</si>
  <si>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</si>
  <si>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</si>
  <si>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</si>
  <si>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</si>
  <si>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</si>
  <si>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</si>
  <si>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</si>
  <si>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</si>
  <si>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</si>
  <si>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</si>
  <si>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</si>
  <si>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</si>
  <si>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</si>
  <si>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</si>
  <si>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</si>
  <si>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</si>
  <si>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</si>
  <si>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</si>
  <si>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</si>
  <si>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</si>
  <si>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</si>
  <si>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</si>
  <si>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</si>
  <si>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</si>
  <si>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</si>
  <si>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</si>
  <si>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</si>
  <si>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</si>
  <si>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</si>
  <si>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</si>
  <si>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</si>
  <si>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</si>
  <si>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</si>
  <si>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</si>
  <si>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</si>
  <si>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</si>
  <si>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</si>
  <si>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</si>
  <si>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</si>
  <si>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</si>
  <si>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</si>
  <si>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</si>
  <si>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</si>
  <si>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</si>
  <si>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</si>
  <si>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</si>
  <si>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</si>
  <si>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</si>
  <si>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</si>
  <si>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</si>
  <si>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</si>
  <si>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</si>
  <si>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</si>
  <si>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</si>
  <si>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</si>
  <si>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</si>
  <si>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</si>
  <si>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</si>
  <si>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</si>
  <si>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</si>
  <si>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</si>
  <si>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</si>
  <si>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</si>
  <si>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</si>
  <si>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</si>
  <si>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</si>
  <si>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</si>
  <si>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</si>
  <si>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</si>
  <si>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</si>
  <si>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</si>
  <si>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</si>
  <si>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</si>
  <si>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</si>
  <si>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</si>
  <si>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</si>
  <si>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</si>
  <si>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</si>
  <si>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</si>
  <si>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</si>
  <si>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</si>
  <si>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</si>
  <si>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</si>
  <si>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</si>
  <si>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</si>
  <si>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</si>
  <si>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</si>
  <si>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</si>
  <si>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</si>
  <si>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</si>
  <si>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</si>
  <si>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</si>
  <si>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</si>
  <si>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</si>
  <si>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</si>
  <si>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</si>
  <si>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</si>
  <si>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</si>
  <si>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</si>
  <si>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</si>
  <si>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</si>
  <si>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</si>
  <si>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</si>
  <si>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</si>
  <si>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</si>
  <si>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</si>
  <si>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</si>
  <si>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</si>
  <si>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</si>
  <si>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</si>
  <si>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</si>
  <si>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</si>
  <si>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</si>
  <si>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</si>
  <si>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</si>
  <si>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</si>
  <si>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</si>
  <si>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</si>
  <si>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</si>
  <si>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</si>
  <si>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</si>
  <si>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</si>
  <si>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</si>
  <si>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</si>
  <si>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</si>
  <si>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</si>
  <si>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</si>
  <si>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</si>
  <si>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</si>
  <si>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</si>
  <si>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</si>
  <si>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</si>
  <si>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</si>
  <si>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</si>
  <si>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</si>
  <si>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</si>
  <si>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</si>
  <si>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</si>
  <si>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</si>
  <si>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</si>
  <si>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</si>
  <si>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</si>
  <si>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</si>
  <si>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</si>
  <si>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</si>
  <si>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</si>
  <si>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</si>
  <si>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</si>
  <si>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</si>
  <si>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</si>
  <si>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</si>
  <si>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</si>
  <si>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</si>
  <si>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</si>
  <si>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</si>
  <si>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</si>
  <si>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</si>
  <si>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</si>
  <si>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</si>
  <si>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</si>
  <si>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</si>
  <si>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</si>
  <si>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</si>
  <si>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</si>
  <si>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</si>
  <si>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</si>
  <si>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</si>
  <si>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</si>
  <si>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</si>
  <si>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</si>
  <si>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</si>
  <si>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</si>
  <si>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</si>
  <si>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</si>
  <si>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</si>
  <si>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</si>
  <si>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</si>
  <si>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</si>
  <si>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</si>
  <si>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</si>
  <si>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</si>
  <si>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</si>
  <si>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</si>
  <si>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</si>
  <si>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</si>
  <si>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</si>
  <si>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</si>
  <si>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</si>
  <si>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</si>
  <si>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</si>
  <si>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</si>
  <si>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</si>
  <si>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</si>
  <si>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</si>
  <si>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</si>
  <si>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</si>
  <si>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</si>
  <si>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</si>
  <si>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</si>
  <si>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</si>
  <si>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</si>
  <si>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</si>
  <si>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</si>
  <si>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</si>
  <si>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</si>
  <si>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</si>
  <si>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</si>
  <si>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</si>
  <si>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</si>
  <si>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</si>
  <si>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</si>
  <si>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</si>
  <si>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</si>
  <si>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</si>
  <si>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</si>
  <si>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</si>
  <si>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</si>
  <si>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</si>
  <si>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</si>
  <si>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</si>
  <si>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</si>
  <si>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</si>
  <si>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</si>
  <si>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</si>
  <si>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</si>
  <si>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</si>
  <si>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</si>
  <si>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</si>
  <si>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</si>
  <si>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</si>
  <si>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</si>
  <si>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</si>
  <si>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</si>
  <si>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</si>
  <si>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</si>
  <si>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</si>
  <si>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</si>
  <si>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</si>
  <si>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</si>
  <si>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</si>
  <si>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</si>
  <si>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</si>
  <si>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</si>
  <si>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</si>
  <si>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</si>
  <si>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</si>
  <si>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</si>
  <si>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</si>
  <si>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</si>
  <si>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</si>
  <si>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</si>
  <si>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</si>
  <si>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</si>
  <si>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</si>
  <si>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</si>
  <si>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</si>
  <si>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</si>
  <si>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</si>
  <si>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</si>
  <si>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</si>
  <si>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</si>
  <si>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</si>
  <si>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</si>
  <si>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</si>
  <si>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</si>
  <si>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</si>
  <si>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</si>
  <si>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</si>
  <si>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</si>
  <si>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</si>
  <si>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</si>
  <si>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</si>
  <si>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</si>
  <si>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</si>
  <si>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</si>
  <si>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</si>
  <si>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</si>
  <si>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</si>
  <si>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</si>
  <si>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</si>
  <si>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</si>
  <si>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</si>
  <si>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</si>
  <si>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</si>
  <si>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</si>
  <si>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</si>
  <si>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</si>
  <si>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</si>
  <si>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</si>
  <si>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</si>
  <si>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</si>
  <si>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</si>
  <si>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</si>
  <si>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</si>
  <si>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</si>
  <si>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</si>
  <si>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</si>
  <si>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</si>
  <si>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</si>
  <si>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</si>
  <si>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</si>
  <si>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</si>
  <si>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</si>
  <si>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</si>
  <si>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</si>
  <si>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</si>
  <si>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</si>
  <si>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</si>
  <si>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</si>
  <si>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</si>
  <si>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</si>
  <si>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</si>
  <si>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</si>
  <si>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</si>
  <si>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</si>
  <si>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</si>
  <si>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</si>
  <si>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</si>
  <si>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</si>
  <si>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</si>
  <si>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</si>
  <si>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</si>
  <si>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</si>
  <si>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</si>
  <si>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</si>
  <si>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</si>
  <si>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</si>
  <si>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</si>
  <si>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</si>
  <si>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</si>
  <si>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</si>
  <si>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</si>
  <si>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</si>
  <si>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</si>
  <si>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</si>
  <si>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</si>
  <si>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</si>
  <si>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</si>
  <si>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</si>
  <si>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</si>
  <si>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</si>
  <si>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</si>
  <si>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</si>
  <si>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</si>
  <si>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</si>
  <si>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</si>
  <si>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</si>
  <si>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</si>
  <si>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</si>
  <si>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</si>
  <si>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</si>
  <si>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</si>
  <si>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</si>
  <si>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</si>
  <si>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</si>
  <si>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</si>
  <si>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</si>
  <si>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</si>
  <si>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</si>
  <si>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</si>
  <si>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</si>
  <si>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</si>
  <si>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</si>
  <si>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</si>
  <si>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</si>
  <si>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</si>
  <si>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</si>
  <si>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</si>
  <si>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</si>
  <si>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</si>
  <si>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</si>
  <si>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</si>
  <si>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</si>
  <si>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</si>
  <si>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</si>
  <si>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</si>
  <si>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</si>
  <si>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</si>
  <si>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</si>
  <si>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</si>
  <si>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</si>
  <si>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</si>
  <si>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</si>
  <si>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</si>
  <si>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</si>
  <si>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</si>
  <si>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</si>
  <si>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</si>
  <si>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</si>
  <si>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</si>
  <si>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</si>
  <si>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</si>
  <si>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</si>
  <si>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</si>
  <si>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</si>
  <si>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</si>
  <si>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</si>
  <si>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</si>
  <si>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</si>
  <si>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</si>
  <si>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</si>
  <si>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</si>
  <si>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</si>
  <si>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</si>
  <si>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</si>
  <si>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</si>
  <si>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</si>
  <si>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</si>
  <si>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</si>
  <si>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</si>
  <si>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</si>
  <si>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</si>
  <si>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</si>
  <si>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</si>
  <si>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</si>
  <si>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</si>
  <si>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</si>
  <si>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</si>
  <si>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</si>
  <si>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</si>
  <si>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</si>
  <si>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</si>
  <si>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</si>
  <si>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</si>
  <si>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</si>
  <si>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</si>
  <si>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</si>
  <si>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</si>
  <si>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</si>
  <si>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</si>
  <si>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</si>
  <si>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</si>
  <si>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</si>
  <si>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</si>
  <si>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</si>
  <si>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</si>
  <si>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</si>
  <si>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</si>
  <si>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</si>
  <si>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</si>
  <si>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</si>
  <si>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</si>
  <si>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</si>
  <si>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</si>
  <si>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</si>
  <si>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</si>
  <si>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</si>
  <si>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</si>
  <si>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</si>
  <si>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</si>
  <si>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</si>
  <si>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</si>
  <si>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</si>
  <si>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</si>
  <si>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</si>
  <si>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</si>
  <si>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</si>
  <si>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</si>
  <si>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</si>
  <si>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</si>
  <si>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</si>
  <si>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</si>
  <si>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</si>
  <si>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</si>
  <si>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</si>
  <si>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</si>
  <si>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</si>
  <si>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</si>
  <si>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</si>
  <si>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</si>
  <si>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</si>
  <si>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</si>
  <si>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</si>
  <si>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</si>
  <si>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</si>
  <si>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</si>
  <si>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</si>
  <si>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</si>
  <si>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</si>
  <si>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</si>
  <si>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</si>
  <si>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</si>
  <si>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</si>
  <si>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</si>
  <si>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</si>
  <si>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</si>
  <si>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</si>
  <si>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</si>
  <si>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</si>
  <si>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</si>
  <si>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</si>
  <si>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</si>
  <si>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</si>
  <si>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</si>
  <si>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</si>
  <si>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</si>
  <si>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</si>
  <si>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</si>
  <si>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</si>
  <si>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</si>
  <si>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</si>
  <si>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</si>
  <si>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</si>
  <si>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</si>
  <si>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</si>
  <si>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</si>
  <si>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</si>
  <si>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</si>
  <si>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</si>
  <si>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</si>
  <si>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</si>
  <si>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</si>
  <si>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</si>
  <si>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</si>
  <si>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</si>
  <si>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</si>
  <si>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</si>
  <si>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</si>
  <si>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</si>
  <si>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</si>
  <si>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</si>
  <si>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</si>
  <si>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</si>
  <si>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</si>
  <si>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</si>
  <si>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</si>
  <si>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</si>
  <si>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</si>
  <si>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</si>
  <si>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</si>
  <si>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</si>
  <si>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</si>
  <si>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</si>
  <si>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</si>
  <si>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</si>
  <si>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</si>
  <si>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</si>
  <si>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</si>
  <si>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</si>
  <si>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</si>
  <si>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</si>
  <si>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</si>
  <si>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</si>
  <si>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</si>
  <si>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</si>
  <si>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</si>
  <si>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</si>
  <si>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</si>
  <si>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</si>
  <si>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</si>
  <si>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</si>
  <si>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</si>
  <si>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</si>
  <si>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</si>
  <si>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</si>
  <si>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</si>
  <si>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</si>
  <si>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</si>
  <si>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</si>
  <si>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</si>
  <si>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</si>
  <si>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</si>
  <si>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</si>
  <si>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</si>
  <si>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</si>
  <si>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</si>
  <si>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</si>
  <si>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</si>
  <si>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</si>
  <si>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</si>
  <si>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</si>
  <si>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</si>
  <si>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</si>
  <si>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</si>
  <si>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</si>
  <si>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</si>
  <si>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</si>
  <si>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</si>
  <si>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</si>
  <si>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</si>
  <si>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</si>
  <si>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</si>
  <si>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</si>
  <si>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</si>
  <si>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</si>
  <si>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</si>
  <si>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</si>
  <si>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</si>
  <si>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</si>
  <si>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</si>
  <si>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</si>
  <si>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</si>
  <si>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</si>
  <si>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</si>
  <si>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</si>
  <si>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</si>
  <si>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</si>
  <si>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</si>
  <si>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</si>
  <si>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</si>
  <si>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</si>
  <si>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</si>
  <si>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</si>
  <si>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</si>
  <si>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</si>
  <si>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</si>
  <si>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</si>
  <si>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</si>
  <si>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</si>
  <si>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</si>
  <si>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</si>
  <si>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</si>
  <si>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</si>
  <si>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</si>
  <si>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</si>
  <si>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</si>
  <si>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</si>
  <si>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</si>
  <si>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</si>
  <si>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</si>
  <si>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</si>
  <si>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</si>
  <si>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</si>
  <si>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</si>
  <si>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</si>
  <si>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</si>
  <si>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</si>
  <si>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</si>
  <si>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</si>
  <si>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</si>
  <si>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</si>
  <si>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</si>
  <si>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</si>
  <si>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</si>
  <si>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</si>
  <si>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</si>
  <si>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</si>
  <si>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</si>
  <si>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</si>
  <si>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</si>
  <si>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</si>
  <si>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</si>
  <si>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</si>
  <si>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</si>
  <si>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</si>
  <si>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</si>
  <si>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</si>
  <si>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</si>
  <si>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</si>
  <si>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</si>
  <si>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</si>
  <si>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</si>
  <si>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</si>
  <si>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</si>
  <si>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</si>
  <si>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</si>
  <si>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</si>
  <si>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</si>
  <si>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</si>
  <si>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</si>
  <si>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</si>
  <si>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</si>
  <si>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</si>
  <si>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</si>
  <si>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</si>
  <si>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</si>
  <si>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</si>
  <si>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</si>
  <si>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</si>
  <si>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</si>
  <si>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</si>
  <si>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</si>
  <si>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</si>
  <si>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</si>
  <si>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</si>
  <si>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</si>
  <si>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</si>
  <si>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</si>
  <si>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</si>
  <si>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</si>
  <si>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</si>
  <si>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</si>
  <si>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</si>
  <si>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</si>
  <si>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</si>
  <si>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</si>
  <si>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</si>
  <si>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</si>
  <si>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</si>
  <si>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</si>
  <si>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</si>
  <si>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</si>
  <si>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</si>
  <si>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</si>
  <si>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</si>
  <si>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</si>
  <si>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</si>
  <si>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</si>
  <si>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</si>
  <si>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</si>
  <si>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</si>
  <si>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</si>
  <si>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</si>
  <si>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</si>
  <si>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</si>
  <si>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</si>
  <si>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</si>
  <si>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</si>
  <si>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</si>
  <si>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</si>
  <si>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</si>
  <si>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</si>
  <si>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</si>
  <si>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</si>
  <si>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</si>
  <si>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</si>
  <si>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</si>
  <si>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</si>
  <si>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</si>
  <si>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</si>
  <si>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</si>
  <si>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</si>
  <si>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</si>
  <si>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</si>
  <si>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</si>
  <si>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</si>
  <si>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</si>
  <si>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</si>
  <si>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</si>
  <si>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</si>
  <si>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</si>
  <si>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</si>
  <si>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</si>
  <si>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</si>
  <si>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</si>
  <si>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</si>
  <si>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</si>
  <si>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</si>
  <si>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</si>
  <si>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</si>
  <si>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</si>
  <si>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</si>
  <si>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</si>
  <si>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</si>
  <si>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</si>
  <si>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</si>
  <si>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</si>
  <si>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</si>
  <si>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</si>
  <si>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</si>
  <si>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</si>
  <si>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</si>
  <si>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</si>
  <si>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</si>
  <si>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</si>
  <si>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</si>
  <si>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</si>
  <si>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</si>
  <si>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</si>
  <si>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</si>
  <si>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</si>
  <si>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</si>
  <si>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</si>
  <si>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</si>
  <si>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</si>
  <si>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</si>
  <si>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</si>
  <si>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</si>
  <si>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</si>
  <si>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</si>
  <si>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</si>
  <si>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</si>
  <si>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</si>
  <si>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</si>
  <si>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</si>
  <si>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</si>
  <si>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</si>
  <si>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</si>
  <si>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</si>
  <si>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</si>
  <si>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</si>
  <si>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</si>
  <si>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</si>
  <si>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</si>
  <si>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</si>
  <si>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</si>
  <si>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</si>
  <si>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</si>
  <si>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</si>
  <si>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</si>
  <si>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</si>
  <si>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</si>
  <si>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</si>
  <si>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</si>
  <si>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</si>
  <si>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</si>
  <si>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</si>
  <si>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</si>
  <si>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</si>
  <si>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</si>
  <si>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</si>
  <si>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</si>
  <si>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</si>
  <si>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</si>
  <si>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</si>
  <si>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</si>
  <si>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</si>
  <si>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</si>
  <si>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</si>
  <si>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</si>
  <si>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</si>
  <si>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</si>
  <si>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</si>
  <si>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</si>
  <si>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</si>
  <si>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</si>
  <si>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</si>
  <si>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</si>
  <si>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</si>
  <si>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</si>
  <si>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</si>
  <si>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</si>
  <si>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</si>
  <si>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</si>
  <si>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</si>
  <si>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</si>
  <si>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</si>
  <si>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</si>
  <si>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</si>
  <si>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</si>
  <si>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</si>
  <si>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</si>
  <si>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</si>
  <si>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</si>
  <si>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</si>
  <si>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</si>
  <si>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</si>
  <si>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</si>
  <si>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</si>
  <si>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</si>
  <si>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</si>
  <si>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</si>
  <si>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</si>
  <si>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</si>
  <si>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</si>
  <si>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</si>
  <si>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</si>
  <si>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</si>
  <si>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</si>
  <si>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</si>
  <si>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</si>
  <si>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</si>
  <si>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</si>
  <si>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</si>
  <si>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</si>
  <si>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</si>
  <si>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</si>
  <si>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</si>
  <si>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</si>
  <si>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</si>
  <si>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</si>
  <si>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</si>
  <si>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</si>
  <si>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</si>
  <si>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</si>
  <si>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</si>
  <si>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</si>
  <si>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</si>
  <si>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</si>
  <si>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</si>
  <si>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</si>
  <si>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</si>
  <si>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</si>
  <si>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</si>
  <si>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</si>
  <si>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</si>
  <si>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</si>
  <si>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</si>
  <si>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</si>
  <si>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</si>
  <si>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</si>
  <si>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</si>
  <si>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</si>
  <si>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</si>
  <si>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</si>
  <si>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</si>
  <si>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</si>
  <si>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</si>
  <si>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</si>
  <si>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</si>
  <si>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</si>
  <si>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</si>
  <si>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</si>
  <si>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</si>
  <si>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</si>
  <si>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</si>
  <si>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</si>
  <si>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</si>
  <si>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</si>
  <si>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</si>
  <si>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</si>
  <si>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</si>
  <si>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</si>
  <si>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</si>
  <si>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</si>
  <si>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</si>
  <si>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</si>
  <si>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</si>
  <si>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</si>
  <si>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</si>
  <si>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</si>
  <si>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</si>
  <si>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</si>
  <si>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</si>
  <si>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</si>
  <si>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</si>
  <si>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</si>
  <si>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</si>
  <si>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</si>
  <si>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</si>
  <si>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</si>
  <si>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</si>
  <si>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</si>
  <si>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</si>
  <si>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</si>
  <si>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</si>
  <si>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</si>
  <si>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</si>
  <si>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</si>
  <si>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</si>
  <si>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</si>
  <si>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</si>
  <si>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</si>
  <si>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</si>
  <si>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</si>
  <si>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</si>
  <si>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</si>
  <si>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</si>
  <si>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</si>
  <si>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</si>
  <si>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</si>
  <si>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</si>
  <si>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</si>
  <si>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</si>
  <si>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</si>
  <si>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</si>
  <si>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</si>
  <si>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</si>
  <si>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</si>
  <si>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</si>
  <si>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</si>
  <si>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</si>
  <si>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</si>
  <si>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</si>
  <si>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</si>
  <si>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</si>
  <si>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</si>
  <si>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</si>
  <si>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</si>
  <si>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</si>
  <si>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</si>
  <si>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</si>
  <si>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</si>
  <si>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</si>
  <si>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</si>
  <si>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</si>
  <si>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</si>
  <si>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</si>
  <si>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</si>
  <si>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</si>
  <si>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</si>
  <si>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</si>
  <si>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</si>
  <si>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</si>
  <si>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</si>
  <si>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</si>
  <si>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</si>
  <si>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</si>
  <si>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</si>
  <si>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</si>
  <si>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</si>
  <si>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</si>
  <si>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</si>
  <si>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</si>
  <si>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</si>
  <si>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</si>
  <si>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</si>
  <si>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</si>
  <si>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</si>
  <si>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</si>
  <si>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</si>
  <si>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</si>
  <si>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</si>
  <si>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</si>
  <si>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</si>
  <si>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</si>
  <si>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</si>
  <si>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</si>
  <si>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</si>
  <si>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</si>
  <si>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</si>
  <si>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</si>
  <si>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</si>
  <si>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</si>
  <si>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</si>
  <si>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</si>
  <si>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</si>
  <si>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</si>
  <si>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</si>
  <si>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</si>
  <si>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</si>
  <si>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</si>
  <si>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</si>
  <si>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</si>
  <si>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</si>
  <si>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</si>
  <si>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</si>
  <si>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</si>
  <si>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</si>
  <si>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</si>
  <si>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</si>
  <si>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</si>
  <si>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</si>
  <si>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</si>
  <si>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</si>
  <si>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</si>
  <si>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</si>
  <si>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</si>
  <si>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</si>
  <si>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</si>
  <si>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</si>
  <si>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</si>
  <si>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</si>
  <si>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</si>
  <si>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</si>
  <si>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</si>
  <si>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</si>
  <si>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</si>
  <si>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</si>
  <si>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</si>
  <si>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</si>
  <si>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</si>
  <si>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</si>
  <si>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</si>
  <si>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</si>
  <si>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</si>
  <si>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</si>
  <si>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</si>
  <si>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</si>
  <si>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</si>
  <si>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</si>
  <si>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</si>
  <si>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</si>
  <si>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</si>
  <si>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</si>
  <si>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</si>
  <si>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</si>
  <si>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</si>
  <si>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</si>
  <si>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</si>
  <si>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</si>
  <si>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</si>
  <si>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</si>
  <si>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</si>
  <si>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</si>
  <si>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</si>
  <si>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</si>
  <si>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</si>
  <si>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</si>
  <si>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</si>
  <si>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</si>
  <si>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</si>
  <si>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</si>
  <si>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</si>
  <si>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</si>
  <si>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</si>
  <si>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</si>
  <si>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</si>
  <si>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</si>
  <si>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</si>
  <si>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</si>
  <si>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</si>
  <si>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</si>
  <si>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</si>
  <si>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</si>
  <si>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</si>
  <si>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</si>
  <si>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</si>
  <si>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</si>
  <si>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</si>
  <si>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</si>
  <si>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</si>
  <si>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</si>
  <si>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</si>
  <si>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</si>
  <si>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</si>
  <si>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</si>
  <si>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</si>
  <si>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</si>
  <si>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</si>
  <si>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</si>
  <si>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</si>
  <si>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</si>
  <si>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</si>
  <si>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</si>
  <si>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</si>
  <si>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</si>
  <si>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</si>
  <si>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</si>
  <si>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</si>
  <si>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</si>
  <si>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</si>
  <si>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</si>
  <si>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</si>
  <si>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</si>
  <si>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</si>
  <si>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</si>
  <si>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</si>
  <si>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</si>
  <si>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</si>
  <si>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</si>
  <si>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</si>
  <si>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</si>
  <si>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</si>
  <si>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</si>
  <si>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</si>
  <si>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</si>
  <si>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</si>
  <si>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</si>
  <si>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</si>
  <si>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</si>
  <si>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</si>
  <si>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</si>
  <si>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</si>
  <si>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</si>
  <si>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</si>
  <si>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</si>
  <si>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</si>
  <si>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</si>
  <si>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</si>
  <si>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</si>
  <si>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</si>
  <si>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</si>
  <si>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</si>
  <si>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</si>
  <si>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</si>
  <si>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</si>
  <si>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</si>
  <si>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</si>
  <si>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</si>
  <si>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</si>
  <si>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</si>
  <si>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</si>
  <si>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</si>
  <si>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</si>
  <si>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</si>
  <si>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</si>
  <si>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</si>
  <si>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</si>
  <si>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</si>
  <si>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</si>
  <si>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</si>
  <si>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</si>
  <si>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</si>
  <si>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</si>
  <si>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</si>
  <si>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</si>
  <si>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</si>
  <si>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</si>
  <si>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</si>
  <si>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</si>
  <si>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</si>
  <si>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</si>
  <si>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</si>
  <si>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</si>
  <si>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</si>
  <si>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</si>
  <si>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</si>
  <si>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</si>
  <si>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</si>
  <si>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</si>
  <si>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</si>
  <si>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</si>
  <si>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</si>
  <si>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</si>
  <si>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</si>
  <si>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</si>
  <si>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</si>
  <si>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</si>
  <si>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</si>
  <si>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</si>
  <si>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</si>
  <si>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</si>
  <si>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</si>
  <si>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</si>
  <si>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</si>
  <si>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</si>
  <si>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</si>
  <si>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</si>
  <si>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</si>
  <si>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</si>
  <si>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</si>
  <si>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</si>
  <si>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</si>
  <si>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</si>
  <si>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</si>
  <si>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</si>
  <si>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</si>
  <si>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</si>
  <si>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</si>
  <si>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</si>
  <si>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</si>
  <si>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</si>
  <si>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</si>
  <si>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</si>
  <si>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</si>
  <si>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</si>
  <si>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</si>
  <si>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</si>
  <si>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</si>
  <si>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</si>
  <si>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</si>
  <si>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</si>
  <si>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</si>
  <si>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</si>
  <si>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</si>
  <si>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</si>
  <si>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</si>
  <si>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</si>
  <si>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</si>
  <si>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</si>
  <si>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</si>
  <si>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</si>
  <si>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</si>
  <si>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</si>
  <si>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</si>
  <si>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</si>
  <si>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</si>
  <si>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</si>
  <si>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</si>
  <si>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</si>
  <si>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</si>
  <si>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</si>
  <si>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</si>
  <si>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</si>
  <si>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</si>
  <si>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</si>
  <si>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</si>
  <si>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</si>
  <si>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</si>
  <si>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</si>
  <si>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</si>
  <si>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</si>
  <si>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</si>
  <si>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</si>
  <si>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</si>
  <si>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</si>
  <si>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</si>
  <si>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</si>
  <si>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</si>
  <si>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</si>
  <si>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</si>
  <si>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</si>
  <si>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</si>
  <si>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</si>
  <si>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</si>
  <si>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</si>
  <si>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</si>
  <si>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</si>
  <si>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</si>
  <si>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</si>
  <si>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</si>
  <si>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</si>
  <si>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</si>
  <si>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</si>
  <si>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</si>
  <si>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</si>
  <si>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</si>
  <si>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</si>
  <si>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</si>
  <si>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</si>
  <si>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</si>
  <si>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</si>
  <si>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</si>
  <si>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</si>
  <si>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</si>
  <si>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</si>
  <si>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</si>
  <si>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</si>
  <si>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</si>
  <si>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</si>
  <si>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</si>
  <si>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</si>
  <si>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</si>
  <si>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</si>
  <si>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</si>
  <si>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</si>
  <si>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</si>
  <si>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</si>
  <si>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</si>
  <si>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</si>
  <si>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</si>
  <si>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</si>
  <si>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</si>
  <si>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</si>
  <si>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</si>
  <si>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</si>
  <si>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</si>
  <si>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</si>
  <si>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</si>
  <si>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</si>
  <si>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</si>
  <si>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</si>
  <si>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</si>
  <si>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</si>
  <si>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</si>
  <si>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</si>
  <si>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</si>
  <si>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</si>
  <si>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</si>
  <si>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</si>
  <si>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</si>
  <si>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</si>
  <si>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</si>
  <si>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</si>
  <si>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</si>
  <si>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</si>
  <si>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</si>
  <si>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</si>
  <si>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</si>
  <si>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</si>
  <si>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</si>
  <si>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</si>
  <si>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</si>
  <si>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</si>
  <si>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</si>
  <si>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</si>
  <si>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</si>
  <si>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</si>
  <si>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</si>
  <si>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</si>
  <si>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</si>
  <si>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</si>
  <si>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</si>
  <si>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</si>
  <si>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</si>
  <si>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</si>
  <si>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</si>
  <si>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</si>
  <si>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</si>
  <si>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</si>
  <si>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</si>
  <si>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</si>
  <si>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</si>
  <si>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</si>
  <si>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</si>
  <si>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</si>
  <si>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</si>
  <si>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</si>
  <si>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</si>
  <si>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</si>
  <si>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</si>
  <si>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</si>
  <si>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</si>
  <si>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</si>
  <si>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</si>
  <si>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</si>
  <si>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</si>
  <si>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</si>
  <si>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</si>
  <si>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</si>
  <si>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</si>
  <si>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</si>
  <si>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</si>
  <si>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</si>
  <si>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</si>
  <si>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</si>
  <si>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</si>
  <si>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</si>
  <si>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</si>
  <si>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</si>
  <si>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</si>
  <si>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</si>
  <si>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</si>
  <si>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</si>
  <si>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</si>
  <si>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</si>
  <si>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</si>
  <si>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</si>
  <si>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</si>
  <si>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</si>
  <si>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</si>
  <si>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</si>
  <si>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</si>
  <si>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</si>
  <si>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</si>
  <si>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</si>
  <si>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</si>
  <si>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</si>
  <si>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</si>
  <si>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</si>
  <si>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</si>
  <si>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</si>
  <si>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</si>
  <si>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</si>
  <si>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</si>
  <si>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</si>
  <si>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</si>
  <si>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</si>
  <si>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</si>
  <si>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</si>
  <si>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</si>
  <si>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</si>
  <si>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</si>
  <si>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</si>
  <si>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</si>
  <si>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</si>
  <si>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</si>
  <si>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</si>
  <si>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</si>
  <si>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</si>
  <si>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</si>
  <si>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</si>
  <si>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</si>
  <si>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</si>
  <si>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</si>
  <si>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</si>
  <si>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</si>
  <si>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</si>
  <si>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</si>
  <si>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</si>
  <si>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</si>
  <si>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</si>
  <si>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</si>
  <si>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</si>
  <si>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</si>
  <si>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</si>
  <si>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</si>
  <si>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</si>
  <si>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</si>
  <si>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</si>
  <si>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</si>
  <si>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</si>
  <si>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</si>
  <si>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</si>
  <si>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</si>
  <si>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</si>
  <si>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</si>
  <si>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</si>
  <si>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</si>
  <si>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</si>
  <si>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</si>
  <si>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</si>
  <si>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</si>
  <si>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</si>
  <si>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</si>
  <si>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</si>
  <si>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</si>
  <si>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</si>
  <si>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</si>
  <si>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</si>
  <si>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</si>
  <si>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</si>
  <si>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</si>
  <si>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</si>
  <si>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</si>
  <si>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</si>
  <si>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</si>
  <si>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</si>
  <si>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</si>
  <si>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</si>
  <si>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</si>
  <si>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</si>
  <si>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</si>
  <si>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</si>
  <si>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</si>
  <si>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</si>
  <si>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</si>
  <si>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</si>
  <si>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</si>
  <si>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</si>
  <si>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</si>
  <si>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</si>
  <si>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</si>
  <si>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</si>
  <si>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</si>
  <si>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</si>
  <si>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</si>
  <si>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</si>
  <si>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</si>
  <si>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</si>
  <si>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</si>
  <si>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</si>
  <si>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</si>
  <si>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</si>
  <si>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</si>
  <si>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</si>
  <si>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</si>
  <si>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</si>
  <si>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</si>
  <si>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</si>
  <si>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</si>
  <si>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</si>
  <si>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</si>
  <si>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</si>
  <si>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</si>
  <si>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</si>
  <si>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</si>
  <si>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</si>
  <si>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</si>
  <si>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</si>
  <si>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</si>
  <si>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</si>
  <si>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</si>
  <si>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</si>
  <si>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</si>
  <si>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</si>
  <si>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</si>
  <si>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</si>
  <si>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</si>
  <si>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</si>
  <si>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</si>
  <si>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</si>
  <si>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</si>
  <si>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</si>
  <si>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</si>
  <si>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</si>
  <si>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</si>
  <si>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</si>
  <si>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</si>
  <si>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</si>
  <si>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</si>
  <si>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</si>
  <si>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</si>
  <si>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</si>
  <si>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</si>
  <si>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</si>
  <si>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</si>
  <si>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</si>
  <si>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</si>
  <si>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</si>
  <si>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</si>
  <si>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</si>
  <si>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</si>
  <si>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</si>
  <si>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</si>
  <si>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</si>
  <si>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</si>
  <si>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</si>
  <si>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</si>
  <si>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</si>
  <si>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</si>
  <si>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</si>
  <si>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</si>
  <si>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</si>
  <si>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</si>
  <si>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</si>
  <si>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</si>
  <si>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</si>
  <si>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</si>
  <si>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</si>
  <si>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</si>
  <si>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</si>
  <si>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</si>
  <si>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</si>
  <si>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</si>
  <si>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</si>
  <si>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</si>
  <si>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</si>
  <si>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</si>
  <si>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</si>
  <si>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</si>
  <si>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</si>
  <si>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</si>
  <si>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</si>
  <si>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</si>
  <si>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</si>
  <si>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</si>
  <si>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</si>
  <si>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</si>
  <si>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</si>
  <si>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</si>
  <si>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</si>
  <si>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</si>
  <si>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</si>
  <si>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</si>
  <si>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</si>
  <si>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</si>
  <si>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</si>
  <si>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</si>
  <si>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</si>
  <si>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</si>
  <si>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</si>
  <si>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</si>
  <si>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</si>
  <si>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</si>
  <si>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</si>
  <si>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</si>
  <si>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</si>
  <si>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</si>
  <si>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</si>
  <si>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</si>
  <si>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</si>
  <si>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</si>
  <si>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</si>
  <si>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</si>
  <si>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</si>
  <si>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</si>
  <si>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</si>
  <si>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</si>
  <si>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</si>
  <si>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</si>
  <si>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</si>
  <si>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</si>
  <si>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</si>
  <si>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</si>
  <si>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</si>
  <si>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</si>
  <si>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</si>
  <si>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</si>
  <si>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</si>
  <si>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</si>
  <si>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</si>
  <si>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</si>
  <si>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</si>
  <si>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</si>
  <si>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</si>
  <si>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</si>
  <si>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</si>
  <si>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</si>
  <si>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</si>
  <si>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</si>
  <si>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</si>
  <si>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</si>
  <si>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</si>
  <si>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</si>
  <si>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</si>
  <si>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</si>
  <si>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</si>
  <si>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</si>
  <si>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</si>
  <si>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</si>
  <si>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</si>
  <si>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</si>
  <si>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</si>
  <si>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</si>
  <si>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</si>
  <si>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</si>
  <si>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</si>
  <si>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</si>
  <si>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</si>
  <si>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</si>
  <si>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</si>
  <si>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</si>
  <si>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</si>
  <si>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</si>
  <si>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</si>
  <si>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</si>
  <si>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</si>
  <si>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</si>
  <si>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</si>
  <si>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</si>
  <si>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</si>
  <si>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</si>
  <si>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</si>
  <si>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</si>
  <si>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</si>
  <si>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</si>
  <si>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</si>
  <si>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</si>
  <si>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</si>
  <si>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</si>
  <si>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</si>
  <si>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</si>
  <si>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</si>
  <si>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</si>
  <si>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</si>
  <si>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</si>
  <si>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</si>
  <si>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</si>
  <si>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</si>
  <si>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</si>
  <si>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</si>
  <si>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</si>
  <si>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</si>
  <si>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</si>
  <si>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</si>
  <si>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</si>
  <si>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</si>
  <si>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</si>
  <si>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</si>
  <si>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</si>
  <si>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</si>
  <si>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</si>
  <si>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</si>
  <si>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</si>
  <si>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</si>
  <si>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</si>
  <si>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</si>
  <si>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</si>
  <si>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</si>
  <si>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</si>
  <si>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</si>
  <si>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</si>
  <si>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</si>
  <si>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</si>
  <si>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</si>
  <si>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</si>
  <si>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</si>
  <si>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</si>
  <si>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</si>
  <si>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</si>
  <si>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</si>
  <si>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</si>
  <si>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</si>
  <si>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</si>
  <si>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</si>
  <si>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</si>
  <si>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</si>
  <si>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</si>
  <si>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</si>
  <si>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</si>
  <si>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</si>
  <si>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</si>
  <si>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</si>
  <si>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</si>
  <si>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</si>
  <si>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</si>
  <si>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</si>
  <si>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</si>
  <si>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</si>
  <si>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</si>
  <si>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</si>
  <si>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</si>
  <si>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</si>
  <si>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</si>
  <si>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</si>
  <si>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</si>
  <si>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</si>
  <si>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</si>
  <si>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</si>
  <si>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</si>
  <si>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</si>
  <si>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</si>
  <si>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</si>
  <si>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</si>
  <si>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</si>
  <si>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</si>
  <si>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</si>
  <si>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</si>
  <si>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</si>
  <si>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</si>
  <si>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</si>
  <si>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</si>
  <si>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</si>
  <si>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</si>
  <si>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</si>
  <si>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</si>
  <si>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</si>
  <si>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</si>
  <si>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</si>
  <si>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</si>
  <si>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</si>
  <si>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</si>
  <si>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</si>
  <si>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</si>
  <si>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</si>
  <si>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</si>
  <si>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</si>
  <si>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</si>
  <si>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</si>
  <si>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</si>
  <si>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</si>
  <si>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</si>
  <si>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</si>
  <si>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</si>
  <si>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</si>
  <si>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</si>
  <si>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</si>
  <si>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</si>
  <si>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</si>
  <si>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</si>
  <si>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</si>
  <si>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</si>
  <si>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</si>
  <si>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</si>
  <si>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</si>
  <si>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</si>
  <si>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</si>
  <si>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</si>
  <si>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</si>
  <si>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</si>
  <si>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</si>
  <si>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</si>
  <si>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</si>
  <si>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</si>
  <si>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</si>
  <si>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</si>
  <si>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</si>
  <si>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</si>
  <si>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</si>
  <si>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</si>
  <si>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</si>
  <si>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</si>
  <si>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</si>
  <si>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</si>
  <si>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</si>
  <si>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</si>
  <si>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</si>
  <si>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</si>
  <si>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</si>
  <si>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</si>
  <si>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</si>
  <si>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</si>
  <si>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</si>
  <si>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</si>
  <si>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</si>
  <si>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</si>
  <si>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</si>
  <si>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</si>
  <si>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</si>
  <si>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</si>
  <si>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</si>
  <si>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</si>
  <si>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</si>
  <si>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</si>
  <si>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</si>
  <si>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</si>
  <si>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</si>
  <si>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</si>
  <si>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</si>
  <si>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</si>
  <si>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</si>
  <si>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</si>
  <si>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</si>
  <si>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</si>
  <si>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</si>
  <si>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</si>
  <si>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</si>
  <si>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</si>
  <si>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</si>
  <si>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</si>
  <si>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</si>
  <si>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</si>
  <si>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</si>
  <si>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</si>
  <si>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</si>
  <si>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</si>
  <si>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</si>
  <si>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</si>
  <si>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</si>
  <si>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</si>
  <si>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</si>
  <si>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</si>
  <si>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</si>
  <si>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</si>
  <si>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</si>
  <si>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</si>
  <si>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</si>
  <si>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</si>
  <si>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</si>
  <si>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</si>
  <si>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</si>
  <si>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</si>
  <si>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</si>
  <si>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</si>
  <si>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</si>
  <si>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</si>
  <si>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</si>
  <si>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</si>
  <si>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</si>
  <si>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</si>
  <si>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</si>
  <si>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</si>
  <si>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</si>
  <si>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</si>
  <si>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</si>
  <si>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</si>
  <si>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</si>
  <si>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</si>
  <si>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</si>
  <si>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</si>
  <si>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</si>
  <si>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</si>
  <si>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</si>
  <si>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</si>
  <si>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</si>
  <si>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</si>
  <si>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</si>
  <si>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</si>
  <si>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</si>
  <si>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</si>
  <si>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</si>
  <si>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</si>
  <si>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</si>
  <si>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</si>
  <si>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</si>
  <si>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</si>
  <si>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</si>
  <si>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</si>
  <si>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</si>
  <si>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</si>
  <si>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</si>
  <si>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</si>
  <si>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</si>
  <si>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</si>
  <si>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</si>
  <si>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</si>
  <si>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</si>
  <si>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</si>
  <si>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</si>
  <si>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</si>
  <si>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</si>
  <si>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</si>
  <si>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</si>
  <si>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</si>
  <si>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</si>
  <si>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</si>
  <si>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</si>
  <si>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</si>
  <si>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</si>
  <si>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</si>
  <si>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</si>
  <si>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</si>
  <si>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</si>
  <si>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</si>
  <si>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</si>
  <si>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</si>
  <si>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</si>
  <si>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</si>
  <si>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</si>
  <si>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</si>
  <si>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</si>
  <si>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</si>
  <si>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</si>
  <si>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</si>
  <si>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</si>
  <si>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</si>
  <si>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</si>
  <si>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</si>
  <si>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</si>
  <si>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</si>
  <si>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</si>
  <si>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</si>
  <si>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</si>
  <si>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</si>
  <si>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</si>
  <si>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</si>
  <si>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</si>
  <si>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</si>
  <si>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</si>
  <si>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</si>
  <si>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</si>
  <si>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</si>
  <si>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</si>
  <si>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</si>
  <si>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</si>
  <si>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</si>
  <si>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</si>
  <si>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</si>
  <si>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</si>
  <si>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</si>
  <si>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</si>
  <si>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</si>
  <si>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</si>
  <si>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</si>
  <si>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</si>
  <si>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</si>
  <si>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</si>
  <si>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</si>
  <si>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</si>
  <si>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</si>
  <si>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</si>
  <si>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</si>
  <si>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</si>
  <si>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</si>
  <si>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</si>
  <si>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</si>
  <si>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</si>
  <si>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</si>
  <si>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</si>
  <si>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</si>
  <si>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</si>
  <si>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</si>
  <si>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</si>
  <si>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</si>
  <si>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</si>
  <si>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</si>
  <si>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</si>
  <si>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</si>
  <si>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</si>
  <si>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</si>
  <si>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</si>
  <si>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</si>
  <si>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</si>
  <si>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</si>
  <si>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</si>
  <si>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</si>
  <si>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</si>
  <si>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</si>
  <si>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</si>
  <si>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</si>
  <si>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</si>
  <si>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</si>
  <si>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</si>
  <si>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</si>
  <si>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</si>
  <si>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</si>
  <si>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</si>
  <si>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</si>
  <si>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</si>
  <si>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</si>
  <si>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</si>
  <si>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</si>
  <si>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</si>
  <si>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</si>
  <si>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</si>
  <si>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</si>
  <si>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</si>
  <si>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</si>
  <si>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</si>
  <si>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</si>
  <si>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</si>
  <si>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</si>
  <si>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</si>
  <si>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</si>
  <si>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</si>
  <si>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</si>
  <si>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</si>
  <si>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</si>
  <si>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</si>
  <si>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</si>
  <si>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</si>
  <si>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</si>
  <si>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</si>
  <si>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</si>
  <si>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</si>
  <si>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</si>
  <si>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</si>
  <si>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</si>
  <si>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</si>
  <si>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</si>
  <si>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</si>
  <si>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</si>
  <si>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</si>
  <si>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</si>
  <si>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</si>
  <si>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</si>
  <si>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</si>
  <si>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</si>
  <si>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</si>
  <si>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</si>
  <si>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</si>
  <si>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</si>
  <si>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</si>
  <si>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</si>
  <si>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</si>
  <si>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</si>
  <si>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</si>
  <si>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</si>
  <si>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</si>
  <si>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</si>
  <si>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</si>
  <si>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</si>
  <si>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</si>
  <si>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</si>
  <si>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</si>
  <si>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</si>
  <si>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</si>
  <si>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</si>
  <si>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</si>
  <si>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</si>
  <si>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</si>
  <si>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</si>
  <si>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</si>
  <si>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</si>
  <si>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</si>
  <si>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</si>
  <si>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</si>
  <si>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</si>
  <si>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</si>
  <si>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</si>
  <si>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</si>
  <si>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</si>
  <si>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</si>
  <si>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</si>
  <si>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</si>
  <si>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</si>
  <si>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</si>
  <si>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</si>
  <si>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</si>
  <si>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</si>
  <si>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</si>
  <si>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</si>
  <si>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</si>
  <si>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</si>
  <si>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</si>
  <si>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</si>
  <si>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</si>
  <si>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</si>
  <si>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</si>
  <si>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</si>
  <si>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</si>
  <si>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</si>
  <si>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</si>
  <si>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</si>
  <si>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</si>
  <si>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</si>
  <si>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</si>
  <si>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</si>
  <si>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</si>
  <si>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</si>
  <si>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</si>
  <si>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</si>
  <si>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</si>
  <si>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</si>
  <si>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</si>
  <si>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</si>
  <si>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</si>
  <si>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</si>
  <si>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</si>
  <si>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</si>
  <si>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</si>
  <si>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</si>
  <si>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</si>
  <si>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</si>
  <si>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</si>
  <si>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</si>
  <si>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</si>
  <si>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</si>
  <si>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</si>
  <si>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</si>
  <si>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</si>
  <si>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</si>
  <si>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</si>
  <si>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</si>
  <si>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</si>
  <si>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</si>
  <si>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</si>
  <si>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</si>
  <si>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</si>
  <si>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</si>
  <si>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</si>
  <si>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</si>
  <si>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</si>
  <si>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</si>
  <si>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</si>
  <si>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</si>
  <si>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</si>
  <si>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</si>
  <si>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</si>
  <si>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</si>
  <si>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</si>
  <si>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</si>
  <si>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</si>
  <si>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</si>
  <si>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</si>
  <si>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</si>
  <si>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</si>
  <si>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</si>
  <si>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</si>
  <si>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</si>
  <si>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</si>
  <si>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</si>
  <si>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</si>
  <si>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</si>
  <si>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</si>
  <si>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</si>
  <si>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</si>
  <si>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</si>
  <si>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</si>
  <si>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</si>
  <si>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</si>
  <si>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</si>
  <si>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</si>
  <si>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</si>
  <si>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</si>
  <si>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</si>
  <si>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</si>
  <si>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</si>
  <si>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</si>
  <si>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</si>
  <si>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</si>
  <si>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</si>
  <si>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</si>
  <si>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</si>
  <si>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</si>
  <si>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</si>
  <si>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</si>
  <si>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</si>
  <si>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</si>
  <si>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</si>
  <si>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</si>
  <si>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</si>
  <si>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</si>
  <si>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</si>
  <si>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</si>
  <si>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</si>
  <si>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</si>
  <si>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</si>
  <si>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</si>
  <si>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</si>
  <si>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</si>
  <si>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</si>
  <si>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</si>
  <si>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</si>
  <si>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</si>
  <si>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</si>
  <si>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</si>
  <si>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</si>
  <si>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</si>
  <si>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</si>
  <si>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</si>
  <si>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</si>
  <si>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</si>
  <si>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</si>
  <si>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</si>
  <si>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</si>
  <si>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</si>
  <si>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</si>
  <si>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</si>
  <si>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</si>
  <si>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</si>
  <si>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</si>
  <si>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</si>
  <si>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</si>
  <si>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</si>
  <si>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</si>
  <si>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</si>
  <si>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</si>
  <si>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</si>
  <si>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</si>
  <si>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</si>
  <si>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</si>
  <si>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</si>
  <si>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</si>
  <si>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</si>
  <si>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</si>
  <si>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</si>
  <si>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</si>
  <si>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</si>
  <si>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</si>
  <si>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</si>
  <si>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</si>
  <si>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</si>
  <si>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</si>
  <si>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</si>
  <si>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</si>
  <si>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</si>
  <si>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</si>
  <si>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</si>
  <si>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</si>
  <si>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</si>
  <si>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</si>
  <si>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</si>
  <si>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</si>
  <si>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</si>
  <si>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</si>
  <si>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</si>
  <si>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</si>
  <si>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</si>
  <si>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</si>
  <si>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</si>
  <si>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</si>
  <si>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</si>
  <si>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</si>
  <si>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</si>
  <si>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</si>
  <si>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</si>
  <si>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</si>
  <si>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</si>
  <si>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</si>
  <si>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</si>
  <si>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</si>
  <si>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</si>
  <si>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</si>
  <si>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</si>
  <si>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</si>
  <si>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</si>
  <si>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</si>
  <si>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</si>
  <si>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</si>
  <si>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</si>
  <si>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</si>
  <si>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</si>
  <si>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</si>
  <si>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</si>
  <si>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</si>
  <si>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</si>
  <si>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</si>
  <si>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</si>
  <si>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</si>
  <si>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</si>
  <si>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</si>
  <si>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</si>
  <si>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</si>
  <si>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</si>
  <si>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</si>
  <si>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</si>
  <si>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</si>
  <si>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</si>
  <si>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</si>
  <si>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</si>
  <si>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</si>
  <si>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</si>
  <si>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</si>
  <si>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</si>
  <si>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</si>
  <si>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</si>
  <si>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</si>
  <si>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</si>
  <si>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</si>
  <si>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</si>
  <si>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</si>
  <si>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</si>
  <si>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</si>
  <si>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</si>
  <si>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</si>
  <si>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</si>
  <si>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</si>
  <si>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</si>
  <si>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</si>
  <si>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</si>
  <si>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</si>
  <si>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</si>
  <si>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</si>
  <si>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</si>
  <si>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</si>
  <si>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</si>
  <si>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</si>
  <si>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</si>
  <si>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</si>
  <si>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</si>
  <si>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</si>
  <si>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</si>
  <si>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</si>
  <si>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</si>
  <si>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</si>
  <si>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</si>
  <si>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</si>
  <si>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</si>
  <si>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</si>
  <si>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</si>
  <si>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</si>
  <si>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</si>
  <si>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</si>
  <si>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</si>
  <si>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</si>
  <si>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</si>
  <si>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</si>
  <si>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</si>
  <si>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</si>
  <si>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</si>
  <si>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</si>
  <si>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</si>
  <si>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</si>
  <si>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</si>
  <si>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</si>
  <si>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</si>
  <si>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</si>
  <si>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</si>
  <si>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</si>
  <si>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</si>
  <si>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</si>
  <si>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</si>
  <si>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</si>
  <si>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</si>
  <si>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</si>
  <si>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</si>
  <si>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</si>
  <si>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</si>
  <si>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</si>
  <si>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</si>
  <si>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</si>
  <si>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</si>
  <si>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</si>
  <si>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</si>
  <si>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</si>
  <si>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</si>
  <si>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</si>
  <si>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</si>
  <si>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</si>
  <si>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</si>
  <si>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</si>
  <si>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</si>
  <si>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</si>
  <si>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</si>
  <si>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</si>
  <si>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</si>
  <si>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</si>
  <si>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</si>
  <si>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</si>
  <si>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</si>
  <si>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</si>
  <si>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</si>
  <si>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</si>
  <si>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</si>
  <si>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</si>
  <si>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</si>
  <si>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</si>
  <si>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</si>
  <si>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</si>
  <si>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</si>
  <si>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</si>
  <si>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</si>
  <si>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</si>
  <si>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</si>
  <si>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</si>
  <si>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</si>
  <si>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</si>
  <si>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</si>
  <si>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</si>
  <si>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</si>
  <si>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</si>
  <si>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</si>
  <si>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</si>
  <si>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</si>
  <si>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</si>
  <si>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</si>
  <si>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</si>
  <si>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</si>
  <si>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</si>
  <si>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</si>
  <si>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</si>
  <si>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</si>
  <si>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</si>
  <si>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</si>
  <si>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</si>
  <si>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</si>
  <si>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</si>
  <si>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</si>
  <si>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</si>
  <si>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</si>
  <si>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</si>
  <si>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</si>
  <si>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</si>
  <si>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</si>
  <si>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</si>
  <si>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</si>
  <si>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</si>
  <si>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</si>
  <si>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</si>
  <si>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</si>
  <si>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</si>
  <si>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</si>
  <si>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</si>
  <si>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</si>
  <si>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</si>
  <si>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</si>
  <si>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</si>
  <si>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</si>
  <si>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</si>
  <si>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</si>
  <si>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</si>
  <si>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</si>
  <si>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</si>
  <si>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</si>
  <si>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</si>
  <si>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</si>
  <si>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</si>
  <si>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</si>
  <si>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</si>
  <si>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</si>
  <si>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</si>
  <si>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</si>
  <si>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</si>
  <si>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</si>
  <si>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</si>
  <si>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</si>
  <si>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</si>
  <si>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</si>
  <si>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</si>
  <si>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</si>
  <si>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</si>
  <si>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</si>
  <si>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</si>
  <si>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</si>
  <si>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</si>
  <si>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</si>
  <si>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</si>
  <si>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</si>
  <si>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</si>
  <si>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</si>
  <si>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</si>
  <si>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</si>
  <si>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</si>
  <si>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</si>
  <si>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</si>
  <si>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</si>
  <si>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</si>
  <si>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</si>
  <si>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</si>
  <si>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</si>
  <si>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</si>
  <si>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</si>
  <si>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</si>
  <si>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</si>
  <si>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</si>
  <si>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</si>
  <si>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</si>
  <si>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</si>
  <si>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</si>
  <si>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</si>
  <si>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</si>
  <si>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</si>
  <si>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</si>
  <si>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</si>
  <si>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</si>
  <si>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</si>
  <si>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</si>
  <si>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</si>
  <si>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</si>
  <si>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</si>
  <si>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</si>
  <si>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</si>
  <si>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</si>
  <si>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</si>
  <si>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</si>
  <si>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</si>
  <si>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</si>
  <si>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</si>
  <si>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</si>
  <si>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</si>
  <si>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</si>
  <si>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</si>
  <si>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</si>
  <si>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</si>
  <si>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</si>
  <si>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</si>
  <si>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</si>
  <si>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</si>
  <si>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</si>
  <si>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</si>
  <si>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</si>
  <si>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</si>
  <si>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</si>
  <si>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</si>
  <si>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</si>
  <si>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</si>
  <si>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</si>
  <si>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</si>
  <si>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</si>
  <si>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</si>
  <si>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</si>
  <si>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</si>
  <si>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</si>
  <si>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</si>
  <si>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</si>
  <si>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</si>
  <si>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</si>
  <si>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</si>
  <si>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</si>
  <si>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</si>
  <si>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</si>
  <si>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</si>
  <si>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</si>
  <si>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</si>
  <si>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</si>
  <si>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</si>
  <si>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</si>
  <si>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</si>
  <si>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</si>
  <si>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</si>
  <si>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</si>
  <si>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</si>
  <si>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</si>
  <si>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</si>
  <si>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</si>
  <si>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</si>
  <si>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</si>
  <si>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</si>
  <si>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</si>
  <si>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</si>
  <si>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</si>
  <si>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</si>
  <si>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</si>
  <si>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</si>
  <si>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</si>
  <si>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</si>
  <si>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</si>
  <si>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</si>
  <si>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</si>
  <si>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</si>
  <si>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</si>
  <si>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</si>
  <si>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</si>
  <si>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</si>
  <si>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</si>
  <si>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</si>
  <si>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</si>
  <si>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</si>
  <si>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</si>
  <si>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</si>
  <si>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</si>
  <si>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</si>
  <si>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</si>
  <si>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</si>
  <si>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</si>
  <si>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</si>
  <si>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</si>
  <si>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</si>
  <si>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</si>
  <si>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</si>
  <si>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</si>
  <si>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</si>
  <si>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</si>
  <si>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</si>
  <si>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</si>
  <si>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</si>
  <si>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</si>
  <si>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</si>
  <si>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</si>
  <si>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</si>
  <si>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</si>
  <si>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</si>
  <si>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</si>
  <si>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</si>
  <si>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</si>
  <si>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</si>
  <si>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</si>
  <si>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</si>
  <si>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Obiageri Ikwuegbu/Collins Eze</t>
  </si>
  <si>
    <t>Ozuzu Donald</t>
  </si>
  <si>
    <t>Oby</t>
  </si>
  <si>
    <t>23rd Feb 2017</t>
  </si>
  <si>
    <t>Donald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</si>
</sst>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0" fontId="37" fillId="12" borderId="63" xfId="0" applyFont="1" applyFill="1" applyBorder="1" applyProtection="1">
      <protection locked="0" hidden="1"/>
    </xf>
    <xf numFmtId="0" fontId="41" fillId="12" borderId="63" xfId="0" applyFont="1" applyFill="1" applyBorder="1" applyProtection="1">
      <protection locked="0" hidden="1"/>
    </xf>
    <xf numFmtId="1" fontId="0" fillId="12" borderId="63" xfId="0" applyNumberFormat="1" applyFill="1" applyBorder="1" applyAlignment="1" applyProtection="1">
      <protection locked="0"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54751112"/>
        <c:axId val="354749936"/>
      </c:radarChart>
      <c:catAx>
        <c:axId val="354751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54749936"/>
        <c:crosses val="autoZero"/>
        <c:auto val="1"/>
        <c:lblAlgn val="ctr"/>
        <c:lblOffset val="100"/>
        <c:noMultiLvlLbl val="0"/>
      </c:catAx>
      <c:valAx>
        <c:axId val="3547499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75111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9" customWidth="1"/>
    <col min="19" max="19" width="11.28515625" style="142" customWidth="1"/>
    <col min="20" max="20" width="22.7109375" style="142" customWidth="1"/>
  </cols>
  <sheetData>
    <row r="1" spans="1:20" ht="29.25" thickBot="1" x14ac:dyDescent="0.3">
      <c r="A1" s="320" t="s">
        <v>62</v>
      </c>
      <c r="B1" s="321"/>
      <c r="C1" s="321"/>
      <c r="D1" s="321"/>
      <c r="E1" s="321"/>
      <c r="F1" s="321"/>
      <c r="G1" s="321"/>
      <c r="H1" s="321"/>
      <c r="I1" s="321"/>
      <c r="J1" s="321"/>
      <c r="K1" s="321"/>
      <c r="L1" s="321"/>
      <c r="M1" s="321"/>
      <c r="N1" s="321"/>
      <c r="O1" s="321"/>
      <c r="P1" s="321"/>
      <c r="Q1" s="321"/>
      <c r="R1" s="321"/>
      <c r="S1" s="321"/>
      <c r="T1" s="322"/>
    </row>
    <row r="2" spans="1:20" ht="24" thickBot="1" x14ac:dyDescent="0.4">
      <c r="A2" s="309" t="s">
        <v>95</v>
      </c>
      <c r="B2" s="310"/>
      <c r="C2" s="311"/>
      <c r="D2" s="312" t="str">
        <f>Worksheet!P2</f>
        <v>CCCRN</v>
      </c>
      <c r="E2" s="313"/>
      <c r="F2" s="313"/>
      <c r="G2" s="313"/>
      <c r="H2" s="313"/>
      <c r="I2" s="313"/>
      <c r="J2" s="314"/>
      <c r="K2" s="315" t="s">
        <v>4018</v>
      </c>
      <c r="L2" s="316"/>
      <c r="M2" s="316"/>
      <c r="N2" s="316"/>
      <c r="O2" s="317" t="str">
        <f>Worksheet!M18</f>
        <v>Obiageri Ikwuegbu/Collins Eze</v>
      </c>
      <c r="P2" s="318"/>
      <c r="Q2" s="318"/>
      <c r="R2" s="318"/>
      <c r="S2" s="318"/>
      <c r="T2" s="319"/>
    </row>
    <row r="3" spans="1:20" ht="24" thickBot="1" x14ac:dyDescent="0.4">
      <c r="A3" s="309" t="s">
        <v>94</v>
      </c>
      <c r="B3" s="310" t="s">
        <v>1</v>
      </c>
      <c r="C3" s="311"/>
      <c r="D3" s="312" t="str">
        <f>Worksheet!R2</f>
        <v>Imo</v>
      </c>
      <c r="E3" s="313"/>
      <c r="F3" s="313"/>
      <c r="G3" s="313"/>
      <c r="H3" s="313"/>
      <c r="I3" s="313"/>
      <c r="J3" s="314"/>
      <c r="K3" s="315" t="s">
        <v>3965</v>
      </c>
      <c r="L3" s="316"/>
      <c r="M3" s="316"/>
      <c r="N3" s="316"/>
      <c r="O3" s="317" t="str">
        <f>Worksheet!W18</f>
        <v>23rd Feb 2017</v>
      </c>
      <c r="P3" s="318"/>
      <c r="Q3" s="318"/>
      <c r="R3" s="318"/>
      <c r="S3" s="318"/>
      <c r="T3" s="319"/>
    </row>
    <row r="4" spans="1:20" ht="24" thickBot="1" x14ac:dyDescent="0.4">
      <c r="A4" s="309" t="s">
        <v>93</v>
      </c>
      <c r="B4" s="310"/>
      <c r="C4" s="311" t="s">
        <v>3</v>
      </c>
      <c r="D4" s="312" t="str">
        <f>Worksheet!T2</f>
        <v>im Owerri Municipal</v>
      </c>
      <c r="E4" s="313"/>
      <c r="F4" s="313"/>
      <c r="G4" s="313"/>
      <c r="H4" s="313"/>
      <c r="I4" s="313"/>
      <c r="J4" s="314"/>
      <c r="K4" s="315" t="s">
        <v>4019</v>
      </c>
      <c r="L4" s="316"/>
      <c r="M4" s="316"/>
      <c r="N4" s="316"/>
      <c r="O4" s="317" t="str">
        <f>Worksheet!M19</f>
        <v>Ozuzu Donald</v>
      </c>
      <c r="P4" s="318"/>
      <c r="Q4" s="318"/>
      <c r="R4" s="318"/>
      <c r="S4" s="318"/>
      <c r="T4" s="319"/>
    </row>
    <row r="5" spans="1:20" ht="24" thickBot="1" x14ac:dyDescent="0.4">
      <c r="A5" s="309" t="s">
        <v>92</v>
      </c>
      <c r="B5" s="310"/>
      <c r="C5" s="311" t="s">
        <v>6</v>
      </c>
      <c r="D5" s="312" t="str">
        <f>Worksheet!V2</f>
        <v>Federal Medical Center - Owerri</v>
      </c>
      <c r="E5" s="313"/>
      <c r="F5" s="313"/>
      <c r="G5" s="313"/>
      <c r="H5" s="313"/>
      <c r="I5" s="313"/>
      <c r="J5" s="314"/>
      <c r="K5" s="315" t="s">
        <v>3965</v>
      </c>
      <c r="L5" s="316"/>
      <c r="M5" s="316"/>
      <c r="N5" s="316"/>
      <c r="O5" s="317">
        <f>Worksheet!W19</f>
        <v>0</v>
      </c>
      <c r="P5" s="318"/>
      <c r="Q5" s="318"/>
      <c r="R5" s="318"/>
      <c r="S5" s="318"/>
      <c r="T5" s="319"/>
    </row>
    <row r="6" spans="1:20" ht="24" thickBot="1" x14ac:dyDescent="0.3">
      <c r="A6" s="325" t="s">
        <v>68</v>
      </c>
      <c r="B6" s="325" t="s">
        <v>80</v>
      </c>
      <c r="C6" s="105" t="s">
        <v>81</v>
      </c>
      <c r="D6" s="327">
        <v>42644</v>
      </c>
      <c r="E6" s="328"/>
      <c r="F6" s="328"/>
      <c r="G6" s="328"/>
      <c r="H6" s="329"/>
      <c r="I6" s="327">
        <v>42675</v>
      </c>
      <c r="J6" s="330"/>
      <c r="K6" s="330"/>
      <c r="L6" s="330"/>
      <c r="M6" s="331"/>
      <c r="N6" s="327">
        <v>42705</v>
      </c>
      <c r="O6" s="330"/>
      <c r="P6" s="330"/>
      <c r="Q6" s="330"/>
      <c r="R6" s="331"/>
      <c r="S6" s="332" t="s">
        <v>63</v>
      </c>
      <c r="T6" s="323" t="s">
        <v>96</v>
      </c>
    </row>
    <row r="7" spans="1:20" ht="31.9" customHeight="1" thickBot="1" x14ac:dyDescent="0.3">
      <c r="A7" s="326"/>
      <c r="B7" s="326"/>
      <c r="C7" s="106" t="s">
        <v>82</v>
      </c>
      <c r="D7" s="155" t="s">
        <v>64</v>
      </c>
      <c r="E7" s="155" t="s">
        <v>65</v>
      </c>
      <c r="F7" s="155" t="s">
        <v>66</v>
      </c>
      <c r="G7" s="155" t="s">
        <v>142</v>
      </c>
      <c r="H7" s="156" t="s">
        <v>67</v>
      </c>
      <c r="I7" s="155" t="s">
        <v>64</v>
      </c>
      <c r="J7" s="155" t="s">
        <v>65</v>
      </c>
      <c r="K7" s="155" t="s">
        <v>66</v>
      </c>
      <c r="L7" s="155" t="s">
        <v>142</v>
      </c>
      <c r="M7" s="156" t="s">
        <v>67</v>
      </c>
      <c r="N7" s="155" t="s">
        <v>64</v>
      </c>
      <c r="O7" s="155" t="s">
        <v>65</v>
      </c>
      <c r="P7" s="155" t="s">
        <v>66</v>
      </c>
      <c r="Q7" s="155" t="s">
        <v>142</v>
      </c>
      <c r="R7" s="156" t="s">
        <v>67</v>
      </c>
      <c r="S7" s="333"/>
      <c r="T7" s="324"/>
    </row>
    <row r="8" spans="1:20" ht="72.599999999999994" customHeight="1" thickBot="1" x14ac:dyDescent="0.3">
      <c r="A8" s="107">
        <v>1</v>
      </c>
      <c r="B8" s="108" t="s">
        <v>89</v>
      </c>
      <c r="C8" s="109" t="s">
        <v>3966</v>
      </c>
      <c r="D8" s="157">
        <f ca="1">(SUM('All Questions'!D10:D14)/5)+D12</f>
        <v>105.75</v>
      </c>
      <c r="E8" s="157">
        <f ca="1">SUM('All Questions'!D15:D21)/7+E12</f>
        <v>266.92857142857144</v>
      </c>
      <c r="F8" s="157">
        <f ca="1">SUM('All Questions'!D23:D30)/4+F12</f>
        <v>181.33333333333331</v>
      </c>
      <c r="G8" s="157">
        <f ca="1">SUM('All Questions'!D31:D35)/5+G12</f>
        <v>306.64999999999998</v>
      </c>
      <c r="H8" s="158">
        <f ca="1">SUM('All Questions'!D37,'All Questions'!D40)/2+'All Questions'!D26+H12</f>
        <v>184.5</v>
      </c>
      <c r="I8" s="159">
        <f ca="1">(SUM('All Questions'!E10:E14)/5)+I12</f>
        <v>0</v>
      </c>
      <c r="J8" s="157">
        <f ca="1">SUM('All Questions'!E15:E21)/7+J12</f>
        <v>0</v>
      </c>
      <c r="K8" s="157">
        <f ca="1">SUM('All Questions'!E23:E30)/4+K12</f>
        <v>0</v>
      </c>
      <c r="L8" s="157">
        <f ca="1">SUM('All Questions'!E31:E35)/5+L12</f>
        <v>0</v>
      </c>
      <c r="M8" s="158">
        <f ca="1">('All Questions'!E37+'All Questions'!E40)/2+'All Questions'!E26+M12</f>
        <v>0</v>
      </c>
      <c r="N8" s="159">
        <f ca="1">(SUM('All Questions'!F10:F14)/5)+N12</f>
        <v>0</v>
      </c>
      <c r="O8" s="157">
        <f ca="1">SUM('All Questions'!F15:F21)/7+O12</f>
        <v>0</v>
      </c>
      <c r="P8" s="157">
        <f ca="1">SUM('All Questions'!F23:F30)/4+P12</f>
        <v>0</v>
      </c>
      <c r="Q8" s="157">
        <f ca="1">SUM('All Questions'!F31:F35)/5+Q12</f>
        <v>0</v>
      </c>
      <c r="R8" s="158">
        <f ca="1">('All Questions'!F37+'All Questions'!F40)/2+'All Questions'!F26+R12</f>
        <v>0</v>
      </c>
      <c r="S8" s="143">
        <f ca="1">'All Questions'!F2</f>
        <v>134</v>
      </c>
      <c r="T8" s="144">
        <f t="shared" ref="T8:T17" ca="1" si="0">(((SUM(D8:H8)/5)+(SUM(I8:M8)/5)+(SUM(N8:R8)/5)))/S8</f>
        <v>1.5599431414356788</v>
      </c>
    </row>
    <row r="9" spans="1:20" ht="72.599999999999994" customHeight="1" thickBot="1" x14ac:dyDescent="0.3">
      <c r="A9" s="110">
        <v>1.1000000000000001</v>
      </c>
      <c r="B9" s="111" t="s">
        <v>89</v>
      </c>
      <c r="C9" s="112" t="s">
        <v>3967</v>
      </c>
      <c r="D9" s="160"/>
      <c r="E9" s="160"/>
      <c r="F9" s="161">
        <f ca="1">'All Questions'!D29</f>
        <v>4</v>
      </c>
      <c r="G9" s="160"/>
      <c r="H9" s="162"/>
      <c r="I9" s="163"/>
      <c r="J9" s="160"/>
      <c r="K9" s="161">
        <f ca="1">'All Questions'!E29</f>
        <v>0</v>
      </c>
      <c r="L9" s="160"/>
      <c r="M9" s="162"/>
      <c r="N9" s="163"/>
      <c r="O9" s="160"/>
      <c r="P9" s="161">
        <f ca="1">'All Questions'!F29</f>
        <v>0</v>
      </c>
      <c r="Q9" s="160"/>
      <c r="R9" s="162"/>
      <c r="S9" s="143">
        <f ca="1">'All Questions'!F3</f>
        <v>4</v>
      </c>
      <c r="T9" s="145">
        <f t="shared" ca="1" si="0"/>
        <v>0.2</v>
      </c>
    </row>
    <row r="10" spans="1:20" ht="72.599999999999994" customHeight="1" thickBot="1" x14ac:dyDescent="0.3">
      <c r="A10" s="110" t="s">
        <v>141</v>
      </c>
      <c r="B10" s="111" t="s">
        <v>79</v>
      </c>
      <c r="C10" s="112" t="s">
        <v>3968</v>
      </c>
      <c r="D10" s="161">
        <f ca="1">(SUM('All Questions'!D10:D14)/5)</f>
        <v>74</v>
      </c>
      <c r="E10" s="161">
        <f ca="1">SUM('All Questions'!D15:D21)/7</f>
        <v>87.428571428571431</v>
      </c>
      <c r="F10" s="161">
        <f ca="1">(SUM('All Questions'!D23:D24)+SUM('All Questions'!D25:D26)+SUM('All Questions'!D27:D28)+SUM('All Questions'!D29:D30))/4</f>
        <v>101</v>
      </c>
      <c r="G10" s="161">
        <f ca="1">SUM('All Questions'!D31:D35)/5</f>
        <v>160.4</v>
      </c>
      <c r="H10" s="164">
        <f ca="1">('All Questions'!D37+'All Questions'!D40)/2+'All Questions'!D26</f>
        <v>122.5</v>
      </c>
      <c r="I10" s="165">
        <f ca="1">(SUM('All Questions'!E10:E14)/5)</f>
        <v>0</v>
      </c>
      <c r="J10" s="166">
        <f ca="1">SUM('All Questions'!E15:E21)/7</f>
        <v>0</v>
      </c>
      <c r="K10" s="166">
        <f ca="1">(SUM('All Questions'!E23:E24)+SUM('All Questions'!E25:E26)+SUM('All Questions'!E27:E28)+SUM('All Questions'!E29:E30))/4</f>
        <v>0</v>
      </c>
      <c r="L10" s="166">
        <f ca="1">SUM('All Questions'!E31:E35)/5</f>
        <v>0</v>
      </c>
      <c r="M10" s="167">
        <f ca="1">('All Questions'!E37+'All Questions'!E40)/2+'All Questions'!E26</f>
        <v>0</v>
      </c>
      <c r="N10" s="168">
        <f ca="1">(SUM('All Questions'!F10:F14)/5)</f>
        <v>0</v>
      </c>
      <c r="O10" s="166">
        <f ca="1">SUM('All Questions'!F15:F21)/7</f>
        <v>0</v>
      </c>
      <c r="P10" s="166">
        <f ca="1">(SUM('All Questions'!F23:F24)+SUM('All Questions'!F25:F26)+SUM('All Questions'!F27:F28)+SUM('All Questions'!F29:F30))/4</f>
        <v>0</v>
      </c>
      <c r="Q10" s="166">
        <f ca="1">SUM('All Questions'!F31:F35)/5</f>
        <v>0</v>
      </c>
      <c r="R10" s="167">
        <f ca="1">('All Questions'!F37+'All Questions'!F40)/2+'All Questions'!F26</f>
        <v>0</v>
      </c>
      <c r="S10" s="143">
        <f ca="1">'All Questions'!F4</f>
        <v>134</v>
      </c>
      <c r="T10" s="145">
        <f t="shared" ca="1" si="0"/>
        <v>0.81392324093816626</v>
      </c>
    </row>
    <row r="11" spans="1:20" ht="72.599999999999994" customHeight="1" thickBot="1" x14ac:dyDescent="0.3">
      <c r="A11" s="113" t="s">
        <v>3969</v>
      </c>
      <c r="B11" s="114" t="s">
        <v>79</v>
      </c>
      <c r="C11" s="115" t="s">
        <v>88</v>
      </c>
      <c r="D11" s="169"/>
      <c r="E11" s="169"/>
      <c r="F11" s="170">
        <f ca="1">'All Questions'!D29</f>
        <v>4</v>
      </c>
      <c r="G11" s="169"/>
      <c r="H11" s="171"/>
      <c r="I11" s="172"/>
      <c r="J11" s="169"/>
      <c r="K11" s="173">
        <f ca="1">'All Questions'!E29</f>
        <v>0</v>
      </c>
      <c r="L11" s="169"/>
      <c r="M11" s="171"/>
      <c r="N11" s="172"/>
      <c r="O11" s="169"/>
      <c r="P11" s="173">
        <f ca="1">'All Questions'!F29</f>
        <v>0</v>
      </c>
      <c r="Q11" s="169"/>
      <c r="R11" s="171"/>
      <c r="S11" s="143">
        <f ca="1">'All Questions'!F5</f>
        <v>4</v>
      </c>
      <c r="T11" s="146">
        <f t="shared" ca="1" si="0"/>
        <v>0.2</v>
      </c>
    </row>
    <row r="12" spans="1:20" ht="72.599999999999994" customHeight="1" x14ac:dyDescent="0.25">
      <c r="A12" s="116">
        <v>2</v>
      </c>
      <c r="B12" s="117" t="s">
        <v>83</v>
      </c>
      <c r="C12" s="118" t="s">
        <v>3970</v>
      </c>
      <c r="D12" s="174">
        <f ca="1">SUM('All Questions'!D55:D58)/4</f>
        <v>31.75</v>
      </c>
      <c r="E12" s="175">
        <f ca="1">SUM('All Questions'!D60:D75)/6</f>
        <v>179.5</v>
      </c>
      <c r="F12" s="175">
        <f ca="1">SUM('All Questions'!D67:D72)/3</f>
        <v>80.333333333333329</v>
      </c>
      <c r="G12" s="175">
        <f ca="1">SUM('All Questions'!D73:D80)/4</f>
        <v>146.25</v>
      </c>
      <c r="H12" s="176">
        <f ca="1">SUM('All Questions'!D82:D83)/2</f>
        <v>62</v>
      </c>
      <c r="I12" s="177">
        <f ca="1">SUM('All Questions'!E55:E58)/4</f>
        <v>0</v>
      </c>
      <c r="J12" s="178">
        <f ca="1">SUM('All Questions'!E60:E75)/6</f>
        <v>0</v>
      </c>
      <c r="K12" s="178">
        <f ca="1">SUM('All Questions'!E67:E72)/3</f>
        <v>0</v>
      </c>
      <c r="L12" s="178">
        <f ca="1">SUM('All Questions'!E73:E80)/4</f>
        <v>0</v>
      </c>
      <c r="M12" s="179">
        <f ca="1">SUM('All Questions'!E82:E83)/2</f>
        <v>0</v>
      </c>
      <c r="N12" s="180">
        <f ca="1">SUM('All Questions'!F55:F58)/4</f>
        <v>0</v>
      </c>
      <c r="O12" s="178">
        <f ca="1">SUM('All Questions'!F60:F75)/6</f>
        <v>0</v>
      </c>
      <c r="P12" s="178">
        <f ca="1">SUM('All Questions'!F67:F72)/3</f>
        <v>0</v>
      </c>
      <c r="Q12" s="178">
        <f ca="1">SUM('All Questions'!F73:F80)/4</f>
        <v>0</v>
      </c>
      <c r="R12" s="179">
        <f ca="1">SUM('All Questions'!F82:F83)/2</f>
        <v>0</v>
      </c>
      <c r="S12" s="147">
        <f ca="1">'All Questions'!F46</f>
        <v>124</v>
      </c>
      <c r="T12" s="148">
        <f t="shared" ca="1" si="0"/>
        <v>0.8061827956989247</v>
      </c>
    </row>
    <row r="13" spans="1:20" ht="72.599999999999994" customHeight="1" x14ac:dyDescent="0.25">
      <c r="A13" s="110">
        <v>2.1</v>
      </c>
      <c r="B13" s="111" t="s">
        <v>83</v>
      </c>
      <c r="C13" s="119" t="s">
        <v>3971</v>
      </c>
      <c r="D13" s="163"/>
      <c r="E13" s="160"/>
      <c r="F13" s="181">
        <f ca="1">'All Questions'!D72</f>
        <v>5</v>
      </c>
      <c r="G13" s="160"/>
      <c r="H13" s="182">
        <f ca="1">SUM('All Questions'!D85:D86)/2</f>
        <v>0</v>
      </c>
      <c r="I13" s="183"/>
      <c r="J13" s="184"/>
      <c r="K13" s="185">
        <f ca="1">'All Questions'!E72</f>
        <v>0</v>
      </c>
      <c r="L13" s="184"/>
      <c r="M13" s="186">
        <f ca="1">SUM('All Questions'!E85:E86)/2</f>
        <v>0</v>
      </c>
      <c r="N13" s="187"/>
      <c r="O13" s="184"/>
      <c r="P13" s="185">
        <f ca="1">'All Questions'!F72</f>
        <v>0</v>
      </c>
      <c r="Q13" s="184"/>
      <c r="R13" s="186">
        <f ca="1">SUM('All Questions'!F85:F86)/2</f>
        <v>0</v>
      </c>
      <c r="S13" s="147">
        <f ca="1">'All Questions'!F47</f>
        <v>3</v>
      </c>
      <c r="T13" s="149">
        <f t="shared" ca="1" si="0"/>
        <v>0.33333333333333331</v>
      </c>
    </row>
    <row r="14" spans="1:20" ht="72.599999999999994" customHeight="1" x14ac:dyDescent="0.25">
      <c r="A14" s="110">
        <v>2.2000000000000002</v>
      </c>
      <c r="B14" s="111" t="s">
        <v>83</v>
      </c>
      <c r="C14" s="119" t="s">
        <v>3972</v>
      </c>
      <c r="D14" s="188">
        <f ca="1">'All Questions'!D57</f>
        <v>0</v>
      </c>
      <c r="E14" s="181">
        <f ca="1">'All Questions'!D64</f>
        <v>0</v>
      </c>
      <c r="F14" s="181">
        <f ca="1">SUM('All Questions'!D69:D70)</f>
        <v>0</v>
      </c>
      <c r="G14" s="181">
        <f ca="1">SUM('All Questions'!D74,'All Questions'!D76,'All Questions'!D78,'All Questions'!D80)/4</f>
        <v>0</v>
      </c>
      <c r="H14" s="182">
        <f ca="1">SUM('All Questions'!D88:D89)/2</f>
        <v>0</v>
      </c>
      <c r="I14" s="189">
        <f ca="1">'All Questions'!E57</f>
        <v>0</v>
      </c>
      <c r="J14" s="185">
        <f ca="1">'All Questions'!E64</f>
        <v>0</v>
      </c>
      <c r="K14" s="185">
        <f ca="1">SUM('All Questions'!E69:E70)</f>
        <v>0</v>
      </c>
      <c r="L14" s="185">
        <f ca="1">SUM('All Questions'!E74,'All Questions'!E76,'All Questions'!E78,'All Questions'!E80)/4</f>
        <v>0</v>
      </c>
      <c r="M14" s="186">
        <f ca="1">SUM('All Questions'!E88:E89)/2</f>
        <v>0</v>
      </c>
      <c r="N14" s="190">
        <f ca="1">'All Questions'!F57</f>
        <v>0</v>
      </c>
      <c r="O14" s="185">
        <f ca="1">'All Questions'!E64</f>
        <v>0</v>
      </c>
      <c r="P14" s="185">
        <f ca="1">SUM('All Questions'!F75:F76)</f>
        <v>0</v>
      </c>
      <c r="Q14" s="185">
        <f ca="1">SUM('All Questions'!F74,'All Questions'!F76,'All Questions'!F78,'All Questions'!F80)/4</f>
        <v>0</v>
      </c>
      <c r="R14" s="186">
        <f ca="1">SUM('All Questions'!F88:F89)/2</f>
        <v>0</v>
      </c>
      <c r="S14" s="147">
        <f ca="1">'All Questions'!F48</f>
        <v>0</v>
      </c>
      <c r="T14" s="149" t="e">
        <f t="shared" ca="1" si="0"/>
        <v>#DIV/0!</v>
      </c>
    </row>
    <row r="15" spans="1:20" ht="72.599999999999994" customHeight="1" x14ac:dyDescent="0.25">
      <c r="A15" s="110">
        <v>3</v>
      </c>
      <c r="B15" s="111" t="s">
        <v>86</v>
      </c>
      <c r="C15" s="119" t="s">
        <v>87</v>
      </c>
      <c r="D15" s="165">
        <f ca="1">SUM('All Questions'!D119:D120)/2</f>
        <v>3</v>
      </c>
      <c r="E15" s="161">
        <f ca="1">SUM('All Questions'!D121+'All Questions'!D124)/2</f>
        <v>4</v>
      </c>
      <c r="F15" s="161">
        <f ca="1">SUM('All Questions'!D126:D130)/2</f>
        <v>0</v>
      </c>
      <c r="G15" s="161">
        <f ca="1">SUM('All Questions'!D131:D133)/3</f>
        <v>2</v>
      </c>
      <c r="H15" s="164">
        <f ca="1">SUM('All Questions'!D135+'All Questions'!D138)</f>
        <v>0</v>
      </c>
      <c r="I15" s="168">
        <f ca="1">SUM('All Questions'!E119:E120)/2</f>
        <v>9</v>
      </c>
      <c r="J15" s="166">
        <f ca="1">SUM('All Questions'!E121+'All Questions'!E124)/2</f>
        <v>9</v>
      </c>
      <c r="K15" s="166">
        <f ca="1">SUM('All Questions'!E126:E130)/2</f>
        <v>0</v>
      </c>
      <c r="L15" s="166">
        <f ca="1">SUM('All Questions'!E131:E133)/3</f>
        <v>6</v>
      </c>
      <c r="M15" s="167">
        <f ca="1">SUM('All Questions'!E135+'All Questions'!E138)</f>
        <v>0</v>
      </c>
      <c r="N15" s="191">
        <f ca="1">SUM('All Questions'!F119:F120)/2</f>
        <v>5.5</v>
      </c>
      <c r="O15" s="166">
        <f ca="1">SUM('All Questions'!F121+'All Questions'!F124)/2</f>
        <v>4</v>
      </c>
      <c r="P15" s="166">
        <f ca="1">SUM('All Questions'!F126:F130)/2</f>
        <v>0</v>
      </c>
      <c r="Q15" s="166">
        <f ca="1">SUM('All Questions'!F131:F133)/3</f>
        <v>3.6666666666666665</v>
      </c>
      <c r="R15" s="167">
        <f ca="1">SUM('All Questions'!F131:F133)/3</f>
        <v>3.6666666666666665</v>
      </c>
      <c r="S15" s="150">
        <f ca="1">'All Questions'!F117</f>
        <v>34</v>
      </c>
      <c r="T15" s="149">
        <f ca="1">(((SUM(D15:H15)/5)+(SUM(I15:M15)/5)+(SUM(N15:R15)/5)))/S15</f>
        <v>0.29313725490196074</v>
      </c>
    </row>
    <row r="16" spans="1:20" ht="72.599999999999994" customHeight="1" thickBot="1" x14ac:dyDescent="0.3">
      <c r="A16" s="120">
        <v>4</v>
      </c>
      <c r="B16" s="121" t="s">
        <v>84</v>
      </c>
      <c r="C16" s="122" t="s">
        <v>85</v>
      </c>
      <c r="D16" s="192">
        <f ca="1">SUM('All Questions'!D93:D94)/2</f>
        <v>1.5</v>
      </c>
      <c r="E16" s="193">
        <f ca="1">SUM('All Questions'!D97:D100)/4</f>
        <v>1.5</v>
      </c>
      <c r="F16" s="193">
        <f ca="1">SUM('All Questions'!D101:D105)/2</f>
        <v>0</v>
      </c>
      <c r="G16" s="193">
        <f ca="1">SUM('All Questions'!D106:D108)/3</f>
        <v>1.3333333333333333</v>
      </c>
      <c r="H16" s="194">
        <f ca="1">SUM('All Questions'!D111+'All Questions'!D112+'All Questions'!D114+'All Questions'!D115)/4</f>
        <v>0.25</v>
      </c>
      <c r="I16" s="195">
        <f ca="1">SUM('All Questions'!E93:E94)/2</f>
        <v>0</v>
      </c>
      <c r="J16" s="196">
        <f ca="1">SUM('All Questions'!E97:E100)/4</f>
        <v>0</v>
      </c>
      <c r="K16" s="196">
        <f ca="1">SUM('All Questions'!E101:E105)/2</f>
        <v>0</v>
      </c>
      <c r="L16" s="196">
        <f ca="1">SUM('All Questions'!E106:E108)/3</f>
        <v>0</v>
      </c>
      <c r="M16" s="197">
        <f ca="1">SUM('All Questions'!E111+'All Questions'!E112+'All Questions'!E114+'All Questions'!E115)/4</f>
        <v>0</v>
      </c>
      <c r="N16" s="198">
        <f ca="1">SUM('All Questions'!F93:F94)/2</f>
        <v>0</v>
      </c>
      <c r="O16" s="196">
        <f ca="1">SUM('All Questions'!F97:F100)/4</f>
        <v>0</v>
      </c>
      <c r="P16" s="196">
        <f ca="1">SUM('All Questions'!F101:F105)/2</f>
        <v>0</v>
      </c>
      <c r="Q16" s="196">
        <f ca="1">SUM('All Questions'!F106:F108)/3</f>
        <v>0</v>
      </c>
      <c r="R16" s="197">
        <f ca="1">SUM('All Questions'!F111+'All Questions'!F112+'All Questions'!F114+'All Questions'!F115)/4</f>
        <v>0</v>
      </c>
      <c r="S16" s="151">
        <f ca="1">'All Questions'!F91</f>
        <v>3</v>
      </c>
      <c r="T16" s="152">
        <f t="shared" ca="1" si="0"/>
        <v>0.30555555555555552</v>
      </c>
    </row>
    <row r="17" spans="1:20" ht="72.599999999999994" customHeight="1" x14ac:dyDescent="0.25">
      <c r="A17" s="107">
        <v>5</v>
      </c>
      <c r="B17" s="108" t="s">
        <v>90</v>
      </c>
      <c r="C17" s="123" t="s">
        <v>74</v>
      </c>
      <c r="D17" s="159">
        <f ca="1">SUM('All Questions'!D144:D146)/3</f>
        <v>8</v>
      </c>
      <c r="E17" s="157">
        <f ca="1">SUM('All Questions'!D147:D150)/4</f>
        <v>12.25</v>
      </c>
      <c r="F17" s="157">
        <f ca="1">SUM('All Questions'!D144:D146)/3</f>
        <v>8</v>
      </c>
      <c r="G17" s="157">
        <f ca="1">SUM('All Questions'!D155:D157)/3</f>
        <v>12.666666666666666</v>
      </c>
      <c r="H17" s="199">
        <f ca="1">SUM('All Questions'!D160+'All Questions'!D163)/2</f>
        <v>12.5</v>
      </c>
      <c r="I17" s="200">
        <f ca="1">SUM('All Questions'!E144:E146)/3</f>
        <v>6</v>
      </c>
      <c r="J17" s="201">
        <f ca="1">SUM('All Questions'!E147:E150)/4</f>
        <v>11.5</v>
      </c>
      <c r="K17" s="201">
        <f ca="1">SUM('All Questions'!E151:E154)/2</f>
        <v>15</v>
      </c>
      <c r="L17" s="201">
        <f ca="1">SUM('All Questions'!E155:E157)/3</f>
        <v>15.666666666666666</v>
      </c>
      <c r="M17" s="199">
        <f ca="1">SUM('All Questions'!E160+'All Questions'!E163)/2</f>
        <v>14</v>
      </c>
      <c r="N17" s="202">
        <f ca="1">SUM('All Questions'!F144:F146)/3</f>
        <v>8.6666666666666661</v>
      </c>
      <c r="O17" s="201">
        <f ca="1">SUM('All Questions'!F147:F150)/4</f>
        <v>14.5</v>
      </c>
      <c r="P17" s="201">
        <f ca="1">SUM('All Questions'!F151:F154)/2</f>
        <v>16.5</v>
      </c>
      <c r="Q17" s="201">
        <f ca="1">SUM('All Questions'!F155:F157)/3</f>
        <v>17</v>
      </c>
      <c r="R17" s="201">
        <f ca="1">SUM('All Questions'!F160+'All Questions'!F163)/2</f>
        <v>16</v>
      </c>
      <c r="S17" s="153">
        <f ca="1">'All Questions'!F141</f>
        <v>34</v>
      </c>
      <c r="T17" s="144">
        <f t="shared" ca="1" si="0"/>
        <v>1.1073529411764707</v>
      </c>
    </row>
    <row r="18" spans="1:20" ht="72.599999999999994" customHeight="1" thickBot="1" x14ac:dyDescent="0.3">
      <c r="A18" s="113">
        <v>6</v>
      </c>
      <c r="B18" s="114" t="s">
        <v>91</v>
      </c>
      <c r="C18" s="124" t="s">
        <v>75</v>
      </c>
      <c r="D18" s="203">
        <f ca="1">SUM('All Questions'!D171:D174)/4</f>
        <v>12813.25</v>
      </c>
      <c r="E18" s="170">
        <f ca="1">SUM('All Questions'!D175:D179)/5</f>
        <v>435</v>
      </c>
      <c r="F18" s="170">
        <f ca="1">((SUM('All Questions'!D181+'All Questions'!D182)/2)+(SUM('All Questions'!D183+'All Questions'!D184)/2)+'All Questions'!D185)/3</f>
        <v>209.16666666666666</v>
      </c>
      <c r="G18" s="170">
        <f ca="1">SUM('All Questions'!D186:D189)/4</f>
        <v>220.25</v>
      </c>
      <c r="H18" s="204">
        <f ca="1">('All Questions'!D191-('All Questions'!D194+'All Questions'!D197+'All Questions'!D200))</f>
        <v>11</v>
      </c>
      <c r="I18" s="205">
        <f ca="1">SUM('All Questions'!E171:E174)/4</f>
        <v>12062.75</v>
      </c>
      <c r="J18" s="206">
        <f ca="1">SUM('All Questions'!E175:E179)/5</f>
        <v>462.4</v>
      </c>
      <c r="K18" s="206">
        <f ca="1">((SUM('All Questions'!E181+'All Questions'!E182)/2)+(SUM('All Questions'!E183+'All Questions'!E184)/2)+'All Questions'!E185)/3</f>
        <v>262.5</v>
      </c>
      <c r="L18" s="206">
        <f ca="1">SUM('All Questions'!E186:E189)/4</f>
        <v>266.75</v>
      </c>
      <c r="M18" s="204">
        <f ca="1">('All Questions'!E191-('All Questions'!E194+'All Questions'!E197+'All Questions'!E200))</f>
        <v>9</v>
      </c>
      <c r="N18" s="207">
        <f ca="1">SUM('All Questions'!F171:F174)/4</f>
        <v>10248.25</v>
      </c>
      <c r="O18" s="206">
        <f ca="1">SUM('All Questions'!F175:F179)/5</f>
        <v>347.2</v>
      </c>
      <c r="P18" s="206">
        <f ca="1">((SUM('All Questions'!F181+'All Questions'!F182)/2)+(SUM('All Questions'!F183+'All Questions'!F184)/2)+'All Questions'!F185)/3</f>
        <v>184</v>
      </c>
      <c r="Q18" s="206">
        <f ca="1">SUM('All Questions'!F186:F189)/4</f>
        <v>188</v>
      </c>
      <c r="R18" s="208">
        <f ca="1">('All Questions'!F191-('All Questions'!F194+'All Questions'!F197+'All Questions'!F200))</f>
        <v>12</v>
      </c>
      <c r="S18" s="154">
        <f>'All Questions'!F166</f>
        <v>0</v>
      </c>
      <c r="T18" s="146"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E11" sqref="E11:G11"/>
    </sheetView>
  </sheetViews>
  <sheetFormatPr defaultColWidth="8.85546875" defaultRowHeight="40.15" customHeight="1" x14ac:dyDescent="0.25"/>
  <cols>
    <col min="1" max="1" width="11.42578125" style="64" customWidth="1"/>
    <col min="2" max="2" width="17.5703125" style="64" hidden="1" customWidth="1"/>
    <col min="3" max="3" width="14.85546875" style="220" customWidth="1"/>
    <col min="4" max="4" width="81.5703125" style="221" customWidth="1"/>
    <col min="5" max="5" width="13" style="220" customWidth="1"/>
    <col min="6" max="6" width="12.7109375" style="220" customWidth="1"/>
    <col min="7" max="7" width="11.7109375" style="220"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7" t="s">
        <v>3973</v>
      </c>
      <c r="D1" s="218"/>
      <c r="E1" s="219"/>
      <c r="F1" s="334">
        <v>20170218</v>
      </c>
      <c r="G1" s="335"/>
      <c r="H1" s="63"/>
      <c r="I1" s="63"/>
      <c r="J1" s="63"/>
      <c r="K1" s="337" t="s">
        <v>4020</v>
      </c>
      <c r="L1" s="337"/>
      <c r="M1" s="337"/>
      <c r="N1" s="337"/>
      <c r="O1" s="337"/>
      <c r="P1" s="337"/>
      <c r="Q1" s="337"/>
      <c r="R1" s="337"/>
      <c r="S1" s="337"/>
      <c r="T1" s="337"/>
      <c r="U1" s="337"/>
      <c r="V1" s="337"/>
      <c r="W1" s="337"/>
      <c r="X1" s="337"/>
      <c r="Y1" s="337"/>
      <c r="Z1" s="337"/>
      <c r="AA1" s="337"/>
      <c r="AB1" s="337"/>
      <c r="AC1" s="337"/>
      <c r="AD1" s="337"/>
    </row>
    <row r="2" spans="1:30" ht="40.15" customHeight="1" x14ac:dyDescent="0.25">
      <c r="A2" s="63"/>
      <c r="B2" s="222" t="s">
        <v>3800</v>
      </c>
      <c r="C2" s="223" t="s">
        <v>4004</v>
      </c>
      <c r="D2" s="224" t="s">
        <v>3974</v>
      </c>
      <c r="E2" s="225"/>
      <c r="F2" s="226" t="s">
        <v>4005</v>
      </c>
      <c r="G2" s="227"/>
      <c r="H2" s="228"/>
      <c r="I2" s="63"/>
      <c r="J2" s="63"/>
      <c r="K2" s="336" t="s">
        <v>157</v>
      </c>
      <c r="L2" s="336"/>
      <c r="M2" s="99" t="s">
        <v>91</v>
      </c>
      <c r="N2" s="336" t="s">
        <v>158</v>
      </c>
      <c r="O2" s="336"/>
      <c r="P2" s="99" t="s">
        <v>143</v>
      </c>
      <c r="Q2" s="308" t="s">
        <v>1</v>
      </c>
      <c r="R2" s="99" t="s">
        <v>177</v>
      </c>
      <c r="S2" s="308" t="s">
        <v>3</v>
      </c>
      <c r="T2" s="99" t="s">
        <v>669</v>
      </c>
      <c r="U2" s="67" t="s">
        <v>159</v>
      </c>
      <c r="V2" s="99" t="s">
        <v>1629</v>
      </c>
      <c r="W2" s="66"/>
      <c r="X2" s="67" t="s">
        <v>160</v>
      </c>
      <c r="Y2" s="99" t="s">
        <v>146</v>
      </c>
      <c r="Z2" s="101" t="s">
        <v>3799</v>
      </c>
      <c r="AA2" s="68" t="str">
        <f>VLOOKUP(V2,[2]Data_donotedit!AY2:AZ1504,2,FALSE)</f>
        <v>agbAWTBDp3E</v>
      </c>
      <c r="AB2" s="68"/>
      <c r="AC2" s="68"/>
      <c r="AD2" s="68"/>
    </row>
    <row r="3" spans="1:30" ht="40.15" customHeight="1" x14ac:dyDescent="0.25">
      <c r="A3" s="63"/>
      <c r="B3" s="229"/>
      <c r="C3" s="284" t="s">
        <v>91</v>
      </c>
      <c r="D3" s="263" t="s">
        <v>3992</v>
      </c>
      <c r="E3" s="231"/>
      <c r="F3" s="234"/>
      <c r="G3" s="303"/>
      <c r="H3" s="210"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9"/>
      <c r="C4" s="285" t="s">
        <v>4014</v>
      </c>
      <c r="D4" s="263" t="s">
        <v>3993</v>
      </c>
      <c r="E4" s="231"/>
      <c r="F4" s="234"/>
      <c r="G4" s="240">
        <f>_xlfn.IFNA(VLOOKUP(G3,Data_donotedit!$BE$2:$BG$25,3,TRUE),0)</f>
        <v>20</v>
      </c>
      <c r="H4" s="210" t="s">
        <v>91</v>
      </c>
      <c r="I4" s="63"/>
      <c r="J4" s="63"/>
      <c r="K4" s="343" t="s">
        <v>80</v>
      </c>
      <c r="L4" s="341" t="s">
        <v>81</v>
      </c>
      <c r="M4" s="342"/>
      <c r="N4" s="348">
        <v>42644</v>
      </c>
      <c r="O4" s="349"/>
      <c r="P4" s="349"/>
      <c r="Q4" s="349"/>
      <c r="R4" s="350"/>
      <c r="S4" s="348">
        <v>42675</v>
      </c>
      <c r="T4" s="349"/>
      <c r="U4" s="349"/>
      <c r="V4" s="349"/>
      <c r="W4" s="350"/>
      <c r="X4" s="348">
        <v>42705</v>
      </c>
      <c r="Y4" s="349"/>
      <c r="Z4" s="349"/>
      <c r="AA4" s="349"/>
      <c r="AB4" s="350"/>
      <c r="AC4" s="338" t="s">
        <v>63</v>
      </c>
      <c r="AD4" s="338" t="s">
        <v>96</v>
      </c>
    </row>
    <row r="5" spans="1:30" ht="40.15" customHeight="1" x14ac:dyDescent="0.25">
      <c r="A5" s="63"/>
      <c r="B5" s="229"/>
      <c r="C5" s="284"/>
      <c r="D5" s="265" t="s">
        <v>3944</v>
      </c>
      <c r="E5" s="243" t="s">
        <v>76</v>
      </c>
      <c r="F5" s="244" t="s">
        <v>77</v>
      </c>
      <c r="G5" s="244" t="s">
        <v>78</v>
      </c>
      <c r="H5" s="210" t="s">
        <v>91</v>
      </c>
      <c r="I5" s="63"/>
      <c r="J5" s="63"/>
      <c r="K5" s="343"/>
      <c r="L5" s="341" t="s">
        <v>82</v>
      </c>
      <c r="M5" s="342"/>
      <c r="N5" s="307"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9"/>
      <c r="AD5" s="340"/>
    </row>
    <row r="6" spans="1:30" ht="40.15" customHeight="1" x14ac:dyDescent="0.25">
      <c r="A6" s="63"/>
      <c r="B6" s="229"/>
      <c r="C6" s="241">
        <v>1611</v>
      </c>
      <c r="D6" s="245" t="s">
        <v>3923</v>
      </c>
      <c r="E6" s="304">
        <f ca="1">_xlfn.IFNA(VLOOKUP(C6,Worksheet!$C$3:$G$46,3,FALSE),E6)</f>
        <v>0</v>
      </c>
      <c r="F6" s="304">
        <f ca="1">_xlfn.IFNA(VLOOKUP(C6,Worksheet!$C$3:$G$46,4,FALSE),F6)</f>
        <v>0</v>
      </c>
      <c r="G6" s="304">
        <f ca="1">_xlfn.IFNA(VLOOKUP(C6,Worksheet!$C$3:$G$46,5,FALSE),G6)</f>
        <v>0</v>
      </c>
      <c r="H6" s="210" t="s">
        <v>91</v>
      </c>
      <c r="I6" s="63"/>
      <c r="J6" s="63"/>
      <c r="K6" s="137" t="s">
        <v>89</v>
      </c>
      <c r="L6" s="344" t="s">
        <v>3966</v>
      </c>
      <c r="M6" s="345"/>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15" customHeight="1" x14ac:dyDescent="0.25">
      <c r="A7" s="63"/>
      <c r="B7" s="229"/>
      <c r="C7" s="241">
        <v>1612</v>
      </c>
      <c r="D7" s="245" t="s">
        <v>3945</v>
      </c>
      <c r="E7" s="304">
        <f ca="1">_xlfn.IFNA(VLOOKUP(C7,Worksheet!$C$3:$G$46,3,FALSE),E7)</f>
        <v>0</v>
      </c>
      <c r="F7" s="304">
        <f ca="1">_xlfn.IFNA(VLOOKUP(C7,Worksheet!$C$3:$G$46,4,FALSE),F7)</f>
        <v>0</v>
      </c>
      <c r="G7" s="304">
        <f ca="1">_xlfn.IFNA(VLOOKUP(C7,Worksheet!$C$3:$G$46,5,FALSE),G7)</f>
        <v>0</v>
      </c>
      <c r="H7" s="210" t="s">
        <v>91</v>
      </c>
      <c r="I7" s="63"/>
      <c r="J7" s="65"/>
      <c r="K7" s="59" t="s">
        <v>89</v>
      </c>
      <c r="L7" s="346" t="s">
        <v>3967</v>
      </c>
      <c r="M7" s="347"/>
      <c r="N7" s="138"/>
      <c r="O7" s="138"/>
      <c r="P7" s="78">
        <v>0</v>
      </c>
      <c r="Q7" s="138"/>
      <c r="R7" s="139"/>
      <c r="S7" s="138"/>
      <c r="T7" s="138"/>
      <c r="U7" s="78">
        <v>0</v>
      </c>
      <c r="V7" s="138"/>
      <c r="W7" s="139"/>
      <c r="X7" s="138"/>
      <c r="Y7" s="138"/>
      <c r="Z7" s="78">
        <v>0</v>
      </c>
      <c r="AA7" s="138"/>
      <c r="AB7" s="138"/>
      <c r="AC7" s="80">
        <v>0</v>
      </c>
      <c r="AD7" s="81" t="e">
        <v>#DIV/0!</v>
      </c>
    </row>
    <row r="8" spans="1:30" ht="40.15" customHeight="1" x14ac:dyDescent="0.25">
      <c r="A8" s="63"/>
      <c r="B8" s="229"/>
      <c r="C8" s="241">
        <v>1613</v>
      </c>
      <c r="D8" s="245" t="s">
        <v>3924</v>
      </c>
      <c r="E8" s="304" t="str">
        <f ca="1">_xlfn.IFNA(VLOOKUP(C8,Worksheet!$C$3:$G$46,3,FALSE),E8)</f>
        <v>2,12</v>
      </c>
      <c r="F8" s="304" t="str">
        <f ca="1">_xlfn.IFNA(VLOOKUP(C8,Worksheet!$C$3:$G$46,4,FALSE),F8)</f>
        <v>2,9</v>
      </c>
      <c r="G8" s="304" t="str">
        <f ca="1">_xlfn.IFNA(VLOOKUP(C8,Worksheet!$C$3:$G$46,5,FALSE),G8)</f>
        <v>2,13</v>
      </c>
      <c r="H8" s="210" t="s">
        <v>91</v>
      </c>
      <c r="I8" s="63"/>
      <c r="J8" s="70"/>
      <c r="K8" s="58" t="s">
        <v>79</v>
      </c>
      <c r="L8" s="359" t="s">
        <v>3968</v>
      </c>
      <c r="M8" s="360"/>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29"/>
      <c r="C9" s="241">
        <v>1614</v>
      </c>
      <c r="D9" s="286" t="s">
        <v>3994</v>
      </c>
      <c r="E9" s="304">
        <f ca="1">_xlfn.IFNA(VLOOKUP(C9,Worksheet!$C$3:$G$46,3,FALSE),E9)</f>
        <v>11</v>
      </c>
      <c r="F9" s="304">
        <f ca="1">_xlfn.IFNA(VLOOKUP(C9,Worksheet!$C$3:$G$46,4,FALSE),F9)</f>
        <v>9</v>
      </c>
      <c r="G9" s="304">
        <f ca="1">_xlfn.IFNA(VLOOKUP(C9,Worksheet!$C$3:$G$46,5,FALSE),G9)</f>
        <v>12</v>
      </c>
      <c r="H9" s="210" t="s">
        <v>91</v>
      </c>
      <c r="I9" s="63"/>
      <c r="J9" s="70"/>
      <c r="K9" s="59" t="s">
        <v>79</v>
      </c>
      <c r="L9" s="346" t="s">
        <v>88</v>
      </c>
      <c r="M9" s="347"/>
      <c r="N9" s="138"/>
      <c r="O9" s="138"/>
      <c r="P9" s="78">
        <v>0</v>
      </c>
      <c r="Q9" s="138"/>
      <c r="R9" s="139"/>
      <c r="S9" s="138"/>
      <c r="T9" s="138"/>
      <c r="U9" s="78">
        <v>0</v>
      </c>
      <c r="V9" s="138"/>
      <c r="W9" s="139"/>
      <c r="X9" s="138"/>
      <c r="Y9" s="138"/>
      <c r="Z9" s="78">
        <v>0</v>
      </c>
      <c r="AA9" s="138"/>
      <c r="AB9" s="138"/>
      <c r="AC9" s="80">
        <v>0</v>
      </c>
      <c r="AD9" s="81" t="e">
        <v>#DIV/0!</v>
      </c>
    </row>
    <row r="10" spans="1:30" ht="40.15" customHeight="1" x14ac:dyDescent="0.25">
      <c r="A10" s="63"/>
      <c r="B10" s="229"/>
      <c r="C10" s="241">
        <v>1615</v>
      </c>
      <c r="D10" s="245" t="s">
        <v>3946</v>
      </c>
      <c r="E10" s="304">
        <f ca="1">_xlfn.IFNA(VLOOKUP(C10,Worksheet!$C$3:$G$46,3,FALSE),E10)</f>
        <v>50700</v>
      </c>
      <c r="F10" s="304">
        <f ca="1">_xlfn.IFNA(VLOOKUP(C10,Worksheet!$C$3:$G$46,4,FALSE),F10)</f>
        <v>47658</v>
      </c>
      <c r="G10" s="304">
        <f ca="1">_xlfn.IFNA(VLOOKUP(C10,Worksheet!$C$3:$G$46,5,FALSE),G10)</f>
        <v>40560</v>
      </c>
      <c r="H10" s="210" t="s">
        <v>91</v>
      </c>
      <c r="I10" s="63"/>
      <c r="J10" s="70"/>
      <c r="K10" s="126" t="s">
        <v>83</v>
      </c>
      <c r="L10" s="361" t="s">
        <v>3970</v>
      </c>
      <c r="M10" s="362"/>
      <c r="N10" s="127">
        <v>0</v>
      </c>
      <c r="O10" s="71">
        <v>0</v>
      </c>
      <c r="P10" s="71">
        <v>0</v>
      </c>
      <c r="Q10" s="71">
        <v>0</v>
      </c>
      <c r="R10" s="71">
        <v>0</v>
      </c>
      <c r="S10" s="127">
        <v>0</v>
      </c>
      <c r="T10" s="71">
        <v>0</v>
      </c>
      <c r="U10" s="71">
        <v>0</v>
      </c>
      <c r="V10" s="71">
        <v>0</v>
      </c>
      <c r="W10" s="71">
        <v>0</v>
      </c>
      <c r="X10" s="127">
        <v>0</v>
      </c>
      <c r="Y10" s="71">
        <v>0</v>
      </c>
      <c r="Z10" s="71">
        <v>0</v>
      </c>
      <c r="AA10" s="71">
        <v>0</v>
      </c>
      <c r="AB10" s="71">
        <v>0</v>
      </c>
      <c r="AC10" s="129">
        <v>0</v>
      </c>
      <c r="AD10" s="130" t="e">
        <v>#DIV/0!</v>
      </c>
    </row>
    <row r="11" spans="1:30" ht="50.45" customHeight="1" x14ac:dyDescent="0.25">
      <c r="A11" s="63"/>
      <c r="B11" s="229"/>
      <c r="C11" s="241">
        <v>1616</v>
      </c>
      <c r="D11" s="245" t="s">
        <v>3995</v>
      </c>
      <c r="E11" s="304">
        <f ca="1">_xlfn.IFNA(VLOOKUP(C11,Worksheet!$C$3:$G$46,3,FALSE),E11)</f>
        <v>542</v>
      </c>
      <c r="F11" s="304">
        <f ca="1">_xlfn.IFNA(VLOOKUP(C11,Worksheet!$C$3:$G$46,4,FALSE),F11)</f>
        <v>584</v>
      </c>
      <c r="G11" s="304">
        <f ca="1">_xlfn.IFNA(VLOOKUP(C11,Worksheet!$C$3:$G$46,5,FALSE),G11)</f>
        <v>421</v>
      </c>
      <c r="H11" s="210" t="s">
        <v>91</v>
      </c>
      <c r="I11" s="63"/>
      <c r="J11" s="65"/>
      <c r="K11" s="125" t="s">
        <v>83</v>
      </c>
      <c r="L11" s="363" t="s">
        <v>3971</v>
      </c>
      <c r="M11" s="364"/>
      <c r="N11" s="140"/>
      <c r="O11" s="141"/>
      <c r="P11" s="71">
        <v>0</v>
      </c>
      <c r="Q11" s="141"/>
      <c r="R11" s="71">
        <v>0</v>
      </c>
      <c r="S11" s="140"/>
      <c r="T11" s="141"/>
      <c r="U11" s="71">
        <v>0</v>
      </c>
      <c r="V11" s="141"/>
      <c r="W11" s="71">
        <v>0</v>
      </c>
      <c r="X11" s="140"/>
      <c r="Y11" s="141"/>
      <c r="Z11" s="71">
        <v>0</v>
      </c>
      <c r="AA11" s="141"/>
      <c r="AB11" s="71">
        <v>0</v>
      </c>
      <c r="AC11" s="128">
        <v>0</v>
      </c>
      <c r="AD11" s="131" t="e">
        <v>#DIV/0!</v>
      </c>
    </row>
    <row r="12" spans="1:30" ht="48.6" customHeight="1" x14ac:dyDescent="0.25">
      <c r="A12" s="63"/>
      <c r="B12" s="229"/>
      <c r="C12" s="241">
        <v>1621</v>
      </c>
      <c r="D12" s="245" t="s">
        <v>3996</v>
      </c>
      <c r="E12" s="304">
        <f ca="1">_xlfn.IFNA(VLOOKUP(C12,Worksheet!$C$3:$G$46,3,FALSE),E12)</f>
        <v>542</v>
      </c>
      <c r="F12" s="304">
        <f ca="1">_xlfn.IFNA(VLOOKUP(C12,Worksheet!$C$3:$G$46,4,FALSE),F12)</f>
        <v>584</v>
      </c>
      <c r="G12" s="304">
        <f ca="1">_xlfn.IFNA(VLOOKUP(C12,Worksheet!$C$3:$G$46,5,FALSE),G12)</f>
        <v>421</v>
      </c>
      <c r="H12" s="210" t="s">
        <v>91</v>
      </c>
      <c r="I12" s="63"/>
      <c r="J12" s="65"/>
      <c r="K12" s="132" t="s">
        <v>83</v>
      </c>
      <c r="L12" s="355" t="s">
        <v>3972</v>
      </c>
      <c r="M12" s="365"/>
      <c r="N12" s="77">
        <v>0</v>
      </c>
      <c r="O12" s="78">
        <v>0</v>
      </c>
      <c r="P12" s="78">
        <v>0</v>
      </c>
      <c r="Q12" s="78">
        <v>0</v>
      </c>
      <c r="R12" s="78">
        <v>0</v>
      </c>
      <c r="S12" s="77">
        <v>0</v>
      </c>
      <c r="T12" s="78">
        <v>0</v>
      </c>
      <c r="U12" s="78">
        <v>0</v>
      </c>
      <c r="V12" s="78">
        <v>0</v>
      </c>
      <c r="W12" s="78">
        <v>0</v>
      </c>
      <c r="X12" s="77">
        <v>0</v>
      </c>
      <c r="Y12" s="78">
        <v>0</v>
      </c>
      <c r="Z12" s="78">
        <v>0</v>
      </c>
      <c r="AA12" s="78">
        <v>0</v>
      </c>
      <c r="AB12" s="78">
        <v>0</v>
      </c>
      <c r="AC12" s="133">
        <v>0</v>
      </c>
      <c r="AD12" s="134" t="e">
        <v>#DIV/0!</v>
      </c>
    </row>
    <row r="13" spans="1:30" ht="48.6" customHeight="1" x14ac:dyDescent="0.25">
      <c r="A13" s="63"/>
      <c r="B13" s="229"/>
      <c r="C13" s="241">
        <v>1622</v>
      </c>
      <c r="D13" s="245" t="s">
        <v>3997</v>
      </c>
      <c r="E13" s="304">
        <f ca="1">_xlfn.IFNA(VLOOKUP(C13,Worksheet!$C$3:$G$46,3,FALSE),E13)</f>
        <v>542</v>
      </c>
      <c r="F13" s="304">
        <f ca="1">_xlfn.IFNA(VLOOKUP(C13,Worksheet!$C$3:$G$46,4,FALSE),F13)</f>
        <v>584</v>
      </c>
      <c r="G13" s="304">
        <f ca="1">_xlfn.IFNA(VLOOKUP(C13,Worksheet!$C$3:$G$46,5,FALSE),G13)</f>
        <v>421</v>
      </c>
      <c r="H13" s="210" t="s">
        <v>91</v>
      </c>
      <c r="I13" s="63"/>
      <c r="J13" s="65"/>
      <c r="K13" s="60" t="s">
        <v>86</v>
      </c>
      <c r="L13" s="353" t="s">
        <v>87</v>
      </c>
      <c r="M13" s="358"/>
      <c r="N13" s="82">
        <v>0</v>
      </c>
      <c r="O13" s="83">
        <v>0</v>
      </c>
      <c r="P13" s="83">
        <v>0</v>
      </c>
      <c r="Q13" s="83">
        <v>0</v>
      </c>
      <c r="R13" s="83">
        <v>0</v>
      </c>
      <c r="S13" s="82">
        <v>0</v>
      </c>
      <c r="T13" s="83">
        <v>0</v>
      </c>
      <c r="U13" s="83">
        <v>0</v>
      </c>
      <c r="V13" s="83">
        <v>0</v>
      </c>
      <c r="W13" s="84">
        <v>0</v>
      </c>
      <c r="X13" s="83">
        <v>0</v>
      </c>
      <c r="Y13" s="83">
        <v>0</v>
      </c>
      <c r="Z13" s="83">
        <v>0</v>
      </c>
      <c r="AA13" s="83">
        <v>0</v>
      </c>
      <c r="AB13" s="83">
        <v>0</v>
      </c>
      <c r="AC13" s="135">
        <v>0</v>
      </c>
      <c r="AD13" s="136" t="e">
        <v>#DIV/0!</v>
      </c>
    </row>
    <row r="14" spans="1:30" ht="40.15" customHeight="1" x14ac:dyDescent="0.25">
      <c r="A14" s="63"/>
      <c r="B14" s="229"/>
      <c r="C14" s="241">
        <v>1623</v>
      </c>
      <c r="D14" s="245" t="s">
        <v>3998</v>
      </c>
      <c r="E14" s="304">
        <f ca="1">_xlfn.IFNA(VLOOKUP(C14,Worksheet!$C$3:$G$46,3,FALSE),E14)</f>
        <v>374</v>
      </c>
      <c r="F14" s="304">
        <f ca="1">_xlfn.IFNA(VLOOKUP(C14,Worksheet!$C$3:$G$46,4,FALSE),F14)</f>
        <v>508</v>
      </c>
      <c r="G14" s="304">
        <f ca="1">_xlfn.IFNA(VLOOKUP(C14,Worksheet!$C$3:$G$46,5,FALSE),G14)</f>
        <v>352</v>
      </c>
      <c r="H14" s="210" t="s">
        <v>91</v>
      </c>
      <c r="I14" s="63"/>
      <c r="J14" s="70"/>
      <c r="K14" s="59" t="s">
        <v>84</v>
      </c>
      <c r="L14" s="355" t="s">
        <v>85</v>
      </c>
      <c r="M14" s="356"/>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9"/>
      <c r="C15" s="241">
        <v>1624</v>
      </c>
      <c r="D15" s="245" t="s">
        <v>3999</v>
      </c>
      <c r="E15" s="304">
        <f ca="1">_xlfn.IFNA(VLOOKUP(C15,Worksheet!$C$3:$G$46,3,FALSE),E15)</f>
        <v>175</v>
      </c>
      <c r="F15" s="304">
        <f ca="1">_xlfn.IFNA(VLOOKUP(C15,Worksheet!$C$3:$G$46,4,FALSE),F15)</f>
        <v>52</v>
      </c>
      <c r="G15" s="304">
        <f ca="1">_xlfn.IFNA(VLOOKUP(C15,Worksheet!$C$3:$G$46,5,FALSE),G15)</f>
        <v>121</v>
      </c>
      <c r="H15" s="210" t="s">
        <v>91</v>
      </c>
      <c r="I15" s="63"/>
      <c r="J15" s="70"/>
      <c r="K15" s="60" t="s">
        <v>90</v>
      </c>
      <c r="L15" s="353" t="s">
        <v>74</v>
      </c>
      <c r="M15" s="354"/>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9"/>
      <c r="C16" s="241">
        <v>1625</v>
      </c>
      <c r="D16" s="245" t="s">
        <v>3947</v>
      </c>
      <c r="E16" s="304">
        <f ca="1">_xlfn.IFNA(VLOOKUP(C16,Worksheet!$C$3:$G$46,3,FALSE),E16)</f>
        <v>542</v>
      </c>
      <c r="F16" s="304">
        <f ca="1">_xlfn.IFNA(VLOOKUP(C16,Worksheet!$C$3:$G$46,4,FALSE),F16)</f>
        <v>584</v>
      </c>
      <c r="G16" s="304">
        <f ca="1">_xlfn.IFNA(VLOOKUP(C16,Worksheet!$C$3:$G$46,5,FALSE),G16)</f>
        <v>421</v>
      </c>
      <c r="H16" s="210" t="s">
        <v>91</v>
      </c>
      <c r="I16" s="63"/>
      <c r="J16" s="70"/>
      <c r="K16" s="60" t="s">
        <v>91</v>
      </c>
      <c r="L16" s="353" t="s">
        <v>75</v>
      </c>
      <c r="M16" s="354"/>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9"/>
      <c r="C17" s="241"/>
      <c r="D17" s="248" t="s">
        <v>4000</v>
      </c>
      <c r="E17" s="249"/>
      <c r="F17" s="249"/>
      <c r="G17" s="250"/>
      <c r="H17" s="210" t="s">
        <v>91</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15" customHeight="1" x14ac:dyDescent="0.3">
      <c r="A18" s="63"/>
      <c r="B18" s="229"/>
      <c r="C18" s="241">
        <v>1631</v>
      </c>
      <c r="D18" s="245" t="s">
        <v>3948</v>
      </c>
      <c r="E18" s="304">
        <f ca="1">_xlfn.IFNA(VLOOKUP(C18,Worksheet!$C$3:$G$46,3,FALSE),E18)</f>
        <v>3</v>
      </c>
      <c r="F18" s="304">
        <f ca="1">_xlfn.IFNA(VLOOKUP(C18,Worksheet!$C$3:$G$46,4,FALSE),F18)</f>
        <v>0</v>
      </c>
      <c r="G18" s="304">
        <f ca="1">_xlfn.IFNA(VLOOKUP(C18,Worksheet!$C$3:$G$46,5,FALSE),G18)</f>
        <v>5</v>
      </c>
      <c r="H18" s="210" t="s">
        <v>91</v>
      </c>
      <c r="I18" s="63"/>
      <c r="J18" s="65"/>
      <c r="K18" s="357" t="s">
        <v>563</v>
      </c>
      <c r="L18" s="357"/>
      <c r="M18" s="95" t="s">
        <v>4021</v>
      </c>
      <c r="N18" s="212"/>
      <c r="O18" s="213"/>
      <c r="P18" s="213"/>
      <c r="Q18" s="213"/>
      <c r="R18" s="306" t="s">
        <v>561</v>
      </c>
      <c r="S18" s="96" t="s">
        <v>4023</v>
      </c>
      <c r="T18" s="214"/>
      <c r="U18" s="352" t="s">
        <v>562</v>
      </c>
      <c r="V18" s="352"/>
      <c r="W18" s="98" t="s">
        <v>4024</v>
      </c>
      <c r="X18" s="215"/>
      <c r="Y18" s="88"/>
      <c r="Z18" s="88"/>
      <c r="AA18" s="88"/>
      <c r="AB18" s="88"/>
      <c r="AC18" s="63"/>
      <c r="AD18" s="63"/>
    </row>
    <row r="19" spans="1:30" ht="40.15" customHeight="1" x14ac:dyDescent="0.3">
      <c r="A19" s="63"/>
      <c r="B19" s="229"/>
      <c r="C19" s="241">
        <v>1632</v>
      </c>
      <c r="D19" s="245" t="s">
        <v>3949</v>
      </c>
      <c r="E19" s="304">
        <f ca="1">_xlfn.IFNA(VLOOKUP(C19,Worksheet!$C$3:$G$46,3,FALSE),E19)</f>
        <v>8</v>
      </c>
      <c r="F19" s="304">
        <f ca="1">_xlfn.IFNA(VLOOKUP(C19,Worksheet!$C$3:$G$46,4,FALSE),F19)</f>
        <v>9</v>
      </c>
      <c r="G19" s="304">
        <f ca="1">_xlfn.IFNA(VLOOKUP(C19,Worksheet!$C$3:$G$46,5,FALSE),G19)</f>
        <v>7</v>
      </c>
      <c r="H19" s="210" t="s">
        <v>91</v>
      </c>
      <c r="I19" s="63"/>
      <c r="J19" s="65"/>
      <c r="K19" s="351" t="s">
        <v>61</v>
      </c>
      <c r="L19" s="351"/>
      <c r="M19" s="95" t="s">
        <v>4022</v>
      </c>
      <c r="N19" s="211"/>
      <c r="O19" s="211"/>
      <c r="P19" s="211"/>
      <c r="Q19" s="211"/>
      <c r="R19" s="306" t="s">
        <v>561</v>
      </c>
      <c r="S19" s="97" t="s">
        <v>4025</v>
      </c>
      <c r="T19" s="214"/>
      <c r="U19" s="352" t="s">
        <v>562</v>
      </c>
      <c r="V19" s="352"/>
      <c r="W19" s="98"/>
      <c r="X19" s="215"/>
      <c r="Y19" s="63"/>
      <c r="Z19" s="63"/>
      <c r="AA19" s="63"/>
      <c r="AB19" s="63"/>
      <c r="AC19" s="63"/>
      <c r="AD19" s="63"/>
    </row>
    <row r="20" spans="1:30" ht="40.15" customHeight="1" x14ac:dyDescent="0.25">
      <c r="A20" s="63"/>
      <c r="B20" s="229"/>
      <c r="C20" s="241">
        <v>1633</v>
      </c>
      <c r="D20" s="245" t="s">
        <v>3950</v>
      </c>
      <c r="E20" s="304">
        <f ca="1">_xlfn.IFNA(VLOOKUP(C20,Worksheet!$C$3:$G$46,3,FALSE),E20)</f>
        <v>450</v>
      </c>
      <c r="F20" s="304">
        <f ca="1">_xlfn.IFNA(VLOOKUP(C20,Worksheet!$C$3:$G$46,4,FALSE),F20)</f>
        <v>500</v>
      </c>
      <c r="G20" s="304">
        <f ca="1">_xlfn.IFNA(VLOOKUP(C20,Worksheet!$C$3:$G$46,5,FALSE),G20)</f>
        <v>344</v>
      </c>
      <c r="H20" s="210"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9"/>
      <c r="C21" s="241">
        <v>1634</v>
      </c>
      <c r="D21" s="245" t="s">
        <v>3951</v>
      </c>
      <c r="E21" s="304">
        <f ca="1">_xlfn.IFNA(VLOOKUP(C21,Worksheet!$C$3:$G$46,3,FALSE),E21)</f>
        <v>46</v>
      </c>
      <c r="F21" s="304">
        <f ca="1">_xlfn.IFNA(VLOOKUP(C21,Worksheet!$C$3:$G$46,4,FALSE),F21)</f>
        <v>50</v>
      </c>
      <c r="G21" s="304">
        <f ca="1">_xlfn.IFNA(VLOOKUP(C21,Worksheet!$C$3:$G$46,5,FALSE),G21)</f>
        <v>44</v>
      </c>
      <c r="H21" s="210"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9"/>
      <c r="C22" s="241">
        <v>1635</v>
      </c>
      <c r="D22" s="245" t="s">
        <v>3952</v>
      </c>
      <c r="E22" s="304">
        <f ca="1">_xlfn.IFNA(VLOOKUP(C22,Worksheet!$C$3:$G$46,3,FALSE),E22)</f>
        <v>374</v>
      </c>
      <c r="F22" s="304">
        <f ca="1">_xlfn.IFNA(VLOOKUP(C22,Worksheet!$C$3:$G$46,4,FALSE),F22)</f>
        <v>508</v>
      </c>
      <c r="G22" s="304">
        <f ca="1">_xlfn.IFNA(VLOOKUP(C22,Worksheet!$C$3:$G$46,5,FALSE),G22)</f>
        <v>352</v>
      </c>
      <c r="H22" s="210"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9"/>
      <c r="C23" s="241">
        <v>1641</v>
      </c>
      <c r="D23" s="245" t="s">
        <v>4001</v>
      </c>
      <c r="E23" s="304">
        <f ca="1">_xlfn.IFNA(VLOOKUP(C23,Worksheet!$C$3:$G$46,3,FALSE),E23)</f>
        <v>11</v>
      </c>
      <c r="F23" s="304">
        <f ca="1">_xlfn.IFNA(VLOOKUP(C23,Worksheet!$C$3:$G$46,4,FALSE),F23)</f>
        <v>9</v>
      </c>
      <c r="G23" s="304">
        <f ca="1">_xlfn.IFNA(VLOOKUP(C23,Worksheet!$C$3:$G$46,5,FALSE),G23)</f>
        <v>12</v>
      </c>
      <c r="H23" s="210" t="s">
        <v>91</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15" customHeight="1" x14ac:dyDescent="0.25">
      <c r="A24" s="63"/>
      <c r="B24" s="229"/>
      <c r="C24" s="241">
        <v>1642</v>
      </c>
      <c r="D24" s="245" t="s">
        <v>3952</v>
      </c>
      <c r="E24" s="304">
        <f ca="1">_xlfn.IFNA(VLOOKUP(C24,Worksheet!$C$3:$G$46,3,FALSE),E24)</f>
        <v>374</v>
      </c>
      <c r="F24" s="304">
        <f ca="1">_xlfn.IFNA(VLOOKUP(C24,Worksheet!$C$3:$G$46,4,FALSE),F24)</f>
        <v>508</v>
      </c>
      <c r="G24" s="304">
        <f ca="1">_xlfn.IFNA(VLOOKUP(C24,Worksheet!$C$3:$G$46,5,FALSE),G24)</f>
        <v>352</v>
      </c>
      <c r="H24" s="210" t="s">
        <v>91</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15" customHeight="1" x14ac:dyDescent="0.25">
      <c r="A25" s="63"/>
      <c r="B25" s="229"/>
      <c r="C25" s="241">
        <v>1643</v>
      </c>
      <c r="D25" s="245" t="s">
        <v>4002</v>
      </c>
      <c r="E25" s="304">
        <f ca="1">_xlfn.IFNA(VLOOKUP(C25,Worksheet!$C$3:$G$46,3,FALSE),E25)</f>
        <v>496</v>
      </c>
      <c r="F25" s="304">
        <f ca="1">_xlfn.IFNA(VLOOKUP(C25,Worksheet!$C$3:$G$46,4,FALSE),F25)</f>
        <v>550</v>
      </c>
      <c r="G25" s="304">
        <f ca="1">_xlfn.IFNA(VLOOKUP(C25,Worksheet!$C$3:$G$46,5,FALSE),G25)</f>
        <v>388</v>
      </c>
      <c r="H25" s="210" t="s">
        <v>91</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15" customHeight="1" x14ac:dyDescent="0.25">
      <c r="A26" s="63"/>
      <c r="B26" s="229"/>
      <c r="C26" s="241">
        <v>1644</v>
      </c>
      <c r="D26" s="245" t="s">
        <v>4003</v>
      </c>
      <c r="E26" s="304">
        <f ca="1">_xlfn.IFNA(VLOOKUP(C26,Worksheet!$C$3:$G$46,3,FALSE),E26)</f>
        <v>0</v>
      </c>
      <c r="F26" s="304">
        <f ca="1">_xlfn.IFNA(VLOOKUP(C26,Worksheet!$C$3:$G$46,4,FALSE),F26)</f>
        <v>0</v>
      </c>
      <c r="G26" s="304">
        <f ca="1">_xlfn.IFNA(VLOOKUP(C26,Worksheet!$C$3:$G$46,5,FALSE),G26)</f>
        <v>0</v>
      </c>
      <c r="H26" s="210"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9"/>
      <c r="C27" s="241">
        <v>1652</v>
      </c>
      <c r="D27" s="245" t="s">
        <v>3954</v>
      </c>
      <c r="E27" s="304">
        <f ca="1">_xlfn.IFNA(VLOOKUP(C27,Worksheet!$C$3:$G$46,3,FALSE),E27)</f>
        <v>11</v>
      </c>
      <c r="F27" s="304">
        <f ca="1">_xlfn.IFNA(VLOOKUP(C27,Worksheet!$C$3:$G$46,4,FALSE),F27)</f>
        <v>9</v>
      </c>
      <c r="G27" s="304">
        <f ca="1">_xlfn.IFNA(VLOOKUP(C27,Worksheet!$C$3:$G$46,5,FALSE),G27)</f>
        <v>12</v>
      </c>
      <c r="H27" s="210"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9"/>
      <c r="C28" s="241">
        <v>1653</v>
      </c>
      <c r="D28" s="245" t="s">
        <v>3955</v>
      </c>
      <c r="E28" s="304">
        <f ca="1">_xlfn.IFNA(VLOOKUP(C28,Worksheet!$C$3:$G$46,3,FALSE),E28)</f>
        <v>4047</v>
      </c>
      <c r="F28" s="304">
        <f ca="1">_xlfn.IFNA(VLOOKUP(C28,Worksheet!$C$3:$G$46,4,FALSE),F28)</f>
        <v>4047</v>
      </c>
      <c r="G28" s="304">
        <f ca="1">_xlfn.IFNA(VLOOKUP(C28,Worksheet!$C$3:$G$46,5,FALSE),G28)</f>
        <v>4047</v>
      </c>
      <c r="H28" s="210"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9"/>
      <c r="C29" s="241">
        <v>1655</v>
      </c>
      <c r="D29" s="245" t="s">
        <v>3957</v>
      </c>
      <c r="E29" s="304">
        <f ca="1">_xlfn.IFNA(VLOOKUP(C29,Worksheet!$C$3:$G$46,3,FALSE),E29)</f>
        <v>0</v>
      </c>
      <c r="F29" s="304">
        <f ca="1">_xlfn.IFNA(VLOOKUP(C29,Worksheet!$C$3:$G$46,4,FALSE),F29)</f>
        <v>0</v>
      </c>
      <c r="G29" s="304">
        <f ca="1">_xlfn.IFNA(VLOOKUP(C29,Worksheet!$C$3:$G$46,5,FALSE),G29)</f>
        <v>0</v>
      </c>
      <c r="H29" s="210"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9"/>
      <c r="C30" s="241">
        <v>1656</v>
      </c>
      <c r="D30" s="245" t="s">
        <v>3958</v>
      </c>
      <c r="E30" s="304">
        <f ca="1">_xlfn.IFNA(VLOOKUP(C30,Worksheet!$C$3:$G$46,3,FALSE),E30)</f>
        <v>0</v>
      </c>
      <c r="F30" s="304">
        <f ca="1">_xlfn.IFNA(VLOOKUP(C30,Worksheet!$C$3:$G$46,4,FALSE),F30)</f>
        <v>0</v>
      </c>
      <c r="G30" s="304">
        <f ca="1">_xlfn.IFNA(VLOOKUP(C30,Worksheet!$C$3:$G$46,5,FALSE),G30)</f>
        <v>0</v>
      </c>
      <c r="H30" s="210"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9"/>
      <c r="C31" s="241">
        <v>1658</v>
      </c>
      <c r="D31" s="245" t="s">
        <v>3960</v>
      </c>
      <c r="E31" s="304">
        <f ca="1">_xlfn.IFNA(VLOOKUP(C31,Worksheet!$C$3:$G$46,3,FALSE),E31)</f>
        <v>0</v>
      </c>
      <c r="F31" s="304">
        <f ca="1">_xlfn.IFNA(VLOOKUP(C31,Worksheet!$C$3:$G$46,4,FALSE),F31)</f>
        <v>0</v>
      </c>
      <c r="G31" s="304">
        <f ca="1">_xlfn.IFNA(VLOOKUP(C31,Worksheet!$C$3:$G$46,5,FALSE),G31)</f>
        <v>0</v>
      </c>
      <c r="H31" s="210"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9"/>
      <c r="C32" s="241">
        <v>1659</v>
      </c>
      <c r="D32" s="245" t="s">
        <v>3961</v>
      </c>
      <c r="E32" s="304">
        <f ca="1">_xlfn.IFNA(VLOOKUP(C32,Worksheet!$C$3:$G$46,3,FALSE),E32)</f>
        <v>0</v>
      </c>
      <c r="F32" s="304">
        <f ca="1">_xlfn.IFNA(VLOOKUP(C32,Worksheet!$C$3:$G$46,4,FALSE),F32)</f>
        <v>0</v>
      </c>
      <c r="G32" s="304">
        <f ca="1">_xlfn.IFNA(VLOOKUP(C32,Worksheet!$C$3:$G$46,5,FALSE),G32)</f>
        <v>0</v>
      </c>
      <c r="H32" s="210"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9"/>
      <c r="C33" s="241">
        <v>1661</v>
      </c>
      <c r="D33" s="245" t="s">
        <v>3963</v>
      </c>
      <c r="E33" s="304">
        <f ca="1">_xlfn.IFNA(VLOOKUP(C33,Worksheet!$C$3:$G$46,3,FALSE),E33)</f>
        <v>0</v>
      </c>
      <c r="F33" s="304">
        <f ca="1">_xlfn.IFNA(VLOOKUP(C33,Worksheet!$C$3:$G$46,4,FALSE),F33)</f>
        <v>0</v>
      </c>
      <c r="G33" s="304">
        <f ca="1">_xlfn.IFNA(VLOOKUP(C33,Worksheet!$C$3:$G$46,5,FALSE),G33)</f>
        <v>0</v>
      </c>
      <c r="H33" s="210"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9"/>
      <c r="C34" s="241">
        <v>1662</v>
      </c>
      <c r="D34" s="245" t="s">
        <v>3964</v>
      </c>
      <c r="E34" s="304">
        <f ca="1">_xlfn.IFNA(VLOOKUP(C34,Worksheet!$C$3:$G$46,3,FALSE),E34)</f>
        <v>0</v>
      </c>
      <c r="F34" s="304">
        <f ca="1">_xlfn.IFNA(VLOOKUP(C34,Worksheet!$C$3:$G$46,4,FALSE),F34)</f>
        <v>0</v>
      </c>
      <c r="G34" s="304">
        <f ca="1">_xlfn.IFNA(VLOOKUP(C34,Worksheet!$C$3:$G$46,5,FALSE),G34)</f>
        <v>0</v>
      </c>
      <c r="H34" s="210"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6"/>
      <c r="C35" s="216"/>
      <c r="D35" s="216"/>
      <c r="E35" s="216"/>
      <c r="F35" s="216"/>
      <c r="G35" s="216"/>
      <c r="H35" s="210"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6"/>
      <c r="C36" s="216"/>
      <c r="D36" s="216"/>
      <c r="E36" s="216"/>
      <c r="F36" s="216"/>
      <c r="G36" s="216"/>
      <c r="H36" s="210"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6"/>
      <c r="C37" s="216"/>
      <c r="D37" s="216"/>
      <c r="E37" s="216"/>
      <c r="F37" s="216"/>
      <c r="G37" s="216"/>
      <c r="H37" s="210"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6"/>
      <c r="C38" s="216"/>
      <c r="D38" s="216"/>
      <c r="E38" s="216"/>
      <c r="F38" s="216"/>
      <c r="G38" s="216"/>
      <c r="H38" s="210"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6"/>
      <c r="C39" s="216"/>
      <c r="D39" s="216"/>
      <c r="E39" s="216"/>
      <c r="F39" s="216"/>
      <c r="G39" s="216"/>
      <c r="H39" s="210"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6"/>
      <c r="C40" s="216"/>
      <c r="D40" s="216"/>
      <c r="E40" s="216"/>
      <c r="F40" s="216"/>
      <c r="G40" s="216"/>
      <c r="H40" s="210"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6"/>
      <c r="C41" s="216"/>
      <c r="D41" s="216"/>
      <c r="E41" s="216"/>
      <c r="F41" s="216"/>
      <c r="G41" s="216"/>
      <c r="H41" s="210"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6"/>
      <c r="C42" s="216"/>
      <c r="D42" s="216"/>
      <c r="E42" s="216"/>
      <c r="F42" s="216"/>
      <c r="G42" s="216"/>
      <c r="H42" s="210"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6"/>
      <c r="C43" s="216"/>
      <c r="D43" s="216"/>
      <c r="E43" s="216"/>
      <c r="F43" s="216"/>
      <c r="G43" s="216"/>
      <c r="H43" s="210"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6"/>
      <c r="C44" s="216"/>
      <c r="D44" s="216"/>
      <c r="E44" s="216"/>
      <c r="F44" s="216"/>
      <c r="G44" s="216"/>
      <c r="H44" s="210"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6"/>
      <c r="C45" s="216"/>
      <c r="D45" s="216"/>
      <c r="E45" s="216"/>
      <c r="F45" s="216"/>
      <c r="G45" s="216"/>
      <c r="H45" s="210"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6"/>
      <c r="C46" s="216"/>
      <c r="D46" s="216"/>
      <c r="E46" s="216"/>
      <c r="F46" s="216"/>
      <c r="G46" s="216"/>
      <c r="H46" s="210"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9"/>
      <c r="D47" s="218"/>
      <c r="E47" s="218"/>
      <c r="F47" s="218"/>
      <c r="G47" s="218"/>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8"/>
      <c r="E48" s="218"/>
      <c r="F48" s="218"/>
      <c r="G48" s="218"/>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8"/>
      <c r="E49" s="218"/>
      <c r="F49" s="218"/>
      <c r="G49" s="218"/>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8"/>
      <c r="E50" s="218"/>
      <c r="F50" s="218"/>
      <c r="G50" s="218"/>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8"/>
      <c r="E51" s="218"/>
      <c r="F51" s="218"/>
      <c r="G51" s="218"/>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8"/>
      <c r="E52" s="219"/>
      <c r="F52" s="219"/>
      <c r="G52" s="219"/>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8"/>
      <c r="E53" s="219"/>
      <c r="F53" s="219"/>
      <c r="G53" s="219"/>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8"/>
      <c r="E54" s="219"/>
      <c r="F54" s="219"/>
      <c r="G54" s="219"/>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8"/>
      <c r="E55" s="219"/>
      <c r="F55" s="219"/>
      <c r="G55" s="219"/>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8"/>
      <c r="E56" s="219"/>
      <c r="F56" s="219"/>
      <c r="G56" s="219"/>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8"/>
      <c r="E57" s="219"/>
      <c r="F57" s="219"/>
      <c r="G57" s="219"/>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8"/>
      <c r="E58" s="219"/>
      <c r="F58" s="219"/>
      <c r="G58" s="219"/>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8"/>
      <c r="E59" s="219"/>
      <c r="F59" s="219"/>
      <c r="G59" s="219"/>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8"/>
      <c r="E60" s="219"/>
      <c r="F60" s="219"/>
      <c r="G60" s="219"/>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8"/>
      <c r="E61" s="219"/>
      <c r="F61" s="219"/>
      <c r="G61" s="219"/>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8"/>
      <c r="E62" s="219"/>
      <c r="F62" s="219"/>
      <c r="G62" s="219"/>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8"/>
      <c r="E63" s="219"/>
      <c r="F63" s="219"/>
      <c r="G63" s="219"/>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8"/>
      <c r="E64" s="219"/>
      <c r="F64" s="219"/>
      <c r="G64" s="219"/>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8"/>
      <c r="E65" s="219"/>
      <c r="F65" s="219"/>
      <c r="G65" s="219"/>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8"/>
      <c r="E66" s="219"/>
      <c r="F66" s="219"/>
      <c r="G66" s="219"/>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8"/>
      <c r="E67" s="219"/>
      <c r="F67" s="219"/>
      <c r="G67" s="219"/>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8"/>
      <c r="E68" s="219"/>
      <c r="F68" s="219"/>
      <c r="G68" s="219"/>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8"/>
      <c r="E69" s="219"/>
      <c r="F69" s="219"/>
      <c r="G69" s="219"/>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8"/>
      <c r="E70" s="219"/>
      <c r="F70" s="219"/>
      <c r="G70" s="219"/>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8"/>
      <c r="E71" s="219"/>
      <c r="F71" s="219"/>
      <c r="G71" s="219"/>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8"/>
      <c r="E72" s="219"/>
      <c r="F72" s="219"/>
      <c r="G72" s="219"/>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8"/>
      <c r="E73" s="219"/>
      <c r="F73" s="219"/>
      <c r="G73" s="219"/>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8"/>
      <c r="E74" s="219"/>
      <c r="F74" s="219"/>
      <c r="G74" s="219"/>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8"/>
      <c r="E75" s="219"/>
      <c r="F75" s="219"/>
      <c r="G75" s="219"/>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8"/>
      <c r="E76" s="219"/>
      <c r="F76" s="219"/>
      <c r="G76" s="219"/>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8"/>
      <c r="E77" s="219"/>
      <c r="F77" s="219"/>
      <c r="G77" s="219"/>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8"/>
      <c r="E78" s="219"/>
      <c r="F78" s="219"/>
      <c r="G78" s="219"/>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8"/>
      <c r="E79" s="219"/>
      <c r="F79" s="219"/>
      <c r="G79" s="219"/>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8"/>
      <c r="E80" s="219"/>
      <c r="F80" s="219"/>
      <c r="G80" s="219"/>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8"/>
      <c r="E81" s="219"/>
      <c r="F81" s="219"/>
      <c r="G81" s="219"/>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8"/>
      <c r="E82" s="219"/>
      <c r="F82" s="219"/>
      <c r="G82" s="219"/>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8"/>
      <c r="E83" s="219"/>
      <c r="F83" s="219"/>
      <c r="G83" s="219"/>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8"/>
      <c r="E84" s="219"/>
      <c r="F84" s="219"/>
      <c r="G84" s="219"/>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8"/>
      <c r="E85" s="219"/>
      <c r="F85" s="219"/>
      <c r="G85" s="219"/>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8"/>
      <c r="E86" s="219"/>
      <c r="F86" s="219"/>
      <c r="G86" s="219"/>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8"/>
      <c r="E87" s="219"/>
      <c r="F87" s="219"/>
      <c r="G87" s="219"/>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8"/>
      <c r="E88" s="219"/>
      <c r="F88" s="219"/>
      <c r="G88" s="219"/>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8"/>
      <c r="E89" s="219"/>
      <c r="F89" s="219"/>
      <c r="G89" s="219"/>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8"/>
      <c r="E90" s="219"/>
      <c r="F90" s="219"/>
      <c r="G90" s="219"/>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8"/>
      <c r="E91" s="219"/>
      <c r="F91" s="219"/>
      <c r="G91" s="219"/>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8"/>
      <c r="E92" s="219"/>
      <c r="F92" s="219"/>
      <c r="G92" s="219"/>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8"/>
      <c r="E93" s="219"/>
      <c r="F93" s="219"/>
      <c r="G93" s="219"/>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8"/>
      <c r="E94" s="219"/>
      <c r="F94" s="219"/>
      <c r="G94" s="219"/>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8"/>
      <c r="E95" s="219"/>
      <c r="F95" s="219"/>
      <c r="G95" s="219"/>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8"/>
      <c r="E96" s="219"/>
      <c r="F96" s="219"/>
      <c r="G96" s="219"/>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8"/>
      <c r="E97" s="219"/>
      <c r="F97" s="219"/>
      <c r="G97" s="219"/>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8"/>
      <c r="E98" s="219"/>
      <c r="F98" s="219"/>
      <c r="G98" s="219"/>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8"/>
      <c r="E99" s="219"/>
      <c r="F99" s="219"/>
      <c r="G99" s="219"/>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8"/>
      <c r="E100" s="219"/>
      <c r="F100" s="219"/>
      <c r="G100" s="219"/>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8"/>
      <c r="E101" s="219"/>
      <c r="F101" s="219"/>
      <c r="G101" s="219"/>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8"/>
      <c r="E102" s="219"/>
      <c r="F102" s="219"/>
      <c r="G102" s="219"/>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8"/>
      <c r="E103" s="219"/>
      <c r="F103" s="219"/>
      <c r="G103" s="219"/>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8"/>
      <c r="E104" s="219"/>
      <c r="F104" s="219"/>
      <c r="G104" s="219"/>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8"/>
      <c r="E105" s="219"/>
      <c r="F105" s="219"/>
      <c r="G105" s="219"/>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8"/>
      <c r="E106" s="219"/>
      <c r="F106" s="219"/>
      <c r="G106" s="219"/>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8" customWidth="1"/>
    <col min="2" max="2" width="16.7109375" style="254" bestFit="1" customWidth="1"/>
    <col min="3" max="3" width="103.28515625" style="275" customWidth="1"/>
    <col min="4" max="4" width="12.28515625" style="283" customWidth="1"/>
    <col min="5" max="5" width="13" style="283" customWidth="1"/>
    <col min="6" max="6" width="14.7109375" style="283" customWidth="1"/>
    <col min="7" max="7" width="18.7109375" style="228" bestFit="1" customWidth="1"/>
    <col min="8" max="16384" width="8.85546875" style="64"/>
  </cols>
  <sheetData>
    <row r="1" spans="1:7" ht="45" customHeight="1" x14ac:dyDescent="0.25">
      <c r="A1" s="222" t="s">
        <v>3800</v>
      </c>
      <c r="B1" s="223" t="s">
        <v>4004</v>
      </c>
      <c r="C1" s="224" t="s">
        <v>3974</v>
      </c>
      <c r="D1" s="225"/>
      <c r="E1" s="226" t="s">
        <v>4005</v>
      </c>
      <c r="F1" s="227"/>
    </row>
    <row r="2" spans="1:7" ht="45" hidden="1" customHeight="1" x14ac:dyDescent="0.25">
      <c r="A2" s="229"/>
      <c r="B2" s="230" t="s">
        <v>150</v>
      </c>
      <c r="C2" s="231" t="s">
        <v>3975</v>
      </c>
      <c r="D2" s="231"/>
      <c r="E2" s="232"/>
      <c r="F2" s="303">
        <f ca="1">_xlfn.IFNA(VLOOKUP(B2,Worksheet!$C$3:$G$46,5,FALSE),F2)</f>
        <v>134</v>
      </c>
      <c r="G2" s="210" t="s">
        <v>150</v>
      </c>
    </row>
    <row r="3" spans="1:7" ht="45" hidden="1" customHeight="1" x14ac:dyDescent="0.25">
      <c r="A3" s="229"/>
      <c r="B3" s="233" t="s">
        <v>4006</v>
      </c>
      <c r="C3" s="231" t="s">
        <v>3976</v>
      </c>
      <c r="D3" s="231"/>
      <c r="E3" s="234"/>
      <c r="F3" s="303">
        <f ca="1">_xlfn.IFNA(VLOOKUP(B3,Worksheet!$C$3:$G$46,5,FALSE),F3)</f>
        <v>4</v>
      </c>
      <c r="G3" s="210" t="s">
        <v>150</v>
      </c>
    </row>
    <row r="4" spans="1:7" ht="45" hidden="1" customHeight="1" x14ac:dyDescent="0.25">
      <c r="A4" s="229"/>
      <c r="B4" s="233" t="s">
        <v>4007</v>
      </c>
      <c r="C4" s="231" t="s">
        <v>3977</v>
      </c>
      <c r="D4" s="235"/>
      <c r="E4" s="234"/>
      <c r="F4" s="303">
        <f ca="1">_xlfn.IFNA(VLOOKUP(B4,Worksheet!$C$3:$G$46,5,FALSE),F4)</f>
        <v>134</v>
      </c>
      <c r="G4" s="210" t="s">
        <v>150</v>
      </c>
    </row>
    <row r="5" spans="1:7" ht="45" hidden="1" customHeight="1" x14ac:dyDescent="0.25">
      <c r="A5" s="229"/>
      <c r="B5" s="233" t="s">
        <v>4008</v>
      </c>
      <c r="C5" s="231" t="s">
        <v>3978</v>
      </c>
      <c r="D5" s="231"/>
      <c r="E5" s="234"/>
      <c r="F5" s="303">
        <f ca="1">_xlfn.IFNA(VLOOKUP(B5,Worksheet!$C$3:$G$46,5,FALSE),F5)</f>
        <v>4</v>
      </c>
      <c r="G5" s="210" t="s">
        <v>150</v>
      </c>
    </row>
    <row r="6" spans="1:7" ht="45" hidden="1" customHeight="1" x14ac:dyDescent="0.25">
      <c r="A6" s="229"/>
      <c r="B6" s="236" t="s">
        <v>4009</v>
      </c>
      <c r="C6" s="237" t="s">
        <v>3979</v>
      </c>
      <c r="D6" s="238"/>
      <c r="E6" s="239"/>
      <c r="F6" s="240">
        <f ca="1">_xlfn.IFNA(VLOOKUP(F2,Data_donotedit!$BE$2:$BG$25,3,TRUE),0)</f>
        <v>61</v>
      </c>
      <c r="G6" s="210" t="s">
        <v>150</v>
      </c>
    </row>
    <row r="7" spans="1:7" ht="45" hidden="1" customHeight="1" x14ac:dyDescent="0.25">
      <c r="A7" s="229"/>
      <c r="B7" s="241"/>
      <c r="C7" s="242" t="s">
        <v>3980</v>
      </c>
      <c r="D7" s="243" t="s">
        <v>3981</v>
      </c>
      <c r="E7" s="243" t="s">
        <v>77</v>
      </c>
      <c r="F7" s="244" t="s">
        <v>78</v>
      </c>
      <c r="G7" s="210" t="s">
        <v>150</v>
      </c>
    </row>
    <row r="8" spans="1:7" ht="45" hidden="1" customHeight="1" x14ac:dyDescent="0.25">
      <c r="A8" s="229"/>
      <c r="B8" s="241">
        <v>1111</v>
      </c>
      <c r="C8" s="245" t="s">
        <v>3801</v>
      </c>
      <c r="D8" s="304">
        <f ca="1">_xlfn.IFNA(VLOOKUP(B8,Worksheet!$C$3:$G$46,3,FALSE),D8)</f>
        <v>1</v>
      </c>
      <c r="E8" s="304">
        <f ca="1">_xlfn.IFNA(VLOOKUP(B8,Worksheet!$C$3:$G$46,4,FALSE),E8)</f>
        <v>0</v>
      </c>
      <c r="F8" s="304">
        <f ca="1">_xlfn.IFNA(VLOOKUP(B8,Worksheet!$C$3:$G$46,5,FALSE),F8)</f>
        <v>0</v>
      </c>
      <c r="G8" s="210" t="s">
        <v>150</v>
      </c>
    </row>
    <row r="9" spans="1:7" ht="45" hidden="1" customHeight="1" x14ac:dyDescent="0.25">
      <c r="A9" s="229"/>
      <c r="B9" s="241">
        <v>1112</v>
      </c>
      <c r="C9" s="245" t="s">
        <v>3802</v>
      </c>
      <c r="D9" s="304">
        <f ca="1">_xlfn.IFNA(VLOOKUP(B9,Worksheet!$C$3:$G$46,3,FALSE),D9)</f>
        <v>1</v>
      </c>
      <c r="E9" s="304">
        <f ca="1">_xlfn.IFNA(VLOOKUP(B9,Worksheet!$C$3:$G$46,4,FALSE),E9)</f>
        <v>0</v>
      </c>
      <c r="F9" s="304">
        <f ca="1">_xlfn.IFNA(VLOOKUP(B9,Worksheet!$C$3:$G$46,5,FALSE),F9)</f>
        <v>0</v>
      </c>
      <c r="G9" s="210" t="s">
        <v>150</v>
      </c>
    </row>
    <row r="10" spans="1:7" ht="45" hidden="1" customHeight="1" x14ac:dyDescent="0.25">
      <c r="A10" s="229"/>
      <c r="B10" s="241">
        <v>1113</v>
      </c>
      <c r="C10" s="245" t="s">
        <v>3803</v>
      </c>
      <c r="D10" s="304" t="str">
        <f ca="1">_xlfn.IFNA(VLOOKUP(B10,Worksheet!$C$3:$G$46,3,FALSE),D10)</f>
        <v>4;51</v>
      </c>
      <c r="E10" s="304">
        <f ca="1">_xlfn.IFNA(VLOOKUP(B10,Worksheet!$C$3:$G$46,4,FALSE),E10)</f>
        <v>0</v>
      </c>
      <c r="F10" s="304">
        <f ca="1">_xlfn.IFNA(VLOOKUP(B10,Worksheet!$C$3:$G$46,5,FALSE),F10)</f>
        <v>0</v>
      </c>
      <c r="G10" s="210" t="s">
        <v>150</v>
      </c>
    </row>
    <row r="11" spans="1:7" ht="45" hidden="1" customHeight="1" x14ac:dyDescent="0.25">
      <c r="A11" s="229"/>
      <c r="B11" s="241">
        <v>1114</v>
      </c>
      <c r="C11" s="246" t="s">
        <v>3804</v>
      </c>
      <c r="D11" s="304">
        <f ca="1">_xlfn.IFNA(VLOOKUP(B11,Worksheet!$C$3:$G$46,3,FALSE),D11)</f>
        <v>51</v>
      </c>
      <c r="E11" s="304">
        <f ca="1">_xlfn.IFNA(VLOOKUP(B11,Worksheet!$C$3:$G$46,4,FALSE),E11)</f>
        <v>0</v>
      </c>
      <c r="F11" s="304">
        <f ca="1">_xlfn.IFNA(VLOOKUP(B11,Worksheet!$C$3:$G$46,5,FALSE),F11)</f>
        <v>0</v>
      </c>
      <c r="G11" s="210" t="s">
        <v>150</v>
      </c>
    </row>
    <row r="12" spans="1:7" ht="45" hidden="1" customHeight="1" x14ac:dyDescent="0.25">
      <c r="A12" s="229"/>
      <c r="B12" s="241">
        <v>1115</v>
      </c>
      <c r="C12" s="245" t="s">
        <v>3805</v>
      </c>
      <c r="D12" s="304">
        <f ca="1">_xlfn.IFNA(VLOOKUP(B12,Worksheet!$C$3:$G$46,3,FALSE),D12)</f>
        <v>51</v>
      </c>
      <c r="E12" s="304">
        <f ca="1">_xlfn.IFNA(VLOOKUP(B12,Worksheet!$C$3:$G$46,4,FALSE),E12)</f>
        <v>0</v>
      </c>
      <c r="F12" s="304">
        <f ca="1">_xlfn.IFNA(VLOOKUP(B12,Worksheet!$C$3:$G$46,5,FALSE),F12)</f>
        <v>0</v>
      </c>
      <c r="G12" s="210" t="s">
        <v>150</v>
      </c>
    </row>
    <row r="13" spans="1:7" ht="45" hidden="1" customHeight="1" x14ac:dyDescent="0.25">
      <c r="A13" s="229" t="s">
        <v>3806</v>
      </c>
      <c r="B13" s="241">
        <v>1116</v>
      </c>
      <c r="C13" s="245" t="s">
        <v>3807</v>
      </c>
      <c r="D13" s="304">
        <f ca="1">_xlfn.IFNA(VLOOKUP(B13,Worksheet!$C$3:$G$46,3,FALSE),D13)</f>
        <v>134</v>
      </c>
      <c r="E13" s="304">
        <f ca="1">_xlfn.IFNA(VLOOKUP(B13,Worksheet!$C$3:$G$46,4,FALSE),E13)</f>
        <v>0</v>
      </c>
      <c r="F13" s="304">
        <f ca="1">_xlfn.IFNA(VLOOKUP(B13,Worksheet!$C$3:$G$46,5,FALSE),F13)</f>
        <v>0</v>
      </c>
      <c r="G13" s="210" t="s">
        <v>150</v>
      </c>
    </row>
    <row r="14" spans="1:7" ht="45" hidden="1" customHeight="1" x14ac:dyDescent="0.25">
      <c r="A14" s="229"/>
      <c r="B14" s="241">
        <v>1117</v>
      </c>
      <c r="C14" s="245" t="s">
        <v>3808</v>
      </c>
      <c r="D14" s="304">
        <f ca="1">_xlfn.IFNA(VLOOKUP(B14,Worksheet!$C$3:$G$46,3,FALSE),D14)</f>
        <v>134</v>
      </c>
      <c r="E14" s="304">
        <f ca="1">_xlfn.IFNA(VLOOKUP(B14,Worksheet!$C$3:$G$46,4,FALSE),E14)</f>
        <v>0</v>
      </c>
      <c r="F14" s="304">
        <f ca="1">_xlfn.IFNA(VLOOKUP(B14,Worksheet!$C$3:$G$46,5,FALSE),F14)</f>
        <v>0</v>
      </c>
      <c r="G14" s="210" t="s">
        <v>150</v>
      </c>
    </row>
    <row r="15" spans="1:7" ht="45" hidden="1" customHeight="1" x14ac:dyDescent="0.25">
      <c r="A15" s="229">
        <v>1116</v>
      </c>
      <c r="B15" s="241">
        <v>1121</v>
      </c>
      <c r="C15" s="246" t="str">
        <f>C13</f>
        <v xml:space="preserve">How many HTC clients have a completed Client intake form </v>
      </c>
      <c r="D15" s="305">
        <f ca="1">D13</f>
        <v>134</v>
      </c>
      <c r="E15" s="305">
        <f t="shared" ref="E15:F15" ca="1" si="0">E13</f>
        <v>0</v>
      </c>
      <c r="F15" s="305">
        <f t="shared" ca="1" si="0"/>
        <v>0</v>
      </c>
      <c r="G15" s="210"/>
    </row>
    <row r="16" spans="1:7" ht="45" hidden="1" customHeight="1" x14ac:dyDescent="0.25">
      <c r="A16" s="229"/>
      <c r="B16" s="241">
        <v>1122</v>
      </c>
      <c r="C16" s="246" t="s">
        <v>3809</v>
      </c>
      <c r="D16" s="304">
        <f ca="1">_xlfn.IFNA(VLOOKUP(B16,Worksheet!$C$3:$G$46,3,FALSE),D16)</f>
        <v>134</v>
      </c>
      <c r="E16" s="304">
        <f ca="1">_xlfn.IFNA(VLOOKUP(B16,Worksheet!$C$3:$G$46,4,FALSE),E16)</f>
        <v>0</v>
      </c>
      <c r="F16" s="304">
        <f ca="1">_xlfn.IFNA(VLOOKUP(B16,Worksheet!$C$3:$G$46,5,FALSE),F16)</f>
        <v>0</v>
      </c>
      <c r="G16" s="210" t="s">
        <v>150</v>
      </c>
    </row>
    <row r="17" spans="1:7" ht="45" hidden="1" customHeight="1" x14ac:dyDescent="0.25">
      <c r="A17" s="229"/>
      <c r="B17" s="241">
        <v>1123</v>
      </c>
      <c r="C17" s="245" t="s">
        <v>3810</v>
      </c>
      <c r="D17" s="304">
        <f ca="1">_xlfn.IFNA(VLOOKUP(B17,Worksheet!$C$3:$G$46,3,FALSE),D17)</f>
        <v>51</v>
      </c>
      <c r="E17" s="304">
        <f ca="1">_xlfn.IFNA(VLOOKUP(B17,Worksheet!$C$3:$G$46,4,FALSE),E17)</f>
        <v>0</v>
      </c>
      <c r="F17" s="304">
        <f ca="1">_xlfn.IFNA(VLOOKUP(B17,Worksheet!$C$3:$G$46,5,FALSE),F17)</f>
        <v>0</v>
      </c>
      <c r="G17" s="210" t="s">
        <v>150</v>
      </c>
    </row>
    <row r="18" spans="1:7" ht="45" hidden="1" customHeight="1" x14ac:dyDescent="0.25">
      <c r="A18" s="229"/>
      <c r="B18" s="241">
        <v>1124</v>
      </c>
      <c r="C18" s="245" t="s">
        <v>3811</v>
      </c>
      <c r="D18" s="304">
        <f ca="1">_xlfn.IFNA(VLOOKUP(B18,Worksheet!$C$3:$G$46,3,FALSE),D18)</f>
        <v>51</v>
      </c>
      <c r="E18" s="304">
        <f ca="1">_xlfn.IFNA(VLOOKUP(B18,Worksheet!$C$3:$G$46,4,FALSE),E18)</f>
        <v>0</v>
      </c>
      <c r="F18" s="304">
        <f ca="1">_xlfn.IFNA(VLOOKUP(B18,Worksheet!$C$3:$G$46,5,FALSE),F18)</f>
        <v>0</v>
      </c>
      <c r="G18" s="210" t="s">
        <v>150</v>
      </c>
    </row>
    <row r="19" spans="1:7" ht="45" hidden="1" customHeight="1" x14ac:dyDescent="0.25">
      <c r="A19" s="229"/>
      <c r="B19" s="241">
        <v>1125</v>
      </c>
      <c r="C19" s="245" t="s">
        <v>3812</v>
      </c>
      <c r="D19" s="304">
        <f ca="1">_xlfn.IFNA(VLOOKUP(B19,Worksheet!$C$3:$G$46,3,FALSE),D19)</f>
        <v>121</v>
      </c>
      <c r="E19" s="304">
        <f ca="1">_xlfn.IFNA(VLOOKUP(B19,Worksheet!$C$3:$G$46,4,FALSE),E19)</f>
        <v>0</v>
      </c>
      <c r="F19" s="304">
        <f ca="1">_xlfn.IFNA(VLOOKUP(B19,Worksheet!$C$3:$G$46,5,FALSE),F19)</f>
        <v>0</v>
      </c>
      <c r="G19" s="210" t="s">
        <v>150</v>
      </c>
    </row>
    <row r="20" spans="1:7" ht="45" hidden="1" customHeight="1" x14ac:dyDescent="0.25">
      <c r="A20" s="229"/>
      <c r="B20" s="241">
        <v>1126</v>
      </c>
      <c r="C20" s="245" t="s">
        <v>3813</v>
      </c>
      <c r="D20" s="304">
        <f ca="1">_xlfn.IFNA(VLOOKUP(B20,Worksheet!$C$3:$G$46,3,FALSE),D20)</f>
        <v>0</v>
      </c>
      <c r="E20" s="304">
        <f ca="1">_xlfn.IFNA(VLOOKUP(B20,Worksheet!$C$3:$G$46,4,FALSE),E20)</f>
        <v>0</v>
      </c>
      <c r="F20" s="304">
        <f ca="1">_xlfn.IFNA(VLOOKUP(B20,Worksheet!$C$3:$G$46,5,FALSE),F20)</f>
        <v>0</v>
      </c>
      <c r="G20" s="210" t="s">
        <v>150</v>
      </c>
    </row>
    <row r="21" spans="1:7" ht="45" hidden="1" customHeight="1" x14ac:dyDescent="0.25">
      <c r="A21" s="229"/>
      <c r="B21" s="241">
        <v>1127</v>
      </c>
      <c r="C21" s="245" t="s">
        <v>3814</v>
      </c>
      <c r="D21" s="304">
        <f ca="1">_xlfn.IFNA(VLOOKUP(B21,Worksheet!$C$3:$G$46,3,FALSE),D21)</f>
        <v>121</v>
      </c>
      <c r="E21" s="304">
        <f ca="1">_xlfn.IFNA(VLOOKUP(B21,Worksheet!$C$3:$G$46,4,FALSE),E21)</f>
        <v>0</v>
      </c>
      <c r="F21" s="304">
        <f ca="1">_xlfn.IFNA(VLOOKUP(B21,Worksheet!$C$3:$G$46,5,FALSE),F21)</f>
        <v>0</v>
      </c>
      <c r="G21" s="210" t="s">
        <v>150</v>
      </c>
    </row>
    <row r="22" spans="1:7" ht="45" hidden="1" customHeight="1" x14ac:dyDescent="0.25">
      <c r="A22" s="229"/>
      <c r="B22" s="241"/>
      <c r="C22" s="248" t="s">
        <v>3982</v>
      </c>
      <c r="D22" s="249"/>
      <c r="E22" s="249"/>
      <c r="F22" s="250"/>
      <c r="G22" s="210" t="s">
        <v>150</v>
      </c>
    </row>
    <row r="23" spans="1:7" ht="45" hidden="1" customHeight="1" x14ac:dyDescent="0.25">
      <c r="A23" s="229"/>
      <c r="B23" s="241">
        <v>1131</v>
      </c>
      <c r="C23" s="245" t="s">
        <v>3815</v>
      </c>
      <c r="D23" s="304">
        <f ca="1">_xlfn.IFNA(VLOOKUP(B23,Worksheet!$C$3:$G$46,3,FALSE),D23)</f>
        <v>41</v>
      </c>
      <c r="E23" s="304">
        <f ca="1">_xlfn.IFNA(VLOOKUP(B23,Worksheet!$C$3:$G$46,4,FALSE),E23)</f>
        <v>0</v>
      </c>
      <c r="F23" s="304">
        <f ca="1">_xlfn.IFNA(VLOOKUP(B23,Worksheet!$C$3:$G$46,5,FALSE),F23)</f>
        <v>0</v>
      </c>
      <c r="G23" s="210" t="s">
        <v>150</v>
      </c>
    </row>
    <row r="24" spans="1:7" ht="45" hidden="1" customHeight="1" x14ac:dyDescent="0.25">
      <c r="A24" s="229"/>
      <c r="B24" s="241">
        <v>1132</v>
      </c>
      <c r="C24" s="245" t="s">
        <v>3816</v>
      </c>
      <c r="D24" s="304">
        <f ca="1">_xlfn.IFNA(VLOOKUP(B24,Worksheet!$C$3:$G$46,3,FALSE),D24)</f>
        <v>93</v>
      </c>
      <c r="E24" s="304">
        <f ca="1">_xlfn.IFNA(VLOOKUP(B24,Worksheet!$C$3:$G$46,4,FALSE),E24)</f>
        <v>0</v>
      </c>
      <c r="F24" s="304">
        <f ca="1">_xlfn.IFNA(VLOOKUP(B24,Worksheet!$C$3:$G$46,5,FALSE),F24)</f>
        <v>0</v>
      </c>
      <c r="G24" s="210" t="s">
        <v>150</v>
      </c>
    </row>
    <row r="25" spans="1:7" ht="45" hidden="1" customHeight="1" x14ac:dyDescent="0.25">
      <c r="A25" s="229"/>
      <c r="B25" s="241">
        <v>1133</v>
      </c>
      <c r="C25" s="245" t="s">
        <v>3817</v>
      </c>
      <c r="D25" s="304">
        <f ca="1">_xlfn.IFNA(VLOOKUP(B25,Worksheet!$C$3:$G$46,3,FALSE),D25)</f>
        <v>41</v>
      </c>
      <c r="E25" s="304">
        <f ca="1">_xlfn.IFNA(VLOOKUP(B25,Worksheet!$C$3:$G$46,4,FALSE),E25)</f>
        <v>0</v>
      </c>
      <c r="F25" s="304">
        <f ca="1">_xlfn.IFNA(VLOOKUP(B25,Worksheet!$C$3:$G$46,5,FALSE),F25)</f>
        <v>0</v>
      </c>
      <c r="G25" s="210" t="s">
        <v>150</v>
      </c>
    </row>
    <row r="26" spans="1:7" ht="45" hidden="1" customHeight="1" x14ac:dyDescent="0.25">
      <c r="A26" s="229"/>
      <c r="B26" s="241">
        <v>1134</v>
      </c>
      <c r="C26" s="245" t="s">
        <v>3818</v>
      </c>
      <c r="D26" s="304">
        <f ca="1">_xlfn.IFNA(VLOOKUP(B26,Worksheet!$C$3:$G$46,3,FALSE),D26)</f>
        <v>10</v>
      </c>
      <c r="E26" s="304">
        <f ca="1">_xlfn.IFNA(VLOOKUP(B26,Worksheet!$C$3:$G$46,4,FALSE),E26)</f>
        <v>0</v>
      </c>
      <c r="F26" s="304">
        <f ca="1">_xlfn.IFNA(VLOOKUP(B26,Worksheet!$C$3:$G$46,5,FALSE),F26)</f>
        <v>0</v>
      </c>
      <c r="G26" s="210" t="s">
        <v>150</v>
      </c>
    </row>
    <row r="27" spans="1:7" ht="45" hidden="1" customHeight="1" x14ac:dyDescent="0.25">
      <c r="A27" s="229"/>
      <c r="B27" s="241">
        <v>1135</v>
      </c>
      <c r="C27" s="245" t="s">
        <v>3819</v>
      </c>
      <c r="D27" s="304">
        <f ca="1">_xlfn.IFNA(VLOOKUP(B27,Worksheet!$C$3:$G$46,3,FALSE),D27)</f>
        <v>0</v>
      </c>
      <c r="E27" s="304">
        <f ca="1">_xlfn.IFNA(VLOOKUP(B27,Worksheet!$C$3:$G$46,4,FALSE),E27)</f>
        <v>0</v>
      </c>
      <c r="F27" s="304">
        <f ca="1">_xlfn.IFNA(VLOOKUP(B27,Worksheet!$C$3:$G$46,5,FALSE),F27)</f>
        <v>0</v>
      </c>
      <c r="G27" s="210" t="s">
        <v>150</v>
      </c>
    </row>
    <row r="28" spans="1:7" ht="45" hidden="1" customHeight="1" x14ac:dyDescent="0.25">
      <c r="A28" s="229"/>
      <c r="B28" s="241">
        <v>1136</v>
      </c>
      <c r="C28" s="245" t="s">
        <v>3820</v>
      </c>
      <c r="D28" s="304">
        <f ca="1">_xlfn.IFNA(VLOOKUP(B28,Worksheet!$C$3:$G$46,3,FALSE),D28)</f>
        <v>0</v>
      </c>
      <c r="E28" s="304">
        <f ca="1">_xlfn.IFNA(VLOOKUP(B28,Worksheet!$C$3:$G$46,4,FALSE),E28)</f>
        <v>0</v>
      </c>
      <c r="F28" s="304">
        <f ca="1">_xlfn.IFNA(VLOOKUP(B28,Worksheet!$C$3:$G$46,5,FALSE),F28)</f>
        <v>0</v>
      </c>
      <c r="G28" s="210" t="s">
        <v>150</v>
      </c>
    </row>
    <row r="29" spans="1:7" ht="45" hidden="1" customHeight="1" x14ac:dyDescent="0.25">
      <c r="A29" s="229"/>
      <c r="B29" s="241">
        <v>1137</v>
      </c>
      <c r="C29" s="245" t="s">
        <v>3821</v>
      </c>
      <c r="D29" s="304">
        <f ca="1">_xlfn.IFNA(VLOOKUP(B29,Worksheet!$C$3:$G$46,3,FALSE),D29)</f>
        <v>4</v>
      </c>
      <c r="E29" s="304">
        <f ca="1">_xlfn.IFNA(VLOOKUP(B29,Worksheet!$C$3:$G$46,4,FALSE),E29)</f>
        <v>0</v>
      </c>
      <c r="F29" s="304">
        <f ca="1">_xlfn.IFNA(VLOOKUP(B29,Worksheet!$C$3:$G$46,5,FALSE),F29)</f>
        <v>0</v>
      </c>
      <c r="G29" s="210" t="s">
        <v>150</v>
      </c>
    </row>
    <row r="30" spans="1:7" ht="45" hidden="1" customHeight="1" x14ac:dyDescent="0.25">
      <c r="A30" s="229"/>
      <c r="B30" s="241">
        <v>1138</v>
      </c>
      <c r="C30" s="245" t="s">
        <v>3822</v>
      </c>
      <c r="D30" s="304">
        <f ca="1">_xlfn.IFNA(VLOOKUP(B30,Worksheet!$C$3:$G$46,3,FALSE),D30)</f>
        <v>215</v>
      </c>
      <c r="E30" s="304">
        <f ca="1">_xlfn.IFNA(VLOOKUP(B30,Worksheet!$C$3:$G$46,4,FALSE),E30)</f>
        <v>0</v>
      </c>
      <c r="F30" s="304">
        <f ca="1">_xlfn.IFNA(VLOOKUP(B30,Worksheet!$C$3:$G$46,5,FALSE),F30)</f>
        <v>0</v>
      </c>
      <c r="G30" s="210" t="s">
        <v>150</v>
      </c>
    </row>
    <row r="31" spans="1:7" ht="45" hidden="1" customHeight="1" x14ac:dyDescent="0.25">
      <c r="A31" s="229">
        <v>1116</v>
      </c>
      <c r="B31" s="241">
        <v>1141</v>
      </c>
      <c r="C31" s="245" t="s">
        <v>3823</v>
      </c>
      <c r="D31" s="305">
        <f ca="1">D13</f>
        <v>134</v>
      </c>
      <c r="E31" s="305">
        <f ca="1">E13</f>
        <v>0</v>
      </c>
      <c r="F31" s="305">
        <f ca="1">F13</f>
        <v>0</v>
      </c>
      <c r="G31" s="210"/>
    </row>
    <row r="32" spans="1:7" ht="45" hidden="1" customHeight="1" x14ac:dyDescent="0.25">
      <c r="A32" s="229"/>
      <c r="B32" s="241">
        <v>1142</v>
      </c>
      <c r="C32" s="246" t="s">
        <v>3824</v>
      </c>
      <c r="D32" s="305">
        <f ca="1">D18</f>
        <v>51</v>
      </c>
      <c r="E32" s="305">
        <f ca="1">E18</f>
        <v>0</v>
      </c>
      <c r="F32" s="305">
        <f ca="1">F18</f>
        <v>0</v>
      </c>
      <c r="G32" s="210"/>
    </row>
    <row r="33" spans="1:7" ht="45" hidden="1" customHeight="1" x14ac:dyDescent="0.25">
      <c r="A33" s="229"/>
      <c r="B33" s="241">
        <v>1143</v>
      </c>
      <c r="C33" s="245" t="s">
        <v>3825</v>
      </c>
      <c r="D33" s="304">
        <f ca="1">_xlfn.IFNA(VLOOKUP(B33,Worksheet!$C$3:$G$46,3,FALSE),D33)</f>
        <v>51</v>
      </c>
      <c r="E33" s="304">
        <f ca="1">_xlfn.IFNA(VLOOKUP(B33,Worksheet!$C$3:$G$46,4,FALSE),E33)</f>
        <v>0</v>
      </c>
      <c r="F33" s="304">
        <f ca="1">_xlfn.IFNA(VLOOKUP(B33,Worksheet!$C$3:$G$46,5,FALSE),F33)</f>
        <v>0</v>
      </c>
      <c r="G33" s="210" t="s">
        <v>150</v>
      </c>
    </row>
    <row r="34" spans="1:7" ht="45" hidden="1" customHeight="1" x14ac:dyDescent="0.25">
      <c r="A34" s="229"/>
      <c r="B34" s="241">
        <v>1144</v>
      </c>
      <c r="C34" s="245" t="s">
        <v>3826</v>
      </c>
      <c r="D34" s="304">
        <f ca="1">_xlfn.IFNA(VLOOKUP(B34,Worksheet!$C$3:$G$46,3,FALSE),D34)</f>
        <v>220</v>
      </c>
      <c r="E34" s="304">
        <f ca="1">_xlfn.IFNA(VLOOKUP(B34,Worksheet!$C$3:$G$46,4,FALSE),E34)</f>
        <v>0</v>
      </c>
      <c r="F34" s="304">
        <f ca="1">_xlfn.IFNA(VLOOKUP(B34,Worksheet!$C$3:$G$46,5,FALSE),F34)</f>
        <v>0</v>
      </c>
      <c r="G34" s="210" t="s">
        <v>150</v>
      </c>
    </row>
    <row r="35" spans="1:7" ht="45" hidden="1" customHeight="1" x14ac:dyDescent="0.25">
      <c r="A35" s="229"/>
      <c r="B35" s="241">
        <v>1145</v>
      </c>
      <c r="C35" s="245" t="s">
        <v>3827</v>
      </c>
      <c r="D35" s="304">
        <f ca="1">_xlfn.IFNA(VLOOKUP(B35,Worksheet!$C$3:$G$46,3,FALSE),D35)</f>
        <v>346</v>
      </c>
      <c r="E35" s="304">
        <f ca="1">_xlfn.IFNA(VLOOKUP(B35,Worksheet!$C$3:$G$46,4,FALSE),E35)</f>
        <v>0</v>
      </c>
      <c r="F35" s="304">
        <f ca="1">_xlfn.IFNA(VLOOKUP(B35,Worksheet!$C$3:$G$46,5,FALSE),F35)</f>
        <v>0</v>
      </c>
      <c r="G35" s="210" t="s">
        <v>150</v>
      </c>
    </row>
    <row r="36" spans="1:7" ht="45" hidden="1" customHeight="1" x14ac:dyDescent="0.25">
      <c r="A36" s="229"/>
      <c r="B36" s="241">
        <v>1151</v>
      </c>
      <c r="C36" s="251" t="s">
        <v>3828</v>
      </c>
      <c r="D36" s="252">
        <f ca="1">D37/D38</f>
        <v>0.13225806451612904</v>
      </c>
      <c r="E36" s="252" t="e">
        <f t="shared" ref="E36:F36" ca="1" si="1">E37/E38</f>
        <v>#DIV/0!</v>
      </c>
      <c r="F36" s="252" t="e">
        <f t="shared" ca="1" si="1"/>
        <v>#DIV/0!</v>
      </c>
      <c r="G36" s="210"/>
    </row>
    <row r="37" spans="1:7" ht="45" hidden="1" customHeight="1" x14ac:dyDescent="0.25">
      <c r="A37" s="229"/>
      <c r="B37" s="241">
        <v>1152</v>
      </c>
      <c r="C37" s="245" t="s">
        <v>3829</v>
      </c>
      <c r="D37" s="304">
        <f ca="1">_xlfn.IFNA(VLOOKUP(B37,Worksheet!$C$3:$G$46,3,FALSE),D37)</f>
        <v>41</v>
      </c>
      <c r="E37" s="304">
        <f ca="1">_xlfn.IFNA(VLOOKUP(B37,Worksheet!$C$3:$G$46,4,FALSE),E37)</f>
        <v>0</v>
      </c>
      <c r="F37" s="304">
        <f ca="1">_xlfn.IFNA(VLOOKUP(B37,Worksheet!$C$3:$G$46,5,FALSE),F37)</f>
        <v>0</v>
      </c>
      <c r="G37" s="210" t="s">
        <v>150</v>
      </c>
    </row>
    <row r="38" spans="1:7" ht="45" hidden="1" customHeight="1" x14ac:dyDescent="0.25">
      <c r="A38" s="229"/>
      <c r="B38" s="241">
        <v>1153</v>
      </c>
      <c r="C38" s="245" t="s">
        <v>3830</v>
      </c>
      <c r="D38" s="304">
        <f ca="1">_xlfn.IFNA(VLOOKUP(B38,Worksheet!$C$3:$G$46,3,FALSE),D38)</f>
        <v>310</v>
      </c>
      <c r="E38" s="304">
        <f ca="1">_xlfn.IFNA(VLOOKUP(B38,Worksheet!$C$3:$G$46,4,FALSE),E38)</f>
        <v>0</v>
      </c>
      <c r="F38" s="304">
        <f ca="1">_xlfn.IFNA(VLOOKUP(B38,Worksheet!$C$3:$G$46,5,FALSE),F38)</f>
        <v>0</v>
      </c>
      <c r="G38" s="210" t="s">
        <v>150</v>
      </c>
    </row>
    <row r="39" spans="1:7" ht="45" hidden="1" customHeight="1" x14ac:dyDescent="0.25">
      <c r="A39" s="229"/>
      <c r="B39" s="241">
        <v>1154</v>
      </c>
      <c r="C39" s="251" t="s">
        <v>3831</v>
      </c>
      <c r="D39" s="252">
        <f ca="1">D40/D41</f>
        <v>0.53025936599423629</v>
      </c>
      <c r="E39" s="252" t="e">
        <f t="shared" ref="E39:F39" ca="1" si="2">E40/E41</f>
        <v>#DIV/0!</v>
      </c>
      <c r="F39" s="252" t="e">
        <f t="shared" ca="1" si="2"/>
        <v>#DIV/0!</v>
      </c>
      <c r="G39" s="210"/>
    </row>
    <row r="40" spans="1:7" ht="45" hidden="1" customHeight="1" x14ac:dyDescent="0.25">
      <c r="A40" s="229"/>
      <c r="B40" s="241">
        <v>1155</v>
      </c>
      <c r="C40" s="245" t="s">
        <v>3829</v>
      </c>
      <c r="D40" s="304">
        <f ca="1">_xlfn.IFNA(VLOOKUP(B40,Worksheet!$C$3:$G$46,3,FALSE),D40)</f>
        <v>184</v>
      </c>
      <c r="E40" s="304">
        <f ca="1">_xlfn.IFNA(VLOOKUP(B40,Worksheet!$C$3:$G$46,4,FALSE),E40)</f>
        <v>0</v>
      </c>
      <c r="F40" s="304">
        <f ca="1">_xlfn.IFNA(VLOOKUP(B40,Worksheet!$C$3:$G$46,5,FALSE),F40)</f>
        <v>0</v>
      </c>
      <c r="G40" s="210" t="s">
        <v>150</v>
      </c>
    </row>
    <row r="41" spans="1:7" ht="45" hidden="1" customHeight="1" x14ac:dyDescent="0.25">
      <c r="A41" s="229"/>
      <c r="B41" s="241">
        <v>1156</v>
      </c>
      <c r="C41" s="245" t="s">
        <v>3832</v>
      </c>
      <c r="D41" s="304">
        <f ca="1">_xlfn.IFNA(VLOOKUP(B41,Worksheet!$C$3:$G$46,3,FALSE),D41)</f>
        <v>347</v>
      </c>
      <c r="E41" s="304">
        <f ca="1">_xlfn.IFNA(VLOOKUP(B41,Worksheet!$C$3:$G$46,4,FALSE),E41)</f>
        <v>0</v>
      </c>
      <c r="F41" s="304">
        <f ca="1">_xlfn.IFNA(VLOOKUP(B41,Worksheet!$C$3:$G$46,5,FALSE),F41)</f>
        <v>0</v>
      </c>
      <c r="G41" s="210" t="s">
        <v>150</v>
      </c>
    </row>
    <row r="42" spans="1:7" ht="45" hidden="1" customHeight="1" x14ac:dyDescent="0.25">
      <c r="A42" s="229"/>
      <c r="B42" s="241">
        <v>1157</v>
      </c>
      <c r="C42" s="251" t="s">
        <v>3833</v>
      </c>
      <c r="D42" s="252">
        <f ca="1">D43/D44</f>
        <v>1</v>
      </c>
      <c r="E42" s="252" t="e">
        <f t="shared" ref="E42:F42" ca="1" si="3">E43/E44</f>
        <v>#DIV/0!</v>
      </c>
      <c r="F42" s="252" t="e">
        <f t="shared" ca="1" si="3"/>
        <v>#DIV/0!</v>
      </c>
      <c r="G42" s="210"/>
    </row>
    <row r="43" spans="1:7" ht="45" hidden="1" customHeight="1" x14ac:dyDescent="0.25">
      <c r="A43" s="229"/>
      <c r="B43" s="241">
        <v>1158</v>
      </c>
      <c r="C43" s="245" t="s">
        <v>3834</v>
      </c>
      <c r="D43" s="304">
        <f ca="1">_xlfn.IFNA(VLOOKUP(B43,Worksheet!$C$3:$G$46,3,FALSE),D43)</f>
        <v>26</v>
      </c>
      <c r="E43" s="304">
        <f ca="1">_xlfn.IFNA(VLOOKUP(B43,Worksheet!$C$3:$G$46,4,FALSE),E43)</f>
        <v>0</v>
      </c>
      <c r="F43" s="304">
        <f ca="1">_xlfn.IFNA(VLOOKUP(B43,Worksheet!$C$3:$G$46,5,FALSE),F43)</f>
        <v>0</v>
      </c>
      <c r="G43" s="210" t="s">
        <v>150</v>
      </c>
    </row>
    <row r="44" spans="1:7" s="253" customFormat="1" ht="45" hidden="1" customHeight="1" x14ac:dyDescent="0.25">
      <c r="A44" s="229"/>
      <c r="B44" s="241">
        <v>1159</v>
      </c>
      <c r="C44" s="245" t="s">
        <v>3835</v>
      </c>
      <c r="D44" s="304">
        <f ca="1">_xlfn.IFNA(VLOOKUP(B44,Worksheet!$C$3:$G$46,3,FALSE),D44)</f>
        <v>26</v>
      </c>
      <c r="E44" s="304">
        <f ca="1">_xlfn.IFNA(VLOOKUP(B44,Worksheet!$C$3:$G$46,4,FALSE),E44)</f>
        <v>0</v>
      </c>
      <c r="F44" s="304">
        <f ca="1">_xlfn.IFNA(VLOOKUP(B44,Worksheet!$C$3:$G$46,5,FALSE),F44)</f>
        <v>0</v>
      </c>
      <c r="G44" s="210" t="s">
        <v>150</v>
      </c>
    </row>
    <row r="45" spans="1:7" s="253" customFormat="1" ht="45" hidden="1" customHeight="1" x14ac:dyDescent="0.25">
      <c r="A45" s="229"/>
      <c r="B45" s="254"/>
      <c r="C45" s="255"/>
      <c r="D45" s="256"/>
      <c r="E45" s="257"/>
      <c r="F45" s="257"/>
      <c r="G45" s="210"/>
    </row>
    <row r="46" spans="1:7" s="253" customFormat="1" ht="45" hidden="1" customHeight="1" x14ac:dyDescent="0.25">
      <c r="A46" s="229"/>
      <c r="B46" s="258" t="s">
        <v>83</v>
      </c>
      <c r="C46" s="259" t="s">
        <v>3983</v>
      </c>
      <c r="D46" s="231"/>
      <c r="E46" s="234"/>
      <c r="F46" s="303">
        <f ca="1">_xlfn.IFNA(VLOOKUP(B46,Worksheet!$C$3:$G$46,5,FALSE),F46)</f>
        <v>124</v>
      </c>
      <c r="G46" s="210" t="s">
        <v>83</v>
      </c>
    </row>
    <row r="47" spans="1:7" s="253" customFormat="1" ht="45" hidden="1" customHeight="1" x14ac:dyDescent="0.25">
      <c r="A47" s="229"/>
      <c r="B47" s="260" t="s">
        <v>4010</v>
      </c>
      <c r="C47" s="231" t="s">
        <v>3971</v>
      </c>
      <c r="D47" s="235"/>
      <c r="E47" s="234"/>
      <c r="F47" s="303">
        <f ca="1">_xlfn.IFNA(VLOOKUP(B47,Worksheet!$C$3:$G$46,5,FALSE),F47)</f>
        <v>3</v>
      </c>
      <c r="G47" s="210" t="s">
        <v>83</v>
      </c>
    </row>
    <row r="48" spans="1:7" ht="45" hidden="1" customHeight="1" x14ac:dyDescent="0.25">
      <c r="A48" s="229"/>
      <c r="B48" s="260" t="s">
        <v>4011</v>
      </c>
      <c r="C48" s="231" t="s">
        <v>3972</v>
      </c>
      <c r="D48" s="231"/>
      <c r="E48" s="261"/>
      <c r="F48" s="303">
        <f ca="1">_xlfn.IFNA(VLOOKUP(B48,Worksheet!$C$3:$G$46,5,FALSE),F48)</f>
        <v>0</v>
      </c>
      <c r="G48" s="210" t="s">
        <v>83</v>
      </c>
    </row>
    <row r="49" spans="1:7" ht="45" hidden="1" customHeight="1" x14ac:dyDescent="0.25">
      <c r="A49" s="229"/>
      <c r="B49" s="262" t="s">
        <v>4012</v>
      </c>
      <c r="C49" s="263" t="s">
        <v>3984</v>
      </c>
      <c r="D49" s="238"/>
      <c r="E49" s="264"/>
      <c r="F49" s="240">
        <f ca="1">_xlfn.IFNA(VLOOKUP(F46,Data_donotedit!$BE$2:$BG$25,3,TRUE),0)</f>
        <v>61</v>
      </c>
      <c r="G49" s="210" t="s">
        <v>83</v>
      </c>
    </row>
    <row r="50" spans="1:7" ht="45" hidden="1" customHeight="1" x14ac:dyDescent="0.25">
      <c r="A50" s="229"/>
      <c r="B50" s="241"/>
      <c r="C50" s="265" t="s">
        <v>3836</v>
      </c>
      <c r="D50" s="243" t="s">
        <v>76</v>
      </c>
      <c r="E50" s="243" t="s">
        <v>77</v>
      </c>
      <c r="F50" s="244" t="s">
        <v>78</v>
      </c>
      <c r="G50" s="210" t="s">
        <v>83</v>
      </c>
    </row>
    <row r="51" spans="1:7" ht="45" hidden="1" customHeight="1" x14ac:dyDescent="0.25">
      <c r="A51" s="266" t="s">
        <v>3837</v>
      </c>
      <c r="B51" s="241">
        <v>1211</v>
      </c>
      <c r="C51" s="245" t="s">
        <v>3838</v>
      </c>
      <c r="D51" s="304">
        <f ca="1">_xlfn.IFNA(VLOOKUP(B51,Worksheet!$C$3:$G$46,3,FALSE),D51)</f>
        <v>0</v>
      </c>
      <c r="E51" s="304">
        <f ca="1">_xlfn.IFNA(VLOOKUP(B51,Worksheet!$C$3:$G$46,4,FALSE),E51)</f>
        <v>0</v>
      </c>
      <c r="F51" s="304">
        <f ca="1">_xlfn.IFNA(VLOOKUP(B51,Worksheet!$C$3:$G$46,5,FALSE),F51)</f>
        <v>0</v>
      </c>
      <c r="G51" s="210" t="s">
        <v>83</v>
      </c>
    </row>
    <row r="52" spans="1:7" ht="45" hidden="1" customHeight="1" x14ac:dyDescent="0.25">
      <c r="A52" s="266" t="s">
        <v>3839</v>
      </c>
      <c r="B52" s="241">
        <v>1212</v>
      </c>
      <c r="C52" s="245" t="s">
        <v>3840</v>
      </c>
      <c r="D52" s="304">
        <f ca="1">_xlfn.IFNA(VLOOKUP(B52,Worksheet!$C$3:$G$46,3,FALSE),D52)</f>
        <v>0</v>
      </c>
      <c r="E52" s="304">
        <f ca="1">_xlfn.IFNA(VLOOKUP(B52,Worksheet!$C$3:$G$46,4,FALSE),E52)</f>
        <v>0</v>
      </c>
      <c r="F52" s="304">
        <f ca="1">_xlfn.IFNA(VLOOKUP(B52,Worksheet!$C$3:$G$46,5,FALSE),F52)</f>
        <v>0</v>
      </c>
      <c r="G52" s="210" t="s">
        <v>83</v>
      </c>
    </row>
    <row r="53" spans="1:7" ht="45" hidden="1" customHeight="1" x14ac:dyDescent="0.25">
      <c r="A53" s="229"/>
      <c r="B53" s="241">
        <v>1213</v>
      </c>
      <c r="C53" s="245" t="s">
        <v>3841</v>
      </c>
      <c r="D53" s="304" t="str">
        <f ca="1">_xlfn.IFNA(VLOOKUP(B53,Worksheet!$C$3:$G$46,3,FALSE),D53)</f>
        <v>10;216</v>
      </c>
      <c r="E53" s="304">
        <f ca="1">_xlfn.IFNA(VLOOKUP(B53,Worksheet!$C$3:$G$46,4,FALSE),E53)</f>
        <v>0</v>
      </c>
      <c r="F53" s="304">
        <f ca="1">_xlfn.IFNA(VLOOKUP(B53,Worksheet!$C$3:$G$46,5,FALSE),F53)</f>
        <v>0</v>
      </c>
      <c r="G53" s="210" t="s">
        <v>83</v>
      </c>
    </row>
    <row r="54" spans="1:7" ht="45" hidden="1" customHeight="1" x14ac:dyDescent="0.25">
      <c r="A54" s="229"/>
      <c r="B54" s="241">
        <v>1214</v>
      </c>
      <c r="C54" s="267" t="s">
        <v>3842</v>
      </c>
      <c r="D54" s="304">
        <f ca="1">_xlfn.IFNA(VLOOKUP(B54,Worksheet!$C$3:$G$46,3,FALSE),D54)</f>
        <v>88</v>
      </c>
      <c r="E54" s="304">
        <f ca="1">_xlfn.IFNA(VLOOKUP(B54,Worksheet!$C$3:$G$46,4,FALSE),E54)</f>
        <v>0</v>
      </c>
      <c r="F54" s="304">
        <f ca="1">_xlfn.IFNA(VLOOKUP(B54,Worksheet!$C$3:$G$46,5,FALSE),F54)</f>
        <v>0</v>
      </c>
      <c r="G54" s="210" t="s">
        <v>83</v>
      </c>
    </row>
    <row r="55" spans="1:7" ht="45" hidden="1" customHeight="1" x14ac:dyDescent="0.25">
      <c r="A55" s="229"/>
      <c r="B55" s="241">
        <v>1215</v>
      </c>
      <c r="C55" s="245" t="s">
        <v>3843</v>
      </c>
      <c r="D55" s="304" t="str">
        <f ca="1">_xlfn.IFNA(VLOOKUP(B55,Worksheet!$C$3:$G$46,3,FALSE),D55)</f>
        <v>7/124</v>
      </c>
      <c r="E55" s="304">
        <f ca="1">_xlfn.IFNA(VLOOKUP(B55,Worksheet!$C$3:$G$46,4,FALSE),E55)</f>
        <v>0</v>
      </c>
      <c r="F55" s="304">
        <f ca="1">_xlfn.IFNA(VLOOKUP(B55,Worksheet!$C$3:$G$46,5,FALSE),F55)</f>
        <v>0</v>
      </c>
      <c r="G55" s="210" t="s">
        <v>83</v>
      </c>
    </row>
    <row r="56" spans="1:7" ht="45" hidden="1" customHeight="1" x14ac:dyDescent="0.25">
      <c r="A56" s="229"/>
      <c r="B56" s="241">
        <v>1216</v>
      </c>
      <c r="C56" s="246" t="s">
        <v>3844</v>
      </c>
      <c r="D56" s="304">
        <f ca="1">_xlfn.IFNA(VLOOKUP(B56,Worksheet!$C$3:$G$46,3,FALSE),D56)</f>
        <v>124</v>
      </c>
      <c r="E56" s="304">
        <f ca="1">_xlfn.IFNA(VLOOKUP(B56,Worksheet!$C$3:$G$46,4,FALSE),E56)</f>
        <v>0</v>
      </c>
      <c r="F56" s="304">
        <f ca="1">_xlfn.IFNA(VLOOKUP(B56,Worksheet!$C$3:$G$46,5,FALSE),F56)</f>
        <v>0</v>
      </c>
      <c r="G56" s="210" t="s">
        <v>83</v>
      </c>
    </row>
    <row r="57" spans="1:7" ht="45" hidden="1" customHeight="1" x14ac:dyDescent="0.25">
      <c r="A57" s="229"/>
      <c r="B57" s="241">
        <v>1217</v>
      </c>
      <c r="C57" s="246" t="s">
        <v>3845</v>
      </c>
      <c r="D57" s="304">
        <f ca="1">_xlfn.IFNA(VLOOKUP(B57,Worksheet!$C$3:$G$46,3,FALSE),D57)</f>
        <v>0</v>
      </c>
      <c r="E57" s="304">
        <f ca="1">_xlfn.IFNA(VLOOKUP(B57,Worksheet!$C$3:$G$46,4,FALSE),E57)</f>
        <v>0</v>
      </c>
      <c r="F57" s="304">
        <f ca="1">_xlfn.IFNA(VLOOKUP(B57,Worksheet!$C$3:$G$46,5,FALSE),F57)</f>
        <v>0</v>
      </c>
      <c r="G57" s="210" t="s">
        <v>83</v>
      </c>
    </row>
    <row r="58" spans="1:7" ht="45" hidden="1" customHeight="1" x14ac:dyDescent="0.25">
      <c r="A58" s="229"/>
      <c r="B58" s="241">
        <v>1218</v>
      </c>
      <c r="C58" s="246" t="s">
        <v>3846</v>
      </c>
      <c r="D58" s="304">
        <f ca="1">_xlfn.IFNA(VLOOKUP(B58,Worksheet!$C$3:$G$46,3,FALSE),D58)</f>
        <v>3</v>
      </c>
      <c r="E58" s="304">
        <f ca="1">_xlfn.IFNA(VLOOKUP(B58,Worksheet!$C$3:$G$46,4,FALSE),E58)</f>
        <v>0</v>
      </c>
      <c r="F58" s="304">
        <f ca="1">_xlfn.IFNA(VLOOKUP(B58,Worksheet!$C$3:$G$46,5,FALSE),F58)</f>
        <v>0</v>
      </c>
      <c r="G58" s="210" t="s">
        <v>83</v>
      </c>
    </row>
    <row r="59" spans="1:7" ht="45" hidden="1" customHeight="1" x14ac:dyDescent="0.25">
      <c r="A59" s="229"/>
      <c r="B59" s="241">
        <v>1221</v>
      </c>
      <c r="C59" s="267" t="s">
        <v>3847</v>
      </c>
      <c r="D59" s="304">
        <f ca="1">_xlfn.IFNA(VLOOKUP(B59,Worksheet!$C$3:$G$46,3,FALSE),D59)</f>
        <v>124</v>
      </c>
      <c r="E59" s="304">
        <f ca="1">_xlfn.IFNA(VLOOKUP(B59,Worksheet!$C$3:$G$46,4,FALSE),E59)</f>
        <v>0</v>
      </c>
      <c r="F59" s="304">
        <f ca="1">_xlfn.IFNA(VLOOKUP(B59,Worksheet!$C$3:$G$46,5,FALSE),F59)</f>
        <v>0</v>
      </c>
      <c r="G59" s="210" t="s">
        <v>83</v>
      </c>
    </row>
    <row r="60" spans="1:7" ht="45" hidden="1" customHeight="1" x14ac:dyDescent="0.25">
      <c r="A60" s="229"/>
      <c r="B60" s="241">
        <v>1222</v>
      </c>
      <c r="C60" s="267" t="s">
        <v>3848</v>
      </c>
      <c r="D60" s="304">
        <f ca="1">_xlfn.IFNA(VLOOKUP(B60,Worksheet!$C$3:$G$46,3,FALSE),D60)</f>
        <v>124</v>
      </c>
      <c r="E60" s="304">
        <f ca="1">_xlfn.IFNA(VLOOKUP(B60,Worksheet!$C$3:$G$46,4,FALSE),E60)</f>
        <v>0</v>
      </c>
      <c r="F60" s="304">
        <f ca="1">_xlfn.IFNA(VLOOKUP(B60,Worksheet!$C$3:$G$46,5,FALSE),F60)</f>
        <v>0</v>
      </c>
      <c r="G60" s="210" t="s">
        <v>83</v>
      </c>
    </row>
    <row r="61" spans="1:7" ht="45" hidden="1" customHeight="1" x14ac:dyDescent="0.25">
      <c r="A61" s="229"/>
      <c r="B61" s="241">
        <v>1223</v>
      </c>
      <c r="C61" s="267" t="s">
        <v>3849</v>
      </c>
      <c r="D61" s="304">
        <f ca="1">_xlfn.IFNA(VLOOKUP(B61,Worksheet!$C$3:$G$46,3,FALSE),D61)</f>
        <v>124</v>
      </c>
      <c r="E61" s="304">
        <f ca="1">_xlfn.IFNA(VLOOKUP(B61,Worksheet!$C$3:$G$46,4,FALSE),E61)</f>
        <v>0</v>
      </c>
      <c r="F61" s="304">
        <f ca="1">_xlfn.IFNA(VLOOKUP(B61,Worksheet!$C$3:$G$46,5,FALSE),F61)</f>
        <v>0</v>
      </c>
      <c r="G61" s="210" t="s">
        <v>83</v>
      </c>
    </row>
    <row r="62" spans="1:7" ht="54.6" hidden="1" customHeight="1" x14ac:dyDescent="0.25">
      <c r="A62" s="229"/>
      <c r="B62" s="241">
        <v>1224</v>
      </c>
      <c r="C62" s="267" t="s">
        <v>3850</v>
      </c>
      <c r="D62" s="304">
        <f ca="1">_xlfn.IFNA(VLOOKUP(B62,Worksheet!$C$3:$G$46,3,FALSE),D62)</f>
        <v>124</v>
      </c>
      <c r="E62" s="304">
        <f ca="1">_xlfn.IFNA(VLOOKUP(B62,Worksheet!$C$3:$G$46,4,FALSE),E62)</f>
        <v>0</v>
      </c>
      <c r="F62" s="304">
        <f ca="1">_xlfn.IFNA(VLOOKUP(B62,Worksheet!$C$3:$G$46,5,FALSE),F62)</f>
        <v>0</v>
      </c>
      <c r="G62" s="210" t="s">
        <v>83</v>
      </c>
    </row>
    <row r="63" spans="1:7" ht="66.599999999999994" hidden="1" customHeight="1" x14ac:dyDescent="0.25">
      <c r="A63" s="229"/>
      <c r="B63" s="241">
        <v>1225</v>
      </c>
      <c r="C63" s="267" t="s">
        <v>3851</v>
      </c>
      <c r="D63" s="304">
        <f ca="1">_xlfn.IFNA(VLOOKUP(B63,Worksheet!$C$3:$G$46,3,FALSE),D63)</f>
        <v>124</v>
      </c>
      <c r="E63" s="304">
        <f ca="1">_xlfn.IFNA(VLOOKUP(B63,Worksheet!$C$3:$G$46,4,FALSE),E63)</f>
        <v>0</v>
      </c>
      <c r="F63" s="304">
        <f ca="1">_xlfn.IFNA(VLOOKUP(B63,Worksheet!$C$3:$G$46,5,FALSE),F63)</f>
        <v>0</v>
      </c>
      <c r="G63" s="210" t="s">
        <v>83</v>
      </c>
    </row>
    <row r="64" spans="1:7" ht="45" hidden="1" customHeight="1" x14ac:dyDescent="0.25">
      <c r="A64" s="229"/>
      <c r="B64" s="241">
        <v>1226</v>
      </c>
      <c r="C64" s="267" t="s">
        <v>3852</v>
      </c>
      <c r="D64" s="304">
        <f ca="1">_xlfn.IFNA(VLOOKUP(B64,Worksheet!$C$3:$G$46,3,FALSE),D64)</f>
        <v>0</v>
      </c>
      <c r="E64" s="304">
        <f ca="1">_xlfn.IFNA(VLOOKUP(B64,Worksheet!$C$3:$G$46,4,FALSE),E64)</f>
        <v>0</v>
      </c>
      <c r="F64" s="304">
        <f ca="1">_xlfn.IFNA(VLOOKUP(B64,Worksheet!$C$3:$G$46,5,FALSE),F64)</f>
        <v>0</v>
      </c>
      <c r="G64" s="210" t="s">
        <v>83</v>
      </c>
    </row>
    <row r="65" spans="1:7" ht="45" hidden="1" customHeight="1" x14ac:dyDescent="0.25">
      <c r="A65" s="229"/>
      <c r="B65" s="241">
        <v>1227</v>
      </c>
      <c r="C65" s="267" t="s">
        <v>3853</v>
      </c>
      <c r="D65" s="304">
        <f ca="1">_xlfn.IFNA(VLOOKUP(B65,Worksheet!$C$3:$G$46,3,FALSE),D65)</f>
        <v>0</v>
      </c>
      <c r="E65" s="304">
        <f ca="1">_xlfn.IFNA(VLOOKUP(B65,Worksheet!$C$3:$G$46,4,FALSE),E65)</f>
        <v>0</v>
      </c>
      <c r="F65" s="304">
        <f ca="1">_xlfn.IFNA(VLOOKUP(B65,Worksheet!$C$3:$G$46,5,FALSE),F65)</f>
        <v>0</v>
      </c>
      <c r="G65" s="210" t="s">
        <v>83</v>
      </c>
    </row>
    <row r="66" spans="1:7" ht="45" hidden="1" customHeight="1" x14ac:dyDescent="0.25">
      <c r="A66" s="229"/>
      <c r="B66" s="241"/>
      <c r="C66" s="248" t="s">
        <v>3985</v>
      </c>
      <c r="D66" s="249"/>
      <c r="E66" s="249"/>
      <c r="F66" s="250"/>
      <c r="G66" s="210" t="s">
        <v>83</v>
      </c>
    </row>
    <row r="67" spans="1:7" ht="45" hidden="1" customHeight="1" x14ac:dyDescent="0.25">
      <c r="A67" s="229"/>
      <c r="B67" s="241">
        <v>1231</v>
      </c>
      <c r="C67" s="245" t="s">
        <v>3854</v>
      </c>
      <c r="D67" s="304">
        <f ca="1">_xlfn.IFNA(VLOOKUP(B67,Worksheet!$C$3:$G$46,3,FALSE),D67)</f>
        <v>115</v>
      </c>
      <c r="E67" s="304">
        <f ca="1">_xlfn.IFNA(VLOOKUP(B67,Worksheet!$C$3:$G$46,4,FALSE),E67)</f>
        <v>0</v>
      </c>
      <c r="F67" s="304">
        <f ca="1">_xlfn.IFNA(VLOOKUP(B67,Worksheet!$C$3:$G$46,5,FALSE),F67)</f>
        <v>0</v>
      </c>
      <c r="G67" s="210" t="s">
        <v>83</v>
      </c>
    </row>
    <row r="68" spans="1:7" ht="42" hidden="1" customHeight="1" x14ac:dyDescent="0.25">
      <c r="A68" s="229"/>
      <c r="B68" s="241">
        <v>1232</v>
      </c>
      <c r="C68" s="245" t="s">
        <v>3855</v>
      </c>
      <c r="D68" s="304">
        <f ca="1">_xlfn.IFNA(VLOOKUP(B68,Worksheet!$C$3:$G$46,3,FALSE),D68)</f>
        <v>0</v>
      </c>
      <c r="E68" s="304">
        <f ca="1">_xlfn.IFNA(VLOOKUP(B68,Worksheet!$C$3:$G$46,4,FALSE),E68)</f>
        <v>0</v>
      </c>
      <c r="F68" s="304">
        <f ca="1">_xlfn.IFNA(VLOOKUP(B68,Worksheet!$C$3:$G$46,5,FALSE),F68)</f>
        <v>0</v>
      </c>
      <c r="G68" s="210" t="s">
        <v>83</v>
      </c>
    </row>
    <row r="69" spans="1:7" ht="44.45" hidden="1" customHeight="1" x14ac:dyDescent="0.25">
      <c r="A69" s="229"/>
      <c r="B69" s="241">
        <v>1233</v>
      </c>
      <c r="C69" s="245" t="s">
        <v>3856</v>
      </c>
      <c r="D69" s="304">
        <f ca="1">_xlfn.IFNA(VLOOKUP(B69,Worksheet!$C$3:$G$46,3,FALSE),D69)</f>
        <v>0</v>
      </c>
      <c r="E69" s="304">
        <f ca="1">_xlfn.IFNA(VLOOKUP(B69,Worksheet!$C$3:$G$46,4,FALSE),E69)</f>
        <v>0</v>
      </c>
      <c r="F69" s="304">
        <f ca="1">_xlfn.IFNA(VLOOKUP(B69,Worksheet!$C$3:$G$46,5,FALSE),F69)</f>
        <v>0</v>
      </c>
      <c r="G69" s="210" t="s">
        <v>83</v>
      </c>
    </row>
    <row r="70" spans="1:7" ht="45" hidden="1" customHeight="1" x14ac:dyDescent="0.25">
      <c r="A70" s="229"/>
      <c r="B70" s="241">
        <v>1234</v>
      </c>
      <c r="C70" s="245" t="s">
        <v>3857</v>
      </c>
      <c r="D70" s="304">
        <f ca="1">_xlfn.IFNA(VLOOKUP(B70,Worksheet!$C$3:$G$46,3,FALSE),D70)</f>
        <v>0</v>
      </c>
      <c r="E70" s="304">
        <f ca="1">_xlfn.IFNA(VLOOKUP(B70,Worksheet!$C$3:$G$46,4,FALSE),E70)</f>
        <v>0</v>
      </c>
      <c r="F70" s="304">
        <f ca="1">_xlfn.IFNA(VLOOKUP(B70,Worksheet!$C$3:$G$46,5,FALSE),F70)</f>
        <v>0</v>
      </c>
      <c r="G70" s="210" t="s">
        <v>83</v>
      </c>
    </row>
    <row r="71" spans="1:7" ht="45" hidden="1" customHeight="1" x14ac:dyDescent="0.25">
      <c r="A71" s="229"/>
      <c r="B71" s="241">
        <v>1235</v>
      </c>
      <c r="C71" s="245" t="s">
        <v>3858</v>
      </c>
      <c r="D71" s="304">
        <f ca="1">_xlfn.IFNA(VLOOKUP(B71,Worksheet!$C$3:$G$46,3,FALSE),D71)</f>
        <v>121</v>
      </c>
      <c r="E71" s="304">
        <f ca="1">_xlfn.IFNA(VLOOKUP(B71,Worksheet!$C$3:$G$46,4,FALSE),E71)</f>
        <v>0</v>
      </c>
      <c r="F71" s="304">
        <f ca="1">_xlfn.IFNA(VLOOKUP(B71,Worksheet!$C$3:$G$46,5,FALSE),F71)</f>
        <v>0</v>
      </c>
      <c r="G71" s="210" t="s">
        <v>83</v>
      </c>
    </row>
    <row r="72" spans="1:7" ht="45" hidden="1" customHeight="1" x14ac:dyDescent="0.25">
      <c r="A72" s="229"/>
      <c r="B72" s="241">
        <v>1236</v>
      </c>
      <c r="C72" s="245" t="s">
        <v>3859</v>
      </c>
      <c r="D72" s="304">
        <f ca="1">_xlfn.IFNA(VLOOKUP(B72,Worksheet!$C$3:$G$46,3,FALSE),D72)</f>
        <v>5</v>
      </c>
      <c r="E72" s="304">
        <f ca="1">_xlfn.IFNA(VLOOKUP(B72,Worksheet!$C$3:$G$46,4,FALSE),E72)</f>
        <v>0</v>
      </c>
      <c r="F72" s="304">
        <f ca="1">_xlfn.IFNA(VLOOKUP(B72,Worksheet!$C$3:$G$46,5,FALSE),F72)</f>
        <v>0</v>
      </c>
      <c r="G72" s="210" t="s">
        <v>83</v>
      </c>
    </row>
    <row r="73" spans="1:7" ht="45" hidden="1" customHeight="1" x14ac:dyDescent="0.25">
      <c r="A73" s="229"/>
      <c r="B73" s="241">
        <v>1241</v>
      </c>
      <c r="C73" s="245" t="s">
        <v>3860</v>
      </c>
      <c r="D73" s="304">
        <f ca="1">_xlfn.IFNA(VLOOKUP(B73,Worksheet!$C$3:$G$46,3,FALSE),D73)</f>
        <v>216</v>
      </c>
      <c r="E73" s="304">
        <f ca="1">_xlfn.IFNA(VLOOKUP(B73,Worksheet!$C$3:$G$46,4,FALSE),E73)</f>
        <v>0</v>
      </c>
      <c r="F73" s="304">
        <f ca="1">_xlfn.IFNA(VLOOKUP(B73,Worksheet!$C$3:$G$46,5,FALSE),F73)</f>
        <v>0</v>
      </c>
      <c r="G73" s="210" t="s">
        <v>83</v>
      </c>
    </row>
    <row r="74" spans="1:7" ht="45" hidden="1" customHeight="1" x14ac:dyDescent="0.25">
      <c r="A74" s="229"/>
      <c r="B74" s="241">
        <v>1242</v>
      </c>
      <c r="C74" s="245" t="s">
        <v>3861</v>
      </c>
      <c r="D74" s="304">
        <f ca="1">_xlfn.IFNA(VLOOKUP(B74,Worksheet!$C$3:$G$46,3,FALSE),D74)</f>
        <v>0</v>
      </c>
      <c r="E74" s="304">
        <f ca="1">_xlfn.IFNA(VLOOKUP(B74,Worksheet!$C$3:$G$46,4,FALSE),E74)</f>
        <v>0</v>
      </c>
      <c r="F74" s="304">
        <f ca="1">_xlfn.IFNA(VLOOKUP(B74,Worksheet!$C$3:$G$46,5,FALSE),F74)</f>
        <v>0</v>
      </c>
      <c r="G74" s="210" t="s">
        <v>83</v>
      </c>
    </row>
    <row r="75" spans="1:7" ht="45" hidden="1" customHeight="1" x14ac:dyDescent="0.25">
      <c r="A75" s="229"/>
      <c r="B75" s="241">
        <v>1243</v>
      </c>
      <c r="C75" s="246" t="s">
        <v>3862</v>
      </c>
      <c r="D75" s="304">
        <f ca="1">_xlfn.IFNA(VLOOKUP(B75,Worksheet!$C$3:$G$46,3,FALSE),D75)</f>
        <v>124</v>
      </c>
      <c r="E75" s="304">
        <f ca="1">_xlfn.IFNA(VLOOKUP(B75,Worksheet!$C$3:$G$46,4,FALSE),E75)</f>
        <v>0</v>
      </c>
      <c r="F75" s="304">
        <f ca="1">_xlfn.IFNA(VLOOKUP(B75,Worksheet!$C$3:$G$46,5,FALSE),F75)</f>
        <v>0</v>
      </c>
      <c r="G75" s="210" t="s">
        <v>83</v>
      </c>
    </row>
    <row r="76" spans="1:7" ht="45" hidden="1" customHeight="1" x14ac:dyDescent="0.25">
      <c r="A76" s="229"/>
      <c r="B76" s="241">
        <v>1244</v>
      </c>
      <c r="C76" s="246" t="s">
        <v>3863</v>
      </c>
      <c r="D76" s="304">
        <f ca="1">_xlfn.IFNA(VLOOKUP(B76,Worksheet!$C$3:$G$46,3,FALSE),D76)</f>
        <v>0</v>
      </c>
      <c r="E76" s="304">
        <f ca="1">_xlfn.IFNA(VLOOKUP(B76,Worksheet!$C$3:$G$46,4,FALSE),E76)</f>
        <v>0</v>
      </c>
      <c r="F76" s="304">
        <f ca="1">_xlfn.IFNA(VLOOKUP(B76,Worksheet!$C$3:$G$46,5,FALSE),F76)</f>
        <v>0</v>
      </c>
      <c r="G76" s="210" t="s">
        <v>83</v>
      </c>
    </row>
    <row r="77" spans="1:7" ht="45" hidden="1" customHeight="1" x14ac:dyDescent="0.25">
      <c r="A77" s="229"/>
      <c r="B77" s="241">
        <v>1245</v>
      </c>
      <c r="C77" s="246" t="s">
        <v>3864</v>
      </c>
      <c r="D77" s="304">
        <f ca="1">_xlfn.IFNA(VLOOKUP(B77,Worksheet!$C$3:$G$46,3,FALSE),D77)</f>
        <v>245</v>
      </c>
      <c r="E77" s="304">
        <f ca="1">_xlfn.IFNA(VLOOKUP(B77,Worksheet!$C$3:$G$46,4,FALSE),E77)</f>
        <v>0</v>
      </c>
      <c r="F77" s="304">
        <f ca="1">_xlfn.IFNA(VLOOKUP(B77,Worksheet!$C$3:$G$46,5,FALSE),F77)</f>
        <v>0</v>
      </c>
      <c r="G77" s="210" t="s">
        <v>83</v>
      </c>
    </row>
    <row r="78" spans="1:7" ht="45" hidden="1" customHeight="1" x14ac:dyDescent="0.25">
      <c r="A78" s="229"/>
      <c r="B78" s="241">
        <v>1246</v>
      </c>
      <c r="C78" s="246" t="s">
        <v>3865</v>
      </c>
      <c r="D78" s="304">
        <f ca="1">_xlfn.IFNA(VLOOKUP(B78,Worksheet!$C$3:$G$46,3,FALSE),D78)</f>
        <v>0</v>
      </c>
      <c r="E78" s="304">
        <f ca="1">_xlfn.IFNA(VLOOKUP(B78,Worksheet!$C$3:$G$46,4,FALSE),E78)</f>
        <v>0</v>
      </c>
      <c r="F78" s="304">
        <f ca="1">_xlfn.IFNA(VLOOKUP(B78,Worksheet!$C$3:$G$46,5,FALSE),F78)</f>
        <v>0</v>
      </c>
      <c r="G78" s="210" t="s">
        <v>83</v>
      </c>
    </row>
    <row r="79" spans="1:7" ht="45" hidden="1" customHeight="1" x14ac:dyDescent="0.25">
      <c r="A79" s="229"/>
      <c r="B79" s="241">
        <v>1247</v>
      </c>
      <c r="C79" s="245" t="s">
        <v>3866</v>
      </c>
      <c r="D79" s="304">
        <f ca="1">_xlfn.IFNA(VLOOKUP(B79,Worksheet!$C$3:$G$46,3,FALSE),D79)</f>
        <v>0</v>
      </c>
      <c r="E79" s="304">
        <f ca="1">_xlfn.IFNA(VLOOKUP(B79,Worksheet!$C$3:$G$46,4,FALSE),E79)</f>
        <v>0</v>
      </c>
      <c r="F79" s="304">
        <f ca="1">_xlfn.IFNA(VLOOKUP(B79,Worksheet!$C$3:$G$46,5,FALSE),F79)</f>
        <v>0</v>
      </c>
      <c r="G79" s="210" t="s">
        <v>83</v>
      </c>
    </row>
    <row r="80" spans="1:7" ht="45" hidden="1" customHeight="1" x14ac:dyDescent="0.25">
      <c r="A80" s="229"/>
      <c r="B80" s="241">
        <v>1248</v>
      </c>
      <c r="C80" s="245" t="s">
        <v>3867</v>
      </c>
      <c r="D80" s="304">
        <f ca="1">_xlfn.IFNA(VLOOKUP(B80,Worksheet!$C$3:$G$46,3,FALSE),D80)</f>
        <v>0</v>
      </c>
      <c r="E80" s="304">
        <f ca="1">_xlfn.IFNA(VLOOKUP(B80,Worksheet!$C$3:$G$46,4,FALSE),E80)</f>
        <v>0</v>
      </c>
      <c r="F80" s="304">
        <f ca="1">_xlfn.IFNA(VLOOKUP(B80,Worksheet!$C$3:$G$46,5,FALSE),F80)</f>
        <v>0</v>
      </c>
      <c r="G80" s="210" t="s">
        <v>83</v>
      </c>
    </row>
    <row r="81" spans="1:7" ht="45" hidden="1" customHeight="1" x14ac:dyDescent="0.25">
      <c r="A81" s="222"/>
      <c r="B81" s="241">
        <v>1251</v>
      </c>
      <c r="C81" s="224" t="s">
        <v>3868</v>
      </c>
      <c r="D81" s="268">
        <f ca="1">D82</f>
        <v>124</v>
      </c>
      <c r="E81" s="268">
        <f t="shared" ref="E81:F81" ca="1" si="4">E82</f>
        <v>0</v>
      </c>
      <c r="F81" s="268">
        <f t="shared" ca="1" si="4"/>
        <v>0</v>
      </c>
      <c r="G81" s="210"/>
    </row>
    <row r="82" spans="1:7" ht="45" hidden="1" customHeight="1" x14ac:dyDescent="0.25">
      <c r="A82" s="229"/>
      <c r="B82" s="241">
        <v>1252</v>
      </c>
      <c r="C82" s="245" t="s">
        <v>3869</v>
      </c>
      <c r="D82" s="304">
        <f ca="1">_xlfn.IFNA(VLOOKUP(B82,Worksheet!$C$3:$G$46,3,FALSE),D82)</f>
        <v>124</v>
      </c>
      <c r="E82" s="304">
        <f ca="1">_xlfn.IFNA(VLOOKUP(B82,Worksheet!$C$3:$G$46,4,FALSE),E82)</f>
        <v>0</v>
      </c>
      <c r="F82" s="304">
        <f ca="1">_xlfn.IFNA(VLOOKUP(B82,Worksheet!$C$3:$G$46,5,FALSE),F82)</f>
        <v>0</v>
      </c>
      <c r="G82" s="210" t="s">
        <v>83</v>
      </c>
    </row>
    <row r="83" spans="1:7" ht="45" hidden="1" customHeight="1" x14ac:dyDescent="0.25">
      <c r="A83" s="229"/>
      <c r="B83" s="241">
        <v>1253</v>
      </c>
      <c r="C83" s="245" t="s">
        <v>3870</v>
      </c>
      <c r="D83" s="304">
        <f ca="1">_xlfn.IFNA(VLOOKUP(B83,Worksheet!$C$3:$G$46,3,FALSE),D83)</f>
        <v>0</v>
      </c>
      <c r="E83" s="304">
        <f ca="1">_xlfn.IFNA(VLOOKUP(B83,Worksheet!$C$3:$G$46,4,FALSE),E83)</f>
        <v>0</v>
      </c>
      <c r="F83" s="304">
        <f ca="1">_xlfn.IFNA(VLOOKUP(B83,Worksheet!$C$3:$G$46,5,FALSE),F83)</f>
        <v>0</v>
      </c>
      <c r="G83" s="210" t="s">
        <v>83</v>
      </c>
    </row>
    <row r="84" spans="1:7" ht="45" hidden="1" customHeight="1" x14ac:dyDescent="0.25">
      <c r="A84" s="222"/>
      <c r="B84" s="241">
        <v>1254</v>
      </c>
      <c r="C84" s="224" t="s">
        <v>3871</v>
      </c>
      <c r="D84" s="268"/>
      <c r="E84" s="268"/>
      <c r="F84" s="268"/>
      <c r="G84" s="210"/>
    </row>
    <row r="85" spans="1:7" ht="45" hidden="1" customHeight="1" x14ac:dyDescent="0.25">
      <c r="A85" s="229"/>
      <c r="B85" s="241">
        <v>1255</v>
      </c>
      <c r="C85" s="245" t="s">
        <v>3872</v>
      </c>
      <c r="D85" s="304">
        <f ca="1">_xlfn.IFNA(VLOOKUP(B85,Worksheet!$C$3:$G$46,3,FALSE),D85)</f>
        <v>0</v>
      </c>
      <c r="E85" s="304">
        <f ca="1">_xlfn.IFNA(VLOOKUP(B85,Worksheet!$C$3:$G$46,4,FALSE),E85)</f>
        <v>0</v>
      </c>
      <c r="F85" s="304">
        <f ca="1">_xlfn.IFNA(VLOOKUP(B85,Worksheet!$C$3:$G$46,5,FALSE),F85)</f>
        <v>0</v>
      </c>
      <c r="G85" s="210" t="s">
        <v>83</v>
      </c>
    </row>
    <row r="86" spans="1:7" ht="45" hidden="1" customHeight="1" x14ac:dyDescent="0.25">
      <c r="A86" s="229"/>
      <c r="B86" s="241">
        <v>1256</v>
      </c>
      <c r="C86" s="245" t="s">
        <v>3873</v>
      </c>
      <c r="D86" s="304">
        <f ca="1">_xlfn.IFNA(VLOOKUP(B86,Worksheet!$C$3:$G$46,3,FALSE),D86)</f>
        <v>0</v>
      </c>
      <c r="E86" s="304">
        <f ca="1">_xlfn.IFNA(VLOOKUP(B86,Worksheet!$C$3:$G$46,4,FALSE),E86)</f>
        <v>0</v>
      </c>
      <c r="F86" s="304">
        <f ca="1">_xlfn.IFNA(VLOOKUP(B86,Worksheet!$C$3:$G$46,5,FALSE),F86)</f>
        <v>0</v>
      </c>
      <c r="G86" s="210" t="s">
        <v>83</v>
      </c>
    </row>
    <row r="87" spans="1:7" ht="45" hidden="1" customHeight="1" x14ac:dyDescent="0.25">
      <c r="A87" s="222"/>
      <c r="B87" s="241">
        <v>1257</v>
      </c>
      <c r="C87" s="224" t="s">
        <v>3874</v>
      </c>
      <c r="D87" s="268"/>
      <c r="E87" s="268"/>
      <c r="F87" s="268"/>
      <c r="G87" s="210"/>
    </row>
    <row r="88" spans="1:7" ht="45" hidden="1" customHeight="1" x14ac:dyDescent="0.25">
      <c r="A88" s="229"/>
      <c r="B88" s="241">
        <v>1258</v>
      </c>
      <c r="C88" s="245" t="s">
        <v>3875</v>
      </c>
      <c r="D88" s="304">
        <f ca="1">_xlfn.IFNA(VLOOKUP(B88,Worksheet!$C$3:$G$46,3,FALSE),D88)</f>
        <v>0</v>
      </c>
      <c r="E88" s="304">
        <f ca="1">_xlfn.IFNA(VLOOKUP(B88,Worksheet!$C$3:$G$46,4,FALSE),E88)</f>
        <v>0</v>
      </c>
      <c r="F88" s="304">
        <f ca="1">_xlfn.IFNA(VLOOKUP(B88,Worksheet!$C$3:$G$46,5,FALSE),F88)</f>
        <v>0</v>
      </c>
      <c r="G88" s="210" t="s">
        <v>83</v>
      </c>
    </row>
    <row r="89" spans="1:7" ht="45" hidden="1" customHeight="1" x14ac:dyDescent="0.25">
      <c r="A89" s="229"/>
      <c r="B89" s="241">
        <v>1259</v>
      </c>
      <c r="C89" s="245" t="s">
        <v>3876</v>
      </c>
      <c r="D89" s="304">
        <f ca="1">_xlfn.IFNA(VLOOKUP(B89,Worksheet!$C$3:$G$46,3,FALSE),D89)</f>
        <v>0</v>
      </c>
      <c r="E89" s="304">
        <f ca="1">_xlfn.IFNA(VLOOKUP(B89,Worksheet!$C$3:$G$46,4,FALSE),E89)</f>
        <v>0</v>
      </c>
      <c r="F89" s="304">
        <f ca="1">_xlfn.IFNA(VLOOKUP(B89,Worksheet!$C$3:$G$46,5,FALSE),F89)</f>
        <v>0</v>
      </c>
      <c r="G89" s="210" t="s">
        <v>83</v>
      </c>
    </row>
    <row r="90" spans="1:7" ht="45" hidden="1" customHeight="1" x14ac:dyDescent="0.25">
      <c r="A90" s="229"/>
      <c r="C90" s="255"/>
      <c r="D90" s="256"/>
      <c r="E90" s="257"/>
      <c r="F90" s="257"/>
      <c r="G90" s="269"/>
    </row>
    <row r="91" spans="1:7" ht="45" hidden="1" customHeight="1" x14ac:dyDescent="0.25">
      <c r="A91" s="229"/>
      <c r="B91" s="223" t="s">
        <v>155</v>
      </c>
      <c r="C91" s="263" t="s">
        <v>3986</v>
      </c>
      <c r="D91" s="231"/>
      <c r="E91" s="234"/>
      <c r="F91" s="303">
        <f ca="1">_xlfn.IFNA(VLOOKUP(B91,Worksheet!$C$3:$G$46,5,FALSE),F91)</f>
        <v>3</v>
      </c>
      <c r="G91" s="269" t="s">
        <v>155</v>
      </c>
    </row>
    <row r="92" spans="1:7" ht="45" hidden="1" customHeight="1" x14ac:dyDescent="0.25">
      <c r="A92" s="229"/>
      <c r="B92" s="241"/>
      <c r="C92" s="265" t="s">
        <v>3877</v>
      </c>
      <c r="D92" s="270" t="s">
        <v>3987</v>
      </c>
      <c r="E92" s="271" t="s">
        <v>77</v>
      </c>
      <c r="F92" s="271" t="s">
        <v>78</v>
      </c>
      <c r="G92" s="269" t="s">
        <v>155</v>
      </c>
    </row>
    <row r="93" spans="1:7" ht="45" hidden="1" customHeight="1" x14ac:dyDescent="0.25">
      <c r="A93" s="229"/>
      <c r="B93" s="241">
        <v>1313</v>
      </c>
      <c r="C93" s="245" t="s">
        <v>3878</v>
      </c>
      <c r="D93" s="304">
        <f ca="1">_xlfn.IFNA(VLOOKUP(B93,Worksheet!$C$3:$G$46,3,FALSE),D93)</f>
        <v>3</v>
      </c>
      <c r="E93" s="304">
        <f ca="1">_xlfn.IFNA(VLOOKUP(B93,Worksheet!$C$3:$G$46,4,FALSE),E93)</f>
        <v>0</v>
      </c>
      <c r="F93" s="304">
        <f ca="1">_xlfn.IFNA(VLOOKUP(B93,Worksheet!$C$3:$G$46,5,FALSE),F93)</f>
        <v>0</v>
      </c>
      <c r="G93" s="269" t="s">
        <v>155</v>
      </c>
    </row>
    <row r="94" spans="1:7" ht="45" hidden="1" customHeight="1" x14ac:dyDescent="0.25">
      <c r="A94" s="229"/>
      <c r="B94" s="241">
        <v>1314</v>
      </c>
      <c r="C94" s="272" t="s">
        <v>3879</v>
      </c>
      <c r="D94" s="304">
        <f ca="1">_xlfn.IFNA(VLOOKUP(B94,Worksheet!$C$3:$G$46,3,FALSE),D94)</f>
        <v>0</v>
      </c>
      <c r="E94" s="304">
        <f ca="1">_xlfn.IFNA(VLOOKUP(B94,Worksheet!$C$3:$G$46,4,FALSE),E94)</f>
        <v>0</v>
      </c>
      <c r="F94" s="304">
        <f ca="1">_xlfn.IFNA(VLOOKUP(B94,Worksheet!$C$3:$G$46,5,FALSE),F94)</f>
        <v>0</v>
      </c>
      <c r="G94" s="269" t="s">
        <v>155</v>
      </c>
    </row>
    <row r="95" spans="1:7" ht="45" hidden="1" customHeight="1" x14ac:dyDescent="0.25">
      <c r="A95" s="229"/>
      <c r="B95" s="241">
        <v>1315</v>
      </c>
      <c r="C95" s="246" t="s">
        <v>3880</v>
      </c>
      <c r="D95" s="304">
        <f ca="1">_xlfn.IFNA(VLOOKUP(B95,Worksheet!$C$3:$G$46,3,FALSE),D95)</f>
        <v>0</v>
      </c>
      <c r="E95" s="304">
        <f ca="1">_xlfn.IFNA(VLOOKUP(B95,Worksheet!$C$3:$G$46,4,FALSE),E95)</f>
        <v>0</v>
      </c>
      <c r="F95" s="304">
        <f ca="1">_xlfn.IFNA(VLOOKUP(B95,Worksheet!$C$3:$G$46,5,FALSE),F95)</f>
        <v>0</v>
      </c>
      <c r="G95" s="269" t="s">
        <v>155</v>
      </c>
    </row>
    <row r="96" spans="1:7" s="273" customFormat="1" ht="45" hidden="1" customHeight="1" x14ac:dyDescent="0.25">
      <c r="A96" s="229"/>
      <c r="B96" s="241">
        <v>1316</v>
      </c>
      <c r="C96" s="246" t="s">
        <v>3881</v>
      </c>
      <c r="D96" s="304">
        <f ca="1">_xlfn.IFNA(VLOOKUP(B96,Worksheet!$C$3:$G$46,3,FALSE),D96)</f>
        <v>0</v>
      </c>
      <c r="E96" s="304">
        <f ca="1">_xlfn.IFNA(VLOOKUP(B96,Worksheet!$C$3:$G$46,4,FALSE),E96)</f>
        <v>0</v>
      </c>
      <c r="F96" s="304">
        <f ca="1">_xlfn.IFNA(VLOOKUP(B96,Worksheet!$C$3:$G$46,5,FALSE),F96)</f>
        <v>0</v>
      </c>
      <c r="G96" s="269" t="s">
        <v>155</v>
      </c>
    </row>
    <row r="97" spans="1:7" s="273" customFormat="1" ht="45" hidden="1" customHeight="1" x14ac:dyDescent="0.25">
      <c r="A97" s="229"/>
      <c r="B97" s="241">
        <v>1321</v>
      </c>
      <c r="C97" s="245" t="s">
        <v>3882</v>
      </c>
      <c r="D97" s="304">
        <f ca="1">_xlfn.IFNA(VLOOKUP(B97,Worksheet!$C$3:$G$46,3,FALSE),D97)</f>
        <v>3</v>
      </c>
      <c r="E97" s="304">
        <f ca="1">_xlfn.IFNA(VLOOKUP(B97,Worksheet!$C$3:$G$46,4,FALSE),E97)</f>
        <v>0</v>
      </c>
      <c r="F97" s="304">
        <f ca="1">_xlfn.IFNA(VLOOKUP(B97,Worksheet!$C$3:$G$46,5,FALSE),F97)</f>
        <v>0</v>
      </c>
      <c r="G97" s="269" t="s">
        <v>155</v>
      </c>
    </row>
    <row r="98" spans="1:7" s="273" customFormat="1" ht="45" hidden="1" customHeight="1" x14ac:dyDescent="0.25">
      <c r="A98" s="229"/>
      <c r="B98" s="241">
        <v>1322</v>
      </c>
      <c r="C98" s="245" t="s">
        <v>3883</v>
      </c>
      <c r="D98" s="304">
        <f ca="1">_xlfn.IFNA(VLOOKUP(B98,Worksheet!$C$3:$G$46,3,FALSE),D98)</f>
        <v>3</v>
      </c>
      <c r="E98" s="304">
        <f ca="1">_xlfn.IFNA(VLOOKUP(B98,Worksheet!$C$3:$G$46,4,FALSE),E98)</f>
        <v>0</v>
      </c>
      <c r="F98" s="304">
        <f ca="1">_xlfn.IFNA(VLOOKUP(B98,Worksheet!$C$3:$G$46,5,FALSE),F98)</f>
        <v>0</v>
      </c>
      <c r="G98" s="269" t="s">
        <v>155</v>
      </c>
    </row>
    <row r="99" spans="1:7" s="273" customFormat="1" ht="45" hidden="1" customHeight="1" x14ac:dyDescent="0.25">
      <c r="A99" s="229"/>
      <c r="B99" s="241">
        <v>1323</v>
      </c>
      <c r="C99" s="245" t="s">
        <v>3884</v>
      </c>
      <c r="D99" s="304">
        <f ca="1">_xlfn.IFNA(VLOOKUP(B99,Worksheet!$C$3:$G$46,3,FALSE),D99)</f>
        <v>0</v>
      </c>
      <c r="E99" s="304">
        <f ca="1">_xlfn.IFNA(VLOOKUP(B99,Worksheet!$C$3:$G$46,4,FALSE),E99)</f>
        <v>0</v>
      </c>
      <c r="F99" s="304">
        <f ca="1">_xlfn.IFNA(VLOOKUP(B99,Worksheet!$C$3:$G$46,5,FALSE),F99)</f>
        <v>0</v>
      </c>
      <c r="G99" s="269" t="s">
        <v>155</v>
      </c>
    </row>
    <row r="100" spans="1:7" s="273" customFormat="1" ht="45" hidden="1" customHeight="1" x14ac:dyDescent="0.25">
      <c r="A100" s="229"/>
      <c r="B100" s="241">
        <v>1324</v>
      </c>
      <c r="C100" s="245" t="s">
        <v>3885</v>
      </c>
      <c r="D100" s="304">
        <f ca="1">_xlfn.IFNA(VLOOKUP(B100,Worksheet!$C$3:$G$46,3,FALSE),D100)</f>
        <v>0</v>
      </c>
      <c r="E100" s="304">
        <f ca="1">_xlfn.IFNA(VLOOKUP(B100,Worksheet!$C$3:$G$46,4,FALSE),E100)</f>
        <v>0</v>
      </c>
      <c r="F100" s="304">
        <f ca="1">_xlfn.IFNA(VLOOKUP(B100,Worksheet!$C$3:$G$46,5,FALSE),F100)</f>
        <v>0</v>
      </c>
      <c r="G100" s="269" t="s">
        <v>155</v>
      </c>
    </row>
    <row r="101" spans="1:7" s="273" customFormat="1" ht="45" hidden="1" customHeight="1" x14ac:dyDescent="0.25">
      <c r="A101" s="229"/>
      <c r="B101" s="241">
        <v>1331</v>
      </c>
      <c r="C101" s="245" t="s">
        <v>3886</v>
      </c>
      <c r="D101" s="304">
        <f ca="1">_xlfn.IFNA(VLOOKUP(B101,Worksheet!$C$3:$G$46,3,FALSE),D101)</f>
        <v>0</v>
      </c>
      <c r="E101" s="304">
        <f ca="1">_xlfn.IFNA(VLOOKUP(B101,Worksheet!$C$3:$G$46,4,FALSE),E101)</f>
        <v>0</v>
      </c>
      <c r="F101" s="304">
        <f ca="1">_xlfn.IFNA(VLOOKUP(B101,Worksheet!$C$3:$G$46,5,FALSE),F101)</f>
        <v>0</v>
      </c>
      <c r="G101" s="269" t="s">
        <v>155</v>
      </c>
    </row>
    <row r="102" spans="1:7" s="273" customFormat="1" ht="45" hidden="1" customHeight="1" x14ac:dyDescent="0.25">
      <c r="A102" s="229"/>
      <c r="B102" s="241">
        <v>1332</v>
      </c>
      <c r="C102" s="245" t="s">
        <v>3887</v>
      </c>
      <c r="D102" s="304">
        <f ca="1">_xlfn.IFNA(VLOOKUP(B102,Worksheet!$C$3:$G$46,3,FALSE),D102)</f>
        <v>0</v>
      </c>
      <c r="E102" s="304">
        <f ca="1">_xlfn.IFNA(VLOOKUP(B102,Worksheet!$C$3:$G$46,4,FALSE),E102)</f>
        <v>0</v>
      </c>
      <c r="F102" s="304">
        <f ca="1">_xlfn.IFNA(VLOOKUP(B102,Worksheet!$C$3:$G$46,5,FALSE),F102)</f>
        <v>0</v>
      </c>
      <c r="G102" s="269" t="s">
        <v>155</v>
      </c>
    </row>
    <row r="103" spans="1:7" s="273" customFormat="1" ht="45" hidden="1" customHeight="1" x14ac:dyDescent="0.25">
      <c r="A103" s="229"/>
      <c r="B103" s="241">
        <v>1333</v>
      </c>
      <c r="C103" s="245" t="s">
        <v>3888</v>
      </c>
      <c r="D103" s="304">
        <f ca="1">_xlfn.IFNA(VLOOKUP(B103,Worksheet!$C$3:$G$46,3,FALSE),D103)</f>
        <v>0</v>
      </c>
      <c r="E103" s="304">
        <f ca="1">_xlfn.IFNA(VLOOKUP(B103,Worksheet!$C$3:$G$46,4,FALSE),E103)</f>
        <v>0</v>
      </c>
      <c r="F103" s="304">
        <f ca="1">_xlfn.IFNA(VLOOKUP(B103,Worksheet!$C$3:$G$46,5,FALSE),F103)</f>
        <v>0</v>
      </c>
      <c r="G103" s="269" t="s">
        <v>155</v>
      </c>
    </row>
    <row r="104" spans="1:7" s="273" customFormat="1" ht="45" hidden="1" customHeight="1" x14ac:dyDescent="0.25">
      <c r="A104" s="229"/>
      <c r="B104" s="241">
        <v>1334</v>
      </c>
      <c r="C104" s="245" t="s">
        <v>3889</v>
      </c>
      <c r="D104" s="304">
        <f ca="1">_xlfn.IFNA(VLOOKUP(B104,Worksheet!$C$3:$G$46,3,FALSE),D104)</f>
        <v>0</v>
      </c>
      <c r="E104" s="304">
        <f ca="1">_xlfn.IFNA(VLOOKUP(B104,Worksheet!$C$3:$G$46,4,FALSE),E104)</f>
        <v>0</v>
      </c>
      <c r="F104" s="304">
        <f ca="1">_xlfn.IFNA(VLOOKUP(B104,Worksheet!$C$3:$G$46,5,FALSE),F104)</f>
        <v>0</v>
      </c>
      <c r="G104" s="269" t="s">
        <v>155</v>
      </c>
    </row>
    <row r="105" spans="1:7" s="273" customFormat="1" ht="45" hidden="1" customHeight="1" x14ac:dyDescent="0.25">
      <c r="A105" s="229"/>
      <c r="B105" s="241">
        <v>1335</v>
      </c>
      <c r="C105" s="245" t="s">
        <v>3890</v>
      </c>
      <c r="D105" s="304">
        <f ca="1">_xlfn.IFNA(VLOOKUP(B105,Worksheet!$C$3:$G$46,3,FALSE),D105)</f>
        <v>0</v>
      </c>
      <c r="E105" s="304">
        <f ca="1">_xlfn.IFNA(VLOOKUP(B105,Worksheet!$C$3:$G$46,4,FALSE),E105)</f>
        <v>0</v>
      </c>
      <c r="F105" s="304">
        <f ca="1">_xlfn.IFNA(VLOOKUP(B105,Worksheet!$C$3:$G$46,5,FALSE),F105)</f>
        <v>0</v>
      </c>
      <c r="G105" s="269" t="s">
        <v>155</v>
      </c>
    </row>
    <row r="106" spans="1:7" s="273" customFormat="1" ht="45" hidden="1" customHeight="1" x14ac:dyDescent="0.25">
      <c r="A106" s="229"/>
      <c r="B106" s="241">
        <v>1341</v>
      </c>
      <c r="C106" s="245" t="s">
        <v>3891</v>
      </c>
      <c r="D106" s="304">
        <f ca="1">_xlfn.IFNA(VLOOKUP(B106,Worksheet!$C$3:$G$46,3,FALSE),D106)</f>
        <v>3</v>
      </c>
      <c r="E106" s="304">
        <f ca="1">_xlfn.IFNA(VLOOKUP(B106,Worksheet!$C$3:$G$46,4,FALSE),E106)</f>
        <v>0</v>
      </c>
      <c r="F106" s="304">
        <f ca="1">_xlfn.IFNA(VLOOKUP(B106,Worksheet!$C$3:$G$46,5,FALSE),F106)</f>
        <v>0</v>
      </c>
      <c r="G106" s="269" t="s">
        <v>155</v>
      </c>
    </row>
    <row r="107" spans="1:7" s="273" customFormat="1" ht="45" hidden="1" customHeight="1" x14ac:dyDescent="0.25">
      <c r="A107" s="229"/>
      <c r="B107" s="241">
        <v>1342</v>
      </c>
      <c r="C107" s="245" t="s">
        <v>3892</v>
      </c>
      <c r="D107" s="274">
        <f ca="1">D94</f>
        <v>0</v>
      </c>
      <c r="E107" s="274">
        <f ca="1">E94</f>
        <v>0</v>
      </c>
      <c r="F107" s="274">
        <f ca="1">F94</f>
        <v>0</v>
      </c>
      <c r="G107" s="269"/>
    </row>
    <row r="108" spans="1:7" s="273" customFormat="1" ht="45" hidden="1" customHeight="1" x14ac:dyDescent="0.25">
      <c r="A108" s="229"/>
      <c r="B108" s="241">
        <v>1343</v>
      </c>
      <c r="C108" s="245" t="s">
        <v>3893</v>
      </c>
      <c r="D108" s="304">
        <f ca="1">_xlfn.IFNA(VLOOKUP(B108,Worksheet!$C$3:$G$46,3,FALSE),D108)</f>
        <v>1</v>
      </c>
      <c r="E108" s="304">
        <f ca="1">_xlfn.IFNA(VLOOKUP(B108,Worksheet!$C$3:$G$46,4,FALSE),E108)</f>
        <v>0</v>
      </c>
      <c r="F108" s="304">
        <f ca="1">_xlfn.IFNA(VLOOKUP(B108,Worksheet!$C$3:$G$46,5,FALSE),F108)</f>
        <v>0</v>
      </c>
      <c r="G108" s="269" t="s">
        <v>155</v>
      </c>
    </row>
    <row r="109" spans="1:7" s="273" customFormat="1" ht="45" hidden="1" customHeight="1" x14ac:dyDescent="0.25">
      <c r="A109" s="229"/>
      <c r="B109" s="241">
        <v>1344</v>
      </c>
      <c r="C109" s="245" t="s">
        <v>3894</v>
      </c>
      <c r="D109" s="304">
        <f ca="1">_xlfn.IFNA(VLOOKUP(B109,Worksheet!$C$3:$G$46,3,FALSE),D109)</f>
        <v>0</v>
      </c>
      <c r="E109" s="304">
        <f ca="1">_xlfn.IFNA(VLOOKUP(B109,Worksheet!$C$3:$G$46,4,FALSE),E109)</f>
        <v>0</v>
      </c>
      <c r="F109" s="304">
        <f ca="1">_xlfn.IFNA(VLOOKUP(B109,Worksheet!$C$3:$G$46,5,FALSE),F109)</f>
        <v>0</v>
      </c>
      <c r="G109" s="269" t="s">
        <v>155</v>
      </c>
    </row>
    <row r="110" spans="1:7" s="273" customFormat="1" ht="45" hidden="1" customHeight="1" x14ac:dyDescent="0.25">
      <c r="A110" s="229"/>
      <c r="B110" s="241">
        <v>1351</v>
      </c>
      <c r="C110" s="224" t="s">
        <v>3895</v>
      </c>
      <c r="D110" s="268">
        <f ca="1">D111</f>
        <v>0</v>
      </c>
      <c r="E110" s="268">
        <f t="shared" ref="E110:F110" ca="1" si="5">E111</f>
        <v>0</v>
      </c>
      <c r="F110" s="268">
        <f t="shared" ca="1" si="5"/>
        <v>0</v>
      </c>
      <c r="G110" s="269"/>
    </row>
    <row r="111" spans="1:7" s="273" customFormat="1" ht="45" hidden="1" customHeight="1" x14ac:dyDescent="0.25">
      <c r="A111" s="229"/>
      <c r="B111" s="241">
        <v>1352</v>
      </c>
      <c r="C111" s="245" t="s">
        <v>3896</v>
      </c>
      <c r="D111" s="304">
        <f ca="1">_xlfn.IFNA(VLOOKUP(B111,Worksheet!$C$3:$G$46,3,FALSE),D111)</f>
        <v>0</v>
      </c>
      <c r="E111" s="304">
        <f ca="1">_xlfn.IFNA(VLOOKUP(B111,Worksheet!$C$3:$G$46,4,FALSE),E111)</f>
        <v>0</v>
      </c>
      <c r="F111" s="304">
        <f ca="1">_xlfn.IFNA(VLOOKUP(B111,Worksheet!$C$3:$G$46,5,FALSE),F111)</f>
        <v>0</v>
      </c>
      <c r="G111" s="269" t="s">
        <v>155</v>
      </c>
    </row>
    <row r="112" spans="1:7" s="273" customFormat="1" ht="45" hidden="1" customHeight="1" x14ac:dyDescent="0.25">
      <c r="A112" s="229"/>
      <c r="B112" s="241">
        <v>1353</v>
      </c>
      <c r="C112" s="245" t="s">
        <v>3897</v>
      </c>
      <c r="D112" s="304">
        <f ca="1">_xlfn.IFNA(VLOOKUP(B112,Worksheet!$C$3:$G$46,3,FALSE),D112)</f>
        <v>1</v>
      </c>
      <c r="E112" s="304">
        <f ca="1">_xlfn.IFNA(VLOOKUP(B112,Worksheet!$C$3:$G$46,4,FALSE),E112)</f>
        <v>0</v>
      </c>
      <c r="F112" s="304">
        <f ca="1">_xlfn.IFNA(VLOOKUP(B112,Worksheet!$C$3:$G$46,5,FALSE),F112)</f>
        <v>0</v>
      </c>
      <c r="G112" s="269" t="s">
        <v>155</v>
      </c>
    </row>
    <row r="113" spans="1:7" s="273" customFormat="1" ht="45" hidden="1" customHeight="1" x14ac:dyDescent="0.25">
      <c r="A113" s="229"/>
      <c r="B113" s="241">
        <v>1354</v>
      </c>
      <c r="C113" s="224" t="s">
        <v>3898</v>
      </c>
      <c r="D113" s="268">
        <f ca="1">D114</f>
        <v>0</v>
      </c>
      <c r="E113" s="268">
        <f t="shared" ref="E113:F113" ca="1" si="6">E114</f>
        <v>0</v>
      </c>
      <c r="F113" s="268">
        <f t="shared" ca="1" si="6"/>
        <v>0</v>
      </c>
      <c r="G113" s="269"/>
    </row>
    <row r="114" spans="1:7" s="273" customFormat="1" ht="45" hidden="1" customHeight="1" x14ac:dyDescent="0.25">
      <c r="A114" s="229"/>
      <c r="B114" s="241">
        <v>1355</v>
      </c>
      <c r="C114" s="245" t="s">
        <v>3896</v>
      </c>
      <c r="D114" s="304">
        <f ca="1">_xlfn.IFNA(VLOOKUP(B114,Worksheet!$C$3:$G$46,3,FALSE),D114)</f>
        <v>0</v>
      </c>
      <c r="E114" s="304">
        <f ca="1">_xlfn.IFNA(VLOOKUP(B114,Worksheet!$C$3:$G$46,4,FALSE),E114)</f>
        <v>0</v>
      </c>
      <c r="F114" s="304">
        <f ca="1">_xlfn.IFNA(VLOOKUP(B114,Worksheet!$C$3:$G$46,5,FALSE),F114)</f>
        <v>0</v>
      </c>
      <c r="G114" s="269" t="s">
        <v>155</v>
      </c>
    </row>
    <row r="115" spans="1:7" s="273" customFormat="1" ht="45" hidden="1" customHeight="1" x14ac:dyDescent="0.25">
      <c r="A115" s="229"/>
      <c r="B115" s="241">
        <v>1356</v>
      </c>
      <c r="C115" s="245" t="s">
        <v>3899</v>
      </c>
      <c r="D115" s="304">
        <f ca="1">_xlfn.IFNA(VLOOKUP(B115,Worksheet!$C$3:$G$46,3,FALSE),D115)</f>
        <v>0</v>
      </c>
      <c r="E115" s="304">
        <f ca="1">_xlfn.IFNA(VLOOKUP(B115,Worksheet!$C$3:$G$46,4,FALSE),E115)</f>
        <v>0</v>
      </c>
      <c r="F115" s="304">
        <f ca="1">_xlfn.IFNA(VLOOKUP(B115,Worksheet!$C$3:$G$46,5,FALSE),F115)</f>
        <v>0</v>
      </c>
      <c r="G115" s="269" t="s">
        <v>155</v>
      </c>
    </row>
    <row r="116" spans="1:7" s="273" customFormat="1" ht="45" hidden="1" customHeight="1" x14ac:dyDescent="0.25">
      <c r="A116" s="229"/>
      <c r="B116" s="254"/>
      <c r="C116" s="275"/>
      <c r="D116" s="276"/>
      <c r="E116" s="247"/>
      <c r="F116" s="247"/>
      <c r="G116" s="210"/>
    </row>
    <row r="117" spans="1:7" s="273" customFormat="1" ht="45" hidden="1" customHeight="1" x14ac:dyDescent="0.25">
      <c r="A117" s="229"/>
      <c r="B117" s="223" t="s">
        <v>86</v>
      </c>
      <c r="C117" s="263" t="s">
        <v>3988</v>
      </c>
      <c r="D117" s="231"/>
      <c r="E117" s="234"/>
      <c r="F117" s="303">
        <f ca="1">_xlfn.IFNA(VLOOKUP(B117,Worksheet!$C$3:$G$46,5,FALSE),F117)</f>
        <v>34</v>
      </c>
      <c r="G117" s="210" t="s">
        <v>86</v>
      </c>
    </row>
    <row r="118" spans="1:7" s="273" customFormat="1" ht="45" hidden="1" customHeight="1" x14ac:dyDescent="0.25">
      <c r="A118" s="229"/>
      <c r="B118" s="277"/>
      <c r="C118" s="265" t="s">
        <v>3900</v>
      </c>
      <c r="D118" s="243" t="s">
        <v>76</v>
      </c>
      <c r="E118" s="244" t="s">
        <v>77</v>
      </c>
      <c r="F118" s="244" t="s">
        <v>78</v>
      </c>
      <c r="G118" s="210" t="s">
        <v>86</v>
      </c>
    </row>
    <row r="119" spans="1:7" s="273" customFormat="1" ht="45" hidden="1" customHeight="1" x14ac:dyDescent="0.25">
      <c r="A119" s="229"/>
      <c r="B119" s="241">
        <v>1413</v>
      </c>
      <c r="C119" s="245" t="s">
        <v>3901</v>
      </c>
      <c r="D119" s="304" t="str">
        <f ca="1">_xlfn.IFNA(VLOOKUP(B119,Worksheet!$C$3:$G$46,3,FALSE),D119)</f>
        <v>1,8</v>
      </c>
      <c r="E119" s="304" t="str">
        <f ca="1">_xlfn.IFNA(VLOOKUP(B119,Worksheet!$C$3:$G$46,4,FALSE),E119)</f>
        <v>11,20</v>
      </c>
      <c r="F119" s="304" t="str">
        <f ca="1">_xlfn.IFNA(VLOOKUP(B119,Worksheet!$C$3:$G$46,5,FALSE),F119)</f>
        <v>1,11</v>
      </c>
      <c r="G119" s="210" t="s">
        <v>86</v>
      </c>
    </row>
    <row r="120" spans="1:7" s="273" customFormat="1" ht="45" hidden="1" customHeight="1" x14ac:dyDescent="0.25">
      <c r="A120" s="229"/>
      <c r="B120" s="241">
        <v>1414</v>
      </c>
      <c r="C120" s="246" t="s">
        <v>3902</v>
      </c>
      <c r="D120" s="304">
        <f ca="1">_xlfn.IFNA(VLOOKUP(B120,Worksheet!$C$3:$G$46,3,FALSE),D120)</f>
        <v>6</v>
      </c>
      <c r="E120" s="304">
        <f ca="1">_xlfn.IFNA(VLOOKUP(B120,Worksheet!$C$3:$G$46,4,FALSE),E120)</f>
        <v>18</v>
      </c>
      <c r="F120" s="304">
        <f ca="1">_xlfn.IFNA(VLOOKUP(B120,Worksheet!$C$3:$G$46,5,FALSE),F120)</f>
        <v>11</v>
      </c>
      <c r="G120" s="210" t="s">
        <v>86</v>
      </c>
    </row>
    <row r="121" spans="1:7" s="273" customFormat="1" ht="45" hidden="1" customHeight="1" x14ac:dyDescent="0.25">
      <c r="A121" s="229"/>
      <c r="B121" s="241">
        <v>1422</v>
      </c>
      <c r="C121" s="245" t="s">
        <v>3903</v>
      </c>
      <c r="D121" s="304">
        <f ca="1">_xlfn.IFNA(VLOOKUP(B121,Worksheet!$C$3:$G$46,3,FALSE),D121)</f>
        <v>8</v>
      </c>
      <c r="E121" s="304">
        <f ca="1">_xlfn.IFNA(VLOOKUP(B121,Worksheet!$C$3:$G$46,4,FALSE),E121)</f>
        <v>18</v>
      </c>
      <c r="F121" s="304">
        <f ca="1">_xlfn.IFNA(VLOOKUP(B121,Worksheet!$C$3:$G$46,5,FALSE),F121)</f>
        <v>8</v>
      </c>
      <c r="G121" s="210" t="s">
        <v>86</v>
      </c>
    </row>
    <row r="122" spans="1:7" s="273" customFormat="1" ht="45" hidden="1" customHeight="1" x14ac:dyDescent="0.25">
      <c r="A122" s="229"/>
      <c r="B122" s="241">
        <v>1423</v>
      </c>
      <c r="C122" s="245" t="s">
        <v>3904</v>
      </c>
      <c r="D122" s="304">
        <f ca="1">_xlfn.IFNA(VLOOKUP(B122,Worksheet!$C$3:$G$46,3,FALSE),D122)</f>
        <v>8</v>
      </c>
      <c r="E122" s="304">
        <f ca="1">_xlfn.IFNA(VLOOKUP(B122,Worksheet!$C$3:$G$46,4,FALSE),E122)</f>
        <v>18</v>
      </c>
      <c r="F122" s="304">
        <f ca="1">_xlfn.IFNA(VLOOKUP(B122,Worksheet!$C$3:$G$46,5,FALSE),F122)</f>
        <v>8</v>
      </c>
      <c r="G122" s="210" t="s">
        <v>86</v>
      </c>
    </row>
    <row r="123" spans="1:7" s="273" customFormat="1" ht="45" hidden="1" customHeight="1" x14ac:dyDescent="0.25">
      <c r="A123" s="229"/>
      <c r="B123" s="241">
        <v>1424</v>
      </c>
      <c r="C123" s="245" t="s">
        <v>3905</v>
      </c>
      <c r="D123" s="304">
        <f ca="1">_xlfn.IFNA(VLOOKUP(B123,Worksheet!$C$3:$G$46,3,FALSE),D123)</f>
        <v>0</v>
      </c>
      <c r="E123" s="304">
        <f ca="1">_xlfn.IFNA(VLOOKUP(B123,Worksheet!$C$3:$G$46,4,FALSE),E123)</f>
        <v>0</v>
      </c>
      <c r="F123" s="304">
        <f ca="1">_xlfn.IFNA(VLOOKUP(B123,Worksheet!$C$3:$G$46,5,FALSE),F123)</f>
        <v>0</v>
      </c>
      <c r="G123" s="210" t="s">
        <v>86</v>
      </c>
    </row>
    <row r="124" spans="1:7" s="273" customFormat="1" ht="45" hidden="1" customHeight="1" x14ac:dyDescent="0.25">
      <c r="A124" s="229"/>
      <c r="B124" s="241">
        <v>1425</v>
      </c>
      <c r="C124" s="245" t="s">
        <v>3906</v>
      </c>
      <c r="D124" s="304">
        <f ca="1">_xlfn.IFNA(VLOOKUP(B124,Worksheet!$C$3:$G$46,3,FALSE),D124)</f>
        <v>0</v>
      </c>
      <c r="E124" s="304">
        <f ca="1">_xlfn.IFNA(VLOOKUP(B124,Worksheet!$C$3:$G$46,4,FALSE),E124)</f>
        <v>0</v>
      </c>
      <c r="F124" s="304">
        <f ca="1">_xlfn.IFNA(VLOOKUP(B124,Worksheet!$C$3:$G$46,5,FALSE),F124)</f>
        <v>0</v>
      </c>
      <c r="G124" s="210" t="s">
        <v>86</v>
      </c>
    </row>
    <row r="125" spans="1:7" s="273" customFormat="1" ht="45" hidden="1" customHeight="1" x14ac:dyDescent="0.25">
      <c r="A125" s="229"/>
      <c r="B125" s="241"/>
      <c r="C125" s="245" t="s">
        <v>3907</v>
      </c>
      <c r="D125" s="305" t="s">
        <v>3989</v>
      </c>
      <c r="E125" s="305"/>
      <c r="F125" s="305"/>
      <c r="G125" s="210"/>
    </row>
    <row r="126" spans="1:7" s="273" customFormat="1" ht="45" hidden="1" customHeight="1" x14ac:dyDescent="0.25">
      <c r="A126" s="229"/>
      <c r="B126" s="241">
        <v>1431</v>
      </c>
      <c r="C126" s="245" t="s">
        <v>3908</v>
      </c>
      <c r="D126" s="304">
        <f ca="1">_xlfn.IFNA(VLOOKUP(B126,Worksheet!$C$3:$G$46,3,FALSE),D126)</f>
        <v>0</v>
      </c>
      <c r="E126" s="304">
        <f ca="1">_xlfn.IFNA(VLOOKUP(B126,Worksheet!$C$3:$G$46,4,FALSE),E126)</f>
        <v>0</v>
      </c>
      <c r="F126" s="304">
        <f ca="1">_xlfn.IFNA(VLOOKUP(B126,Worksheet!$C$3:$G$46,5,FALSE),F126)</f>
        <v>0</v>
      </c>
      <c r="G126" s="210" t="s">
        <v>86</v>
      </c>
    </row>
    <row r="127" spans="1:7" s="273" customFormat="1" ht="45" hidden="1" customHeight="1" x14ac:dyDescent="0.25">
      <c r="A127" s="229"/>
      <c r="B127" s="241">
        <v>1432</v>
      </c>
      <c r="C127" s="245" t="s">
        <v>3909</v>
      </c>
      <c r="D127" s="304">
        <f ca="1">_xlfn.IFNA(VLOOKUP(B127,Worksheet!$C$3:$G$46,3,FALSE),D127)</f>
        <v>0</v>
      </c>
      <c r="E127" s="304">
        <f ca="1">_xlfn.IFNA(VLOOKUP(B127,Worksheet!$C$3:$G$46,4,FALSE),E127)</f>
        <v>0</v>
      </c>
      <c r="F127" s="304">
        <f ca="1">_xlfn.IFNA(VLOOKUP(B127,Worksheet!$C$3:$G$46,5,FALSE),F127)</f>
        <v>0</v>
      </c>
      <c r="G127" s="210" t="s">
        <v>86</v>
      </c>
    </row>
    <row r="128" spans="1:7" s="273" customFormat="1" ht="45" hidden="1" customHeight="1" x14ac:dyDescent="0.25">
      <c r="A128" s="229"/>
      <c r="B128" s="241">
        <v>1433</v>
      </c>
      <c r="C128" s="245" t="s">
        <v>3910</v>
      </c>
      <c r="D128" s="304">
        <f ca="1">_xlfn.IFNA(VLOOKUP(B128,Worksheet!$C$3:$G$46,3,FALSE),D128)</f>
        <v>0</v>
      </c>
      <c r="E128" s="304">
        <f ca="1">_xlfn.IFNA(VLOOKUP(B128,Worksheet!$C$3:$G$46,4,FALSE),E128)</f>
        <v>0</v>
      </c>
      <c r="F128" s="304">
        <f ca="1">_xlfn.IFNA(VLOOKUP(B128,Worksheet!$C$3:$G$46,5,FALSE),F128)</f>
        <v>0</v>
      </c>
      <c r="G128" s="210" t="s">
        <v>86</v>
      </c>
    </row>
    <row r="129" spans="1:7" s="273" customFormat="1" ht="45" hidden="1" customHeight="1" x14ac:dyDescent="0.25">
      <c r="A129" s="229"/>
      <c r="B129" s="241">
        <v>1434</v>
      </c>
      <c r="C129" s="245" t="s">
        <v>3911</v>
      </c>
      <c r="D129" s="304">
        <f ca="1">_xlfn.IFNA(VLOOKUP(B129,Worksheet!$C$3:$G$46,3,FALSE),D129)</f>
        <v>0</v>
      </c>
      <c r="E129" s="304">
        <f ca="1">_xlfn.IFNA(VLOOKUP(B129,Worksheet!$C$3:$G$46,4,FALSE),E129)</f>
        <v>0</v>
      </c>
      <c r="F129" s="304">
        <f ca="1">_xlfn.IFNA(VLOOKUP(B129,Worksheet!$C$3:$G$46,5,FALSE),F129)</f>
        <v>0</v>
      </c>
      <c r="G129" s="210" t="s">
        <v>86</v>
      </c>
    </row>
    <row r="130" spans="1:7" s="273" customFormat="1" ht="45" hidden="1" customHeight="1" x14ac:dyDescent="0.25">
      <c r="A130" s="229"/>
      <c r="B130" s="241">
        <v>1435</v>
      </c>
      <c r="C130" s="245" t="s">
        <v>3912</v>
      </c>
      <c r="D130" s="304">
        <f ca="1">_xlfn.IFNA(VLOOKUP(B130,Worksheet!$C$3:$G$46,3,FALSE),D130)</f>
        <v>0</v>
      </c>
      <c r="E130" s="304">
        <f ca="1">_xlfn.IFNA(VLOOKUP(B130,Worksheet!$C$3:$G$46,4,FALSE),E130)</f>
        <v>0</v>
      </c>
      <c r="F130" s="304">
        <f ca="1">_xlfn.IFNA(VLOOKUP(B130,Worksheet!$C$3:$G$46,5,FALSE),F130)</f>
        <v>0</v>
      </c>
      <c r="G130" s="210" t="s">
        <v>86</v>
      </c>
    </row>
    <row r="131" spans="1:7" s="273" customFormat="1" ht="45" hidden="1" customHeight="1" x14ac:dyDescent="0.25">
      <c r="A131" s="229"/>
      <c r="B131" s="241">
        <v>1441</v>
      </c>
      <c r="C131" s="245" t="s">
        <v>3913</v>
      </c>
      <c r="D131" s="304">
        <f ca="1">_xlfn.IFNA(VLOOKUP(B131,Worksheet!$C$3:$G$46,3,FALSE),D131)</f>
        <v>0</v>
      </c>
      <c r="E131" s="304">
        <f ca="1">_xlfn.IFNA(VLOOKUP(B131,Worksheet!$C$3:$G$46,4,FALSE),E131)</f>
        <v>0</v>
      </c>
      <c r="F131" s="304">
        <f ca="1">_xlfn.IFNA(VLOOKUP(B131,Worksheet!$C$3:$G$46,5,FALSE),F131)</f>
        <v>0</v>
      </c>
      <c r="G131" s="210" t="s">
        <v>86</v>
      </c>
    </row>
    <row r="132" spans="1:7" s="273" customFormat="1" ht="45" hidden="1" customHeight="1" x14ac:dyDescent="0.25">
      <c r="A132" s="229"/>
      <c r="B132" s="241">
        <v>1442</v>
      </c>
      <c r="C132" s="245" t="s">
        <v>3914</v>
      </c>
      <c r="D132" s="274">
        <f ca="1">D120</f>
        <v>6</v>
      </c>
      <c r="E132" s="274">
        <f ca="1">E120</f>
        <v>18</v>
      </c>
      <c r="F132" s="274">
        <f ca="1">F120</f>
        <v>11</v>
      </c>
      <c r="G132" s="210"/>
    </row>
    <row r="133" spans="1:7" s="273" customFormat="1" ht="45" hidden="1" customHeight="1" x14ac:dyDescent="0.25">
      <c r="A133" s="229"/>
      <c r="B133" s="241">
        <v>1443</v>
      </c>
      <c r="C133" s="245" t="s">
        <v>3915</v>
      </c>
      <c r="D133" s="304">
        <f ca="1">_xlfn.IFNA(VLOOKUP(B133,Worksheet!$C$3:$G$46,3,FALSE),D133)</f>
        <v>0</v>
      </c>
      <c r="E133" s="304">
        <f ca="1">_xlfn.IFNA(VLOOKUP(B133,Worksheet!$C$3:$G$46,4,FALSE),E133)</f>
        <v>0</v>
      </c>
      <c r="F133" s="304">
        <f ca="1">_xlfn.IFNA(VLOOKUP(B133,Worksheet!$C$3:$G$46,5,FALSE),F133)</f>
        <v>0</v>
      </c>
      <c r="G133" s="210" t="s">
        <v>86</v>
      </c>
    </row>
    <row r="134" spans="1:7" s="273" customFormat="1" ht="49.9" hidden="1" customHeight="1" x14ac:dyDescent="0.25">
      <c r="A134" s="229"/>
      <c r="B134" s="241">
        <v>1451</v>
      </c>
      <c r="C134" s="224" t="s">
        <v>3916</v>
      </c>
      <c r="D134" s="268"/>
      <c r="E134" s="268"/>
      <c r="F134" s="268"/>
      <c r="G134" s="210"/>
    </row>
    <row r="135" spans="1:7" s="273" customFormat="1" ht="51" hidden="1" customHeight="1" x14ac:dyDescent="0.25">
      <c r="A135" s="229"/>
      <c r="B135" s="241">
        <v>1452</v>
      </c>
      <c r="C135" s="245" t="s">
        <v>3917</v>
      </c>
      <c r="D135" s="304">
        <f ca="1">_xlfn.IFNA(VLOOKUP(B135,Worksheet!$C$3:$G$46,3,FALSE),D135)</f>
        <v>0</v>
      </c>
      <c r="E135" s="304">
        <f ca="1">_xlfn.IFNA(VLOOKUP(B135,Worksheet!$C$3:$G$46,4,FALSE),E135)</f>
        <v>0</v>
      </c>
      <c r="F135" s="304">
        <f ca="1">_xlfn.IFNA(VLOOKUP(B135,Worksheet!$C$3:$G$46,5,FALSE),F135)</f>
        <v>0</v>
      </c>
      <c r="G135" s="210" t="s">
        <v>86</v>
      </c>
    </row>
    <row r="136" spans="1:7" s="273" customFormat="1" ht="45" hidden="1" customHeight="1" x14ac:dyDescent="0.25">
      <c r="A136" s="229"/>
      <c r="B136" s="241">
        <v>1453</v>
      </c>
      <c r="C136" s="245" t="s">
        <v>3918</v>
      </c>
      <c r="D136" s="304">
        <f ca="1">_xlfn.IFNA(VLOOKUP(B136,Worksheet!$C$3:$G$46,3,FALSE),D136)</f>
        <v>0</v>
      </c>
      <c r="E136" s="304">
        <f ca="1">_xlfn.IFNA(VLOOKUP(B136,Worksheet!$C$3:$G$46,4,FALSE),E136)</f>
        <v>0</v>
      </c>
      <c r="F136" s="304">
        <f ca="1">_xlfn.IFNA(VLOOKUP(B136,Worksheet!$C$3:$G$46,5,FALSE),F136)</f>
        <v>0</v>
      </c>
      <c r="G136" s="210" t="s">
        <v>86</v>
      </c>
    </row>
    <row r="137" spans="1:7" s="273" customFormat="1" ht="52.15" hidden="1" customHeight="1" x14ac:dyDescent="0.25">
      <c r="A137" s="229"/>
      <c r="B137" s="241">
        <v>1454</v>
      </c>
      <c r="C137" s="224" t="s">
        <v>3919</v>
      </c>
      <c r="D137" s="268"/>
      <c r="E137" s="268"/>
      <c r="F137" s="268"/>
      <c r="G137" s="210"/>
    </row>
    <row r="138" spans="1:7" s="273" customFormat="1" ht="45" hidden="1" customHeight="1" x14ac:dyDescent="0.25">
      <c r="A138" s="229"/>
      <c r="B138" s="241">
        <v>1455</v>
      </c>
      <c r="C138" s="245" t="s">
        <v>3920</v>
      </c>
      <c r="D138" s="304">
        <f ca="1">_xlfn.IFNA(VLOOKUP(B138,Worksheet!$C$3:$G$46,3,FALSE),D138)</f>
        <v>0</v>
      </c>
      <c r="E138" s="304">
        <f ca="1">_xlfn.IFNA(VLOOKUP(B138,Worksheet!$C$3:$G$46,4,FALSE),E138)</f>
        <v>0</v>
      </c>
      <c r="F138" s="304">
        <f ca="1">_xlfn.IFNA(VLOOKUP(B138,Worksheet!$C$3:$G$46,5,FALSE),F138)</f>
        <v>0</v>
      </c>
      <c r="G138" s="210" t="s">
        <v>86</v>
      </c>
    </row>
    <row r="139" spans="1:7" ht="45" hidden="1" customHeight="1" x14ac:dyDescent="0.25">
      <c r="A139" s="229"/>
      <c r="B139" s="241">
        <v>1456</v>
      </c>
      <c r="C139" s="245" t="s">
        <v>3921</v>
      </c>
      <c r="D139" s="304">
        <f ca="1">_xlfn.IFNA(VLOOKUP(B139,Worksheet!$C$3:$G$46,3,FALSE),D139)</f>
        <v>0</v>
      </c>
      <c r="E139" s="304">
        <f ca="1">_xlfn.IFNA(VLOOKUP(B139,Worksheet!$C$3:$G$46,4,FALSE),E139)</f>
        <v>0</v>
      </c>
      <c r="F139" s="304">
        <f ca="1">_xlfn.IFNA(VLOOKUP(B139,Worksheet!$C$3:$G$46,5,FALSE),F139)</f>
        <v>0</v>
      </c>
      <c r="G139" s="210" t="s">
        <v>86</v>
      </c>
    </row>
    <row r="140" spans="1:7" ht="45" hidden="1" customHeight="1" x14ac:dyDescent="0.25">
      <c r="A140" s="229"/>
      <c r="B140" s="278"/>
      <c r="D140" s="276"/>
      <c r="E140" s="247"/>
      <c r="F140" s="247"/>
      <c r="G140" s="210"/>
    </row>
    <row r="141" spans="1:7" ht="45" hidden="1" customHeight="1" x14ac:dyDescent="0.25">
      <c r="A141" s="229"/>
      <c r="B141" s="230" t="s">
        <v>90</v>
      </c>
      <c r="C141" s="231" t="s">
        <v>3990</v>
      </c>
      <c r="D141" s="231"/>
      <c r="E141" s="261"/>
      <c r="F141" s="303">
        <f ca="1">_xlfn.IFNA(VLOOKUP(B141,Worksheet!$C$3:$G$46,5,FALSE),F141)</f>
        <v>34</v>
      </c>
      <c r="G141" s="210" t="s">
        <v>90</v>
      </c>
    </row>
    <row r="142" spans="1:7" ht="45" hidden="1" customHeight="1" x14ac:dyDescent="0.25">
      <c r="A142" s="229"/>
      <c r="B142" s="236" t="s">
        <v>4013</v>
      </c>
      <c r="C142" s="263" t="s">
        <v>3922</v>
      </c>
      <c r="D142" s="238"/>
      <c r="E142" s="279"/>
      <c r="F142" s="240">
        <f ca="1">_xlfn.IFNA(VLOOKUP(F141,Data_donotedit!$BE$2:$BG$25,3,TRUE),0)</f>
        <v>30</v>
      </c>
      <c r="G142" s="210" t="s">
        <v>90</v>
      </c>
    </row>
    <row r="143" spans="1:7" ht="45" hidden="1" customHeight="1" x14ac:dyDescent="0.25">
      <c r="A143" s="229"/>
      <c r="B143" s="241"/>
      <c r="C143" s="280" t="s">
        <v>3991</v>
      </c>
      <c r="D143" s="243" t="s">
        <v>76</v>
      </c>
      <c r="E143" s="243" t="s">
        <v>77</v>
      </c>
      <c r="F143" s="244" t="s">
        <v>78</v>
      </c>
      <c r="G143" s="210" t="s">
        <v>90</v>
      </c>
    </row>
    <row r="144" spans="1:7" ht="45" hidden="1" customHeight="1" x14ac:dyDescent="0.25">
      <c r="A144" s="229"/>
      <c r="B144" s="241">
        <v>1513</v>
      </c>
      <c r="C144" s="272" t="s">
        <v>3924</v>
      </c>
      <c r="D144" s="304" t="str">
        <f ca="1">_xlfn.IFNA(VLOOKUP(B144,Worksheet!$C$3:$G$46,3,FALSE),D144)</f>
        <v>2,12</v>
      </c>
      <c r="E144" s="304" t="str">
        <f ca="1">_xlfn.IFNA(VLOOKUP(B144,Worksheet!$C$3:$G$46,4,FALSE),E144)</f>
        <v>2,9</v>
      </c>
      <c r="F144" s="304" t="str">
        <f ca="1">_xlfn.IFNA(VLOOKUP(B144,Worksheet!$C$3:$G$46,5,FALSE),F144)</f>
        <v>2,13</v>
      </c>
      <c r="G144" s="210" t="s">
        <v>90</v>
      </c>
    </row>
    <row r="145" spans="1:7" ht="45" hidden="1" customHeight="1" x14ac:dyDescent="0.25">
      <c r="A145" s="229"/>
      <c r="B145" s="241">
        <v>1514</v>
      </c>
      <c r="C145" s="267" t="s">
        <v>3925</v>
      </c>
      <c r="D145" s="304">
        <f ca="1">_xlfn.IFNA(VLOOKUP(B145,Worksheet!$C$3:$G$46,3,FALSE),D145)</f>
        <v>12</v>
      </c>
      <c r="E145" s="304">
        <f ca="1">_xlfn.IFNA(VLOOKUP(B145,Worksheet!$C$3:$G$46,4,FALSE),E145)</f>
        <v>9</v>
      </c>
      <c r="F145" s="304">
        <f ca="1">_xlfn.IFNA(VLOOKUP(B145,Worksheet!$C$3:$G$46,5,FALSE),F145)</f>
        <v>13</v>
      </c>
      <c r="G145" s="210" t="s">
        <v>90</v>
      </c>
    </row>
    <row r="146" spans="1:7" ht="45" hidden="1" customHeight="1" x14ac:dyDescent="0.25">
      <c r="A146" s="229">
        <v>1541</v>
      </c>
      <c r="B146" s="241">
        <v>1515</v>
      </c>
      <c r="C146" s="267" t="s">
        <v>3926</v>
      </c>
      <c r="D146" s="304">
        <f ca="1">_xlfn.IFNA(VLOOKUP(B146,Worksheet!$C$3:$G$46,3,FALSE),D146)</f>
        <v>12</v>
      </c>
      <c r="E146" s="304">
        <f ca="1">_xlfn.IFNA(VLOOKUP(B146,Worksheet!$C$3:$G$46,4,FALSE),E146)</f>
        <v>9</v>
      </c>
      <c r="F146" s="304">
        <f ca="1">_xlfn.IFNA(VLOOKUP(B146,Worksheet!$C$3:$G$46,5,FALSE),F146)</f>
        <v>13</v>
      </c>
      <c r="G146" s="210" t="s">
        <v>90</v>
      </c>
    </row>
    <row r="147" spans="1:7" ht="45" hidden="1" customHeight="1" x14ac:dyDescent="0.25">
      <c r="A147" s="229"/>
      <c r="B147" s="241">
        <v>1521</v>
      </c>
      <c r="C147" s="267" t="s">
        <v>3927</v>
      </c>
      <c r="D147" s="304">
        <f ca="1">_xlfn.IFNA(VLOOKUP(B147,Worksheet!$C$3:$G$46,3,FALSE),D147)</f>
        <v>12</v>
      </c>
      <c r="E147" s="304">
        <f ca="1">_xlfn.IFNA(VLOOKUP(B147,Worksheet!$C$3:$G$46,4,FALSE),E147)</f>
        <v>9</v>
      </c>
      <c r="F147" s="304">
        <f ca="1">_xlfn.IFNA(VLOOKUP(B147,Worksheet!$C$3:$G$46,5,FALSE),F147)</f>
        <v>13</v>
      </c>
      <c r="G147" s="210" t="s">
        <v>90</v>
      </c>
    </row>
    <row r="148" spans="1:7" ht="45" hidden="1" customHeight="1" x14ac:dyDescent="0.25">
      <c r="A148" s="229"/>
      <c r="B148" s="241">
        <v>1522</v>
      </c>
      <c r="C148" s="267" t="s">
        <v>3928</v>
      </c>
      <c r="D148" s="304">
        <f ca="1">_xlfn.IFNA(VLOOKUP(B148,Worksheet!$C$3:$G$46,3,FALSE),D148)</f>
        <v>12</v>
      </c>
      <c r="E148" s="304">
        <f ca="1">_xlfn.IFNA(VLOOKUP(B148,Worksheet!$C$3:$G$46,4,FALSE),E148)</f>
        <v>9</v>
      </c>
      <c r="F148" s="304">
        <f ca="1">_xlfn.IFNA(VLOOKUP(B148,Worksheet!$C$3:$G$46,5,FALSE),F148)</f>
        <v>13</v>
      </c>
      <c r="G148" s="210" t="s">
        <v>90</v>
      </c>
    </row>
    <row r="149" spans="1:7" ht="45" hidden="1" customHeight="1" x14ac:dyDescent="0.25">
      <c r="A149" s="229"/>
      <c r="B149" s="241">
        <v>1523</v>
      </c>
      <c r="C149" s="267" t="s">
        <v>3929</v>
      </c>
      <c r="D149" s="304">
        <f ca="1">_xlfn.IFNA(VLOOKUP(B149,Worksheet!$C$3:$G$46,3,FALSE),D149)</f>
        <v>12</v>
      </c>
      <c r="E149" s="304">
        <f ca="1">_xlfn.IFNA(VLOOKUP(B149,Worksheet!$C$3:$G$46,4,FALSE),E149)</f>
        <v>9</v>
      </c>
      <c r="F149" s="304">
        <f ca="1">_xlfn.IFNA(VLOOKUP(B149,Worksheet!$C$3:$G$46,5,FALSE),F149)</f>
        <v>13</v>
      </c>
      <c r="G149" s="210" t="s">
        <v>90</v>
      </c>
    </row>
    <row r="150" spans="1:7" ht="45" hidden="1" customHeight="1" x14ac:dyDescent="0.25">
      <c r="A150" s="229"/>
      <c r="B150" s="241">
        <v>1524</v>
      </c>
      <c r="C150" s="267" t="s">
        <v>3930</v>
      </c>
      <c r="D150" s="304">
        <f ca="1">_xlfn.IFNA(VLOOKUP(B150,Worksheet!$C$3:$G$46,3,FALSE),D150)</f>
        <v>13</v>
      </c>
      <c r="E150" s="304">
        <f ca="1">_xlfn.IFNA(VLOOKUP(B150,Worksheet!$C$3:$G$46,4,FALSE),E150)</f>
        <v>19</v>
      </c>
      <c r="F150" s="304">
        <f ca="1">_xlfn.IFNA(VLOOKUP(B150,Worksheet!$C$3:$G$46,5,FALSE),F150)</f>
        <v>19</v>
      </c>
      <c r="G150" s="210" t="s">
        <v>90</v>
      </c>
    </row>
    <row r="151" spans="1:7" ht="45" hidden="1" customHeight="1" x14ac:dyDescent="0.25">
      <c r="A151" s="229"/>
      <c r="B151" s="241">
        <v>1531</v>
      </c>
      <c r="C151" s="245" t="s">
        <v>3931</v>
      </c>
      <c r="D151" s="304">
        <f ca="1">_xlfn.IFNA(VLOOKUP(B151,Worksheet!$C$3:$G$46,3,FALSE),D151)</f>
        <v>3</v>
      </c>
      <c r="E151" s="304">
        <f ca="1">_xlfn.IFNA(VLOOKUP(B151,Worksheet!$C$3:$G$46,4,FALSE),E151)</f>
        <v>0</v>
      </c>
      <c r="F151" s="304">
        <f ca="1">_xlfn.IFNA(VLOOKUP(B151,Worksheet!$C$3:$G$46,5,FALSE),F151)</f>
        <v>5</v>
      </c>
      <c r="G151" s="210" t="s">
        <v>90</v>
      </c>
    </row>
    <row r="152" spans="1:7" ht="45" hidden="1" customHeight="1" x14ac:dyDescent="0.25">
      <c r="A152" s="229"/>
      <c r="B152" s="241">
        <v>1532</v>
      </c>
      <c r="C152" s="245" t="s">
        <v>3932</v>
      </c>
      <c r="D152" s="304">
        <f ca="1">_xlfn.IFNA(VLOOKUP(B152,Worksheet!$C$3:$G$46,3,FALSE),D152)</f>
        <v>8</v>
      </c>
      <c r="E152" s="304">
        <f ca="1">_xlfn.IFNA(VLOOKUP(B152,Worksheet!$C$3:$G$46,4,FALSE),E152)</f>
        <v>9</v>
      </c>
      <c r="F152" s="304">
        <f ca="1">_xlfn.IFNA(VLOOKUP(B152,Worksheet!$C$3:$G$46,5,FALSE),F152)</f>
        <v>7</v>
      </c>
      <c r="G152" s="210" t="s">
        <v>90</v>
      </c>
    </row>
    <row r="153" spans="1:7" ht="45" hidden="1" customHeight="1" x14ac:dyDescent="0.25">
      <c r="A153" s="229"/>
      <c r="B153" s="241">
        <v>1533</v>
      </c>
      <c r="C153" s="245" t="s">
        <v>3933</v>
      </c>
      <c r="D153" s="304">
        <f ca="1">_xlfn.IFNA(VLOOKUP(B153,Worksheet!$C$3:$G$46,3,FALSE),D153)</f>
        <v>13</v>
      </c>
      <c r="E153" s="304">
        <f ca="1">_xlfn.IFNA(VLOOKUP(B153,Worksheet!$C$3:$G$46,4,FALSE),E153)</f>
        <v>19</v>
      </c>
      <c r="F153" s="304">
        <f ca="1">_xlfn.IFNA(VLOOKUP(B153,Worksheet!$C$3:$G$46,5,FALSE),F153)</f>
        <v>19</v>
      </c>
      <c r="G153" s="210" t="s">
        <v>90</v>
      </c>
    </row>
    <row r="154" spans="1:7" ht="45" hidden="1" customHeight="1" x14ac:dyDescent="0.25">
      <c r="A154" s="229"/>
      <c r="B154" s="241">
        <v>1534</v>
      </c>
      <c r="C154" s="245" t="s">
        <v>3934</v>
      </c>
      <c r="D154" s="304">
        <f ca="1">_xlfn.IFNA(VLOOKUP(B154,Worksheet!$C$3:$G$46,3,FALSE),D154)</f>
        <v>0</v>
      </c>
      <c r="E154" s="304">
        <f ca="1">_xlfn.IFNA(VLOOKUP(B154,Worksheet!$C$3:$G$46,4,FALSE),E154)</f>
        <v>2</v>
      </c>
      <c r="F154" s="304">
        <f ca="1">_xlfn.IFNA(VLOOKUP(B154,Worksheet!$C$3:$G$46,5,FALSE),F154)</f>
        <v>2</v>
      </c>
      <c r="G154" s="210" t="s">
        <v>90</v>
      </c>
    </row>
    <row r="155" spans="1:7" ht="45" hidden="1" customHeight="1" x14ac:dyDescent="0.25">
      <c r="A155" s="229"/>
      <c r="B155" s="241">
        <v>1541</v>
      </c>
      <c r="C155" s="245" t="s">
        <v>3935</v>
      </c>
      <c r="D155" s="304">
        <f ca="1">_xlfn.IFNA(VLOOKUP(B155,Worksheet!$C$3:$G$46,3,FALSE),D155)</f>
        <v>13</v>
      </c>
      <c r="E155" s="304">
        <f ca="1">_xlfn.IFNA(VLOOKUP(B155,Worksheet!$C$3:$G$46,4,FALSE),E155)</f>
        <v>19</v>
      </c>
      <c r="F155" s="304">
        <f ca="1">_xlfn.IFNA(VLOOKUP(B155,Worksheet!$C$3:$G$46,5,FALSE),F155)</f>
        <v>19</v>
      </c>
      <c r="G155" s="210" t="s">
        <v>90</v>
      </c>
    </row>
    <row r="156" spans="1:7" ht="45" hidden="1" customHeight="1" x14ac:dyDescent="0.25">
      <c r="A156" s="229"/>
      <c r="B156" s="241">
        <v>1542</v>
      </c>
      <c r="C156" s="267" t="s">
        <v>3936</v>
      </c>
      <c r="D156" s="304">
        <f ca="1">_xlfn.IFNA(VLOOKUP(B156,Worksheet!$C$3:$G$46,3,FALSE),D156)</f>
        <v>12</v>
      </c>
      <c r="E156" s="304">
        <f ca="1">_xlfn.IFNA(VLOOKUP(B156,Worksheet!$C$3:$G$46,4,FALSE),E156)</f>
        <v>9</v>
      </c>
      <c r="F156" s="304">
        <f ca="1">_xlfn.IFNA(VLOOKUP(B156,Worksheet!$C$3:$G$46,5,FALSE),F156)</f>
        <v>13</v>
      </c>
      <c r="G156" s="210" t="s">
        <v>90</v>
      </c>
    </row>
    <row r="157" spans="1:7" ht="45" hidden="1" customHeight="1" x14ac:dyDescent="0.25">
      <c r="A157" s="229"/>
      <c r="B157" s="241">
        <v>1543</v>
      </c>
      <c r="C157" s="267" t="s">
        <v>3937</v>
      </c>
      <c r="D157" s="304">
        <f ca="1">_xlfn.IFNA(VLOOKUP(B157,Worksheet!$C$3:$G$46,3,FALSE),D157)</f>
        <v>13</v>
      </c>
      <c r="E157" s="304">
        <f ca="1">_xlfn.IFNA(VLOOKUP(B157,Worksheet!$C$3:$G$46,4,FALSE),E157)</f>
        <v>19</v>
      </c>
      <c r="F157" s="304">
        <f ca="1">_xlfn.IFNA(VLOOKUP(B157,Worksheet!$C$3:$G$46,5,FALSE),F157)</f>
        <v>19</v>
      </c>
      <c r="G157" s="210" t="s">
        <v>90</v>
      </c>
    </row>
    <row r="158" spans="1:7" ht="45" hidden="1" customHeight="1" x14ac:dyDescent="0.25">
      <c r="A158" s="229"/>
      <c r="B158" s="241">
        <v>1544</v>
      </c>
      <c r="C158" s="245" t="s">
        <v>3938</v>
      </c>
      <c r="D158" s="304">
        <f ca="1">_xlfn.IFNA(VLOOKUP(B158,Worksheet!$C$3:$G$46,3,FALSE),D158)</f>
        <v>0</v>
      </c>
      <c r="E158" s="304">
        <f ca="1">_xlfn.IFNA(VLOOKUP(B158,Worksheet!$C$3:$G$46,4,FALSE),E158)</f>
        <v>0</v>
      </c>
      <c r="F158" s="304">
        <f ca="1">_xlfn.IFNA(VLOOKUP(B158,Worksheet!$C$3:$G$46,5,FALSE),F158)</f>
        <v>0</v>
      </c>
      <c r="G158" s="210" t="s">
        <v>90</v>
      </c>
    </row>
    <row r="159" spans="1:7" ht="45" hidden="1" customHeight="1" x14ac:dyDescent="0.25">
      <c r="A159" s="229"/>
      <c r="B159" s="241">
        <v>1551</v>
      </c>
      <c r="C159" s="224" t="s">
        <v>3939</v>
      </c>
      <c r="D159" s="268"/>
      <c r="E159" s="268"/>
      <c r="F159" s="268"/>
      <c r="G159" s="210"/>
    </row>
    <row r="160" spans="1:7" ht="45" hidden="1" customHeight="1" x14ac:dyDescent="0.25">
      <c r="A160" s="229"/>
      <c r="B160" s="241">
        <v>1552</v>
      </c>
      <c r="C160" s="245" t="s">
        <v>3940</v>
      </c>
      <c r="D160" s="304">
        <f ca="1">_xlfn.IFNA(VLOOKUP(B160,Worksheet!$C$3:$G$46,3,FALSE),D160)</f>
        <v>13</v>
      </c>
      <c r="E160" s="304">
        <f ca="1">_xlfn.IFNA(VLOOKUP(B160,Worksheet!$C$3:$G$46,4,FALSE),E160)</f>
        <v>19</v>
      </c>
      <c r="F160" s="304">
        <f ca="1">_xlfn.IFNA(VLOOKUP(B160,Worksheet!$C$3:$G$46,5,FALSE),F160)</f>
        <v>19</v>
      </c>
      <c r="G160" s="210" t="s">
        <v>90</v>
      </c>
    </row>
    <row r="161" spans="1:7" ht="45" hidden="1" customHeight="1" x14ac:dyDescent="0.25">
      <c r="A161" s="229"/>
      <c r="B161" s="241">
        <v>1553</v>
      </c>
      <c r="C161" s="245" t="s">
        <v>3941</v>
      </c>
      <c r="D161" s="304">
        <f ca="1">_xlfn.IFNA(VLOOKUP(B161,Worksheet!$C$3:$G$46,3,FALSE),D161)</f>
        <v>0</v>
      </c>
      <c r="E161" s="304">
        <f ca="1">_xlfn.IFNA(VLOOKUP(B161,Worksheet!$C$3:$G$46,4,FALSE),E161)</f>
        <v>0</v>
      </c>
      <c r="F161" s="304">
        <f ca="1">_xlfn.IFNA(VLOOKUP(B161,Worksheet!$C$3:$G$46,5,FALSE),F161)</f>
        <v>0</v>
      </c>
      <c r="G161" s="210" t="s">
        <v>90</v>
      </c>
    </row>
    <row r="162" spans="1:7" ht="45" hidden="1" customHeight="1" x14ac:dyDescent="0.25">
      <c r="A162" s="229"/>
      <c r="B162" s="241">
        <v>1554</v>
      </c>
      <c r="C162" s="224" t="s">
        <v>3942</v>
      </c>
      <c r="D162" s="268"/>
      <c r="E162" s="268"/>
      <c r="F162" s="268"/>
      <c r="G162" s="210"/>
    </row>
    <row r="163" spans="1:7" ht="45" hidden="1" customHeight="1" x14ac:dyDescent="0.25">
      <c r="A163" s="229"/>
      <c r="B163" s="241">
        <v>1555</v>
      </c>
      <c r="C163" s="245" t="s">
        <v>3943</v>
      </c>
      <c r="D163" s="304">
        <f ca="1">_xlfn.IFNA(VLOOKUP(B163,Worksheet!$C$3:$G$46,3,FALSE),D163)</f>
        <v>12</v>
      </c>
      <c r="E163" s="304">
        <f ca="1">_xlfn.IFNA(VLOOKUP(B163,Worksheet!$C$3:$G$46,4,FALSE),E163)</f>
        <v>9</v>
      </c>
      <c r="F163" s="304">
        <f ca="1">_xlfn.IFNA(VLOOKUP(B163,Worksheet!$C$3:$G$46,5,FALSE),F163)</f>
        <v>13</v>
      </c>
      <c r="G163" s="210" t="s">
        <v>90</v>
      </c>
    </row>
    <row r="164" spans="1:7" ht="45" hidden="1" customHeight="1" x14ac:dyDescent="0.25">
      <c r="A164" s="229"/>
      <c r="B164" s="241">
        <v>1556</v>
      </c>
      <c r="C164" s="245" t="s">
        <v>3941</v>
      </c>
      <c r="D164" s="304">
        <f ca="1">_xlfn.IFNA(VLOOKUP(B164,Worksheet!$C$3:$G$46,3,FALSE),D164)</f>
        <v>0</v>
      </c>
      <c r="E164" s="304">
        <f ca="1">_xlfn.IFNA(VLOOKUP(B164,Worksheet!$C$3:$G$46,4,FALSE),E164)</f>
        <v>0</v>
      </c>
      <c r="F164" s="304">
        <f ca="1">_xlfn.IFNA(VLOOKUP(B164,Worksheet!$C$3:$G$46,5,FALSE),F164)</f>
        <v>0</v>
      </c>
      <c r="G164" s="210" t="s">
        <v>90</v>
      </c>
    </row>
    <row r="165" spans="1:7" ht="45" hidden="1" customHeight="1" x14ac:dyDescent="0.25">
      <c r="A165" s="229"/>
      <c r="C165" s="281"/>
      <c r="D165" s="282"/>
      <c r="G165" s="210"/>
    </row>
    <row r="166" spans="1:7" ht="45" customHeight="1" x14ac:dyDescent="0.25">
      <c r="A166" s="229"/>
      <c r="B166" s="284" t="s">
        <v>91</v>
      </c>
      <c r="C166" s="263" t="s">
        <v>3992</v>
      </c>
      <c r="D166" s="231"/>
      <c r="E166" s="234"/>
      <c r="F166" s="303">
        <f>_xlfn.IFNA(VLOOKUP(B166,Worksheet!$C$3:$G$46,5,FALSE),F166)</f>
        <v>0</v>
      </c>
      <c r="G166" s="210" t="s">
        <v>91</v>
      </c>
    </row>
    <row r="167" spans="1:7" ht="45" customHeight="1" x14ac:dyDescent="0.25">
      <c r="A167" s="229"/>
      <c r="B167" s="285" t="s">
        <v>4014</v>
      </c>
      <c r="C167" s="263" t="s">
        <v>3993</v>
      </c>
      <c r="D167" s="231"/>
      <c r="E167" s="234"/>
      <c r="F167" s="240">
        <f>_xlfn.IFNA(VLOOKUP(F166,Data_donotedit!$BE$2:$BG$25,3,TRUE),0)</f>
        <v>20</v>
      </c>
      <c r="G167" s="210" t="s">
        <v>91</v>
      </c>
    </row>
    <row r="168" spans="1:7" ht="45" customHeight="1" x14ac:dyDescent="0.25">
      <c r="A168" s="229"/>
      <c r="B168" s="284"/>
      <c r="C168" s="265" t="s">
        <v>3944</v>
      </c>
      <c r="D168" s="243" t="s">
        <v>76</v>
      </c>
      <c r="E168" s="244" t="s">
        <v>77</v>
      </c>
      <c r="F168" s="244" t="s">
        <v>78</v>
      </c>
      <c r="G168" s="210" t="s">
        <v>91</v>
      </c>
    </row>
    <row r="169" spans="1:7" ht="45" customHeight="1" x14ac:dyDescent="0.25">
      <c r="A169" s="229"/>
      <c r="B169" s="241">
        <v>1611</v>
      </c>
      <c r="C169" s="245" t="s">
        <v>3923</v>
      </c>
      <c r="D169" s="304">
        <f ca="1">_xlfn.IFNA(VLOOKUP(B169,Worksheet!$C$3:$G$46,3,FALSE),D169)</f>
        <v>0</v>
      </c>
      <c r="E169" s="304">
        <f ca="1">_xlfn.IFNA(VLOOKUP(B169,Worksheet!$C$3:$G$46,4,FALSE),E169)</f>
        <v>0</v>
      </c>
      <c r="F169" s="304">
        <f ca="1">_xlfn.IFNA(VLOOKUP(B169,Worksheet!$C$3:$G$46,5,FALSE),F169)</f>
        <v>0</v>
      </c>
      <c r="G169" s="210" t="s">
        <v>91</v>
      </c>
    </row>
    <row r="170" spans="1:7" ht="45" customHeight="1" x14ac:dyDescent="0.25">
      <c r="A170" s="229"/>
      <c r="B170" s="241">
        <v>1612</v>
      </c>
      <c r="C170" s="245" t="s">
        <v>3945</v>
      </c>
      <c r="D170" s="304">
        <f ca="1">_xlfn.IFNA(VLOOKUP(B170,Worksheet!$C$3:$G$46,3,FALSE),D170)</f>
        <v>0</v>
      </c>
      <c r="E170" s="304">
        <f ca="1">_xlfn.IFNA(VLOOKUP(B170,Worksheet!$C$3:$G$46,4,FALSE),E170)</f>
        <v>0</v>
      </c>
      <c r="F170" s="304">
        <f ca="1">_xlfn.IFNA(VLOOKUP(B170,Worksheet!$C$3:$G$46,5,FALSE),F170)</f>
        <v>0</v>
      </c>
      <c r="G170" s="210" t="s">
        <v>91</v>
      </c>
    </row>
    <row r="171" spans="1:7" ht="45" customHeight="1" x14ac:dyDescent="0.25">
      <c r="A171" s="229"/>
      <c r="B171" s="241">
        <v>1613</v>
      </c>
      <c r="C171" s="245" t="s">
        <v>3924</v>
      </c>
      <c r="D171" s="304" t="str">
        <f ca="1">_xlfn.IFNA(VLOOKUP(B171,Worksheet!$C$3:$G$46,3,FALSE),D171)</f>
        <v>2,12</v>
      </c>
      <c r="E171" s="304" t="str">
        <f ca="1">_xlfn.IFNA(VLOOKUP(B171,Worksheet!$C$3:$G$46,4,FALSE),E171)</f>
        <v>2,9</v>
      </c>
      <c r="F171" s="304" t="str">
        <f ca="1">_xlfn.IFNA(VLOOKUP(B171,Worksheet!$C$3:$G$46,5,FALSE),F171)</f>
        <v>2,13</v>
      </c>
      <c r="G171" s="210" t="s">
        <v>91</v>
      </c>
    </row>
    <row r="172" spans="1:7" ht="45" customHeight="1" x14ac:dyDescent="0.25">
      <c r="A172" s="229"/>
      <c r="B172" s="241">
        <v>1614</v>
      </c>
      <c r="C172" s="286" t="s">
        <v>3994</v>
      </c>
      <c r="D172" s="304">
        <f ca="1">_xlfn.IFNA(VLOOKUP(B172,Worksheet!$C$3:$G$46,3,FALSE),D172)</f>
        <v>11</v>
      </c>
      <c r="E172" s="304">
        <f ca="1">_xlfn.IFNA(VLOOKUP(B172,Worksheet!$C$3:$G$46,4,FALSE),E172)</f>
        <v>9</v>
      </c>
      <c r="F172" s="304">
        <f ca="1">_xlfn.IFNA(VLOOKUP(B172,Worksheet!$C$3:$G$46,5,FALSE),F172)</f>
        <v>12</v>
      </c>
      <c r="G172" s="210" t="s">
        <v>91</v>
      </c>
    </row>
    <row r="173" spans="1:7" ht="45" customHeight="1" x14ac:dyDescent="0.25">
      <c r="A173" s="229"/>
      <c r="B173" s="241">
        <v>1615</v>
      </c>
      <c r="C173" s="245" t="s">
        <v>3946</v>
      </c>
      <c r="D173" s="304">
        <f ca="1">_xlfn.IFNA(VLOOKUP(B173,Worksheet!$C$3:$G$46,3,FALSE),D173)</f>
        <v>50700</v>
      </c>
      <c r="E173" s="304">
        <f ca="1">_xlfn.IFNA(VLOOKUP(B173,Worksheet!$C$3:$G$46,4,FALSE),E173)</f>
        <v>47658</v>
      </c>
      <c r="F173" s="304">
        <f ca="1">_xlfn.IFNA(VLOOKUP(B173,Worksheet!$C$3:$G$46,5,FALSE),F173)</f>
        <v>40560</v>
      </c>
      <c r="G173" s="210" t="s">
        <v>91</v>
      </c>
    </row>
    <row r="174" spans="1:7" ht="45" customHeight="1" x14ac:dyDescent="0.25">
      <c r="A174" s="229"/>
      <c r="B174" s="241">
        <v>1616</v>
      </c>
      <c r="C174" s="245" t="s">
        <v>3995</v>
      </c>
      <c r="D174" s="304">
        <f ca="1">_xlfn.IFNA(VLOOKUP(B174,Worksheet!$C$3:$G$46,3,FALSE),D174)</f>
        <v>542</v>
      </c>
      <c r="E174" s="304">
        <f ca="1">_xlfn.IFNA(VLOOKUP(B174,Worksheet!$C$3:$G$46,4,FALSE),E174)</f>
        <v>584</v>
      </c>
      <c r="F174" s="304">
        <f ca="1">_xlfn.IFNA(VLOOKUP(B174,Worksheet!$C$3:$G$46,5,FALSE),F174)</f>
        <v>421</v>
      </c>
      <c r="G174" s="210" t="s">
        <v>91</v>
      </c>
    </row>
    <row r="175" spans="1:7" ht="45" customHeight="1" x14ac:dyDescent="0.25">
      <c r="A175" s="229"/>
      <c r="B175" s="241">
        <v>1621</v>
      </c>
      <c r="C175" s="245" t="s">
        <v>3996</v>
      </c>
      <c r="D175" s="304">
        <f ca="1">_xlfn.IFNA(VLOOKUP(B175,Worksheet!$C$3:$G$46,3,FALSE),D175)</f>
        <v>542</v>
      </c>
      <c r="E175" s="304">
        <f ca="1">_xlfn.IFNA(VLOOKUP(B175,Worksheet!$C$3:$G$46,4,FALSE),E175)</f>
        <v>584</v>
      </c>
      <c r="F175" s="304">
        <f ca="1">_xlfn.IFNA(VLOOKUP(B175,Worksheet!$C$3:$G$46,5,FALSE),F175)</f>
        <v>421</v>
      </c>
      <c r="G175" s="210" t="s">
        <v>91</v>
      </c>
    </row>
    <row r="176" spans="1:7" ht="45" customHeight="1" x14ac:dyDescent="0.25">
      <c r="A176" s="229"/>
      <c r="B176" s="241">
        <v>1622</v>
      </c>
      <c r="C176" s="245" t="s">
        <v>3997</v>
      </c>
      <c r="D176" s="304">
        <f ca="1">_xlfn.IFNA(VLOOKUP(B176,Worksheet!$C$3:$G$46,3,FALSE),D176)</f>
        <v>542</v>
      </c>
      <c r="E176" s="304">
        <f ca="1">_xlfn.IFNA(VLOOKUP(B176,Worksheet!$C$3:$G$46,4,FALSE),E176)</f>
        <v>584</v>
      </c>
      <c r="F176" s="304">
        <f ca="1">_xlfn.IFNA(VLOOKUP(B176,Worksheet!$C$3:$G$46,5,FALSE),F176)</f>
        <v>421</v>
      </c>
      <c r="G176" s="210" t="s">
        <v>91</v>
      </c>
    </row>
    <row r="177" spans="1:7" ht="45" customHeight="1" x14ac:dyDescent="0.25">
      <c r="A177" s="229"/>
      <c r="B177" s="241">
        <v>1623</v>
      </c>
      <c r="C177" s="245" t="s">
        <v>3998</v>
      </c>
      <c r="D177" s="304">
        <f ca="1">_xlfn.IFNA(VLOOKUP(B177,Worksheet!$C$3:$G$46,3,FALSE),D177)</f>
        <v>374</v>
      </c>
      <c r="E177" s="304">
        <f ca="1">_xlfn.IFNA(VLOOKUP(B177,Worksheet!$C$3:$G$46,4,FALSE),E177)</f>
        <v>508</v>
      </c>
      <c r="F177" s="304">
        <f ca="1">_xlfn.IFNA(VLOOKUP(B177,Worksheet!$C$3:$G$46,5,FALSE),F177)</f>
        <v>352</v>
      </c>
      <c r="G177" s="210" t="s">
        <v>91</v>
      </c>
    </row>
    <row r="178" spans="1:7" ht="45" customHeight="1" x14ac:dyDescent="0.25">
      <c r="A178" s="229"/>
      <c r="B178" s="241">
        <v>1624</v>
      </c>
      <c r="C178" s="245" t="s">
        <v>3999</v>
      </c>
      <c r="D178" s="304">
        <f ca="1">_xlfn.IFNA(VLOOKUP(B178,Worksheet!$C$3:$G$46,3,FALSE),D178)</f>
        <v>175</v>
      </c>
      <c r="E178" s="304">
        <f ca="1">_xlfn.IFNA(VLOOKUP(B178,Worksheet!$C$3:$G$46,4,FALSE),E178)</f>
        <v>52</v>
      </c>
      <c r="F178" s="304">
        <f ca="1">_xlfn.IFNA(VLOOKUP(B178,Worksheet!$C$3:$G$46,5,FALSE),F178)</f>
        <v>121</v>
      </c>
      <c r="G178" s="210" t="s">
        <v>91</v>
      </c>
    </row>
    <row r="179" spans="1:7" ht="45" customHeight="1" x14ac:dyDescent="0.25">
      <c r="A179" s="229"/>
      <c r="B179" s="241">
        <v>1625</v>
      </c>
      <c r="C179" s="245" t="s">
        <v>3947</v>
      </c>
      <c r="D179" s="304">
        <f ca="1">_xlfn.IFNA(VLOOKUP(B179,Worksheet!$C$3:$G$46,3,FALSE),D179)</f>
        <v>542</v>
      </c>
      <c r="E179" s="304">
        <f ca="1">_xlfn.IFNA(VLOOKUP(B179,Worksheet!$C$3:$G$46,4,FALSE),E179)</f>
        <v>584</v>
      </c>
      <c r="F179" s="304">
        <f ca="1">_xlfn.IFNA(VLOOKUP(B179,Worksheet!$C$3:$G$46,5,FALSE),F179)</f>
        <v>421</v>
      </c>
      <c r="G179" s="210" t="s">
        <v>91</v>
      </c>
    </row>
    <row r="180" spans="1:7" ht="45" customHeight="1" x14ac:dyDescent="0.25">
      <c r="A180" s="229"/>
      <c r="B180" s="241"/>
      <c r="C180" s="248" t="s">
        <v>4000</v>
      </c>
      <c r="D180" s="249"/>
      <c r="E180" s="249"/>
      <c r="F180" s="250"/>
      <c r="G180" s="210" t="s">
        <v>91</v>
      </c>
    </row>
    <row r="181" spans="1:7" ht="45" customHeight="1" x14ac:dyDescent="0.25">
      <c r="A181" s="229"/>
      <c r="B181" s="241">
        <v>1631</v>
      </c>
      <c r="C181" s="245" t="s">
        <v>3948</v>
      </c>
      <c r="D181" s="304">
        <f ca="1">_xlfn.IFNA(VLOOKUP(B181,Worksheet!$C$3:$G$46,3,FALSE),D181)</f>
        <v>3</v>
      </c>
      <c r="E181" s="304">
        <f ca="1">_xlfn.IFNA(VLOOKUP(B181,Worksheet!$C$3:$G$46,4,FALSE),E181)</f>
        <v>0</v>
      </c>
      <c r="F181" s="304">
        <f ca="1">_xlfn.IFNA(VLOOKUP(B181,Worksheet!$C$3:$G$46,5,FALSE),F181)</f>
        <v>5</v>
      </c>
      <c r="G181" s="210" t="s">
        <v>91</v>
      </c>
    </row>
    <row r="182" spans="1:7" ht="45" customHeight="1" x14ac:dyDescent="0.25">
      <c r="A182" s="229"/>
      <c r="B182" s="241">
        <v>1632</v>
      </c>
      <c r="C182" s="245" t="s">
        <v>3949</v>
      </c>
      <c r="D182" s="304">
        <f ca="1">_xlfn.IFNA(VLOOKUP(B182,Worksheet!$C$3:$G$46,3,FALSE),D182)</f>
        <v>8</v>
      </c>
      <c r="E182" s="304">
        <f ca="1">_xlfn.IFNA(VLOOKUP(B182,Worksheet!$C$3:$G$46,4,FALSE),E182)</f>
        <v>9</v>
      </c>
      <c r="F182" s="304">
        <f ca="1">_xlfn.IFNA(VLOOKUP(B182,Worksheet!$C$3:$G$46,5,FALSE),F182)</f>
        <v>7</v>
      </c>
      <c r="G182" s="210" t="s">
        <v>91</v>
      </c>
    </row>
    <row r="183" spans="1:7" ht="45" customHeight="1" x14ac:dyDescent="0.25">
      <c r="A183" s="229"/>
      <c r="B183" s="241">
        <v>1633</v>
      </c>
      <c r="C183" s="245" t="s">
        <v>3950</v>
      </c>
      <c r="D183" s="304">
        <f ca="1">_xlfn.IFNA(VLOOKUP(B183,Worksheet!$C$3:$G$46,3,FALSE),D183)</f>
        <v>450</v>
      </c>
      <c r="E183" s="304">
        <f ca="1">_xlfn.IFNA(VLOOKUP(B183,Worksheet!$C$3:$G$46,4,FALSE),E183)</f>
        <v>500</v>
      </c>
      <c r="F183" s="304">
        <f ca="1">_xlfn.IFNA(VLOOKUP(B183,Worksheet!$C$3:$G$46,5,FALSE),F183)</f>
        <v>344</v>
      </c>
      <c r="G183" s="210" t="s">
        <v>91</v>
      </c>
    </row>
    <row r="184" spans="1:7" ht="45" customHeight="1" x14ac:dyDescent="0.25">
      <c r="A184" s="229"/>
      <c r="B184" s="241">
        <v>1634</v>
      </c>
      <c r="C184" s="245" t="s">
        <v>3951</v>
      </c>
      <c r="D184" s="304">
        <f ca="1">_xlfn.IFNA(VLOOKUP(B184,Worksheet!$C$3:$G$46,3,FALSE),D184)</f>
        <v>46</v>
      </c>
      <c r="E184" s="304">
        <f ca="1">_xlfn.IFNA(VLOOKUP(B184,Worksheet!$C$3:$G$46,4,FALSE),E184)</f>
        <v>50</v>
      </c>
      <c r="F184" s="304">
        <f ca="1">_xlfn.IFNA(VLOOKUP(B184,Worksheet!$C$3:$G$46,5,FALSE),F184)</f>
        <v>44</v>
      </c>
      <c r="G184" s="210" t="s">
        <v>91</v>
      </c>
    </row>
    <row r="185" spans="1:7" ht="45" customHeight="1" x14ac:dyDescent="0.25">
      <c r="A185" s="229"/>
      <c r="B185" s="241">
        <v>1635</v>
      </c>
      <c r="C185" s="245" t="s">
        <v>3952</v>
      </c>
      <c r="D185" s="304">
        <f ca="1">_xlfn.IFNA(VLOOKUP(B185,Worksheet!$C$3:$G$46,3,FALSE),D185)</f>
        <v>374</v>
      </c>
      <c r="E185" s="304">
        <f ca="1">_xlfn.IFNA(VLOOKUP(B185,Worksheet!$C$3:$G$46,4,FALSE),E185)</f>
        <v>508</v>
      </c>
      <c r="F185" s="304">
        <f ca="1">_xlfn.IFNA(VLOOKUP(B185,Worksheet!$C$3:$G$46,5,FALSE),F185)</f>
        <v>352</v>
      </c>
      <c r="G185" s="210" t="s">
        <v>91</v>
      </c>
    </row>
    <row r="186" spans="1:7" ht="45" customHeight="1" x14ac:dyDescent="0.25">
      <c r="A186" s="229"/>
      <c r="B186" s="241">
        <v>1641</v>
      </c>
      <c r="C186" s="245" t="s">
        <v>4001</v>
      </c>
      <c r="D186" s="304">
        <f ca="1">_xlfn.IFNA(VLOOKUP(B186,Worksheet!$C$3:$G$46,3,FALSE),D186)</f>
        <v>11</v>
      </c>
      <c r="E186" s="304">
        <f ca="1">_xlfn.IFNA(VLOOKUP(B186,Worksheet!$C$3:$G$46,4,FALSE),E186)</f>
        <v>9</v>
      </c>
      <c r="F186" s="304">
        <f ca="1">_xlfn.IFNA(VLOOKUP(B186,Worksheet!$C$3:$G$46,5,FALSE),F186)</f>
        <v>12</v>
      </c>
      <c r="G186" s="210" t="s">
        <v>91</v>
      </c>
    </row>
    <row r="187" spans="1:7" ht="45" customHeight="1" x14ac:dyDescent="0.25">
      <c r="A187" s="229"/>
      <c r="B187" s="241">
        <v>1642</v>
      </c>
      <c r="C187" s="245" t="s">
        <v>3952</v>
      </c>
      <c r="D187" s="304">
        <f ca="1">_xlfn.IFNA(VLOOKUP(B187,Worksheet!$C$3:$G$46,3,FALSE),D187)</f>
        <v>374</v>
      </c>
      <c r="E187" s="304">
        <f ca="1">_xlfn.IFNA(VLOOKUP(B187,Worksheet!$C$3:$G$46,4,FALSE),E187)</f>
        <v>508</v>
      </c>
      <c r="F187" s="304">
        <f ca="1">_xlfn.IFNA(VLOOKUP(B187,Worksheet!$C$3:$G$46,5,FALSE),F187)</f>
        <v>352</v>
      </c>
      <c r="G187" s="210" t="s">
        <v>91</v>
      </c>
    </row>
    <row r="188" spans="1:7" ht="45" customHeight="1" x14ac:dyDescent="0.25">
      <c r="A188" s="229"/>
      <c r="B188" s="241">
        <v>1643</v>
      </c>
      <c r="C188" s="245" t="s">
        <v>4002</v>
      </c>
      <c r="D188" s="304">
        <f ca="1">_xlfn.IFNA(VLOOKUP(B188,Worksheet!$C$3:$G$46,3,FALSE),D188)</f>
        <v>496</v>
      </c>
      <c r="E188" s="304">
        <f ca="1">_xlfn.IFNA(VLOOKUP(B188,Worksheet!$C$3:$G$46,4,FALSE),E188)</f>
        <v>550</v>
      </c>
      <c r="F188" s="304">
        <f ca="1">_xlfn.IFNA(VLOOKUP(B188,Worksheet!$C$3:$G$46,5,FALSE),F188)</f>
        <v>388</v>
      </c>
      <c r="G188" s="210" t="s">
        <v>91</v>
      </c>
    </row>
    <row r="189" spans="1:7" ht="45" customHeight="1" x14ac:dyDescent="0.25">
      <c r="A189" s="229"/>
      <c r="B189" s="241">
        <v>1644</v>
      </c>
      <c r="C189" s="245" t="s">
        <v>4003</v>
      </c>
      <c r="D189" s="304">
        <f ca="1">_xlfn.IFNA(VLOOKUP(B189,Worksheet!$C$3:$G$46,3,FALSE),D189)</f>
        <v>0</v>
      </c>
      <c r="E189" s="304">
        <f ca="1">_xlfn.IFNA(VLOOKUP(B189,Worksheet!$C$3:$G$46,4,FALSE),E189)</f>
        <v>0</v>
      </c>
      <c r="F189" s="304">
        <f ca="1">_xlfn.IFNA(VLOOKUP(B189,Worksheet!$C$3:$G$46,5,FALSE),F189)</f>
        <v>0</v>
      </c>
      <c r="G189" s="210" t="s">
        <v>91</v>
      </c>
    </row>
    <row r="190" spans="1:7" ht="45" hidden="1" customHeight="1" x14ac:dyDescent="0.25">
      <c r="A190" s="229"/>
      <c r="B190" s="241">
        <v>1651</v>
      </c>
      <c r="C190" s="224" t="s">
        <v>3953</v>
      </c>
      <c r="D190" s="287">
        <f ca="1">D191/D192</f>
        <v>2.7180627625401532E-3</v>
      </c>
      <c r="E190" s="287">
        <f t="shared" ref="E190:F190" ca="1" si="7">E191/E192</f>
        <v>2.223869532987398E-3</v>
      </c>
      <c r="F190" s="287">
        <f t="shared" ca="1" si="7"/>
        <v>2.9651593773165306E-3</v>
      </c>
      <c r="G190" s="210"/>
    </row>
    <row r="191" spans="1:7" ht="45" customHeight="1" x14ac:dyDescent="0.25">
      <c r="A191" s="229"/>
      <c r="B191" s="241">
        <v>1652</v>
      </c>
      <c r="C191" s="245" t="s">
        <v>3954</v>
      </c>
      <c r="D191" s="304">
        <f ca="1">_xlfn.IFNA(VLOOKUP(B191,Worksheet!$C$3:$G$46,3,FALSE),D191)</f>
        <v>11</v>
      </c>
      <c r="E191" s="304">
        <f ca="1">_xlfn.IFNA(VLOOKUP(B191,Worksheet!$C$3:$G$46,4,FALSE),E191)</f>
        <v>9</v>
      </c>
      <c r="F191" s="304">
        <f ca="1">_xlfn.IFNA(VLOOKUP(B191,Worksheet!$C$3:$G$46,5,FALSE),F191)</f>
        <v>12</v>
      </c>
      <c r="G191" s="210" t="s">
        <v>91</v>
      </c>
    </row>
    <row r="192" spans="1:7" ht="45" customHeight="1" x14ac:dyDescent="0.25">
      <c r="A192" s="229"/>
      <c r="B192" s="241">
        <v>1653</v>
      </c>
      <c r="C192" s="245" t="s">
        <v>3955</v>
      </c>
      <c r="D192" s="304">
        <f ca="1">_xlfn.IFNA(VLOOKUP(B192,Worksheet!$C$3:$G$46,3,FALSE),D192)</f>
        <v>4047</v>
      </c>
      <c r="E192" s="304">
        <f ca="1">_xlfn.IFNA(VLOOKUP(B192,Worksheet!$C$3:$G$46,4,FALSE),E192)</f>
        <v>4047</v>
      </c>
      <c r="F192" s="304">
        <f ca="1">_xlfn.IFNA(VLOOKUP(B192,Worksheet!$C$3:$G$46,5,FALSE),F192)</f>
        <v>4047</v>
      </c>
      <c r="G192" s="210" t="s">
        <v>91</v>
      </c>
    </row>
    <row r="193" spans="1:7" ht="45" hidden="1" customHeight="1" x14ac:dyDescent="0.25">
      <c r="A193" s="229"/>
      <c r="B193" s="241">
        <v>1654</v>
      </c>
      <c r="C193" s="224" t="s">
        <v>3956</v>
      </c>
      <c r="D193" s="287" t="e">
        <f ca="1">D194/D195</f>
        <v>#DIV/0!</v>
      </c>
      <c r="E193" s="287" t="e">
        <f t="shared" ref="E193:F193" ca="1" si="8">E194/E195</f>
        <v>#DIV/0!</v>
      </c>
      <c r="F193" s="287" t="e">
        <f t="shared" ca="1" si="8"/>
        <v>#DIV/0!</v>
      </c>
      <c r="G193" s="210"/>
    </row>
    <row r="194" spans="1:7" ht="45" customHeight="1" x14ac:dyDescent="0.25">
      <c r="A194" s="229"/>
      <c r="B194" s="241">
        <v>1655</v>
      </c>
      <c r="C194" s="245" t="s">
        <v>3957</v>
      </c>
      <c r="D194" s="304">
        <f ca="1">_xlfn.IFNA(VLOOKUP(B194,Worksheet!$C$3:$G$46,3,FALSE),D194)</f>
        <v>0</v>
      </c>
      <c r="E194" s="304">
        <f ca="1">_xlfn.IFNA(VLOOKUP(B194,Worksheet!$C$3:$G$46,4,FALSE),E194)</f>
        <v>0</v>
      </c>
      <c r="F194" s="304">
        <f ca="1">_xlfn.IFNA(VLOOKUP(B194,Worksheet!$C$3:$G$46,5,FALSE),F194)</f>
        <v>0</v>
      </c>
      <c r="G194" s="210" t="s">
        <v>91</v>
      </c>
    </row>
    <row r="195" spans="1:7" ht="45" customHeight="1" x14ac:dyDescent="0.25">
      <c r="A195" s="229"/>
      <c r="B195" s="241">
        <v>1656</v>
      </c>
      <c r="C195" s="245" t="s">
        <v>3958</v>
      </c>
      <c r="D195" s="304">
        <f ca="1">_xlfn.IFNA(VLOOKUP(B195,Worksheet!$C$3:$G$46,3,FALSE),D195)</f>
        <v>0</v>
      </c>
      <c r="E195" s="304">
        <f ca="1">_xlfn.IFNA(VLOOKUP(B195,Worksheet!$C$3:$G$46,4,FALSE),E195)</f>
        <v>0</v>
      </c>
      <c r="F195" s="304">
        <f ca="1">_xlfn.IFNA(VLOOKUP(B195,Worksheet!$C$3:$G$46,5,FALSE),F195)</f>
        <v>0</v>
      </c>
      <c r="G195" s="210" t="s">
        <v>91</v>
      </c>
    </row>
    <row r="196" spans="1:7" ht="45" hidden="1" customHeight="1" x14ac:dyDescent="0.25">
      <c r="A196" s="229"/>
      <c r="B196" s="241">
        <v>1657</v>
      </c>
      <c r="C196" s="224" t="s">
        <v>3959</v>
      </c>
      <c r="D196" s="268"/>
      <c r="E196" s="268"/>
      <c r="F196" s="268"/>
      <c r="G196" s="210"/>
    </row>
    <row r="197" spans="1:7" ht="45" customHeight="1" x14ac:dyDescent="0.25">
      <c r="A197" s="229"/>
      <c r="B197" s="241">
        <v>1658</v>
      </c>
      <c r="C197" s="245" t="s">
        <v>3960</v>
      </c>
      <c r="D197" s="304">
        <f ca="1">_xlfn.IFNA(VLOOKUP(B197,Worksheet!$C$3:$G$46,3,FALSE),D197)</f>
        <v>0</v>
      </c>
      <c r="E197" s="304">
        <f ca="1">_xlfn.IFNA(VLOOKUP(B197,Worksheet!$C$3:$G$46,4,FALSE),E197)</f>
        <v>0</v>
      </c>
      <c r="F197" s="304">
        <f ca="1">_xlfn.IFNA(VLOOKUP(B197,Worksheet!$C$3:$G$46,5,FALSE),F197)</f>
        <v>0</v>
      </c>
      <c r="G197" s="210" t="s">
        <v>91</v>
      </c>
    </row>
    <row r="198" spans="1:7" ht="45" customHeight="1" x14ac:dyDescent="0.25">
      <c r="A198" s="229"/>
      <c r="B198" s="241">
        <v>1659</v>
      </c>
      <c r="C198" s="245" t="s">
        <v>3961</v>
      </c>
      <c r="D198" s="304">
        <f ca="1">_xlfn.IFNA(VLOOKUP(B198,Worksheet!$C$3:$G$46,3,FALSE),D198)</f>
        <v>0</v>
      </c>
      <c r="E198" s="304">
        <f ca="1">_xlfn.IFNA(VLOOKUP(B198,Worksheet!$C$3:$G$46,4,FALSE),E198)</f>
        <v>0</v>
      </c>
      <c r="F198" s="304">
        <f ca="1">_xlfn.IFNA(VLOOKUP(B198,Worksheet!$C$3:$G$46,5,FALSE),F198)</f>
        <v>0</v>
      </c>
      <c r="G198" s="210" t="s">
        <v>91</v>
      </c>
    </row>
    <row r="199" spans="1:7" ht="45" hidden="1" customHeight="1" x14ac:dyDescent="0.25">
      <c r="A199" s="229"/>
      <c r="B199" s="241">
        <v>1660</v>
      </c>
      <c r="C199" s="224" t="s">
        <v>3962</v>
      </c>
      <c r="D199" s="268"/>
      <c r="E199" s="268"/>
      <c r="F199" s="268"/>
      <c r="G199" s="210"/>
    </row>
    <row r="200" spans="1:7" ht="45" customHeight="1" x14ac:dyDescent="0.25">
      <c r="A200" s="229"/>
      <c r="B200" s="241">
        <v>1661</v>
      </c>
      <c r="C200" s="245" t="s">
        <v>3963</v>
      </c>
      <c r="D200" s="304">
        <f ca="1">_xlfn.IFNA(VLOOKUP(B200,Worksheet!$C$3:$G$46,3,FALSE),D200)</f>
        <v>0</v>
      </c>
      <c r="E200" s="304">
        <f ca="1">_xlfn.IFNA(VLOOKUP(B200,Worksheet!$C$3:$G$46,4,FALSE),E200)</f>
        <v>0</v>
      </c>
      <c r="F200" s="304">
        <f ca="1">_xlfn.IFNA(VLOOKUP(B200,Worksheet!$C$3:$G$46,5,FALSE),F200)</f>
        <v>0</v>
      </c>
      <c r="G200" s="210" t="s">
        <v>91</v>
      </c>
    </row>
    <row r="201" spans="1:7" ht="45" customHeight="1" x14ac:dyDescent="0.25">
      <c r="A201" s="229"/>
      <c r="B201" s="241">
        <v>1662</v>
      </c>
      <c r="C201" s="245" t="s">
        <v>3964</v>
      </c>
      <c r="D201" s="304">
        <f ca="1">_xlfn.IFNA(VLOOKUP(B201,Worksheet!$C$3:$G$46,3,FALSE),D201)</f>
        <v>0</v>
      </c>
      <c r="E201" s="304">
        <f ca="1">_xlfn.IFNA(VLOOKUP(B201,Worksheet!$C$3:$G$46,4,FALSE),E201)</f>
        <v>0</v>
      </c>
      <c r="F201" s="304">
        <f ca="1">_xlfn.IFNA(VLOOKUP(B201,Worksheet!$C$3:$G$46,5,FALSE),F201)</f>
        <v>0</v>
      </c>
      <c r="G201" s="210" t="s">
        <v>91</v>
      </c>
    </row>
    <row r="202" spans="1:7" ht="45" hidden="1" customHeight="1" x14ac:dyDescent="0.25">
      <c r="G202" s="210"/>
    </row>
    <row r="203" spans="1:7" ht="45" hidden="1" customHeight="1" x14ac:dyDescent="0.25">
      <c r="G203" s="210"/>
    </row>
    <row r="204" spans="1:7" ht="45" hidden="1" customHeight="1" x14ac:dyDescent="0.25">
      <c r="G204" s="210"/>
    </row>
    <row r="205" spans="1:7" ht="45" hidden="1" customHeight="1" x14ac:dyDescent="0.25">
      <c r="G205" s="210"/>
    </row>
    <row r="206" spans="1:7" ht="45" hidden="1" customHeight="1" x14ac:dyDescent="0.25">
      <c r="G206" s="210"/>
    </row>
    <row r="207" spans="1:7" ht="45" hidden="1" customHeight="1" x14ac:dyDescent="0.25">
      <c r="G207" s="210"/>
    </row>
    <row r="208" spans="1:7" ht="45" hidden="1" customHeight="1" x14ac:dyDescent="0.25">
      <c r="G208" s="210"/>
    </row>
    <row r="209" spans="7:7" ht="45" hidden="1" customHeight="1" x14ac:dyDescent="0.25">
      <c r="G209" s="289"/>
    </row>
    <row r="210" spans="7:7" ht="45" hidden="1" customHeight="1" x14ac:dyDescent="0.25">
      <c r="G210" s="289"/>
    </row>
    <row r="211" spans="7:7" ht="45" hidden="1" customHeight="1" x14ac:dyDescent="0.25">
      <c r="G211" s="289"/>
    </row>
    <row r="212" spans="7:7" ht="45" hidden="1" customHeight="1" x14ac:dyDescent="0.25">
      <c r="G212" s="289"/>
    </row>
    <row r="213" spans="7:7" ht="45" hidden="1" customHeight="1" x14ac:dyDescent="0.25">
      <c r="G213" s="289"/>
    </row>
    <row r="214" spans="7:7" ht="45" hidden="1" customHeight="1" x14ac:dyDescent="0.25">
      <c r="G214" s="289"/>
    </row>
    <row r="215" spans="7:7" ht="45" hidden="1" customHeight="1" x14ac:dyDescent="0.25">
      <c r="G215" s="289"/>
    </row>
    <row r="216" spans="7:7" ht="45" hidden="1" customHeight="1" x14ac:dyDescent="0.25">
      <c r="G216" s="289"/>
    </row>
    <row r="217" spans="7:7" ht="45" hidden="1" customHeight="1" x14ac:dyDescent="0.25">
      <c r="G217" s="289"/>
    </row>
    <row r="218" spans="7:7" ht="45" hidden="1" customHeight="1" x14ac:dyDescent="0.25">
      <c r="G218" s="289"/>
    </row>
    <row r="219" spans="7:7" ht="45" hidden="1" customHeight="1" x14ac:dyDescent="0.25">
      <c r="G219" s="289"/>
    </row>
    <row r="220" spans="7:7" ht="45" hidden="1" customHeight="1" x14ac:dyDescent="0.25">
      <c r="G220" s="289"/>
    </row>
    <row r="221" spans="7:7" ht="45" hidden="1" customHeight="1" x14ac:dyDescent="0.25">
      <c r="G221" s="289"/>
    </row>
    <row r="222" spans="7:7" ht="45" hidden="1" customHeight="1" x14ac:dyDescent="0.25">
      <c r="G222" s="289"/>
    </row>
    <row r="223" spans="7:7" ht="45" hidden="1" customHeight="1" x14ac:dyDescent="0.25">
      <c r="G223" s="289"/>
    </row>
    <row r="224" spans="7:7" ht="45" hidden="1" customHeight="1" x14ac:dyDescent="0.25">
      <c r="G224" s="289"/>
    </row>
    <row r="225" spans="7:7" ht="45" hidden="1" customHeight="1" x14ac:dyDescent="0.25">
      <c r="G225" s="289"/>
    </row>
    <row r="226" spans="7:7" ht="45" hidden="1" customHeight="1" x14ac:dyDescent="0.25">
      <c r="G226" s="289"/>
    </row>
    <row r="227" spans="7:7" ht="45" hidden="1" customHeight="1" x14ac:dyDescent="0.25">
      <c r="G227" s="289"/>
    </row>
    <row r="228" spans="7:7" ht="45" hidden="1" customHeight="1" x14ac:dyDescent="0.25">
      <c r="G228" s="289"/>
    </row>
    <row r="229" spans="7:7" ht="45" hidden="1" customHeight="1" x14ac:dyDescent="0.25">
      <c r="G229" s="289"/>
    </row>
    <row r="230" spans="7:7" ht="45" hidden="1" customHeight="1" x14ac:dyDescent="0.25">
      <c r="G230" s="289"/>
    </row>
    <row r="231" spans="7:7" ht="45" hidden="1" customHeight="1" x14ac:dyDescent="0.25">
      <c r="G231" s="289"/>
    </row>
    <row r="232" spans="7:7" ht="45" hidden="1" customHeight="1" x14ac:dyDescent="0.25">
      <c r="G232" s="289"/>
    </row>
    <row r="233" spans="7:7" ht="45" hidden="1" customHeight="1" x14ac:dyDescent="0.25">
      <c r="G233" s="289"/>
    </row>
    <row r="234" spans="7:7" ht="45" hidden="1" customHeight="1" x14ac:dyDescent="0.25">
      <c r="G234" s="289"/>
    </row>
    <row r="235" spans="7:7" ht="45" hidden="1" customHeight="1" x14ac:dyDescent="0.25">
      <c r="G235" s="289"/>
    </row>
    <row r="236" spans="7:7" ht="45" hidden="1" customHeight="1" x14ac:dyDescent="0.25">
      <c r="G236" s="289"/>
    </row>
    <row r="237" spans="7:7" ht="45" hidden="1" customHeight="1" x14ac:dyDescent="0.25">
      <c r="G237" s="289"/>
    </row>
    <row r="238" spans="7:7" ht="45" hidden="1" customHeight="1" x14ac:dyDescent="0.25">
      <c r="G238" s="289"/>
    </row>
    <row r="239" spans="7:7" ht="45" hidden="1" customHeight="1" x14ac:dyDescent="0.25">
      <c r="G239" s="289"/>
    </row>
    <row r="240" spans="7:7" ht="45" customHeight="1" x14ac:dyDescent="0.25">
      <c r="G240" s="289"/>
    </row>
    <row r="241" spans="7:7" ht="45" customHeight="1" x14ac:dyDescent="0.25">
      <c r="G241" s="289"/>
    </row>
    <row r="242" spans="7:7" ht="45" customHeight="1" x14ac:dyDescent="0.25">
      <c r="G242" s="289"/>
    </row>
    <row r="243" spans="7:7" ht="45" customHeight="1" x14ac:dyDescent="0.25">
      <c r="G243" s="289"/>
    </row>
    <row r="326" spans="1:7" s="273" customFormat="1" ht="45" customHeight="1" x14ac:dyDescent="0.25">
      <c r="A326" s="288"/>
      <c r="B326" s="254"/>
      <c r="C326" s="275"/>
      <c r="D326" s="283"/>
      <c r="E326" s="283"/>
      <c r="F326" s="283"/>
      <c r="G326" s="290"/>
    </row>
    <row r="327" spans="1:7" s="273" customFormat="1" ht="45" customHeight="1" x14ac:dyDescent="0.25">
      <c r="A327" s="288"/>
      <c r="B327" s="254"/>
      <c r="C327" s="275"/>
      <c r="D327" s="283"/>
      <c r="E327" s="283"/>
      <c r="F327" s="283"/>
      <c r="G327" s="290"/>
    </row>
    <row r="328" spans="1:7" s="273" customFormat="1" ht="45" customHeight="1" x14ac:dyDescent="0.25">
      <c r="A328" s="288"/>
      <c r="B328" s="254"/>
      <c r="C328" s="275"/>
      <c r="D328" s="283"/>
      <c r="E328" s="283"/>
      <c r="F328" s="283"/>
      <c r="G328" s="290"/>
    </row>
    <row r="329" spans="1:7" s="273" customFormat="1" ht="45" customHeight="1" x14ac:dyDescent="0.25">
      <c r="A329" s="288"/>
      <c r="B329" s="254"/>
      <c r="C329" s="275"/>
      <c r="D329" s="283"/>
      <c r="E329" s="283"/>
      <c r="F329" s="283"/>
      <c r="G329" s="290"/>
    </row>
    <row r="330" spans="1:7" s="273" customFormat="1" ht="45" customHeight="1" x14ac:dyDescent="0.25">
      <c r="A330" s="288"/>
      <c r="B330" s="254"/>
      <c r="C330" s="275"/>
      <c r="D330" s="283"/>
      <c r="E330" s="283"/>
      <c r="F330" s="283"/>
      <c r="G330" s="290"/>
    </row>
    <row r="331" spans="1:7" s="273" customFormat="1" ht="45" customHeight="1" x14ac:dyDescent="0.25">
      <c r="A331" s="288"/>
      <c r="B331" s="254"/>
      <c r="C331" s="275"/>
      <c r="D331" s="283"/>
      <c r="E331" s="283"/>
      <c r="F331" s="283"/>
      <c r="G331" s="290"/>
    </row>
    <row r="332" spans="1:7" s="273" customFormat="1" ht="45" customHeight="1" x14ac:dyDescent="0.25">
      <c r="A332" s="288"/>
      <c r="B332" s="254"/>
      <c r="C332" s="275"/>
      <c r="D332" s="283"/>
      <c r="E332" s="283"/>
      <c r="F332" s="283"/>
      <c r="G332" s="290"/>
    </row>
    <row r="333" spans="1:7" s="273" customFormat="1" ht="45" customHeight="1" x14ac:dyDescent="0.25">
      <c r="A333" s="288"/>
      <c r="B333" s="254"/>
      <c r="C333" s="275"/>
      <c r="D333" s="283"/>
      <c r="E333" s="283"/>
      <c r="F333" s="283"/>
      <c r="G333" s="290"/>
    </row>
    <row r="334" spans="1:7" s="273" customFormat="1" ht="45" customHeight="1" x14ac:dyDescent="0.25">
      <c r="A334" s="288"/>
      <c r="B334" s="254"/>
      <c r="C334" s="275"/>
      <c r="D334" s="283"/>
      <c r="E334" s="283"/>
      <c r="F334" s="283"/>
      <c r="G334" s="290"/>
    </row>
    <row r="335" spans="1:7" s="273" customFormat="1" ht="45" customHeight="1" x14ac:dyDescent="0.25">
      <c r="A335" s="288"/>
      <c r="B335" s="254"/>
      <c r="C335" s="275"/>
      <c r="D335" s="283"/>
      <c r="E335" s="283"/>
      <c r="F335" s="283"/>
      <c r="G335" s="290"/>
    </row>
    <row r="336" spans="1:7" s="273" customFormat="1" ht="45" customHeight="1" x14ac:dyDescent="0.25">
      <c r="A336" s="288"/>
      <c r="B336" s="254"/>
      <c r="C336" s="275"/>
      <c r="D336" s="283"/>
      <c r="E336" s="283"/>
      <c r="F336" s="283"/>
      <c r="G336" s="290"/>
    </row>
    <row r="337" spans="1:7" s="273" customFormat="1" ht="45" customHeight="1" x14ac:dyDescent="0.25">
      <c r="A337" s="288"/>
      <c r="B337" s="254"/>
      <c r="C337" s="275"/>
      <c r="D337" s="283"/>
      <c r="E337" s="283"/>
      <c r="F337" s="283"/>
      <c r="G337" s="290"/>
    </row>
    <row r="338" spans="1:7" s="273" customFormat="1" ht="45" customHeight="1" x14ac:dyDescent="0.25">
      <c r="A338" s="288"/>
      <c r="B338" s="254"/>
      <c r="C338" s="275"/>
      <c r="D338" s="283"/>
      <c r="E338" s="283"/>
      <c r="F338" s="283"/>
      <c r="G338" s="290"/>
    </row>
    <row r="339" spans="1:7" s="273" customFormat="1" ht="45" customHeight="1" x14ac:dyDescent="0.25">
      <c r="A339" s="288"/>
      <c r="B339" s="254"/>
      <c r="C339" s="275"/>
      <c r="D339" s="283"/>
      <c r="E339" s="283"/>
      <c r="F339" s="283"/>
      <c r="G339" s="290"/>
    </row>
    <row r="340" spans="1:7" s="273" customFormat="1" ht="45" customHeight="1" x14ac:dyDescent="0.25">
      <c r="A340" s="288"/>
      <c r="B340" s="254"/>
      <c r="C340" s="275"/>
      <c r="D340" s="283"/>
      <c r="E340" s="283"/>
      <c r="F340" s="283"/>
      <c r="G340" s="290"/>
    </row>
    <row r="341" spans="1:7" s="273" customFormat="1" ht="45" customHeight="1" x14ac:dyDescent="0.25">
      <c r="A341" s="288"/>
      <c r="B341" s="254"/>
      <c r="C341" s="275"/>
      <c r="D341" s="283"/>
      <c r="E341" s="283"/>
      <c r="F341" s="283"/>
      <c r="G341" s="290"/>
    </row>
    <row r="342" spans="1:7" s="273" customFormat="1" ht="45" customHeight="1" x14ac:dyDescent="0.25">
      <c r="A342" s="288"/>
      <c r="B342" s="254"/>
      <c r="C342" s="275"/>
      <c r="D342" s="283"/>
      <c r="E342" s="283"/>
      <c r="F342" s="283"/>
      <c r="G342" s="290"/>
    </row>
    <row r="343" spans="1:7" s="273" customFormat="1" ht="45" customHeight="1" x14ac:dyDescent="0.25">
      <c r="A343" s="288"/>
      <c r="B343" s="254"/>
      <c r="C343" s="275"/>
      <c r="D343" s="283"/>
      <c r="E343" s="283"/>
      <c r="F343" s="283"/>
      <c r="G343" s="290"/>
    </row>
    <row r="344" spans="1:7" s="273" customFormat="1" ht="45" customHeight="1" x14ac:dyDescent="0.25">
      <c r="A344" s="288"/>
      <c r="B344" s="254"/>
      <c r="C344" s="275"/>
      <c r="D344" s="283"/>
      <c r="E344" s="283"/>
      <c r="F344" s="283"/>
      <c r="G344" s="290"/>
    </row>
    <row r="345" spans="1:7" s="273" customFormat="1" ht="45" customHeight="1" x14ac:dyDescent="0.25">
      <c r="A345" s="288"/>
      <c r="B345" s="254"/>
      <c r="C345" s="275"/>
      <c r="D345" s="283"/>
      <c r="E345" s="283"/>
      <c r="F345" s="283"/>
      <c r="G345" s="290"/>
    </row>
    <row r="346" spans="1:7" s="273" customFormat="1" ht="45" customHeight="1" x14ac:dyDescent="0.25">
      <c r="A346" s="288"/>
      <c r="B346" s="254"/>
      <c r="C346" s="275"/>
      <c r="D346" s="283"/>
      <c r="E346" s="283"/>
      <c r="F346" s="283"/>
      <c r="G346" s="290"/>
    </row>
    <row r="347" spans="1:7" s="273" customFormat="1" ht="45" customHeight="1" x14ac:dyDescent="0.25">
      <c r="A347" s="288"/>
      <c r="B347" s="254"/>
      <c r="C347" s="275"/>
      <c r="D347" s="283"/>
      <c r="E347" s="283"/>
      <c r="F347" s="283"/>
      <c r="G347" s="290"/>
    </row>
    <row r="348" spans="1:7" s="273" customFormat="1" ht="45" customHeight="1" x14ac:dyDescent="0.25">
      <c r="A348" s="288"/>
      <c r="B348" s="254"/>
      <c r="C348" s="275"/>
      <c r="D348" s="283"/>
      <c r="E348" s="283"/>
      <c r="F348" s="283"/>
      <c r="G348" s="290"/>
    </row>
    <row r="349" spans="1:7" s="273" customFormat="1" ht="45" customHeight="1" x14ac:dyDescent="0.25">
      <c r="A349" s="288"/>
      <c r="B349" s="254"/>
      <c r="C349" s="275"/>
      <c r="D349" s="283"/>
      <c r="E349" s="283"/>
      <c r="F349" s="283"/>
      <c r="G349" s="290"/>
    </row>
    <row r="350" spans="1:7" s="273" customFormat="1" ht="45" customHeight="1" x14ac:dyDescent="0.25">
      <c r="A350" s="288"/>
      <c r="B350" s="254"/>
      <c r="C350" s="275"/>
      <c r="D350" s="283"/>
      <c r="E350" s="283"/>
      <c r="F350" s="283"/>
      <c r="G350" s="290"/>
    </row>
    <row r="351" spans="1:7" s="273" customFormat="1" ht="45" customHeight="1" x14ac:dyDescent="0.25">
      <c r="A351" s="288"/>
      <c r="B351" s="254"/>
      <c r="C351" s="275"/>
      <c r="D351" s="283"/>
      <c r="E351" s="283"/>
      <c r="F351" s="283"/>
      <c r="G351" s="290"/>
    </row>
    <row r="352" spans="1:7" s="273" customFormat="1" ht="45" customHeight="1" x14ac:dyDescent="0.25">
      <c r="A352" s="288"/>
      <c r="B352" s="254"/>
      <c r="C352" s="275"/>
      <c r="D352" s="283"/>
      <c r="E352" s="283"/>
      <c r="F352" s="283"/>
      <c r="G352" s="290"/>
    </row>
    <row r="353" spans="1:7" s="273" customFormat="1" ht="45" customHeight="1" x14ac:dyDescent="0.25">
      <c r="A353" s="288"/>
      <c r="B353" s="254"/>
      <c r="C353" s="275"/>
      <c r="D353" s="283"/>
      <c r="E353" s="283"/>
      <c r="F353" s="283"/>
      <c r="G353" s="290"/>
    </row>
    <row r="354" spans="1:7" s="273" customFormat="1" ht="45" customHeight="1" x14ac:dyDescent="0.25">
      <c r="A354" s="288"/>
      <c r="B354" s="254"/>
      <c r="C354" s="275"/>
      <c r="D354" s="283"/>
      <c r="E354" s="283"/>
      <c r="F354" s="283"/>
      <c r="G354" s="290"/>
    </row>
    <row r="355" spans="1:7" s="273" customFormat="1" ht="45" customHeight="1" x14ac:dyDescent="0.25">
      <c r="A355" s="288"/>
      <c r="B355" s="254"/>
      <c r="C355" s="275"/>
      <c r="D355" s="283"/>
      <c r="E355" s="283"/>
      <c r="F355" s="283"/>
      <c r="G355" s="290"/>
    </row>
    <row r="356" spans="1:7" s="273" customFormat="1" ht="45" customHeight="1" x14ac:dyDescent="0.25">
      <c r="A356" s="288"/>
      <c r="B356" s="254"/>
      <c r="C356" s="275"/>
      <c r="D356" s="283"/>
      <c r="E356" s="283"/>
      <c r="F356" s="283"/>
      <c r="G356" s="290"/>
    </row>
    <row r="357" spans="1:7" s="273" customFormat="1" ht="45" customHeight="1" x14ac:dyDescent="0.25">
      <c r="A357" s="288"/>
      <c r="B357" s="254"/>
      <c r="C357" s="275"/>
      <c r="D357" s="283"/>
      <c r="E357" s="283"/>
      <c r="F357" s="283"/>
      <c r="G357" s="290"/>
    </row>
    <row r="358" spans="1:7" s="273" customFormat="1" ht="45" customHeight="1" x14ac:dyDescent="0.25">
      <c r="A358" s="288"/>
      <c r="B358" s="254"/>
      <c r="C358" s="275"/>
      <c r="D358" s="283"/>
      <c r="E358" s="283"/>
      <c r="F358" s="283"/>
      <c r="G358" s="290"/>
    </row>
    <row r="359" spans="1:7" s="273" customFormat="1" ht="45" customHeight="1" x14ac:dyDescent="0.25">
      <c r="A359" s="288"/>
      <c r="B359" s="254"/>
      <c r="C359" s="275"/>
      <c r="D359" s="283"/>
      <c r="E359" s="283"/>
      <c r="F359" s="283"/>
      <c r="G359" s="290"/>
    </row>
    <row r="360" spans="1:7" s="273" customFormat="1" ht="45" customHeight="1" x14ac:dyDescent="0.25">
      <c r="A360" s="288"/>
      <c r="B360" s="254"/>
      <c r="C360" s="275"/>
      <c r="D360" s="283"/>
      <c r="E360" s="283"/>
      <c r="F360" s="283"/>
      <c r="G360" s="290"/>
    </row>
    <row r="361" spans="1:7" s="273" customFormat="1" ht="45" customHeight="1" x14ac:dyDescent="0.25">
      <c r="A361" s="288"/>
      <c r="B361" s="254"/>
      <c r="C361" s="275"/>
      <c r="D361" s="283"/>
      <c r="E361" s="283"/>
      <c r="F361" s="283"/>
      <c r="G361" s="290"/>
    </row>
    <row r="362" spans="1:7" s="273" customFormat="1" ht="45" customHeight="1" x14ac:dyDescent="0.25">
      <c r="A362" s="288"/>
      <c r="B362" s="254"/>
      <c r="C362" s="275"/>
      <c r="D362" s="283"/>
      <c r="E362" s="283"/>
      <c r="F362" s="283"/>
      <c r="G362" s="290"/>
    </row>
    <row r="363" spans="1:7" s="273" customFormat="1" ht="45" customHeight="1" x14ac:dyDescent="0.25">
      <c r="A363" s="288"/>
      <c r="B363" s="254"/>
      <c r="C363" s="275"/>
      <c r="D363" s="283"/>
      <c r="E363" s="283"/>
      <c r="F363" s="283"/>
      <c r="G363" s="290"/>
    </row>
    <row r="364" spans="1:7" s="273" customFormat="1" ht="45" customHeight="1" x14ac:dyDescent="0.25">
      <c r="A364" s="288"/>
      <c r="B364" s="254"/>
      <c r="C364" s="275"/>
      <c r="D364" s="283"/>
      <c r="E364" s="283"/>
      <c r="F364" s="283"/>
      <c r="G364" s="290"/>
    </row>
    <row r="365" spans="1:7" s="273" customFormat="1" ht="45" customHeight="1" x14ac:dyDescent="0.25">
      <c r="A365" s="288"/>
      <c r="B365" s="254"/>
      <c r="C365" s="275"/>
      <c r="D365" s="283"/>
      <c r="E365" s="283"/>
      <c r="F365" s="283"/>
      <c r="G365" s="290"/>
    </row>
    <row r="366" spans="1:7" s="273" customFormat="1" ht="45" customHeight="1" x14ac:dyDescent="0.25">
      <c r="A366" s="288"/>
      <c r="B366" s="254"/>
      <c r="C366" s="275"/>
      <c r="D366" s="283"/>
      <c r="E366" s="283"/>
      <c r="F366" s="283"/>
      <c r="G366" s="290"/>
    </row>
    <row r="367" spans="1:7" s="273" customFormat="1" ht="45" customHeight="1" x14ac:dyDescent="0.25">
      <c r="A367" s="288"/>
      <c r="B367" s="254"/>
      <c r="C367" s="275"/>
      <c r="D367" s="283"/>
      <c r="E367" s="283"/>
      <c r="F367" s="283"/>
      <c r="G367" s="290"/>
    </row>
    <row r="368" spans="1:7" s="273" customFormat="1" ht="45" customHeight="1" x14ac:dyDescent="0.25">
      <c r="A368" s="288"/>
      <c r="B368" s="254"/>
      <c r="C368" s="275"/>
      <c r="D368" s="283"/>
      <c r="E368" s="283"/>
      <c r="F368" s="283"/>
      <c r="G368" s="290"/>
    </row>
    <row r="369" spans="1:7" s="273" customFormat="1" ht="45" customHeight="1" x14ac:dyDescent="0.25">
      <c r="A369" s="288"/>
      <c r="B369" s="254"/>
      <c r="C369" s="275"/>
      <c r="D369" s="283"/>
      <c r="E369" s="283"/>
      <c r="F369" s="283"/>
      <c r="G369" s="290"/>
    </row>
    <row r="370" spans="1:7" s="273" customFormat="1" ht="45" customHeight="1" x14ac:dyDescent="0.25">
      <c r="A370" s="288"/>
      <c r="B370" s="254"/>
      <c r="C370" s="275"/>
      <c r="D370" s="283"/>
      <c r="E370" s="283"/>
      <c r="F370" s="283"/>
      <c r="G370" s="290"/>
    </row>
    <row r="371" spans="1:7" s="273" customFormat="1" ht="45" customHeight="1" x14ac:dyDescent="0.25">
      <c r="A371" s="288"/>
      <c r="B371" s="254"/>
      <c r="C371" s="275"/>
      <c r="D371" s="283"/>
      <c r="E371" s="283"/>
      <c r="F371" s="283"/>
      <c r="G371" s="290"/>
    </row>
    <row r="372" spans="1:7" s="273" customFormat="1" ht="45" customHeight="1" x14ac:dyDescent="0.25">
      <c r="A372" s="288"/>
      <c r="B372" s="254"/>
      <c r="C372" s="275"/>
      <c r="D372" s="283"/>
      <c r="E372" s="283"/>
      <c r="F372" s="283"/>
      <c r="G372" s="290"/>
    </row>
    <row r="373" spans="1:7" s="273" customFormat="1" ht="45" customHeight="1" x14ac:dyDescent="0.25">
      <c r="A373" s="288"/>
      <c r="B373" s="254"/>
      <c r="C373" s="275"/>
      <c r="D373" s="283"/>
      <c r="E373" s="283"/>
      <c r="F373" s="283"/>
      <c r="G373" s="290"/>
    </row>
    <row r="374" spans="1:7" s="273" customFormat="1" ht="45" customHeight="1" x14ac:dyDescent="0.25">
      <c r="A374" s="288"/>
      <c r="B374" s="254"/>
      <c r="C374" s="275"/>
      <c r="D374" s="283"/>
      <c r="E374" s="283"/>
      <c r="F374" s="283"/>
      <c r="G374" s="290"/>
    </row>
    <row r="377" spans="1:7" s="273" customFormat="1" ht="45" customHeight="1" x14ac:dyDescent="0.25">
      <c r="A377" s="288"/>
      <c r="B377" s="254"/>
      <c r="C377" s="275"/>
      <c r="D377" s="283"/>
      <c r="E377" s="283"/>
      <c r="F377" s="283"/>
      <c r="G377" s="290"/>
    </row>
    <row r="378" spans="1:7" s="273" customFormat="1" ht="45" customHeight="1" x14ac:dyDescent="0.25">
      <c r="A378" s="288"/>
      <c r="B378" s="254"/>
      <c r="C378" s="275"/>
      <c r="D378" s="283"/>
      <c r="E378" s="283"/>
      <c r="F378" s="283"/>
      <c r="G378" s="290"/>
    </row>
    <row r="453" spans="1:7" s="273" customFormat="1" ht="45" customHeight="1" x14ac:dyDescent="0.25">
      <c r="A453" s="288"/>
      <c r="B453" s="254"/>
      <c r="C453" s="275"/>
      <c r="D453" s="283"/>
      <c r="E453" s="283"/>
      <c r="F453" s="283"/>
      <c r="G453" s="290"/>
    </row>
    <row r="454" spans="1:7" s="273" customFormat="1" ht="45" customHeight="1" x14ac:dyDescent="0.25">
      <c r="A454" s="288"/>
      <c r="B454" s="254"/>
      <c r="C454" s="275"/>
      <c r="D454" s="283"/>
      <c r="E454" s="283"/>
      <c r="F454" s="283"/>
      <c r="G454" s="290"/>
    </row>
    <row r="455" spans="1:7" s="273" customFormat="1" ht="45" customHeight="1" x14ac:dyDescent="0.25">
      <c r="A455" s="288"/>
      <c r="B455" s="254"/>
      <c r="C455" s="275"/>
      <c r="D455" s="283"/>
      <c r="E455" s="283"/>
      <c r="F455" s="283"/>
      <c r="G455" s="290"/>
    </row>
    <row r="456" spans="1:7" s="273" customFormat="1" ht="45" customHeight="1" x14ac:dyDescent="0.25">
      <c r="A456" s="288"/>
      <c r="B456" s="254"/>
      <c r="C456" s="275"/>
      <c r="D456" s="283"/>
      <c r="E456" s="283"/>
      <c r="F456" s="283"/>
      <c r="G456" s="290"/>
    </row>
    <row r="457" spans="1:7" s="273" customFormat="1" ht="45" customHeight="1" x14ac:dyDescent="0.25">
      <c r="A457" s="288"/>
      <c r="B457" s="254"/>
      <c r="C457" s="275"/>
      <c r="D457" s="283"/>
      <c r="E457" s="283"/>
      <c r="F457" s="283"/>
      <c r="G457" s="290"/>
    </row>
    <row r="458" spans="1:7" s="273" customFormat="1" ht="45" customHeight="1" x14ac:dyDescent="0.25">
      <c r="A458" s="288"/>
      <c r="B458" s="254"/>
      <c r="C458" s="275"/>
      <c r="D458" s="283"/>
      <c r="E458" s="283"/>
      <c r="F458" s="283"/>
      <c r="G458" s="290"/>
    </row>
    <row r="459" spans="1:7" s="273" customFormat="1" ht="45" customHeight="1" x14ac:dyDescent="0.25">
      <c r="A459" s="288"/>
      <c r="B459" s="254"/>
      <c r="C459" s="275"/>
      <c r="D459" s="283"/>
      <c r="E459" s="283"/>
      <c r="F459" s="283"/>
      <c r="G459" s="290"/>
    </row>
    <row r="460" spans="1:7" s="273" customFormat="1" ht="45" customHeight="1" x14ac:dyDescent="0.25">
      <c r="A460" s="288"/>
      <c r="B460" s="254"/>
      <c r="C460" s="275"/>
      <c r="D460" s="283"/>
      <c r="E460" s="283"/>
      <c r="F460" s="283"/>
      <c r="G460" s="290"/>
    </row>
    <row r="461" spans="1:7" s="273" customFormat="1" ht="45" customHeight="1" x14ac:dyDescent="0.25">
      <c r="A461" s="288"/>
      <c r="B461" s="254"/>
      <c r="C461" s="275"/>
      <c r="D461" s="283"/>
      <c r="E461" s="283"/>
      <c r="F461" s="283"/>
      <c r="G461" s="290"/>
    </row>
    <row r="462" spans="1:7" s="273" customFormat="1" ht="45" customHeight="1" x14ac:dyDescent="0.25">
      <c r="A462" s="288"/>
      <c r="B462" s="254"/>
      <c r="C462" s="275"/>
      <c r="D462" s="283"/>
      <c r="E462" s="283"/>
      <c r="F462" s="283"/>
      <c r="G462" s="290"/>
    </row>
    <row r="463" spans="1:7" s="273" customFormat="1" ht="45" customHeight="1" x14ac:dyDescent="0.25">
      <c r="A463" s="288"/>
      <c r="B463" s="254"/>
      <c r="C463" s="275"/>
      <c r="D463" s="283"/>
      <c r="E463" s="283"/>
      <c r="F463" s="283"/>
      <c r="G463" s="290"/>
    </row>
    <row r="464" spans="1:7" s="273" customFormat="1" ht="45" customHeight="1" x14ac:dyDescent="0.25">
      <c r="A464" s="288"/>
      <c r="B464" s="254"/>
      <c r="C464" s="275"/>
      <c r="D464" s="283"/>
      <c r="E464" s="283"/>
      <c r="F464" s="283"/>
      <c r="G464" s="290"/>
    </row>
    <row r="465" spans="1:7" s="273" customFormat="1" ht="45" customHeight="1" x14ac:dyDescent="0.25">
      <c r="A465" s="288"/>
      <c r="B465" s="254"/>
      <c r="C465" s="275"/>
      <c r="D465" s="283"/>
      <c r="E465" s="283"/>
      <c r="F465" s="283"/>
      <c r="G465" s="290"/>
    </row>
    <row r="466" spans="1:7" s="273" customFormat="1" ht="45" customHeight="1" x14ac:dyDescent="0.25">
      <c r="A466" s="288"/>
      <c r="B466" s="254"/>
      <c r="C466" s="275"/>
      <c r="D466" s="283"/>
      <c r="E466" s="283"/>
      <c r="F466" s="283"/>
      <c r="G466" s="290"/>
    </row>
    <row r="546" spans="1:7" s="273" customFormat="1" ht="45" customHeight="1" x14ac:dyDescent="0.25">
      <c r="A546" s="288"/>
      <c r="B546" s="254"/>
      <c r="C546" s="275"/>
      <c r="D546" s="283"/>
      <c r="E546" s="283"/>
      <c r="F546" s="283"/>
      <c r="G546" s="290"/>
    </row>
    <row r="547" spans="1:7" s="273" customFormat="1" ht="45" customHeight="1" x14ac:dyDescent="0.25">
      <c r="A547" s="288"/>
      <c r="B547" s="254"/>
      <c r="C547" s="275"/>
      <c r="D547" s="283"/>
      <c r="E547" s="283"/>
      <c r="F547" s="283"/>
      <c r="G547" s="290"/>
    </row>
    <row r="548" spans="1:7" s="273" customFormat="1" ht="45" customHeight="1" x14ac:dyDescent="0.25">
      <c r="A548" s="288"/>
      <c r="B548" s="254"/>
      <c r="C548" s="275"/>
      <c r="D548" s="283"/>
      <c r="E548" s="283"/>
      <c r="F548" s="283"/>
      <c r="G548" s="290"/>
    </row>
    <row r="555" spans="1:7" s="273" customFormat="1" ht="45" customHeight="1" x14ac:dyDescent="0.25">
      <c r="A555" s="288"/>
      <c r="B555" s="254"/>
      <c r="C555" s="275"/>
      <c r="D555" s="283"/>
      <c r="E555" s="283"/>
      <c r="F555" s="283"/>
      <c r="G555" s="290"/>
    </row>
    <row r="556" spans="1:7" s="273" customFormat="1" ht="45" customHeight="1" x14ac:dyDescent="0.25">
      <c r="A556" s="288"/>
      <c r="B556" s="254"/>
      <c r="C556" s="275"/>
      <c r="D556" s="283"/>
      <c r="E556" s="283"/>
      <c r="F556" s="283"/>
      <c r="G556" s="290"/>
    </row>
    <row r="557" spans="1:7" s="273" customFormat="1" ht="45" customHeight="1" x14ac:dyDescent="0.25">
      <c r="A557" s="288"/>
      <c r="B557" s="254"/>
      <c r="C557" s="275"/>
      <c r="D557" s="283"/>
      <c r="E557" s="283"/>
      <c r="F557" s="283"/>
      <c r="G557" s="290"/>
    </row>
    <row r="558" spans="1:7" s="273" customFormat="1" ht="45" customHeight="1" x14ac:dyDescent="0.25">
      <c r="A558" s="288"/>
      <c r="B558" s="254"/>
      <c r="C558" s="275"/>
      <c r="D558" s="283"/>
      <c r="E558" s="283"/>
      <c r="F558" s="283"/>
      <c r="G558" s="290"/>
    </row>
    <row r="559" spans="1:7" s="273" customFormat="1" ht="45" customHeight="1" x14ac:dyDescent="0.25">
      <c r="A559" s="288"/>
      <c r="B559" s="254"/>
      <c r="C559" s="275"/>
      <c r="D559" s="283"/>
      <c r="E559" s="283"/>
      <c r="F559" s="283"/>
      <c r="G559" s="290"/>
    </row>
    <row r="560" spans="1:7" s="273" customFormat="1" ht="45" customHeight="1" x14ac:dyDescent="0.25">
      <c r="A560" s="288"/>
      <c r="B560" s="254"/>
      <c r="C560" s="275"/>
      <c r="D560" s="283"/>
      <c r="E560" s="283"/>
      <c r="F560" s="283"/>
      <c r="G560" s="290"/>
    </row>
    <row r="868" spans="7:16371" ht="45" customHeight="1" x14ac:dyDescent="0.25">
      <c r="G868" s="291"/>
      <c r="H868" s="292"/>
      <c r="I868" s="292"/>
      <c r="J868" s="292"/>
      <c r="K868" s="292"/>
      <c r="L868" s="292"/>
      <c r="M868" s="292"/>
      <c r="N868" s="292"/>
      <c r="O868" s="292"/>
      <c r="P868" s="292"/>
      <c r="Q868" s="292"/>
      <c r="R868" s="292"/>
      <c r="S868" s="292"/>
      <c r="T868" s="292"/>
      <c r="U868" s="292"/>
      <c r="V868" s="293"/>
      <c r="W868" s="294"/>
      <c r="X868" s="294"/>
      <c r="Y868" s="294"/>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c r="BN868" s="294"/>
      <c r="BO868" s="294"/>
      <c r="BP868" s="294"/>
      <c r="BQ868" s="294"/>
      <c r="BR868" s="294"/>
      <c r="BS868" s="294"/>
      <c r="BT868" s="294"/>
      <c r="BU868" s="294"/>
      <c r="BV868" s="294"/>
      <c r="BW868" s="294"/>
      <c r="BX868" s="294"/>
      <c r="BY868" s="294"/>
      <c r="BZ868" s="294"/>
      <c r="CA868" s="294"/>
      <c r="CB868" s="294"/>
      <c r="CC868" s="294"/>
      <c r="CD868" s="294"/>
      <c r="CE868" s="294"/>
      <c r="CF868" s="294"/>
      <c r="CG868" s="294" t="s">
        <v>71</v>
      </c>
      <c r="CH868" s="294" t="s">
        <v>71</v>
      </c>
      <c r="CI868" s="294" t="s">
        <v>71</v>
      </c>
      <c r="CJ868" s="294" t="s">
        <v>71</v>
      </c>
      <c r="CK868" s="294" t="s">
        <v>71</v>
      </c>
      <c r="CL868" s="294" t="s">
        <v>71</v>
      </c>
      <c r="CM868" s="294" t="s">
        <v>71</v>
      </c>
      <c r="CN868" s="294" t="s">
        <v>71</v>
      </c>
      <c r="CO868" s="294" t="s">
        <v>71</v>
      </c>
      <c r="CP868" s="294" t="s">
        <v>71</v>
      </c>
      <c r="CQ868" s="294" t="s">
        <v>71</v>
      </c>
      <c r="CR868" s="294" t="s">
        <v>71</v>
      </c>
      <c r="CS868" s="294" t="s">
        <v>71</v>
      </c>
      <c r="CT868" s="294" t="s">
        <v>71</v>
      </c>
      <c r="CU868" s="294" t="s">
        <v>71</v>
      </c>
      <c r="CV868" s="294" t="s">
        <v>71</v>
      </c>
      <c r="CW868" s="294" t="s">
        <v>71</v>
      </c>
      <c r="CX868" s="294" t="s">
        <v>71</v>
      </c>
      <c r="CY868" s="294" t="s">
        <v>71</v>
      </c>
      <c r="CZ868" s="294" t="s">
        <v>71</v>
      </c>
      <c r="DA868" s="294" t="s">
        <v>71</v>
      </c>
      <c r="DB868" s="294" t="s">
        <v>71</v>
      </c>
      <c r="DC868" s="294" t="s">
        <v>71</v>
      </c>
      <c r="DD868" s="294" t="s">
        <v>71</v>
      </c>
      <c r="DE868" s="294" t="s">
        <v>71</v>
      </c>
      <c r="DF868" s="294" t="s">
        <v>71</v>
      </c>
      <c r="DG868" s="294" t="s">
        <v>71</v>
      </c>
      <c r="DH868" s="294" t="s">
        <v>71</v>
      </c>
      <c r="DI868" s="294" t="s">
        <v>71</v>
      </c>
      <c r="DJ868" s="294" t="s">
        <v>71</v>
      </c>
      <c r="DK868" s="294" t="s">
        <v>71</v>
      </c>
      <c r="DL868" s="294" t="s">
        <v>71</v>
      </c>
      <c r="DM868" s="294" t="s">
        <v>71</v>
      </c>
      <c r="DN868" s="294" t="s">
        <v>71</v>
      </c>
      <c r="DO868" s="294" t="s">
        <v>71</v>
      </c>
      <c r="DP868" s="294" t="s">
        <v>71</v>
      </c>
      <c r="DQ868" s="294" t="s">
        <v>71</v>
      </c>
      <c r="DR868" s="294" t="s">
        <v>71</v>
      </c>
      <c r="DS868" s="294" t="s">
        <v>71</v>
      </c>
      <c r="DT868" s="294" t="s">
        <v>71</v>
      </c>
      <c r="DU868" s="294" t="s">
        <v>71</v>
      </c>
      <c r="DV868" s="294" t="s">
        <v>71</v>
      </c>
      <c r="DW868" s="294" t="s">
        <v>71</v>
      </c>
      <c r="DX868" s="294" t="s">
        <v>71</v>
      </c>
      <c r="DY868" s="294" t="s">
        <v>71</v>
      </c>
      <c r="DZ868" s="294" t="s">
        <v>71</v>
      </c>
      <c r="EA868" s="294" t="s">
        <v>71</v>
      </c>
      <c r="EB868" s="294" t="s">
        <v>71</v>
      </c>
      <c r="EC868" s="294" t="s">
        <v>71</v>
      </c>
      <c r="ED868" s="294" t="s">
        <v>71</v>
      </c>
      <c r="EE868" s="294" t="s">
        <v>71</v>
      </c>
      <c r="EF868" s="294" t="s">
        <v>71</v>
      </c>
      <c r="EG868" s="294" t="s">
        <v>71</v>
      </c>
      <c r="EH868" s="294" t="s">
        <v>71</v>
      </c>
      <c r="EI868" s="294" t="s">
        <v>71</v>
      </c>
      <c r="EJ868" s="294" t="s">
        <v>71</v>
      </c>
      <c r="EK868" s="294" t="s">
        <v>71</v>
      </c>
      <c r="EL868" s="294" t="s">
        <v>71</v>
      </c>
      <c r="EM868" s="294" t="s">
        <v>71</v>
      </c>
      <c r="EN868" s="294" t="s">
        <v>71</v>
      </c>
      <c r="EO868" s="294" t="s">
        <v>71</v>
      </c>
      <c r="EP868" s="294" t="s">
        <v>71</v>
      </c>
      <c r="EQ868" s="294" t="s">
        <v>71</v>
      </c>
      <c r="ER868" s="294" t="s">
        <v>71</v>
      </c>
      <c r="ES868" s="294" t="s">
        <v>71</v>
      </c>
      <c r="ET868" s="294" t="s">
        <v>71</v>
      </c>
      <c r="EU868" s="294" t="s">
        <v>71</v>
      </c>
      <c r="EV868" s="294" t="s">
        <v>71</v>
      </c>
      <c r="EW868" s="294" t="s">
        <v>71</v>
      </c>
      <c r="EX868" s="294" t="s">
        <v>71</v>
      </c>
      <c r="EY868" s="294" t="s">
        <v>71</v>
      </c>
      <c r="EZ868" s="294" t="s">
        <v>71</v>
      </c>
      <c r="FA868" s="294" t="s">
        <v>71</v>
      </c>
      <c r="FB868" s="294" t="s">
        <v>71</v>
      </c>
      <c r="FC868" s="294" t="s">
        <v>71</v>
      </c>
      <c r="FD868" s="294" t="s">
        <v>71</v>
      </c>
      <c r="FE868" s="294" t="s">
        <v>71</v>
      </c>
      <c r="FF868" s="294" t="s">
        <v>71</v>
      </c>
      <c r="FG868" s="294" t="s">
        <v>71</v>
      </c>
      <c r="FH868" s="295" t="s">
        <v>71</v>
      </c>
      <c r="FI868" s="295" t="s">
        <v>71</v>
      </c>
      <c r="FJ868" s="295" t="s">
        <v>71</v>
      </c>
      <c r="FK868" s="295" t="s">
        <v>71</v>
      </c>
      <c r="FL868" s="295" t="s">
        <v>71</v>
      </c>
      <c r="FM868" s="295" t="s">
        <v>71</v>
      </c>
      <c r="FN868" s="295" t="s">
        <v>71</v>
      </c>
      <c r="FO868" s="295" t="s">
        <v>71</v>
      </c>
      <c r="FP868" s="295" t="s">
        <v>71</v>
      </c>
      <c r="FQ868" s="295" t="s">
        <v>71</v>
      </c>
      <c r="FR868" s="295" t="s">
        <v>71</v>
      </c>
      <c r="FS868" s="295" t="s">
        <v>71</v>
      </c>
      <c r="FT868" s="295" t="s">
        <v>71</v>
      </c>
      <c r="FU868" s="295" t="s">
        <v>71</v>
      </c>
      <c r="FV868" s="295" t="s">
        <v>71</v>
      </c>
      <c r="FW868" s="295" t="s">
        <v>71</v>
      </c>
      <c r="FX868" s="295" t="s">
        <v>71</v>
      </c>
      <c r="FY868" s="295" t="s">
        <v>71</v>
      </c>
      <c r="FZ868" s="295" t="s">
        <v>71</v>
      </c>
      <c r="GA868" s="295" t="s">
        <v>71</v>
      </c>
      <c r="GB868" s="295" t="s">
        <v>71</v>
      </c>
      <c r="GC868" s="295" t="s">
        <v>71</v>
      </c>
      <c r="GD868" s="295" t="s">
        <v>71</v>
      </c>
      <c r="GE868" s="295" t="s">
        <v>71</v>
      </c>
      <c r="GF868" s="295" t="s">
        <v>71</v>
      </c>
      <c r="GG868" s="295" t="s">
        <v>71</v>
      </c>
      <c r="GH868" s="295" t="s">
        <v>71</v>
      </c>
      <c r="GI868" s="295" t="s">
        <v>71</v>
      </c>
      <c r="GJ868" s="295" t="s">
        <v>71</v>
      </c>
      <c r="GK868" s="295" t="s">
        <v>71</v>
      </c>
      <c r="GL868" s="295" t="s">
        <v>71</v>
      </c>
      <c r="GM868" s="295" t="s">
        <v>71</v>
      </c>
      <c r="GN868" s="295" t="s">
        <v>71</v>
      </c>
      <c r="GO868" s="295" t="s">
        <v>71</v>
      </c>
      <c r="GP868" s="295" t="s">
        <v>71</v>
      </c>
      <c r="GQ868" s="295" t="s">
        <v>71</v>
      </c>
      <c r="GR868" s="295" t="s">
        <v>71</v>
      </c>
      <c r="GS868" s="295" t="s">
        <v>71</v>
      </c>
      <c r="GT868" s="295" t="s">
        <v>71</v>
      </c>
      <c r="GU868" s="295" t="s">
        <v>71</v>
      </c>
      <c r="GV868" s="295" t="s">
        <v>71</v>
      </c>
      <c r="GW868" s="295" t="s">
        <v>71</v>
      </c>
      <c r="GX868" s="295" t="s">
        <v>71</v>
      </c>
      <c r="GY868" s="295" t="s">
        <v>71</v>
      </c>
      <c r="GZ868" s="295" t="s">
        <v>71</v>
      </c>
      <c r="HA868" s="295" t="s">
        <v>71</v>
      </c>
      <c r="HB868" s="295" t="s">
        <v>71</v>
      </c>
      <c r="HC868" s="295" t="s">
        <v>71</v>
      </c>
      <c r="HD868" s="295" t="s">
        <v>71</v>
      </c>
      <c r="HE868" s="295" t="s">
        <v>71</v>
      </c>
      <c r="HF868" s="295" t="s">
        <v>71</v>
      </c>
      <c r="HG868" s="295" t="s">
        <v>71</v>
      </c>
      <c r="HH868" s="295" t="s">
        <v>71</v>
      </c>
      <c r="HI868" s="295" t="s">
        <v>71</v>
      </c>
      <c r="HJ868" s="295" t="s">
        <v>71</v>
      </c>
      <c r="HK868" s="295" t="s">
        <v>71</v>
      </c>
      <c r="HL868" s="295" t="s">
        <v>71</v>
      </c>
      <c r="HM868" s="295" t="s">
        <v>71</v>
      </c>
      <c r="HN868" s="295" t="s">
        <v>71</v>
      </c>
      <c r="HO868" s="295" t="s">
        <v>71</v>
      </c>
      <c r="HP868" s="295" t="s">
        <v>71</v>
      </c>
      <c r="HQ868" s="295" t="s">
        <v>71</v>
      </c>
      <c r="HR868" s="295" t="s">
        <v>71</v>
      </c>
      <c r="HS868" s="295" t="s">
        <v>71</v>
      </c>
      <c r="HT868" s="295" t="s">
        <v>71</v>
      </c>
      <c r="HU868" s="295" t="s">
        <v>71</v>
      </c>
      <c r="HV868" s="295" t="s">
        <v>71</v>
      </c>
      <c r="HW868" s="295" t="s">
        <v>71</v>
      </c>
      <c r="HX868" s="295" t="s">
        <v>71</v>
      </c>
      <c r="HY868" s="295" t="s">
        <v>71</v>
      </c>
      <c r="HZ868" s="295" t="s">
        <v>71</v>
      </c>
      <c r="IA868" s="295" t="s">
        <v>71</v>
      </c>
      <c r="IB868" s="295" t="s">
        <v>71</v>
      </c>
      <c r="IC868" s="295" t="s">
        <v>71</v>
      </c>
      <c r="ID868" s="295" t="s">
        <v>71</v>
      </c>
      <c r="IE868" s="295" t="s">
        <v>71</v>
      </c>
      <c r="IF868" s="295" t="s">
        <v>71</v>
      </c>
      <c r="IG868" s="295" t="s">
        <v>71</v>
      </c>
      <c r="IH868" s="295" t="s">
        <v>71</v>
      </c>
      <c r="II868" s="295" t="s">
        <v>71</v>
      </c>
      <c r="IJ868" s="295" t="s">
        <v>71</v>
      </c>
      <c r="IK868" s="295" t="s">
        <v>71</v>
      </c>
      <c r="IL868" s="295" t="s">
        <v>71</v>
      </c>
      <c r="IM868" s="295" t="s">
        <v>71</v>
      </c>
      <c r="IN868" s="295" t="s">
        <v>71</v>
      </c>
      <c r="IO868" s="295" t="s">
        <v>71</v>
      </c>
      <c r="IP868" s="295" t="s">
        <v>71</v>
      </c>
      <c r="IQ868" s="295" t="s">
        <v>71</v>
      </c>
      <c r="IR868" s="295" t="s">
        <v>71</v>
      </c>
      <c r="IS868" s="295" t="s">
        <v>71</v>
      </c>
      <c r="IT868" s="295" t="s">
        <v>71</v>
      </c>
      <c r="IU868" s="295" t="s">
        <v>71</v>
      </c>
      <c r="IV868" s="295" t="s">
        <v>71</v>
      </c>
      <c r="IW868" s="295" t="s">
        <v>71</v>
      </c>
      <c r="IX868" s="295" t="s">
        <v>71</v>
      </c>
      <c r="IY868" s="295" t="s">
        <v>71</v>
      </c>
      <c r="IZ868" s="295" t="s">
        <v>71</v>
      </c>
      <c r="JA868" s="295" t="s">
        <v>71</v>
      </c>
      <c r="JB868" s="295" t="s">
        <v>71</v>
      </c>
      <c r="JC868" s="295" t="s">
        <v>71</v>
      </c>
      <c r="JD868" s="295" t="s">
        <v>71</v>
      </c>
      <c r="JE868" s="295" t="s">
        <v>71</v>
      </c>
      <c r="JF868" s="295" t="s">
        <v>71</v>
      </c>
      <c r="JG868" s="295" t="s">
        <v>71</v>
      </c>
      <c r="JH868" s="295" t="s">
        <v>71</v>
      </c>
      <c r="JI868" s="295" t="s">
        <v>71</v>
      </c>
      <c r="JJ868" s="295" t="s">
        <v>71</v>
      </c>
      <c r="JK868" s="295" t="s">
        <v>71</v>
      </c>
      <c r="JL868" s="295" t="s">
        <v>71</v>
      </c>
      <c r="JM868" s="295" t="s">
        <v>71</v>
      </c>
      <c r="JN868" s="295" t="s">
        <v>71</v>
      </c>
      <c r="JO868" s="295" t="s">
        <v>71</v>
      </c>
      <c r="JP868" s="295" t="s">
        <v>71</v>
      </c>
      <c r="JQ868" s="295" t="s">
        <v>71</v>
      </c>
      <c r="JR868" s="295" t="s">
        <v>71</v>
      </c>
      <c r="JS868" s="295" t="s">
        <v>71</v>
      </c>
      <c r="JT868" s="295" t="s">
        <v>71</v>
      </c>
      <c r="JU868" s="295" t="s">
        <v>71</v>
      </c>
      <c r="JV868" s="295" t="s">
        <v>71</v>
      </c>
      <c r="JW868" s="295" t="s">
        <v>71</v>
      </c>
      <c r="JX868" s="295" t="s">
        <v>71</v>
      </c>
      <c r="JY868" s="295" t="s">
        <v>71</v>
      </c>
      <c r="JZ868" s="295" t="s">
        <v>71</v>
      </c>
      <c r="KA868" s="295" t="s">
        <v>71</v>
      </c>
      <c r="KB868" s="295" t="s">
        <v>71</v>
      </c>
      <c r="KC868" s="295" t="s">
        <v>71</v>
      </c>
      <c r="KD868" s="295" t="s">
        <v>71</v>
      </c>
      <c r="KE868" s="295" t="s">
        <v>71</v>
      </c>
      <c r="KF868" s="295" t="s">
        <v>71</v>
      </c>
      <c r="KG868" s="295" t="s">
        <v>71</v>
      </c>
      <c r="KH868" s="295" t="s">
        <v>71</v>
      </c>
      <c r="KI868" s="295" t="s">
        <v>71</v>
      </c>
      <c r="KJ868" s="295" t="s">
        <v>71</v>
      </c>
      <c r="KK868" s="295" t="s">
        <v>71</v>
      </c>
      <c r="KL868" s="295" t="s">
        <v>71</v>
      </c>
      <c r="KM868" s="295" t="s">
        <v>71</v>
      </c>
      <c r="KN868" s="295" t="s">
        <v>71</v>
      </c>
      <c r="KO868" s="295" t="s">
        <v>71</v>
      </c>
      <c r="KP868" s="295" t="s">
        <v>71</v>
      </c>
      <c r="KQ868" s="295" t="s">
        <v>71</v>
      </c>
      <c r="KR868" s="295" t="s">
        <v>71</v>
      </c>
      <c r="KS868" s="295" t="s">
        <v>71</v>
      </c>
      <c r="KT868" s="295" t="s">
        <v>71</v>
      </c>
      <c r="KU868" s="295" t="s">
        <v>71</v>
      </c>
      <c r="KV868" s="295" t="s">
        <v>71</v>
      </c>
      <c r="KW868" s="295" t="s">
        <v>71</v>
      </c>
      <c r="KX868" s="295" t="s">
        <v>71</v>
      </c>
      <c r="KY868" s="295" t="s">
        <v>71</v>
      </c>
      <c r="KZ868" s="295" t="s">
        <v>71</v>
      </c>
      <c r="LA868" s="295" t="s">
        <v>71</v>
      </c>
      <c r="LB868" s="295" t="s">
        <v>71</v>
      </c>
      <c r="LC868" s="295" t="s">
        <v>71</v>
      </c>
      <c r="LD868" s="295" t="s">
        <v>71</v>
      </c>
      <c r="LE868" s="295" t="s">
        <v>71</v>
      </c>
      <c r="LF868" s="295" t="s">
        <v>71</v>
      </c>
      <c r="LG868" s="295" t="s">
        <v>71</v>
      </c>
      <c r="LH868" s="295" t="s">
        <v>71</v>
      </c>
      <c r="LI868" s="295" t="s">
        <v>71</v>
      </c>
      <c r="LJ868" s="295" t="s">
        <v>71</v>
      </c>
      <c r="LK868" s="295" t="s">
        <v>71</v>
      </c>
      <c r="LL868" s="295" t="s">
        <v>71</v>
      </c>
      <c r="LM868" s="295" t="s">
        <v>71</v>
      </c>
      <c r="LN868" s="295" t="s">
        <v>71</v>
      </c>
      <c r="LO868" s="295" t="s">
        <v>71</v>
      </c>
      <c r="LP868" s="295" t="s">
        <v>71</v>
      </c>
      <c r="LQ868" s="295" t="s">
        <v>71</v>
      </c>
      <c r="LR868" s="295" t="s">
        <v>71</v>
      </c>
      <c r="LS868" s="295" t="s">
        <v>71</v>
      </c>
      <c r="LT868" s="295" t="s">
        <v>71</v>
      </c>
      <c r="LU868" s="295" t="s">
        <v>71</v>
      </c>
      <c r="LV868" s="295" t="s">
        <v>71</v>
      </c>
      <c r="LW868" s="295" t="s">
        <v>71</v>
      </c>
      <c r="LX868" s="295" t="s">
        <v>71</v>
      </c>
      <c r="LY868" s="295" t="s">
        <v>71</v>
      </c>
      <c r="LZ868" s="295" t="s">
        <v>71</v>
      </c>
      <c r="MA868" s="295" t="s">
        <v>71</v>
      </c>
      <c r="MB868" s="295" t="s">
        <v>71</v>
      </c>
      <c r="MC868" s="295" t="s">
        <v>71</v>
      </c>
      <c r="MD868" s="295" t="s">
        <v>71</v>
      </c>
      <c r="ME868" s="295" t="s">
        <v>71</v>
      </c>
      <c r="MF868" s="295" t="s">
        <v>71</v>
      </c>
      <c r="MG868" s="295" t="s">
        <v>71</v>
      </c>
      <c r="MH868" s="295" t="s">
        <v>71</v>
      </c>
      <c r="MI868" s="295" t="s">
        <v>71</v>
      </c>
      <c r="MJ868" s="295" t="s">
        <v>71</v>
      </c>
      <c r="MK868" s="295" t="s">
        <v>71</v>
      </c>
      <c r="ML868" s="295" t="s">
        <v>71</v>
      </c>
      <c r="MM868" s="295" t="s">
        <v>71</v>
      </c>
      <c r="MN868" s="295" t="s">
        <v>71</v>
      </c>
      <c r="MO868" s="295" t="s">
        <v>71</v>
      </c>
      <c r="MP868" s="295" t="s">
        <v>71</v>
      </c>
      <c r="MQ868" s="295" t="s">
        <v>71</v>
      </c>
      <c r="MR868" s="295" t="s">
        <v>71</v>
      </c>
      <c r="MS868" s="295" t="s">
        <v>71</v>
      </c>
      <c r="MT868" s="295" t="s">
        <v>71</v>
      </c>
      <c r="MU868" s="295" t="s">
        <v>71</v>
      </c>
      <c r="MV868" s="295" t="s">
        <v>71</v>
      </c>
      <c r="MW868" s="295" t="s">
        <v>71</v>
      </c>
      <c r="MX868" s="295" t="s">
        <v>71</v>
      </c>
      <c r="MY868" s="295" t="s">
        <v>71</v>
      </c>
      <c r="MZ868" s="295" t="s">
        <v>71</v>
      </c>
      <c r="NA868" s="295" t="s">
        <v>71</v>
      </c>
      <c r="NB868" s="295" t="s">
        <v>71</v>
      </c>
      <c r="NC868" s="295" t="s">
        <v>71</v>
      </c>
      <c r="ND868" s="295" t="s">
        <v>71</v>
      </c>
      <c r="NE868" s="295" t="s">
        <v>71</v>
      </c>
      <c r="NF868" s="295" t="s">
        <v>71</v>
      </c>
      <c r="NG868" s="295" t="s">
        <v>71</v>
      </c>
      <c r="NH868" s="295" t="s">
        <v>71</v>
      </c>
      <c r="NI868" s="295" t="s">
        <v>71</v>
      </c>
      <c r="NJ868" s="295" t="s">
        <v>71</v>
      </c>
      <c r="NK868" s="295" t="s">
        <v>71</v>
      </c>
      <c r="NL868" s="295" t="s">
        <v>71</v>
      </c>
      <c r="NM868" s="295" t="s">
        <v>71</v>
      </c>
      <c r="NN868" s="295" t="s">
        <v>71</v>
      </c>
      <c r="NO868" s="295" t="s">
        <v>71</v>
      </c>
      <c r="NP868" s="295" t="s">
        <v>71</v>
      </c>
      <c r="NQ868" s="295" t="s">
        <v>71</v>
      </c>
      <c r="NR868" s="295" t="s">
        <v>71</v>
      </c>
      <c r="NS868" s="295" t="s">
        <v>71</v>
      </c>
      <c r="NT868" s="295" t="s">
        <v>71</v>
      </c>
      <c r="NU868" s="295" t="s">
        <v>71</v>
      </c>
      <c r="NV868" s="295" t="s">
        <v>71</v>
      </c>
      <c r="NW868" s="295" t="s">
        <v>71</v>
      </c>
      <c r="NX868" s="295" t="s">
        <v>71</v>
      </c>
      <c r="NY868" s="295" t="s">
        <v>71</v>
      </c>
      <c r="NZ868" s="295" t="s">
        <v>71</v>
      </c>
      <c r="OA868" s="295" t="s">
        <v>71</v>
      </c>
      <c r="OB868" s="295" t="s">
        <v>71</v>
      </c>
      <c r="OC868" s="295" t="s">
        <v>71</v>
      </c>
      <c r="OD868" s="295" t="s">
        <v>71</v>
      </c>
      <c r="OE868" s="295" t="s">
        <v>71</v>
      </c>
      <c r="OF868" s="295" t="s">
        <v>71</v>
      </c>
      <c r="OG868" s="295" t="s">
        <v>71</v>
      </c>
      <c r="OH868" s="295" t="s">
        <v>71</v>
      </c>
      <c r="OI868" s="295" t="s">
        <v>71</v>
      </c>
      <c r="OJ868" s="295" t="s">
        <v>71</v>
      </c>
      <c r="OK868" s="295" t="s">
        <v>71</v>
      </c>
      <c r="OL868" s="295" t="s">
        <v>71</v>
      </c>
      <c r="OM868" s="295" t="s">
        <v>71</v>
      </c>
      <c r="ON868" s="295" t="s">
        <v>71</v>
      </c>
      <c r="OO868" s="295" t="s">
        <v>71</v>
      </c>
      <c r="OP868" s="295" t="s">
        <v>71</v>
      </c>
      <c r="OQ868" s="295" t="s">
        <v>71</v>
      </c>
      <c r="OR868" s="295" t="s">
        <v>71</v>
      </c>
      <c r="OS868" s="295" t="s">
        <v>71</v>
      </c>
      <c r="OT868" s="295" t="s">
        <v>71</v>
      </c>
      <c r="OU868" s="295" t="s">
        <v>71</v>
      </c>
      <c r="OV868" s="295" t="s">
        <v>71</v>
      </c>
      <c r="OW868" s="295" t="s">
        <v>71</v>
      </c>
      <c r="OX868" s="295" t="s">
        <v>71</v>
      </c>
      <c r="OY868" s="295" t="s">
        <v>71</v>
      </c>
      <c r="OZ868" s="295" t="s">
        <v>71</v>
      </c>
      <c r="PA868" s="295" t="s">
        <v>71</v>
      </c>
      <c r="PB868" s="295" t="s">
        <v>71</v>
      </c>
      <c r="PC868" s="295" t="s">
        <v>71</v>
      </c>
      <c r="PD868" s="295" t="s">
        <v>71</v>
      </c>
      <c r="PE868" s="295" t="s">
        <v>71</v>
      </c>
      <c r="PF868" s="295" t="s">
        <v>71</v>
      </c>
      <c r="PG868" s="295" t="s">
        <v>71</v>
      </c>
      <c r="PH868" s="295" t="s">
        <v>71</v>
      </c>
      <c r="PI868" s="295" t="s">
        <v>71</v>
      </c>
      <c r="PJ868" s="295" t="s">
        <v>71</v>
      </c>
      <c r="PK868" s="295" t="s">
        <v>71</v>
      </c>
      <c r="PL868" s="295" t="s">
        <v>71</v>
      </c>
      <c r="PM868" s="295" t="s">
        <v>71</v>
      </c>
      <c r="PN868" s="295" t="s">
        <v>71</v>
      </c>
      <c r="PO868" s="295" t="s">
        <v>71</v>
      </c>
      <c r="PP868" s="295" t="s">
        <v>71</v>
      </c>
      <c r="PQ868" s="295" t="s">
        <v>71</v>
      </c>
      <c r="PR868" s="295" t="s">
        <v>71</v>
      </c>
      <c r="PS868" s="295" t="s">
        <v>71</v>
      </c>
      <c r="PT868" s="295" t="s">
        <v>71</v>
      </c>
      <c r="PU868" s="295" t="s">
        <v>71</v>
      </c>
      <c r="PV868" s="295" t="s">
        <v>71</v>
      </c>
      <c r="PW868" s="295" t="s">
        <v>71</v>
      </c>
      <c r="PX868" s="295" t="s">
        <v>71</v>
      </c>
      <c r="PY868" s="295" t="s">
        <v>71</v>
      </c>
      <c r="PZ868" s="295" t="s">
        <v>71</v>
      </c>
      <c r="QA868" s="295" t="s">
        <v>71</v>
      </c>
      <c r="QB868" s="295" t="s">
        <v>71</v>
      </c>
      <c r="QC868" s="295" t="s">
        <v>71</v>
      </c>
      <c r="QD868" s="295" t="s">
        <v>71</v>
      </c>
      <c r="QE868" s="295" t="s">
        <v>71</v>
      </c>
      <c r="QF868" s="295" t="s">
        <v>71</v>
      </c>
      <c r="QG868" s="295" t="s">
        <v>71</v>
      </c>
      <c r="QH868" s="295" t="s">
        <v>71</v>
      </c>
      <c r="QI868" s="295" t="s">
        <v>71</v>
      </c>
      <c r="QJ868" s="295" t="s">
        <v>71</v>
      </c>
      <c r="QK868" s="295" t="s">
        <v>71</v>
      </c>
      <c r="QL868" s="295" t="s">
        <v>71</v>
      </c>
      <c r="QM868" s="295" t="s">
        <v>71</v>
      </c>
      <c r="QN868" s="295" t="s">
        <v>71</v>
      </c>
      <c r="QO868" s="295" t="s">
        <v>71</v>
      </c>
      <c r="QP868" s="295" t="s">
        <v>71</v>
      </c>
      <c r="QQ868" s="295" t="s">
        <v>71</v>
      </c>
      <c r="QR868" s="295" t="s">
        <v>71</v>
      </c>
      <c r="QS868" s="295" t="s">
        <v>71</v>
      </c>
      <c r="QT868" s="295" t="s">
        <v>71</v>
      </c>
      <c r="QU868" s="295" t="s">
        <v>71</v>
      </c>
      <c r="QV868" s="295" t="s">
        <v>71</v>
      </c>
      <c r="QW868" s="295" t="s">
        <v>71</v>
      </c>
      <c r="QX868" s="295" t="s">
        <v>71</v>
      </c>
      <c r="QY868" s="295" t="s">
        <v>71</v>
      </c>
      <c r="QZ868" s="295" t="s">
        <v>71</v>
      </c>
      <c r="RA868" s="295" t="s">
        <v>71</v>
      </c>
      <c r="RB868" s="295" t="s">
        <v>71</v>
      </c>
      <c r="RC868" s="295" t="s">
        <v>71</v>
      </c>
      <c r="RD868" s="295" t="s">
        <v>71</v>
      </c>
      <c r="RE868" s="295" t="s">
        <v>71</v>
      </c>
      <c r="RF868" s="295" t="s">
        <v>71</v>
      </c>
      <c r="RG868" s="295" t="s">
        <v>71</v>
      </c>
      <c r="RH868" s="295" t="s">
        <v>71</v>
      </c>
      <c r="RI868" s="295" t="s">
        <v>71</v>
      </c>
      <c r="RJ868" s="295" t="s">
        <v>71</v>
      </c>
      <c r="RK868" s="295" t="s">
        <v>71</v>
      </c>
      <c r="RL868" s="295" t="s">
        <v>71</v>
      </c>
      <c r="RM868" s="295" t="s">
        <v>71</v>
      </c>
      <c r="RN868" s="295" t="s">
        <v>71</v>
      </c>
      <c r="RO868" s="295" t="s">
        <v>71</v>
      </c>
      <c r="RP868" s="295" t="s">
        <v>71</v>
      </c>
      <c r="RQ868" s="295" t="s">
        <v>71</v>
      </c>
      <c r="RR868" s="295" t="s">
        <v>71</v>
      </c>
      <c r="RS868" s="295" t="s">
        <v>71</v>
      </c>
      <c r="RT868" s="295" t="s">
        <v>71</v>
      </c>
      <c r="RU868" s="295" t="s">
        <v>71</v>
      </c>
      <c r="RV868" s="295" t="s">
        <v>71</v>
      </c>
      <c r="RW868" s="295" t="s">
        <v>71</v>
      </c>
      <c r="RX868" s="295" t="s">
        <v>71</v>
      </c>
      <c r="RY868" s="295" t="s">
        <v>71</v>
      </c>
      <c r="RZ868" s="295" t="s">
        <v>71</v>
      </c>
      <c r="SA868" s="295" t="s">
        <v>71</v>
      </c>
      <c r="SB868" s="295" t="s">
        <v>71</v>
      </c>
      <c r="SC868" s="295" t="s">
        <v>71</v>
      </c>
      <c r="SD868" s="295" t="s">
        <v>71</v>
      </c>
      <c r="SE868" s="295" t="s">
        <v>71</v>
      </c>
      <c r="SF868" s="295" t="s">
        <v>71</v>
      </c>
      <c r="SG868" s="295" t="s">
        <v>71</v>
      </c>
      <c r="SH868" s="295" t="s">
        <v>71</v>
      </c>
      <c r="SI868" s="295" t="s">
        <v>71</v>
      </c>
      <c r="SJ868" s="295" t="s">
        <v>71</v>
      </c>
      <c r="SK868" s="295" t="s">
        <v>71</v>
      </c>
      <c r="SL868" s="295" t="s">
        <v>71</v>
      </c>
      <c r="SM868" s="295" t="s">
        <v>71</v>
      </c>
      <c r="SN868" s="295" t="s">
        <v>71</v>
      </c>
      <c r="SO868" s="295" t="s">
        <v>71</v>
      </c>
      <c r="SP868" s="295" t="s">
        <v>71</v>
      </c>
      <c r="SQ868" s="295" t="s">
        <v>71</v>
      </c>
      <c r="SR868" s="295" t="s">
        <v>71</v>
      </c>
      <c r="SS868" s="295" t="s">
        <v>71</v>
      </c>
      <c r="ST868" s="295" t="s">
        <v>71</v>
      </c>
      <c r="SU868" s="295" t="s">
        <v>71</v>
      </c>
      <c r="SV868" s="295" t="s">
        <v>71</v>
      </c>
      <c r="SW868" s="295" t="s">
        <v>71</v>
      </c>
      <c r="SX868" s="295" t="s">
        <v>71</v>
      </c>
      <c r="SY868" s="295" t="s">
        <v>71</v>
      </c>
      <c r="SZ868" s="295" t="s">
        <v>71</v>
      </c>
      <c r="TA868" s="295" t="s">
        <v>71</v>
      </c>
      <c r="TB868" s="295" t="s">
        <v>71</v>
      </c>
      <c r="TC868" s="295" t="s">
        <v>71</v>
      </c>
      <c r="TD868" s="295" t="s">
        <v>71</v>
      </c>
      <c r="TE868" s="295" t="s">
        <v>71</v>
      </c>
      <c r="TF868" s="295" t="s">
        <v>71</v>
      </c>
      <c r="TG868" s="295" t="s">
        <v>71</v>
      </c>
      <c r="TH868" s="295" t="s">
        <v>71</v>
      </c>
      <c r="TI868" s="295" t="s">
        <v>71</v>
      </c>
      <c r="TJ868" s="295" t="s">
        <v>71</v>
      </c>
      <c r="TK868" s="295" t="s">
        <v>71</v>
      </c>
      <c r="TL868" s="295" t="s">
        <v>71</v>
      </c>
      <c r="TM868" s="295" t="s">
        <v>71</v>
      </c>
      <c r="TN868" s="295" t="s">
        <v>71</v>
      </c>
      <c r="TO868" s="295" t="s">
        <v>71</v>
      </c>
      <c r="TP868" s="295" t="s">
        <v>71</v>
      </c>
      <c r="TQ868" s="295" t="s">
        <v>71</v>
      </c>
      <c r="TR868" s="295" t="s">
        <v>71</v>
      </c>
      <c r="TS868" s="295" t="s">
        <v>71</v>
      </c>
      <c r="TT868" s="295" t="s">
        <v>71</v>
      </c>
      <c r="TU868" s="295" t="s">
        <v>71</v>
      </c>
      <c r="TV868" s="295" t="s">
        <v>71</v>
      </c>
      <c r="TW868" s="295" t="s">
        <v>71</v>
      </c>
      <c r="TX868" s="295" t="s">
        <v>71</v>
      </c>
      <c r="TY868" s="295" t="s">
        <v>71</v>
      </c>
      <c r="TZ868" s="295" t="s">
        <v>71</v>
      </c>
      <c r="UA868" s="295" t="s">
        <v>71</v>
      </c>
      <c r="UB868" s="295" t="s">
        <v>71</v>
      </c>
      <c r="UC868" s="295" t="s">
        <v>71</v>
      </c>
      <c r="UD868" s="295" t="s">
        <v>71</v>
      </c>
      <c r="UE868" s="295" t="s">
        <v>71</v>
      </c>
      <c r="UF868" s="295" t="s">
        <v>71</v>
      </c>
      <c r="UG868" s="295" t="s">
        <v>71</v>
      </c>
      <c r="UH868" s="295" t="s">
        <v>71</v>
      </c>
      <c r="UI868" s="295" t="s">
        <v>71</v>
      </c>
      <c r="UJ868" s="295" t="s">
        <v>71</v>
      </c>
      <c r="UK868" s="295" t="s">
        <v>71</v>
      </c>
      <c r="UL868" s="295" t="s">
        <v>71</v>
      </c>
      <c r="UM868" s="295" t="s">
        <v>71</v>
      </c>
      <c r="UN868" s="295" t="s">
        <v>71</v>
      </c>
      <c r="UO868" s="295" t="s">
        <v>71</v>
      </c>
      <c r="UP868" s="295" t="s">
        <v>71</v>
      </c>
      <c r="UQ868" s="295" t="s">
        <v>71</v>
      </c>
      <c r="UR868" s="295" t="s">
        <v>71</v>
      </c>
      <c r="US868" s="295" t="s">
        <v>71</v>
      </c>
      <c r="UT868" s="295" t="s">
        <v>71</v>
      </c>
      <c r="UU868" s="295" t="s">
        <v>71</v>
      </c>
      <c r="UV868" s="295" t="s">
        <v>71</v>
      </c>
      <c r="UW868" s="295" t="s">
        <v>71</v>
      </c>
      <c r="UX868" s="295" t="s">
        <v>71</v>
      </c>
      <c r="UY868" s="295" t="s">
        <v>71</v>
      </c>
      <c r="UZ868" s="295" t="s">
        <v>71</v>
      </c>
      <c r="VA868" s="295" t="s">
        <v>71</v>
      </c>
      <c r="VB868" s="295" t="s">
        <v>71</v>
      </c>
      <c r="VC868" s="295" t="s">
        <v>71</v>
      </c>
      <c r="VD868" s="295" t="s">
        <v>71</v>
      </c>
      <c r="VE868" s="295" t="s">
        <v>71</v>
      </c>
      <c r="VF868" s="295" t="s">
        <v>71</v>
      </c>
      <c r="VG868" s="295" t="s">
        <v>71</v>
      </c>
      <c r="VH868" s="295" t="s">
        <v>71</v>
      </c>
      <c r="VI868" s="295" t="s">
        <v>71</v>
      </c>
      <c r="VJ868" s="295" t="s">
        <v>71</v>
      </c>
      <c r="VK868" s="295" t="s">
        <v>71</v>
      </c>
      <c r="VL868" s="295" t="s">
        <v>71</v>
      </c>
      <c r="VM868" s="295" t="s">
        <v>71</v>
      </c>
      <c r="VN868" s="295" t="s">
        <v>71</v>
      </c>
      <c r="VO868" s="295" t="s">
        <v>71</v>
      </c>
      <c r="VP868" s="295" t="s">
        <v>71</v>
      </c>
      <c r="VQ868" s="295" t="s">
        <v>71</v>
      </c>
      <c r="VR868" s="295" t="s">
        <v>71</v>
      </c>
      <c r="VS868" s="295" t="s">
        <v>71</v>
      </c>
      <c r="VT868" s="295" t="s">
        <v>71</v>
      </c>
      <c r="VU868" s="295" t="s">
        <v>71</v>
      </c>
      <c r="VV868" s="295" t="s">
        <v>71</v>
      </c>
      <c r="VW868" s="295" t="s">
        <v>71</v>
      </c>
      <c r="VX868" s="295" t="s">
        <v>71</v>
      </c>
      <c r="VY868" s="295" t="s">
        <v>71</v>
      </c>
      <c r="VZ868" s="295" t="s">
        <v>71</v>
      </c>
      <c r="WA868" s="295" t="s">
        <v>71</v>
      </c>
      <c r="WB868" s="295" t="s">
        <v>71</v>
      </c>
      <c r="WC868" s="295" t="s">
        <v>71</v>
      </c>
      <c r="WD868" s="295" t="s">
        <v>71</v>
      </c>
      <c r="WE868" s="295" t="s">
        <v>71</v>
      </c>
      <c r="WF868" s="295" t="s">
        <v>71</v>
      </c>
      <c r="WG868" s="295" t="s">
        <v>71</v>
      </c>
      <c r="WH868" s="295" t="s">
        <v>71</v>
      </c>
      <c r="WI868" s="295" t="s">
        <v>71</v>
      </c>
      <c r="WJ868" s="295" t="s">
        <v>71</v>
      </c>
      <c r="WK868" s="295" t="s">
        <v>71</v>
      </c>
      <c r="WL868" s="295" t="s">
        <v>71</v>
      </c>
      <c r="WM868" s="295" t="s">
        <v>71</v>
      </c>
      <c r="WN868" s="295" t="s">
        <v>71</v>
      </c>
      <c r="WO868" s="295" t="s">
        <v>71</v>
      </c>
      <c r="WP868" s="295" t="s">
        <v>71</v>
      </c>
      <c r="WQ868" s="295" t="s">
        <v>71</v>
      </c>
      <c r="WR868" s="295" t="s">
        <v>71</v>
      </c>
      <c r="WS868" s="295" t="s">
        <v>71</v>
      </c>
      <c r="WT868" s="295" t="s">
        <v>71</v>
      </c>
      <c r="WU868" s="295" t="s">
        <v>71</v>
      </c>
      <c r="WV868" s="295" t="s">
        <v>71</v>
      </c>
      <c r="WW868" s="295" t="s">
        <v>71</v>
      </c>
      <c r="WX868" s="295" t="s">
        <v>71</v>
      </c>
      <c r="WY868" s="295" t="s">
        <v>71</v>
      </c>
      <c r="WZ868" s="295" t="s">
        <v>71</v>
      </c>
      <c r="XA868" s="295" t="s">
        <v>71</v>
      </c>
      <c r="XB868" s="295" t="s">
        <v>71</v>
      </c>
      <c r="XC868" s="295" t="s">
        <v>71</v>
      </c>
      <c r="XD868" s="295" t="s">
        <v>71</v>
      </c>
      <c r="XE868" s="295" t="s">
        <v>71</v>
      </c>
      <c r="XF868" s="295" t="s">
        <v>71</v>
      </c>
      <c r="XG868" s="295" t="s">
        <v>71</v>
      </c>
      <c r="XH868" s="295" t="s">
        <v>71</v>
      </c>
      <c r="XI868" s="295" t="s">
        <v>71</v>
      </c>
      <c r="XJ868" s="295" t="s">
        <v>71</v>
      </c>
      <c r="XK868" s="295" t="s">
        <v>71</v>
      </c>
      <c r="XL868" s="295" t="s">
        <v>71</v>
      </c>
      <c r="XM868" s="295" t="s">
        <v>71</v>
      </c>
      <c r="XN868" s="295" t="s">
        <v>71</v>
      </c>
      <c r="XO868" s="295" t="s">
        <v>71</v>
      </c>
      <c r="XP868" s="295" t="s">
        <v>71</v>
      </c>
      <c r="XQ868" s="295" t="s">
        <v>71</v>
      </c>
      <c r="XR868" s="295" t="s">
        <v>71</v>
      </c>
      <c r="XS868" s="295" t="s">
        <v>71</v>
      </c>
      <c r="XT868" s="295" t="s">
        <v>71</v>
      </c>
      <c r="XU868" s="295" t="s">
        <v>71</v>
      </c>
      <c r="XV868" s="295" t="s">
        <v>71</v>
      </c>
      <c r="XW868" s="295" t="s">
        <v>71</v>
      </c>
      <c r="XX868" s="295" t="s">
        <v>71</v>
      </c>
      <c r="XY868" s="295" t="s">
        <v>71</v>
      </c>
      <c r="XZ868" s="295" t="s">
        <v>71</v>
      </c>
      <c r="YA868" s="295" t="s">
        <v>71</v>
      </c>
      <c r="YB868" s="295" t="s">
        <v>71</v>
      </c>
      <c r="YC868" s="295" t="s">
        <v>71</v>
      </c>
      <c r="YD868" s="295" t="s">
        <v>71</v>
      </c>
      <c r="YE868" s="295" t="s">
        <v>71</v>
      </c>
      <c r="YF868" s="295" t="s">
        <v>71</v>
      </c>
      <c r="YG868" s="295" t="s">
        <v>71</v>
      </c>
      <c r="YH868" s="295" t="s">
        <v>71</v>
      </c>
      <c r="YI868" s="295" t="s">
        <v>71</v>
      </c>
      <c r="YJ868" s="295" t="s">
        <v>71</v>
      </c>
      <c r="YK868" s="295" t="s">
        <v>71</v>
      </c>
      <c r="YL868" s="295" t="s">
        <v>71</v>
      </c>
      <c r="YM868" s="295" t="s">
        <v>71</v>
      </c>
      <c r="YN868" s="295" t="s">
        <v>71</v>
      </c>
      <c r="YO868" s="295" t="s">
        <v>71</v>
      </c>
      <c r="YP868" s="295" t="s">
        <v>71</v>
      </c>
      <c r="YQ868" s="295" t="s">
        <v>71</v>
      </c>
      <c r="YR868" s="295" t="s">
        <v>71</v>
      </c>
      <c r="YS868" s="295" t="s">
        <v>71</v>
      </c>
      <c r="YT868" s="295" t="s">
        <v>71</v>
      </c>
      <c r="YU868" s="295" t="s">
        <v>71</v>
      </c>
      <c r="YV868" s="295" t="s">
        <v>71</v>
      </c>
      <c r="YW868" s="295" t="s">
        <v>71</v>
      </c>
      <c r="YX868" s="295" t="s">
        <v>71</v>
      </c>
      <c r="YY868" s="295" t="s">
        <v>71</v>
      </c>
      <c r="YZ868" s="295" t="s">
        <v>71</v>
      </c>
      <c r="ZA868" s="295" t="s">
        <v>71</v>
      </c>
      <c r="ZB868" s="295" t="s">
        <v>71</v>
      </c>
      <c r="ZC868" s="295" t="s">
        <v>71</v>
      </c>
      <c r="ZD868" s="295" t="s">
        <v>71</v>
      </c>
      <c r="ZE868" s="295" t="s">
        <v>71</v>
      </c>
      <c r="ZF868" s="295" t="s">
        <v>71</v>
      </c>
      <c r="ZG868" s="295" t="s">
        <v>71</v>
      </c>
      <c r="ZH868" s="295" t="s">
        <v>71</v>
      </c>
      <c r="ZI868" s="295" t="s">
        <v>71</v>
      </c>
      <c r="ZJ868" s="295" t="s">
        <v>71</v>
      </c>
      <c r="ZK868" s="295" t="s">
        <v>71</v>
      </c>
      <c r="ZL868" s="295" t="s">
        <v>71</v>
      </c>
      <c r="ZM868" s="295" t="s">
        <v>71</v>
      </c>
      <c r="ZN868" s="295" t="s">
        <v>71</v>
      </c>
      <c r="ZO868" s="295" t="s">
        <v>71</v>
      </c>
      <c r="ZP868" s="295" t="s">
        <v>71</v>
      </c>
      <c r="ZQ868" s="295" t="s">
        <v>71</v>
      </c>
      <c r="ZR868" s="295" t="s">
        <v>71</v>
      </c>
      <c r="ZS868" s="295" t="s">
        <v>71</v>
      </c>
      <c r="ZT868" s="295" t="s">
        <v>71</v>
      </c>
      <c r="ZU868" s="295" t="s">
        <v>71</v>
      </c>
      <c r="ZV868" s="295" t="s">
        <v>71</v>
      </c>
      <c r="ZW868" s="295" t="s">
        <v>71</v>
      </c>
      <c r="ZX868" s="295" t="s">
        <v>71</v>
      </c>
      <c r="ZY868" s="295" t="s">
        <v>71</v>
      </c>
      <c r="ZZ868" s="295" t="s">
        <v>71</v>
      </c>
      <c r="AAA868" s="295" t="s">
        <v>71</v>
      </c>
      <c r="AAB868" s="295" t="s">
        <v>71</v>
      </c>
      <c r="AAC868" s="295" t="s">
        <v>71</v>
      </c>
      <c r="AAD868" s="295" t="s">
        <v>71</v>
      </c>
      <c r="AAE868" s="295" t="s">
        <v>71</v>
      </c>
      <c r="AAF868" s="295" t="s">
        <v>71</v>
      </c>
      <c r="AAG868" s="295" t="s">
        <v>71</v>
      </c>
      <c r="AAH868" s="295" t="s">
        <v>71</v>
      </c>
      <c r="AAI868" s="295" t="s">
        <v>71</v>
      </c>
      <c r="AAJ868" s="295" t="s">
        <v>71</v>
      </c>
      <c r="AAK868" s="295" t="s">
        <v>71</v>
      </c>
      <c r="AAL868" s="295" t="s">
        <v>71</v>
      </c>
      <c r="AAM868" s="295" t="s">
        <v>71</v>
      </c>
      <c r="AAN868" s="295" t="s">
        <v>71</v>
      </c>
      <c r="AAO868" s="295" t="s">
        <v>71</v>
      </c>
      <c r="AAP868" s="295" t="s">
        <v>71</v>
      </c>
      <c r="AAQ868" s="295" t="s">
        <v>71</v>
      </c>
      <c r="AAR868" s="295" t="s">
        <v>71</v>
      </c>
      <c r="AAS868" s="295" t="s">
        <v>71</v>
      </c>
      <c r="AAT868" s="295" t="s">
        <v>71</v>
      </c>
      <c r="AAU868" s="295" t="s">
        <v>71</v>
      </c>
      <c r="AAV868" s="295" t="s">
        <v>71</v>
      </c>
      <c r="AAW868" s="295" t="s">
        <v>71</v>
      </c>
      <c r="AAX868" s="295" t="s">
        <v>71</v>
      </c>
      <c r="AAY868" s="295" t="s">
        <v>71</v>
      </c>
      <c r="AAZ868" s="295" t="s">
        <v>71</v>
      </c>
      <c r="ABA868" s="295" t="s">
        <v>71</v>
      </c>
      <c r="ABB868" s="295" t="s">
        <v>71</v>
      </c>
      <c r="ABC868" s="295" t="s">
        <v>71</v>
      </c>
      <c r="ABD868" s="295" t="s">
        <v>71</v>
      </c>
      <c r="ABE868" s="295" t="s">
        <v>71</v>
      </c>
      <c r="ABF868" s="295" t="s">
        <v>71</v>
      </c>
      <c r="ABG868" s="295" t="s">
        <v>71</v>
      </c>
      <c r="ABH868" s="295" t="s">
        <v>71</v>
      </c>
      <c r="ABI868" s="295" t="s">
        <v>71</v>
      </c>
      <c r="ABJ868" s="295" t="s">
        <v>71</v>
      </c>
      <c r="ABK868" s="295" t="s">
        <v>71</v>
      </c>
      <c r="ABL868" s="295" t="s">
        <v>71</v>
      </c>
      <c r="ABM868" s="295" t="s">
        <v>71</v>
      </c>
      <c r="ABN868" s="295" t="s">
        <v>71</v>
      </c>
      <c r="ABO868" s="295" t="s">
        <v>71</v>
      </c>
      <c r="ABP868" s="295" t="s">
        <v>71</v>
      </c>
      <c r="ABQ868" s="295" t="s">
        <v>71</v>
      </c>
      <c r="ABR868" s="295" t="s">
        <v>71</v>
      </c>
      <c r="ABS868" s="295" t="s">
        <v>71</v>
      </c>
      <c r="ABT868" s="295" t="s">
        <v>71</v>
      </c>
      <c r="ABU868" s="295" t="s">
        <v>71</v>
      </c>
      <c r="ABV868" s="295" t="s">
        <v>71</v>
      </c>
      <c r="ABW868" s="295" t="s">
        <v>71</v>
      </c>
      <c r="ABX868" s="295" t="s">
        <v>71</v>
      </c>
      <c r="ABY868" s="295" t="s">
        <v>71</v>
      </c>
      <c r="ABZ868" s="295" t="s">
        <v>71</v>
      </c>
      <c r="ACA868" s="295" t="s">
        <v>71</v>
      </c>
      <c r="ACB868" s="295" t="s">
        <v>71</v>
      </c>
      <c r="ACC868" s="295" t="s">
        <v>71</v>
      </c>
      <c r="ACD868" s="295" t="s">
        <v>71</v>
      </c>
      <c r="ACE868" s="295" t="s">
        <v>71</v>
      </c>
      <c r="ACF868" s="295" t="s">
        <v>71</v>
      </c>
      <c r="ACG868" s="295" t="s">
        <v>71</v>
      </c>
      <c r="ACH868" s="295" t="s">
        <v>71</v>
      </c>
      <c r="ACI868" s="295" t="s">
        <v>71</v>
      </c>
      <c r="ACJ868" s="295" t="s">
        <v>71</v>
      </c>
      <c r="ACK868" s="295" t="s">
        <v>71</v>
      </c>
      <c r="ACL868" s="295" t="s">
        <v>71</v>
      </c>
      <c r="ACM868" s="295" t="s">
        <v>71</v>
      </c>
      <c r="ACN868" s="295" t="s">
        <v>71</v>
      </c>
      <c r="ACO868" s="295" t="s">
        <v>71</v>
      </c>
      <c r="ACP868" s="295" t="s">
        <v>71</v>
      </c>
      <c r="ACQ868" s="295" t="s">
        <v>71</v>
      </c>
      <c r="ACR868" s="295" t="s">
        <v>71</v>
      </c>
      <c r="ACS868" s="295" t="s">
        <v>71</v>
      </c>
      <c r="ACT868" s="295" t="s">
        <v>71</v>
      </c>
      <c r="ACU868" s="295" t="s">
        <v>71</v>
      </c>
      <c r="ACV868" s="295" t="s">
        <v>71</v>
      </c>
      <c r="ACW868" s="295" t="s">
        <v>71</v>
      </c>
      <c r="ACX868" s="295" t="s">
        <v>71</v>
      </c>
      <c r="ACY868" s="295" t="s">
        <v>71</v>
      </c>
      <c r="ACZ868" s="295" t="s">
        <v>71</v>
      </c>
      <c r="ADA868" s="295" t="s">
        <v>71</v>
      </c>
      <c r="ADB868" s="295" t="s">
        <v>71</v>
      </c>
      <c r="ADC868" s="295" t="s">
        <v>71</v>
      </c>
      <c r="ADD868" s="295" t="s">
        <v>71</v>
      </c>
      <c r="ADE868" s="295" t="s">
        <v>71</v>
      </c>
      <c r="ADF868" s="295" t="s">
        <v>71</v>
      </c>
      <c r="ADG868" s="295" t="s">
        <v>71</v>
      </c>
      <c r="ADH868" s="295" t="s">
        <v>71</v>
      </c>
      <c r="ADI868" s="295" t="s">
        <v>71</v>
      </c>
      <c r="ADJ868" s="295" t="s">
        <v>71</v>
      </c>
      <c r="ADK868" s="295" t="s">
        <v>71</v>
      </c>
      <c r="ADL868" s="295" t="s">
        <v>71</v>
      </c>
      <c r="ADM868" s="295" t="s">
        <v>71</v>
      </c>
      <c r="ADN868" s="295" t="s">
        <v>71</v>
      </c>
      <c r="ADO868" s="295" t="s">
        <v>71</v>
      </c>
      <c r="ADP868" s="295" t="s">
        <v>71</v>
      </c>
      <c r="ADQ868" s="295" t="s">
        <v>71</v>
      </c>
      <c r="ADR868" s="295" t="s">
        <v>71</v>
      </c>
      <c r="ADS868" s="295" t="s">
        <v>71</v>
      </c>
      <c r="ADT868" s="295" t="s">
        <v>71</v>
      </c>
      <c r="ADU868" s="295" t="s">
        <v>71</v>
      </c>
      <c r="ADV868" s="295" t="s">
        <v>71</v>
      </c>
      <c r="ADW868" s="295" t="s">
        <v>71</v>
      </c>
      <c r="ADX868" s="295" t="s">
        <v>71</v>
      </c>
      <c r="ADY868" s="295" t="s">
        <v>71</v>
      </c>
      <c r="ADZ868" s="295" t="s">
        <v>71</v>
      </c>
      <c r="AEA868" s="295" t="s">
        <v>71</v>
      </c>
      <c r="AEB868" s="295" t="s">
        <v>71</v>
      </c>
      <c r="AEC868" s="295" t="s">
        <v>71</v>
      </c>
      <c r="AED868" s="295" t="s">
        <v>71</v>
      </c>
      <c r="AEE868" s="295" t="s">
        <v>71</v>
      </c>
      <c r="AEF868" s="295" t="s">
        <v>71</v>
      </c>
      <c r="AEG868" s="295" t="s">
        <v>71</v>
      </c>
      <c r="AEH868" s="295" t="s">
        <v>71</v>
      </c>
      <c r="AEI868" s="295" t="s">
        <v>71</v>
      </c>
      <c r="AEJ868" s="295" t="s">
        <v>71</v>
      </c>
      <c r="AEK868" s="295" t="s">
        <v>71</v>
      </c>
      <c r="AEL868" s="295" t="s">
        <v>71</v>
      </c>
      <c r="AEM868" s="295" t="s">
        <v>71</v>
      </c>
      <c r="AEN868" s="295" t="s">
        <v>71</v>
      </c>
      <c r="AEO868" s="295" t="s">
        <v>71</v>
      </c>
      <c r="AEP868" s="295" t="s">
        <v>71</v>
      </c>
      <c r="AEQ868" s="295" t="s">
        <v>71</v>
      </c>
      <c r="AER868" s="295" t="s">
        <v>71</v>
      </c>
      <c r="AES868" s="295" t="s">
        <v>71</v>
      </c>
      <c r="AET868" s="295" t="s">
        <v>71</v>
      </c>
      <c r="AEU868" s="295" t="s">
        <v>71</v>
      </c>
      <c r="AEV868" s="295" t="s">
        <v>71</v>
      </c>
      <c r="AEW868" s="295" t="s">
        <v>71</v>
      </c>
      <c r="AEX868" s="295" t="s">
        <v>71</v>
      </c>
      <c r="AEY868" s="295" t="s">
        <v>71</v>
      </c>
      <c r="AEZ868" s="295" t="s">
        <v>71</v>
      </c>
      <c r="AFA868" s="295" t="s">
        <v>71</v>
      </c>
      <c r="AFB868" s="295" t="s">
        <v>71</v>
      </c>
      <c r="AFC868" s="295" t="s">
        <v>71</v>
      </c>
      <c r="AFD868" s="295" t="s">
        <v>71</v>
      </c>
      <c r="AFE868" s="295" t="s">
        <v>71</v>
      </c>
      <c r="AFF868" s="295" t="s">
        <v>71</v>
      </c>
      <c r="AFG868" s="295" t="s">
        <v>71</v>
      </c>
      <c r="AFH868" s="295" t="s">
        <v>71</v>
      </c>
      <c r="AFI868" s="295" t="s">
        <v>71</v>
      </c>
      <c r="AFJ868" s="295" t="s">
        <v>71</v>
      </c>
      <c r="AFK868" s="295" t="s">
        <v>71</v>
      </c>
      <c r="AFL868" s="295" t="s">
        <v>71</v>
      </c>
      <c r="AFM868" s="295" t="s">
        <v>71</v>
      </c>
      <c r="AFN868" s="295" t="s">
        <v>71</v>
      </c>
      <c r="AFO868" s="295" t="s">
        <v>71</v>
      </c>
      <c r="AFP868" s="295" t="s">
        <v>71</v>
      </c>
      <c r="AFQ868" s="295" t="s">
        <v>71</v>
      </c>
      <c r="AFR868" s="295" t="s">
        <v>71</v>
      </c>
      <c r="AFS868" s="295" t="s">
        <v>71</v>
      </c>
      <c r="AFT868" s="295" t="s">
        <v>71</v>
      </c>
      <c r="AFU868" s="295" t="s">
        <v>71</v>
      </c>
      <c r="AFV868" s="295" t="s">
        <v>71</v>
      </c>
      <c r="AFW868" s="295" t="s">
        <v>71</v>
      </c>
      <c r="AFX868" s="295" t="s">
        <v>71</v>
      </c>
      <c r="AFY868" s="295" t="s">
        <v>71</v>
      </c>
      <c r="AFZ868" s="295" t="s">
        <v>71</v>
      </c>
      <c r="AGA868" s="295" t="s">
        <v>71</v>
      </c>
      <c r="AGB868" s="295" t="s">
        <v>71</v>
      </c>
      <c r="AGC868" s="295" t="s">
        <v>71</v>
      </c>
      <c r="AGD868" s="295" t="s">
        <v>71</v>
      </c>
      <c r="AGE868" s="295" t="s">
        <v>71</v>
      </c>
      <c r="AGF868" s="295" t="s">
        <v>71</v>
      </c>
      <c r="AGG868" s="295" t="s">
        <v>71</v>
      </c>
      <c r="AGH868" s="295" t="s">
        <v>71</v>
      </c>
      <c r="AGI868" s="295" t="s">
        <v>71</v>
      </c>
      <c r="AGJ868" s="295" t="s">
        <v>71</v>
      </c>
      <c r="AGK868" s="295" t="s">
        <v>71</v>
      </c>
      <c r="AGL868" s="295" t="s">
        <v>71</v>
      </c>
      <c r="AGM868" s="295" t="s">
        <v>71</v>
      </c>
      <c r="AGN868" s="295" t="s">
        <v>71</v>
      </c>
      <c r="AGO868" s="295" t="s">
        <v>71</v>
      </c>
      <c r="AGP868" s="295" t="s">
        <v>71</v>
      </c>
      <c r="AGQ868" s="295" t="s">
        <v>71</v>
      </c>
      <c r="AGR868" s="295" t="s">
        <v>71</v>
      </c>
      <c r="AGS868" s="295" t="s">
        <v>71</v>
      </c>
      <c r="AGT868" s="295" t="s">
        <v>71</v>
      </c>
      <c r="AGU868" s="295" t="s">
        <v>71</v>
      </c>
      <c r="AGV868" s="295" t="s">
        <v>71</v>
      </c>
      <c r="AGW868" s="295" t="s">
        <v>71</v>
      </c>
      <c r="AGX868" s="295" t="s">
        <v>71</v>
      </c>
      <c r="AGY868" s="295" t="s">
        <v>71</v>
      </c>
      <c r="AGZ868" s="295" t="s">
        <v>71</v>
      </c>
      <c r="AHA868" s="295" t="s">
        <v>71</v>
      </c>
      <c r="AHB868" s="295" t="s">
        <v>71</v>
      </c>
      <c r="AHC868" s="295" t="s">
        <v>71</v>
      </c>
      <c r="AHD868" s="295" t="s">
        <v>71</v>
      </c>
      <c r="AHE868" s="295" t="s">
        <v>71</v>
      </c>
      <c r="AHF868" s="295" t="s">
        <v>71</v>
      </c>
      <c r="AHG868" s="295" t="s">
        <v>71</v>
      </c>
      <c r="AHH868" s="295" t="s">
        <v>71</v>
      </c>
      <c r="AHI868" s="295" t="s">
        <v>71</v>
      </c>
      <c r="AHJ868" s="295" t="s">
        <v>71</v>
      </c>
      <c r="AHK868" s="295" t="s">
        <v>71</v>
      </c>
      <c r="AHL868" s="295" t="s">
        <v>71</v>
      </c>
      <c r="AHM868" s="295" t="s">
        <v>71</v>
      </c>
      <c r="AHN868" s="295" t="s">
        <v>71</v>
      </c>
      <c r="AHO868" s="295" t="s">
        <v>71</v>
      </c>
      <c r="AHP868" s="295" t="s">
        <v>71</v>
      </c>
      <c r="AHQ868" s="295" t="s">
        <v>71</v>
      </c>
      <c r="AHR868" s="295" t="s">
        <v>71</v>
      </c>
      <c r="AHS868" s="295" t="s">
        <v>71</v>
      </c>
      <c r="AHT868" s="295" t="s">
        <v>71</v>
      </c>
      <c r="AHU868" s="295" t="s">
        <v>71</v>
      </c>
      <c r="AHV868" s="295" t="s">
        <v>71</v>
      </c>
      <c r="AHW868" s="295" t="s">
        <v>71</v>
      </c>
      <c r="AHX868" s="295" t="s">
        <v>71</v>
      </c>
      <c r="AHY868" s="295" t="s">
        <v>71</v>
      </c>
      <c r="AHZ868" s="295" t="s">
        <v>71</v>
      </c>
      <c r="AIA868" s="295" t="s">
        <v>71</v>
      </c>
      <c r="AIB868" s="295" t="s">
        <v>71</v>
      </c>
      <c r="AIC868" s="295" t="s">
        <v>71</v>
      </c>
      <c r="AID868" s="295" t="s">
        <v>71</v>
      </c>
      <c r="AIE868" s="295" t="s">
        <v>71</v>
      </c>
      <c r="AIF868" s="295" t="s">
        <v>71</v>
      </c>
      <c r="AIG868" s="295" t="s">
        <v>71</v>
      </c>
      <c r="AIH868" s="295" t="s">
        <v>71</v>
      </c>
      <c r="AII868" s="295" t="s">
        <v>71</v>
      </c>
      <c r="AIJ868" s="295" t="s">
        <v>71</v>
      </c>
      <c r="AIK868" s="295" t="s">
        <v>71</v>
      </c>
      <c r="AIL868" s="295" t="s">
        <v>71</v>
      </c>
      <c r="AIM868" s="295" t="s">
        <v>71</v>
      </c>
      <c r="AIN868" s="295" t="s">
        <v>71</v>
      </c>
      <c r="AIO868" s="295" t="s">
        <v>71</v>
      </c>
      <c r="AIP868" s="295" t="s">
        <v>71</v>
      </c>
      <c r="AIQ868" s="295" t="s">
        <v>71</v>
      </c>
      <c r="AIR868" s="295" t="s">
        <v>71</v>
      </c>
      <c r="AIS868" s="295" t="s">
        <v>71</v>
      </c>
      <c r="AIT868" s="295" t="s">
        <v>71</v>
      </c>
      <c r="AIU868" s="295" t="s">
        <v>71</v>
      </c>
      <c r="AIV868" s="295" t="s">
        <v>71</v>
      </c>
      <c r="AIW868" s="295" t="s">
        <v>71</v>
      </c>
      <c r="AIX868" s="295" t="s">
        <v>71</v>
      </c>
      <c r="AIY868" s="295" t="s">
        <v>71</v>
      </c>
      <c r="AIZ868" s="295" t="s">
        <v>71</v>
      </c>
      <c r="AJA868" s="295" t="s">
        <v>71</v>
      </c>
      <c r="AJB868" s="295" t="s">
        <v>71</v>
      </c>
      <c r="AJC868" s="295" t="s">
        <v>71</v>
      </c>
      <c r="AJD868" s="295" t="s">
        <v>71</v>
      </c>
      <c r="AJE868" s="295" t="s">
        <v>71</v>
      </c>
      <c r="AJF868" s="295" t="s">
        <v>71</v>
      </c>
      <c r="AJG868" s="295" t="s">
        <v>71</v>
      </c>
      <c r="AJH868" s="295" t="s">
        <v>71</v>
      </c>
      <c r="AJI868" s="295" t="s">
        <v>71</v>
      </c>
      <c r="AJJ868" s="295" t="s">
        <v>71</v>
      </c>
      <c r="AJK868" s="295" t="s">
        <v>71</v>
      </c>
      <c r="AJL868" s="295" t="s">
        <v>71</v>
      </c>
      <c r="AJM868" s="295" t="s">
        <v>71</v>
      </c>
      <c r="AJN868" s="295" t="s">
        <v>71</v>
      </c>
      <c r="AJO868" s="295" t="s">
        <v>71</v>
      </c>
      <c r="AJP868" s="295" t="s">
        <v>71</v>
      </c>
      <c r="AJQ868" s="295" t="s">
        <v>71</v>
      </c>
      <c r="AJR868" s="295" t="s">
        <v>71</v>
      </c>
      <c r="AJS868" s="295" t="s">
        <v>71</v>
      </c>
      <c r="AJT868" s="295" t="s">
        <v>71</v>
      </c>
      <c r="AJU868" s="295" t="s">
        <v>71</v>
      </c>
      <c r="AJV868" s="295" t="s">
        <v>71</v>
      </c>
      <c r="AJW868" s="295" t="s">
        <v>71</v>
      </c>
      <c r="AJX868" s="295" t="s">
        <v>71</v>
      </c>
      <c r="AJY868" s="295" t="s">
        <v>71</v>
      </c>
      <c r="AJZ868" s="295" t="s">
        <v>71</v>
      </c>
      <c r="AKA868" s="295" t="s">
        <v>71</v>
      </c>
      <c r="AKB868" s="295" t="s">
        <v>71</v>
      </c>
      <c r="AKC868" s="295" t="s">
        <v>71</v>
      </c>
      <c r="AKD868" s="295" t="s">
        <v>71</v>
      </c>
      <c r="AKE868" s="295" t="s">
        <v>71</v>
      </c>
      <c r="AKF868" s="295" t="s">
        <v>71</v>
      </c>
      <c r="AKG868" s="295" t="s">
        <v>71</v>
      </c>
      <c r="AKH868" s="295" t="s">
        <v>71</v>
      </c>
      <c r="AKI868" s="295" t="s">
        <v>71</v>
      </c>
      <c r="AKJ868" s="295" t="s">
        <v>71</v>
      </c>
      <c r="AKK868" s="295" t="s">
        <v>71</v>
      </c>
      <c r="AKL868" s="295" t="s">
        <v>71</v>
      </c>
      <c r="AKM868" s="295" t="s">
        <v>71</v>
      </c>
      <c r="AKN868" s="295" t="s">
        <v>71</v>
      </c>
      <c r="AKO868" s="295" t="s">
        <v>71</v>
      </c>
      <c r="AKP868" s="295" t="s">
        <v>71</v>
      </c>
      <c r="AKQ868" s="295" t="s">
        <v>71</v>
      </c>
      <c r="AKR868" s="295" t="s">
        <v>71</v>
      </c>
      <c r="AKS868" s="295" t="s">
        <v>71</v>
      </c>
      <c r="AKT868" s="295" t="s">
        <v>71</v>
      </c>
      <c r="AKU868" s="295" t="s">
        <v>71</v>
      </c>
      <c r="AKV868" s="295" t="s">
        <v>71</v>
      </c>
      <c r="AKW868" s="295" t="s">
        <v>71</v>
      </c>
      <c r="AKX868" s="295" t="s">
        <v>71</v>
      </c>
      <c r="AKY868" s="295" t="s">
        <v>71</v>
      </c>
      <c r="AKZ868" s="295" t="s">
        <v>71</v>
      </c>
      <c r="ALA868" s="295" t="s">
        <v>71</v>
      </c>
      <c r="ALB868" s="295" t="s">
        <v>71</v>
      </c>
      <c r="ALC868" s="295" t="s">
        <v>71</v>
      </c>
      <c r="ALD868" s="295" t="s">
        <v>71</v>
      </c>
      <c r="ALE868" s="295" t="s">
        <v>71</v>
      </c>
      <c r="ALF868" s="295" t="s">
        <v>71</v>
      </c>
      <c r="ALG868" s="295" t="s">
        <v>71</v>
      </c>
      <c r="ALH868" s="295" t="s">
        <v>71</v>
      </c>
      <c r="ALI868" s="295" t="s">
        <v>71</v>
      </c>
      <c r="ALJ868" s="295" t="s">
        <v>71</v>
      </c>
      <c r="ALK868" s="295" t="s">
        <v>71</v>
      </c>
      <c r="ALL868" s="295" t="s">
        <v>71</v>
      </c>
      <c r="ALM868" s="295" t="s">
        <v>71</v>
      </c>
      <c r="ALN868" s="295" t="s">
        <v>71</v>
      </c>
      <c r="ALO868" s="295" t="s">
        <v>71</v>
      </c>
      <c r="ALP868" s="295" t="s">
        <v>71</v>
      </c>
      <c r="ALQ868" s="295" t="s">
        <v>71</v>
      </c>
      <c r="ALR868" s="295" t="s">
        <v>71</v>
      </c>
      <c r="ALS868" s="295" t="s">
        <v>71</v>
      </c>
      <c r="ALT868" s="295" t="s">
        <v>71</v>
      </c>
      <c r="ALU868" s="295" t="s">
        <v>71</v>
      </c>
      <c r="ALV868" s="295" t="s">
        <v>71</v>
      </c>
      <c r="ALW868" s="295" t="s">
        <v>71</v>
      </c>
      <c r="ALX868" s="295" t="s">
        <v>71</v>
      </c>
      <c r="ALY868" s="295" t="s">
        <v>71</v>
      </c>
      <c r="ALZ868" s="295" t="s">
        <v>71</v>
      </c>
      <c r="AMA868" s="295" t="s">
        <v>71</v>
      </c>
      <c r="AMB868" s="295" t="s">
        <v>71</v>
      </c>
      <c r="AMC868" s="295" t="s">
        <v>71</v>
      </c>
      <c r="AMD868" s="295" t="s">
        <v>71</v>
      </c>
      <c r="AME868" s="295" t="s">
        <v>71</v>
      </c>
      <c r="AMF868" s="295" t="s">
        <v>71</v>
      </c>
      <c r="AMG868" s="295" t="s">
        <v>71</v>
      </c>
      <c r="AMH868" s="295" t="s">
        <v>71</v>
      </c>
      <c r="AMI868" s="295" t="s">
        <v>71</v>
      </c>
      <c r="AMJ868" s="295" t="s">
        <v>71</v>
      </c>
      <c r="AMK868" s="295" t="s">
        <v>71</v>
      </c>
      <c r="AML868" s="295" t="s">
        <v>71</v>
      </c>
      <c r="AMM868" s="295" t="s">
        <v>71</v>
      </c>
      <c r="AMN868" s="295" t="s">
        <v>71</v>
      </c>
      <c r="AMO868" s="295" t="s">
        <v>71</v>
      </c>
      <c r="AMP868" s="295" t="s">
        <v>71</v>
      </c>
      <c r="AMQ868" s="295" t="s">
        <v>71</v>
      </c>
      <c r="AMR868" s="295" t="s">
        <v>71</v>
      </c>
      <c r="AMS868" s="295" t="s">
        <v>71</v>
      </c>
      <c r="AMT868" s="295" t="s">
        <v>71</v>
      </c>
      <c r="AMU868" s="295" t="s">
        <v>71</v>
      </c>
      <c r="AMV868" s="295" t="s">
        <v>71</v>
      </c>
      <c r="AMW868" s="295" t="s">
        <v>71</v>
      </c>
      <c r="AMX868" s="295" t="s">
        <v>71</v>
      </c>
      <c r="AMY868" s="295" t="s">
        <v>71</v>
      </c>
      <c r="AMZ868" s="295" t="s">
        <v>71</v>
      </c>
      <c r="ANA868" s="295" t="s">
        <v>71</v>
      </c>
      <c r="ANB868" s="295" t="s">
        <v>71</v>
      </c>
      <c r="ANC868" s="295" t="s">
        <v>71</v>
      </c>
      <c r="AND868" s="295" t="s">
        <v>71</v>
      </c>
      <c r="ANE868" s="295" t="s">
        <v>71</v>
      </c>
      <c r="ANF868" s="295" t="s">
        <v>71</v>
      </c>
      <c r="ANG868" s="295" t="s">
        <v>71</v>
      </c>
      <c r="ANH868" s="295" t="s">
        <v>71</v>
      </c>
      <c r="ANI868" s="295" t="s">
        <v>71</v>
      </c>
      <c r="ANJ868" s="295" t="s">
        <v>71</v>
      </c>
      <c r="ANK868" s="295" t="s">
        <v>71</v>
      </c>
      <c r="ANL868" s="295" t="s">
        <v>71</v>
      </c>
      <c r="ANM868" s="295" t="s">
        <v>71</v>
      </c>
      <c r="ANN868" s="295" t="s">
        <v>71</v>
      </c>
      <c r="ANO868" s="295" t="s">
        <v>71</v>
      </c>
      <c r="ANP868" s="295" t="s">
        <v>71</v>
      </c>
      <c r="ANQ868" s="295" t="s">
        <v>71</v>
      </c>
      <c r="ANR868" s="295" t="s">
        <v>71</v>
      </c>
      <c r="ANS868" s="295" t="s">
        <v>71</v>
      </c>
      <c r="ANT868" s="295" t="s">
        <v>71</v>
      </c>
      <c r="ANU868" s="295" t="s">
        <v>71</v>
      </c>
      <c r="ANV868" s="295" t="s">
        <v>71</v>
      </c>
      <c r="ANW868" s="295" t="s">
        <v>71</v>
      </c>
      <c r="ANX868" s="295" t="s">
        <v>71</v>
      </c>
      <c r="ANY868" s="295" t="s">
        <v>71</v>
      </c>
      <c r="ANZ868" s="295" t="s">
        <v>71</v>
      </c>
      <c r="AOA868" s="295" t="s">
        <v>71</v>
      </c>
      <c r="AOB868" s="295" t="s">
        <v>71</v>
      </c>
      <c r="AOC868" s="295" t="s">
        <v>71</v>
      </c>
      <c r="AOD868" s="295" t="s">
        <v>71</v>
      </c>
      <c r="AOE868" s="295" t="s">
        <v>71</v>
      </c>
      <c r="AOF868" s="295" t="s">
        <v>71</v>
      </c>
      <c r="AOG868" s="295" t="s">
        <v>71</v>
      </c>
      <c r="AOH868" s="295" t="s">
        <v>71</v>
      </c>
      <c r="AOI868" s="295" t="s">
        <v>71</v>
      </c>
      <c r="AOJ868" s="295" t="s">
        <v>71</v>
      </c>
      <c r="AOK868" s="295" t="s">
        <v>71</v>
      </c>
      <c r="AOL868" s="295" t="s">
        <v>71</v>
      </c>
      <c r="AOM868" s="295" t="s">
        <v>71</v>
      </c>
      <c r="AON868" s="295" t="s">
        <v>71</v>
      </c>
      <c r="AOO868" s="295" t="s">
        <v>71</v>
      </c>
      <c r="AOP868" s="295" t="s">
        <v>71</v>
      </c>
      <c r="AOQ868" s="295" t="s">
        <v>71</v>
      </c>
      <c r="AOR868" s="295" t="s">
        <v>71</v>
      </c>
      <c r="AOS868" s="295" t="s">
        <v>71</v>
      </c>
      <c r="AOT868" s="295" t="s">
        <v>71</v>
      </c>
      <c r="AOU868" s="295" t="s">
        <v>71</v>
      </c>
      <c r="AOV868" s="295" t="s">
        <v>71</v>
      </c>
      <c r="AOW868" s="295" t="s">
        <v>71</v>
      </c>
      <c r="AOX868" s="295" t="s">
        <v>71</v>
      </c>
      <c r="AOY868" s="295" t="s">
        <v>71</v>
      </c>
      <c r="AOZ868" s="295" t="s">
        <v>71</v>
      </c>
      <c r="APA868" s="295" t="s">
        <v>71</v>
      </c>
      <c r="APB868" s="295" t="s">
        <v>71</v>
      </c>
      <c r="APC868" s="295" t="s">
        <v>71</v>
      </c>
      <c r="APD868" s="295" t="s">
        <v>71</v>
      </c>
      <c r="APE868" s="295" t="s">
        <v>71</v>
      </c>
      <c r="APF868" s="295" t="s">
        <v>71</v>
      </c>
      <c r="APG868" s="295" t="s">
        <v>71</v>
      </c>
      <c r="APH868" s="295" t="s">
        <v>71</v>
      </c>
      <c r="API868" s="295" t="s">
        <v>71</v>
      </c>
      <c r="APJ868" s="295" t="s">
        <v>71</v>
      </c>
      <c r="APK868" s="295" t="s">
        <v>71</v>
      </c>
      <c r="APL868" s="295" t="s">
        <v>71</v>
      </c>
      <c r="APM868" s="295" t="s">
        <v>71</v>
      </c>
      <c r="APN868" s="295" t="s">
        <v>71</v>
      </c>
      <c r="APO868" s="295" t="s">
        <v>71</v>
      </c>
      <c r="APP868" s="295" t="s">
        <v>71</v>
      </c>
      <c r="APQ868" s="295" t="s">
        <v>71</v>
      </c>
      <c r="APR868" s="295" t="s">
        <v>71</v>
      </c>
      <c r="APS868" s="295" t="s">
        <v>71</v>
      </c>
      <c r="APT868" s="295" t="s">
        <v>71</v>
      </c>
      <c r="APU868" s="295" t="s">
        <v>71</v>
      </c>
      <c r="APV868" s="295" t="s">
        <v>71</v>
      </c>
      <c r="APW868" s="295" t="s">
        <v>71</v>
      </c>
      <c r="APX868" s="295" t="s">
        <v>71</v>
      </c>
      <c r="APY868" s="295" t="s">
        <v>71</v>
      </c>
      <c r="APZ868" s="295" t="s">
        <v>71</v>
      </c>
      <c r="AQA868" s="295" t="s">
        <v>71</v>
      </c>
      <c r="AQB868" s="295" t="s">
        <v>71</v>
      </c>
      <c r="AQC868" s="295" t="s">
        <v>71</v>
      </c>
      <c r="AQD868" s="295" t="s">
        <v>71</v>
      </c>
      <c r="AQE868" s="295" t="s">
        <v>71</v>
      </c>
      <c r="AQF868" s="295" t="s">
        <v>71</v>
      </c>
      <c r="AQG868" s="295" t="s">
        <v>71</v>
      </c>
      <c r="AQH868" s="295" t="s">
        <v>71</v>
      </c>
      <c r="AQI868" s="295" t="s">
        <v>71</v>
      </c>
      <c r="AQJ868" s="295" t="s">
        <v>71</v>
      </c>
      <c r="AQK868" s="295" t="s">
        <v>71</v>
      </c>
      <c r="AQL868" s="295" t="s">
        <v>71</v>
      </c>
      <c r="AQM868" s="295" t="s">
        <v>71</v>
      </c>
      <c r="AQN868" s="295" t="s">
        <v>71</v>
      </c>
      <c r="AQO868" s="295" t="s">
        <v>71</v>
      </c>
      <c r="AQP868" s="295" t="s">
        <v>71</v>
      </c>
      <c r="AQQ868" s="295" t="s">
        <v>71</v>
      </c>
      <c r="AQR868" s="295" t="s">
        <v>71</v>
      </c>
      <c r="AQS868" s="295" t="s">
        <v>71</v>
      </c>
      <c r="AQT868" s="295" t="s">
        <v>71</v>
      </c>
      <c r="AQU868" s="295" t="s">
        <v>71</v>
      </c>
      <c r="AQV868" s="295" t="s">
        <v>71</v>
      </c>
      <c r="AQW868" s="295" t="s">
        <v>71</v>
      </c>
      <c r="AQX868" s="295" t="s">
        <v>71</v>
      </c>
      <c r="AQY868" s="295" t="s">
        <v>71</v>
      </c>
      <c r="AQZ868" s="295" t="s">
        <v>71</v>
      </c>
      <c r="ARA868" s="295" t="s">
        <v>71</v>
      </c>
      <c r="ARB868" s="295" t="s">
        <v>71</v>
      </c>
      <c r="ARC868" s="295" t="s">
        <v>71</v>
      </c>
      <c r="ARD868" s="295" t="s">
        <v>71</v>
      </c>
      <c r="ARE868" s="295" t="s">
        <v>71</v>
      </c>
      <c r="ARF868" s="295" t="s">
        <v>71</v>
      </c>
      <c r="ARG868" s="295" t="s">
        <v>71</v>
      </c>
      <c r="ARH868" s="295" t="s">
        <v>71</v>
      </c>
      <c r="ARI868" s="295" t="s">
        <v>71</v>
      </c>
      <c r="ARJ868" s="295" t="s">
        <v>71</v>
      </c>
      <c r="ARK868" s="295" t="s">
        <v>71</v>
      </c>
      <c r="ARL868" s="295" t="s">
        <v>71</v>
      </c>
      <c r="ARM868" s="295" t="s">
        <v>71</v>
      </c>
      <c r="ARN868" s="295" t="s">
        <v>71</v>
      </c>
      <c r="ARO868" s="295" t="s">
        <v>71</v>
      </c>
      <c r="ARP868" s="295" t="s">
        <v>71</v>
      </c>
      <c r="ARQ868" s="295" t="s">
        <v>71</v>
      </c>
      <c r="ARR868" s="295" t="s">
        <v>71</v>
      </c>
      <c r="ARS868" s="295" t="s">
        <v>71</v>
      </c>
      <c r="ART868" s="295" t="s">
        <v>71</v>
      </c>
      <c r="ARU868" s="295" t="s">
        <v>71</v>
      </c>
      <c r="ARV868" s="295" t="s">
        <v>71</v>
      </c>
      <c r="ARW868" s="295" t="s">
        <v>71</v>
      </c>
      <c r="ARX868" s="295" t="s">
        <v>71</v>
      </c>
      <c r="ARY868" s="295" t="s">
        <v>71</v>
      </c>
      <c r="ARZ868" s="295" t="s">
        <v>71</v>
      </c>
      <c r="ASA868" s="295" t="s">
        <v>71</v>
      </c>
      <c r="ASB868" s="295" t="s">
        <v>71</v>
      </c>
      <c r="ASC868" s="295" t="s">
        <v>71</v>
      </c>
      <c r="ASD868" s="295" t="s">
        <v>71</v>
      </c>
      <c r="ASE868" s="295" t="s">
        <v>71</v>
      </c>
      <c r="ASF868" s="295" t="s">
        <v>71</v>
      </c>
      <c r="ASG868" s="295" t="s">
        <v>71</v>
      </c>
      <c r="ASH868" s="295" t="s">
        <v>71</v>
      </c>
      <c r="ASI868" s="295" t="s">
        <v>71</v>
      </c>
      <c r="ASJ868" s="295" t="s">
        <v>71</v>
      </c>
      <c r="ASK868" s="295" t="s">
        <v>71</v>
      </c>
      <c r="ASL868" s="295" t="s">
        <v>71</v>
      </c>
      <c r="ASM868" s="295" t="s">
        <v>71</v>
      </c>
      <c r="ASN868" s="295" t="s">
        <v>71</v>
      </c>
      <c r="ASO868" s="295" t="s">
        <v>71</v>
      </c>
      <c r="ASP868" s="295" t="s">
        <v>71</v>
      </c>
      <c r="ASQ868" s="295" t="s">
        <v>71</v>
      </c>
      <c r="ASR868" s="295" t="s">
        <v>71</v>
      </c>
      <c r="ASS868" s="295" t="s">
        <v>71</v>
      </c>
      <c r="AST868" s="295" t="s">
        <v>71</v>
      </c>
      <c r="ASU868" s="295" t="s">
        <v>71</v>
      </c>
      <c r="ASV868" s="295" t="s">
        <v>71</v>
      </c>
      <c r="ASW868" s="295" t="s">
        <v>71</v>
      </c>
      <c r="ASX868" s="295" t="s">
        <v>71</v>
      </c>
      <c r="ASY868" s="295" t="s">
        <v>71</v>
      </c>
      <c r="ASZ868" s="295" t="s">
        <v>71</v>
      </c>
      <c r="ATA868" s="295" t="s">
        <v>71</v>
      </c>
      <c r="ATB868" s="295" t="s">
        <v>71</v>
      </c>
      <c r="ATC868" s="295" t="s">
        <v>71</v>
      </c>
      <c r="ATD868" s="295" t="s">
        <v>71</v>
      </c>
      <c r="ATE868" s="295" t="s">
        <v>71</v>
      </c>
      <c r="ATF868" s="295" t="s">
        <v>71</v>
      </c>
      <c r="ATG868" s="295" t="s">
        <v>71</v>
      </c>
      <c r="ATH868" s="295" t="s">
        <v>71</v>
      </c>
      <c r="ATI868" s="295" t="s">
        <v>71</v>
      </c>
      <c r="ATJ868" s="295" t="s">
        <v>71</v>
      </c>
      <c r="ATK868" s="295" t="s">
        <v>71</v>
      </c>
      <c r="ATL868" s="295" t="s">
        <v>71</v>
      </c>
      <c r="ATM868" s="295" t="s">
        <v>71</v>
      </c>
      <c r="ATN868" s="295" t="s">
        <v>71</v>
      </c>
      <c r="ATO868" s="295" t="s">
        <v>71</v>
      </c>
      <c r="ATP868" s="295" t="s">
        <v>71</v>
      </c>
      <c r="ATQ868" s="295" t="s">
        <v>71</v>
      </c>
      <c r="ATR868" s="295" t="s">
        <v>71</v>
      </c>
      <c r="ATS868" s="295" t="s">
        <v>71</v>
      </c>
      <c r="ATT868" s="295" t="s">
        <v>71</v>
      </c>
      <c r="ATU868" s="295" t="s">
        <v>71</v>
      </c>
      <c r="ATV868" s="295" t="s">
        <v>71</v>
      </c>
      <c r="ATW868" s="295" t="s">
        <v>71</v>
      </c>
      <c r="ATX868" s="295" t="s">
        <v>71</v>
      </c>
      <c r="ATY868" s="295" t="s">
        <v>71</v>
      </c>
      <c r="ATZ868" s="295" t="s">
        <v>71</v>
      </c>
      <c r="AUA868" s="295" t="s">
        <v>71</v>
      </c>
      <c r="AUB868" s="295" t="s">
        <v>71</v>
      </c>
      <c r="AUC868" s="295" t="s">
        <v>71</v>
      </c>
      <c r="AUD868" s="295" t="s">
        <v>71</v>
      </c>
      <c r="AUE868" s="295" t="s">
        <v>71</v>
      </c>
      <c r="AUF868" s="295" t="s">
        <v>71</v>
      </c>
      <c r="AUG868" s="295" t="s">
        <v>71</v>
      </c>
      <c r="AUH868" s="295" t="s">
        <v>71</v>
      </c>
      <c r="AUI868" s="295" t="s">
        <v>71</v>
      </c>
      <c r="AUJ868" s="295" t="s">
        <v>71</v>
      </c>
      <c r="AUK868" s="295" t="s">
        <v>71</v>
      </c>
      <c r="AUL868" s="295" t="s">
        <v>71</v>
      </c>
      <c r="AUM868" s="295" t="s">
        <v>71</v>
      </c>
      <c r="AUN868" s="295" t="s">
        <v>71</v>
      </c>
      <c r="AUO868" s="295" t="s">
        <v>71</v>
      </c>
      <c r="AUP868" s="295" t="s">
        <v>71</v>
      </c>
      <c r="AUQ868" s="295" t="s">
        <v>71</v>
      </c>
      <c r="AUR868" s="295" t="s">
        <v>71</v>
      </c>
      <c r="AUS868" s="295" t="s">
        <v>71</v>
      </c>
      <c r="AUT868" s="295" t="s">
        <v>71</v>
      </c>
      <c r="AUU868" s="295" t="s">
        <v>71</v>
      </c>
      <c r="AUV868" s="295" t="s">
        <v>71</v>
      </c>
      <c r="AUW868" s="295" t="s">
        <v>71</v>
      </c>
      <c r="AUX868" s="295" t="s">
        <v>71</v>
      </c>
      <c r="AUY868" s="295" t="s">
        <v>71</v>
      </c>
      <c r="AUZ868" s="295" t="s">
        <v>71</v>
      </c>
      <c r="AVA868" s="295" t="s">
        <v>71</v>
      </c>
      <c r="AVB868" s="295" t="s">
        <v>71</v>
      </c>
      <c r="AVC868" s="295" t="s">
        <v>71</v>
      </c>
      <c r="AVD868" s="295" t="s">
        <v>71</v>
      </c>
      <c r="AVE868" s="295" t="s">
        <v>71</v>
      </c>
      <c r="AVF868" s="295" t="s">
        <v>71</v>
      </c>
      <c r="AVG868" s="295" t="s">
        <v>71</v>
      </c>
      <c r="AVH868" s="295" t="s">
        <v>71</v>
      </c>
      <c r="AVI868" s="295" t="s">
        <v>71</v>
      </c>
      <c r="AVJ868" s="295" t="s">
        <v>71</v>
      </c>
      <c r="AVK868" s="295" t="s">
        <v>71</v>
      </c>
      <c r="AVL868" s="295" t="s">
        <v>71</v>
      </c>
      <c r="AVM868" s="295" t="s">
        <v>71</v>
      </c>
      <c r="AVN868" s="295" t="s">
        <v>71</v>
      </c>
      <c r="AVO868" s="295" t="s">
        <v>71</v>
      </c>
      <c r="AVP868" s="295" t="s">
        <v>71</v>
      </c>
      <c r="AVQ868" s="295" t="s">
        <v>71</v>
      </c>
      <c r="AVR868" s="295" t="s">
        <v>71</v>
      </c>
      <c r="AVS868" s="295" t="s">
        <v>71</v>
      </c>
      <c r="AVT868" s="295" t="s">
        <v>71</v>
      </c>
      <c r="AVU868" s="295" t="s">
        <v>71</v>
      </c>
      <c r="AVV868" s="295" t="s">
        <v>71</v>
      </c>
      <c r="AVW868" s="295" t="s">
        <v>71</v>
      </c>
      <c r="AVX868" s="295" t="s">
        <v>71</v>
      </c>
      <c r="AVY868" s="295" t="s">
        <v>71</v>
      </c>
      <c r="AVZ868" s="295" t="s">
        <v>71</v>
      </c>
      <c r="AWA868" s="295" t="s">
        <v>71</v>
      </c>
      <c r="AWB868" s="295" t="s">
        <v>71</v>
      </c>
      <c r="AWC868" s="295" t="s">
        <v>71</v>
      </c>
      <c r="AWD868" s="295" t="s">
        <v>71</v>
      </c>
      <c r="AWE868" s="295" t="s">
        <v>71</v>
      </c>
      <c r="AWF868" s="295" t="s">
        <v>71</v>
      </c>
      <c r="AWG868" s="295" t="s">
        <v>71</v>
      </c>
      <c r="AWH868" s="295" t="s">
        <v>71</v>
      </c>
      <c r="AWI868" s="295" t="s">
        <v>71</v>
      </c>
      <c r="AWJ868" s="295" t="s">
        <v>71</v>
      </c>
      <c r="AWK868" s="295" t="s">
        <v>71</v>
      </c>
      <c r="AWL868" s="295" t="s">
        <v>71</v>
      </c>
      <c r="AWM868" s="295" t="s">
        <v>71</v>
      </c>
      <c r="AWN868" s="295" t="s">
        <v>71</v>
      </c>
      <c r="AWO868" s="295" t="s">
        <v>71</v>
      </c>
      <c r="AWP868" s="295" t="s">
        <v>71</v>
      </c>
      <c r="AWQ868" s="295" t="s">
        <v>71</v>
      </c>
      <c r="AWR868" s="295" t="s">
        <v>71</v>
      </c>
      <c r="AWS868" s="295" t="s">
        <v>71</v>
      </c>
      <c r="AWT868" s="295" t="s">
        <v>71</v>
      </c>
      <c r="AWU868" s="295" t="s">
        <v>71</v>
      </c>
      <c r="AWV868" s="295" t="s">
        <v>71</v>
      </c>
      <c r="AWW868" s="295" t="s">
        <v>71</v>
      </c>
      <c r="AWX868" s="295" t="s">
        <v>71</v>
      </c>
      <c r="AWY868" s="295" t="s">
        <v>71</v>
      </c>
      <c r="AWZ868" s="295" t="s">
        <v>71</v>
      </c>
      <c r="AXA868" s="295" t="s">
        <v>71</v>
      </c>
      <c r="AXB868" s="295" t="s">
        <v>71</v>
      </c>
      <c r="AXC868" s="295" t="s">
        <v>71</v>
      </c>
      <c r="AXD868" s="295" t="s">
        <v>71</v>
      </c>
      <c r="AXE868" s="295" t="s">
        <v>71</v>
      </c>
      <c r="AXF868" s="295" t="s">
        <v>71</v>
      </c>
      <c r="AXG868" s="295" t="s">
        <v>71</v>
      </c>
      <c r="AXH868" s="295" t="s">
        <v>71</v>
      </c>
      <c r="AXI868" s="295" t="s">
        <v>71</v>
      </c>
      <c r="AXJ868" s="295" t="s">
        <v>71</v>
      </c>
      <c r="AXK868" s="295" t="s">
        <v>71</v>
      </c>
      <c r="AXL868" s="295" t="s">
        <v>71</v>
      </c>
      <c r="AXM868" s="295" t="s">
        <v>71</v>
      </c>
      <c r="AXN868" s="295" t="s">
        <v>71</v>
      </c>
      <c r="AXO868" s="295" t="s">
        <v>71</v>
      </c>
      <c r="AXP868" s="295" t="s">
        <v>71</v>
      </c>
      <c r="AXQ868" s="295" t="s">
        <v>71</v>
      </c>
      <c r="AXR868" s="295" t="s">
        <v>71</v>
      </c>
      <c r="AXS868" s="295" t="s">
        <v>71</v>
      </c>
      <c r="AXT868" s="295" t="s">
        <v>71</v>
      </c>
      <c r="AXU868" s="295" t="s">
        <v>71</v>
      </c>
      <c r="AXV868" s="295" t="s">
        <v>71</v>
      </c>
      <c r="AXW868" s="295" t="s">
        <v>71</v>
      </c>
      <c r="AXX868" s="295" t="s">
        <v>71</v>
      </c>
      <c r="AXY868" s="295" t="s">
        <v>71</v>
      </c>
      <c r="AXZ868" s="295" t="s">
        <v>71</v>
      </c>
      <c r="AYA868" s="295" t="s">
        <v>71</v>
      </c>
      <c r="AYB868" s="295" t="s">
        <v>71</v>
      </c>
      <c r="AYC868" s="295" t="s">
        <v>71</v>
      </c>
      <c r="AYD868" s="295" t="s">
        <v>71</v>
      </c>
      <c r="AYE868" s="295" t="s">
        <v>71</v>
      </c>
      <c r="AYF868" s="295" t="s">
        <v>71</v>
      </c>
      <c r="AYG868" s="295" t="s">
        <v>71</v>
      </c>
      <c r="AYH868" s="295" t="s">
        <v>71</v>
      </c>
      <c r="AYI868" s="295" t="s">
        <v>71</v>
      </c>
      <c r="AYJ868" s="295" t="s">
        <v>71</v>
      </c>
      <c r="AYK868" s="295" t="s">
        <v>71</v>
      </c>
      <c r="AYL868" s="295" t="s">
        <v>71</v>
      </c>
      <c r="AYM868" s="295" t="s">
        <v>71</v>
      </c>
      <c r="AYN868" s="295" t="s">
        <v>71</v>
      </c>
      <c r="AYO868" s="295" t="s">
        <v>71</v>
      </c>
      <c r="AYP868" s="295" t="s">
        <v>71</v>
      </c>
      <c r="AYQ868" s="295" t="s">
        <v>71</v>
      </c>
      <c r="AYR868" s="295" t="s">
        <v>71</v>
      </c>
      <c r="AYS868" s="295" t="s">
        <v>71</v>
      </c>
      <c r="AYT868" s="295" t="s">
        <v>71</v>
      </c>
      <c r="AYU868" s="295" t="s">
        <v>71</v>
      </c>
      <c r="AYV868" s="295" t="s">
        <v>71</v>
      </c>
      <c r="AYW868" s="295" t="s">
        <v>71</v>
      </c>
      <c r="AYX868" s="295" t="s">
        <v>71</v>
      </c>
      <c r="AYY868" s="295" t="s">
        <v>71</v>
      </c>
      <c r="AYZ868" s="295" t="s">
        <v>71</v>
      </c>
      <c r="AZA868" s="295" t="s">
        <v>71</v>
      </c>
      <c r="AZB868" s="295" t="s">
        <v>71</v>
      </c>
      <c r="AZC868" s="295" t="s">
        <v>71</v>
      </c>
      <c r="AZD868" s="295" t="s">
        <v>71</v>
      </c>
      <c r="AZE868" s="295" t="s">
        <v>71</v>
      </c>
      <c r="AZF868" s="295" t="s">
        <v>71</v>
      </c>
      <c r="AZG868" s="295" t="s">
        <v>71</v>
      </c>
      <c r="AZH868" s="295" t="s">
        <v>71</v>
      </c>
      <c r="AZI868" s="295" t="s">
        <v>71</v>
      </c>
      <c r="AZJ868" s="295" t="s">
        <v>71</v>
      </c>
      <c r="AZK868" s="295" t="s">
        <v>71</v>
      </c>
      <c r="AZL868" s="295" t="s">
        <v>71</v>
      </c>
      <c r="AZM868" s="295" t="s">
        <v>71</v>
      </c>
      <c r="AZN868" s="295" t="s">
        <v>71</v>
      </c>
      <c r="AZO868" s="295" t="s">
        <v>71</v>
      </c>
      <c r="AZP868" s="295" t="s">
        <v>71</v>
      </c>
      <c r="AZQ868" s="295" t="s">
        <v>71</v>
      </c>
      <c r="AZR868" s="295" t="s">
        <v>71</v>
      </c>
      <c r="AZS868" s="295" t="s">
        <v>71</v>
      </c>
      <c r="AZT868" s="295" t="s">
        <v>71</v>
      </c>
      <c r="AZU868" s="295" t="s">
        <v>71</v>
      </c>
      <c r="AZV868" s="295" t="s">
        <v>71</v>
      </c>
      <c r="AZW868" s="295" t="s">
        <v>71</v>
      </c>
      <c r="AZX868" s="295" t="s">
        <v>71</v>
      </c>
      <c r="AZY868" s="295" t="s">
        <v>71</v>
      </c>
      <c r="AZZ868" s="295" t="s">
        <v>71</v>
      </c>
      <c r="BAA868" s="295" t="s">
        <v>71</v>
      </c>
      <c r="BAB868" s="295" t="s">
        <v>71</v>
      </c>
      <c r="BAC868" s="295" t="s">
        <v>71</v>
      </c>
      <c r="BAD868" s="295" t="s">
        <v>71</v>
      </c>
      <c r="BAE868" s="295" t="s">
        <v>71</v>
      </c>
      <c r="BAF868" s="295" t="s">
        <v>71</v>
      </c>
      <c r="BAG868" s="295" t="s">
        <v>71</v>
      </c>
      <c r="BAH868" s="295" t="s">
        <v>71</v>
      </c>
      <c r="BAI868" s="295" t="s">
        <v>71</v>
      </c>
      <c r="BAJ868" s="295" t="s">
        <v>71</v>
      </c>
      <c r="BAK868" s="295" t="s">
        <v>71</v>
      </c>
      <c r="BAL868" s="295" t="s">
        <v>71</v>
      </c>
      <c r="BAM868" s="295" t="s">
        <v>71</v>
      </c>
      <c r="BAN868" s="295" t="s">
        <v>71</v>
      </c>
      <c r="BAO868" s="295" t="s">
        <v>71</v>
      </c>
      <c r="BAP868" s="295" t="s">
        <v>71</v>
      </c>
      <c r="BAQ868" s="295" t="s">
        <v>71</v>
      </c>
      <c r="BAR868" s="295" t="s">
        <v>71</v>
      </c>
      <c r="BAS868" s="295" t="s">
        <v>71</v>
      </c>
      <c r="BAT868" s="295" t="s">
        <v>71</v>
      </c>
      <c r="BAU868" s="295" t="s">
        <v>71</v>
      </c>
      <c r="BAV868" s="295" t="s">
        <v>71</v>
      </c>
      <c r="BAW868" s="295" t="s">
        <v>71</v>
      </c>
      <c r="BAX868" s="295" t="s">
        <v>71</v>
      </c>
      <c r="BAY868" s="295" t="s">
        <v>71</v>
      </c>
      <c r="BAZ868" s="295" t="s">
        <v>71</v>
      </c>
      <c r="BBA868" s="295" t="s">
        <v>71</v>
      </c>
      <c r="BBB868" s="295" t="s">
        <v>71</v>
      </c>
      <c r="BBC868" s="295" t="s">
        <v>71</v>
      </c>
      <c r="BBD868" s="295" t="s">
        <v>71</v>
      </c>
      <c r="BBE868" s="295" t="s">
        <v>71</v>
      </c>
      <c r="BBF868" s="295" t="s">
        <v>71</v>
      </c>
      <c r="BBG868" s="295" t="s">
        <v>71</v>
      </c>
      <c r="BBH868" s="295" t="s">
        <v>71</v>
      </c>
      <c r="BBI868" s="295" t="s">
        <v>71</v>
      </c>
      <c r="BBJ868" s="295" t="s">
        <v>71</v>
      </c>
      <c r="BBK868" s="295" t="s">
        <v>71</v>
      </c>
      <c r="BBL868" s="295" t="s">
        <v>71</v>
      </c>
      <c r="BBM868" s="295" t="s">
        <v>71</v>
      </c>
      <c r="BBN868" s="295" t="s">
        <v>71</v>
      </c>
      <c r="BBO868" s="295" t="s">
        <v>71</v>
      </c>
      <c r="BBP868" s="295" t="s">
        <v>71</v>
      </c>
      <c r="BBQ868" s="295" t="s">
        <v>71</v>
      </c>
      <c r="BBR868" s="295" t="s">
        <v>71</v>
      </c>
      <c r="BBS868" s="295" t="s">
        <v>71</v>
      </c>
      <c r="BBT868" s="295" t="s">
        <v>71</v>
      </c>
      <c r="BBU868" s="295" t="s">
        <v>71</v>
      </c>
      <c r="BBV868" s="295" t="s">
        <v>71</v>
      </c>
      <c r="BBW868" s="295" t="s">
        <v>71</v>
      </c>
      <c r="BBX868" s="295" t="s">
        <v>71</v>
      </c>
      <c r="BBY868" s="295" t="s">
        <v>71</v>
      </c>
      <c r="BBZ868" s="295" t="s">
        <v>71</v>
      </c>
      <c r="BCA868" s="295" t="s">
        <v>71</v>
      </c>
      <c r="BCB868" s="295" t="s">
        <v>71</v>
      </c>
      <c r="BCC868" s="295" t="s">
        <v>71</v>
      </c>
      <c r="BCD868" s="295" t="s">
        <v>71</v>
      </c>
      <c r="BCE868" s="295" t="s">
        <v>71</v>
      </c>
      <c r="BCF868" s="295" t="s">
        <v>71</v>
      </c>
      <c r="BCG868" s="295" t="s">
        <v>71</v>
      </c>
      <c r="BCH868" s="295" t="s">
        <v>71</v>
      </c>
      <c r="BCI868" s="295" t="s">
        <v>71</v>
      </c>
      <c r="BCJ868" s="295" t="s">
        <v>71</v>
      </c>
      <c r="BCK868" s="295" t="s">
        <v>71</v>
      </c>
      <c r="BCL868" s="295" t="s">
        <v>71</v>
      </c>
      <c r="BCM868" s="295" t="s">
        <v>71</v>
      </c>
      <c r="BCN868" s="295" t="s">
        <v>71</v>
      </c>
      <c r="BCO868" s="295" t="s">
        <v>71</v>
      </c>
      <c r="BCP868" s="295" t="s">
        <v>71</v>
      </c>
      <c r="BCQ868" s="295" t="s">
        <v>71</v>
      </c>
      <c r="BCR868" s="295" t="s">
        <v>71</v>
      </c>
      <c r="BCS868" s="295" t="s">
        <v>71</v>
      </c>
      <c r="BCT868" s="295" t="s">
        <v>71</v>
      </c>
      <c r="BCU868" s="295" t="s">
        <v>71</v>
      </c>
      <c r="BCV868" s="295" t="s">
        <v>71</v>
      </c>
      <c r="BCW868" s="295" t="s">
        <v>71</v>
      </c>
      <c r="BCX868" s="295" t="s">
        <v>71</v>
      </c>
      <c r="BCY868" s="295" t="s">
        <v>71</v>
      </c>
      <c r="BCZ868" s="295" t="s">
        <v>71</v>
      </c>
      <c r="BDA868" s="295" t="s">
        <v>71</v>
      </c>
      <c r="BDB868" s="295" t="s">
        <v>71</v>
      </c>
      <c r="BDC868" s="295" t="s">
        <v>71</v>
      </c>
      <c r="BDD868" s="295" t="s">
        <v>71</v>
      </c>
      <c r="BDE868" s="295" t="s">
        <v>71</v>
      </c>
      <c r="BDF868" s="295" t="s">
        <v>71</v>
      </c>
      <c r="BDG868" s="295" t="s">
        <v>71</v>
      </c>
      <c r="BDH868" s="295" t="s">
        <v>71</v>
      </c>
      <c r="BDI868" s="295" t="s">
        <v>71</v>
      </c>
      <c r="BDJ868" s="295" t="s">
        <v>71</v>
      </c>
      <c r="BDK868" s="295" t="s">
        <v>71</v>
      </c>
      <c r="BDL868" s="295" t="s">
        <v>71</v>
      </c>
      <c r="BDM868" s="295" t="s">
        <v>71</v>
      </c>
      <c r="BDN868" s="295" t="s">
        <v>71</v>
      </c>
      <c r="BDO868" s="295" t="s">
        <v>71</v>
      </c>
      <c r="BDP868" s="295" t="s">
        <v>71</v>
      </c>
      <c r="BDQ868" s="295" t="s">
        <v>71</v>
      </c>
      <c r="BDR868" s="295" t="s">
        <v>71</v>
      </c>
      <c r="BDS868" s="295" t="s">
        <v>71</v>
      </c>
      <c r="BDT868" s="295" t="s">
        <v>71</v>
      </c>
      <c r="BDU868" s="295" t="s">
        <v>71</v>
      </c>
      <c r="BDV868" s="295" t="s">
        <v>71</v>
      </c>
      <c r="BDW868" s="295" t="s">
        <v>71</v>
      </c>
      <c r="BDX868" s="295" t="s">
        <v>71</v>
      </c>
      <c r="BDY868" s="295" t="s">
        <v>71</v>
      </c>
      <c r="BDZ868" s="295" t="s">
        <v>71</v>
      </c>
      <c r="BEA868" s="295" t="s">
        <v>71</v>
      </c>
      <c r="BEB868" s="295" t="s">
        <v>71</v>
      </c>
      <c r="BEC868" s="295" t="s">
        <v>71</v>
      </c>
      <c r="BED868" s="295" t="s">
        <v>71</v>
      </c>
      <c r="BEE868" s="295" t="s">
        <v>71</v>
      </c>
      <c r="BEF868" s="295" t="s">
        <v>71</v>
      </c>
      <c r="BEG868" s="295" t="s">
        <v>71</v>
      </c>
      <c r="BEH868" s="295" t="s">
        <v>71</v>
      </c>
      <c r="BEI868" s="295" t="s">
        <v>71</v>
      </c>
      <c r="BEJ868" s="295" t="s">
        <v>71</v>
      </c>
      <c r="BEK868" s="295" t="s">
        <v>71</v>
      </c>
      <c r="BEL868" s="295" t="s">
        <v>71</v>
      </c>
      <c r="BEM868" s="295" t="s">
        <v>71</v>
      </c>
      <c r="BEN868" s="295" t="s">
        <v>71</v>
      </c>
      <c r="BEO868" s="295" t="s">
        <v>71</v>
      </c>
      <c r="BEP868" s="295" t="s">
        <v>71</v>
      </c>
      <c r="BEQ868" s="295" t="s">
        <v>71</v>
      </c>
      <c r="BER868" s="295" t="s">
        <v>71</v>
      </c>
      <c r="BES868" s="295" t="s">
        <v>71</v>
      </c>
      <c r="BET868" s="295" t="s">
        <v>71</v>
      </c>
      <c r="BEU868" s="295" t="s">
        <v>71</v>
      </c>
      <c r="BEV868" s="295" t="s">
        <v>71</v>
      </c>
      <c r="BEW868" s="295" t="s">
        <v>71</v>
      </c>
      <c r="BEX868" s="295" t="s">
        <v>71</v>
      </c>
      <c r="BEY868" s="295" t="s">
        <v>71</v>
      </c>
      <c r="BEZ868" s="295" t="s">
        <v>71</v>
      </c>
      <c r="BFA868" s="295" t="s">
        <v>71</v>
      </c>
      <c r="BFB868" s="295" t="s">
        <v>71</v>
      </c>
      <c r="BFC868" s="295" t="s">
        <v>71</v>
      </c>
      <c r="BFD868" s="295" t="s">
        <v>71</v>
      </c>
      <c r="BFE868" s="295" t="s">
        <v>71</v>
      </c>
      <c r="BFF868" s="295" t="s">
        <v>71</v>
      </c>
      <c r="BFG868" s="295" t="s">
        <v>71</v>
      </c>
      <c r="BFH868" s="295" t="s">
        <v>71</v>
      </c>
      <c r="BFI868" s="295" t="s">
        <v>71</v>
      </c>
      <c r="BFJ868" s="295" t="s">
        <v>71</v>
      </c>
      <c r="BFK868" s="295" t="s">
        <v>71</v>
      </c>
      <c r="BFL868" s="295" t="s">
        <v>71</v>
      </c>
      <c r="BFM868" s="295" t="s">
        <v>71</v>
      </c>
      <c r="BFN868" s="295" t="s">
        <v>71</v>
      </c>
      <c r="BFO868" s="295" t="s">
        <v>71</v>
      </c>
      <c r="BFP868" s="295" t="s">
        <v>71</v>
      </c>
      <c r="BFQ868" s="295" t="s">
        <v>71</v>
      </c>
      <c r="BFR868" s="295" t="s">
        <v>71</v>
      </c>
      <c r="BFS868" s="295" t="s">
        <v>71</v>
      </c>
      <c r="BFT868" s="295" t="s">
        <v>71</v>
      </c>
      <c r="BFU868" s="295" t="s">
        <v>71</v>
      </c>
      <c r="BFV868" s="295" t="s">
        <v>71</v>
      </c>
      <c r="BFW868" s="295" t="s">
        <v>71</v>
      </c>
      <c r="BFX868" s="295" t="s">
        <v>71</v>
      </c>
      <c r="BFY868" s="295" t="s">
        <v>71</v>
      </c>
      <c r="BFZ868" s="295" t="s">
        <v>71</v>
      </c>
      <c r="BGA868" s="295" t="s">
        <v>71</v>
      </c>
      <c r="BGB868" s="295" t="s">
        <v>71</v>
      </c>
      <c r="BGC868" s="295" t="s">
        <v>71</v>
      </c>
      <c r="BGD868" s="295" t="s">
        <v>71</v>
      </c>
      <c r="BGE868" s="295" t="s">
        <v>71</v>
      </c>
      <c r="BGF868" s="295" t="s">
        <v>71</v>
      </c>
      <c r="BGG868" s="295" t="s">
        <v>71</v>
      </c>
      <c r="BGH868" s="295" t="s">
        <v>71</v>
      </c>
      <c r="BGI868" s="295" t="s">
        <v>71</v>
      </c>
      <c r="BGJ868" s="295" t="s">
        <v>71</v>
      </c>
      <c r="BGK868" s="295" t="s">
        <v>71</v>
      </c>
      <c r="BGL868" s="295" t="s">
        <v>71</v>
      </c>
      <c r="BGM868" s="295" t="s">
        <v>71</v>
      </c>
      <c r="BGN868" s="295" t="s">
        <v>71</v>
      </c>
      <c r="BGO868" s="295" t="s">
        <v>71</v>
      </c>
      <c r="BGP868" s="295" t="s">
        <v>71</v>
      </c>
      <c r="BGQ868" s="295" t="s">
        <v>71</v>
      </c>
      <c r="BGR868" s="295" t="s">
        <v>71</v>
      </c>
      <c r="BGS868" s="295" t="s">
        <v>71</v>
      </c>
      <c r="BGT868" s="295" t="s">
        <v>71</v>
      </c>
      <c r="BGU868" s="295" t="s">
        <v>71</v>
      </c>
      <c r="BGV868" s="295" t="s">
        <v>71</v>
      </c>
      <c r="BGW868" s="295" t="s">
        <v>71</v>
      </c>
      <c r="BGX868" s="295" t="s">
        <v>71</v>
      </c>
      <c r="BGY868" s="295" t="s">
        <v>71</v>
      </c>
      <c r="BGZ868" s="295" t="s">
        <v>71</v>
      </c>
      <c r="BHA868" s="295" t="s">
        <v>71</v>
      </c>
      <c r="BHB868" s="295" t="s">
        <v>71</v>
      </c>
      <c r="BHC868" s="295" t="s">
        <v>71</v>
      </c>
      <c r="BHD868" s="295" t="s">
        <v>71</v>
      </c>
      <c r="BHE868" s="295" t="s">
        <v>71</v>
      </c>
      <c r="BHF868" s="295" t="s">
        <v>71</v>
      </c>
      <c r="BHG868" s="295" t="s">
        <v>71</v>
      </c>
      <c r="BHH868" s="295" t="s">
        <v>71</v>
      </c>
      <c r="BHI868" s="295" t="s">
        <v>71</v>
      </c>
      <c r="BHJ868" s="295" t="s">
        <v>71</v>
      </c>
      <c r="BHK868" s="295" t="s">
        <v>71</v>
      </c>
      <c r="BHL868" s="295" t="s">
        <v>71</v>
      </c>
      <c r="BHM868" s="295" t="s">
        <v>71</v>
      </c>
      <c r="BHN868" s="295" t="s">
        <v>71</v>
      </c>
      <c r="BHO868" s="295" t="s">
        <v>71</v>
      </c>
      <c r="BHP868" s="295" t="s">
        <v>71</v>
      </c>
      <c r="BHQ868" s="295" t="s">
        <v>71</v>
      </c>
      <c r="BHR868" s="295" t="s">
        <v>71</v>
      </c>
      <c r="BHS868" s="295" t="s">
        <v>71</v>
      </c>
      <c r="BHT868" s="295" t="s">
        <v>71</v>
      </c>
      <c r="BHU868" s="295" t="s">
        <v>71</v>
      </c>
      <c r="BHV868" s="295" t="s">
        <v>71</v>
      </c>
      <c r="BHW868" s="295" t="s">
        <v>71</v>
      </c>
      <c r="BHX868" s="295" t="s">
        <v>71</v>
      </c>
      <c r="BHY868" s="295" t="s">
        <v>71</v>
      </c>
      <c r="BHZ868" s="295" t="s">
        <v>71</v>
      </c>
      <c r="BIA868" s="295" t="s">
        <v>71</v>
      </c>
      <c r="BIB868" s="295" t="s">
        <v>71</v>
      </c>
      <c r="BIC868" s="295" t="s">
        <v>71</v>
      </c>
      <c r="BID868" s="295" t="s">
        <v>71</v>
      </c>
      <c r="BIE868" s="295" t="s">
        <v>71</v>
      </c>
      <c r="BIF868" s="295" t="s">
        <v>71</v>
      </c>
      <c r="BIG868" s="295" t="s">
        <v>71</v>
      </c>
      <c r="BIH868" s="295" t="s">
        <v>71</v>
      </c>
      <c r="BII868" s="295" t="s">
        <v>71</v>
      </c>
      <c r="BIJ868" s="295" t="s">
        <v>71</v>
      </c>
      <c r="BIK868" s="295" t="s">
        <v>71</v>
      </c>
      <c r="BIL868" s="295" t="s">
        <v>71</v>
      </c>
      <c r="BIM868" s="295" t="s">
        <v>71</v>
      </c>
      <c r="BIN868" s="295" t="s">
        <v>71</v>
      </c>
      <c r="BIO868" s="295" t="s">
        <v>71</v>
      </c>
      <c r="BIP868" s="295" t="s">
        <v>71</v>
      </c>
      <c r="BIQ868" s="295" t="s">
        <v>71</v>
      </c>
      <c r="BIR868" s="295" t="s">
        <v>71</v>
      </c>
      <c r="BIS868" s="295" t="s">
        <v>71</v>
      </c>
      <c r="BIT868" s="295" t="s">
        <v>71</v>
      </c>
      <c r="BIU868" s="295" t="s">
        <v>71</v>
      </c>
      <c r="BIV868" s="295" t="s">
        <v>71</v>
      </c>
      <c r="BIW868" s="295" t="s">
        <v>71</v>
      </c>
      <c r="BIX868" s="295" t="s">
        <v>71</v>
      </c>
      <c r="BIY868" s="295" t="s">
        <v>71</v>
      </c>
      <c r="BIZ868" s="295" t="s">
        <v>71</v>
      </c>
      <c r="BJA868" s="295" t="s">
        <v>71</v>
      </c>
      <c r="BJB868" s="295" t="s">
        <v>71</v>
      </c>
      <c r="BJC868" s="295" t="s">
        <v>71</v>
      </c>
      <c r="BJD868" s="295" t="s">
        <v>71</v>
      </c>
      <c r="BJE868" s="295" t="s">
        <v>71</v>
      </c>
      <c r="BJF868" s="295" t="s">
        <v>71</v>
      </c>
      <c r="BJG868" s="295" t="s">
        <v>71</v>
      </c>
      <c r="BJH868" s="295" t="s">
        <v>71</v>
      </c>
      <c r="BJI868" s="295" t="s">
        <v>71</v>
      </c>
      <c r="BJJ868" s="295" t="s">
        <v>71</v>
      </c>
      <c r="BJK868" s="295" t="s">
        <v>71</v>
      </c>
      <c r="BJL868" s="295" t="s">
        <v>71</v>
      </c>
      <c r="BJM868" s="295" t="s">
        <v>71</v>
      </c>
      <c r="BJN868" s="295" t="s">
        <v>71</v>
      </c>
      <c r="BJO868" s="295" t="s">
        <v>71</v>
      </c>
      <c r="BJP868" s="295" t="s">
        <v>71</v>
      </c>
      <c r="BJQ868" s="295" t="s">
        <v>71</v>
      </c>
      <c r="BJR868" s="295" t="s">
        <v>71</v>
      </c>
      <c r="BJS868" s="295" t="s">
        <v>71</v>
      </c>
      <c r="BJT868" s="295" t="s">
        <v>71</v>
      </c>
      <c r="BJU868" s="295" t="s">
        <v>71</v>
      </c>
      <c r="BJV868" s="295" t="s">
        <v>71</v>
      </c>
      <c r="BJW868" s="295" t="s">
        <v>71</v>
      </c>
      <c r="BJX868" s="295" t="s">
        <v>71</v>
      </c>
      <c r="BJY868" s="295" t="s">
        <v>71</v>
      </c>
      <c r="BJZ868" s="295" t="s">
        <v>71</v>
      </c>
      <c r="BKA868" s="295" t="s">
        <v>71</v>
      </c>
      <c r="BKB868" s="295" t="s">
        <v>71</v>
      </c>
      <c r="BKC868" s="295" t="s">
        <v>71</v>
      </c>
      <c r="BKD868" s="295" t="s">
        <v>71</v>
      </c>
      <c r="BKE868" s="295" t="s">
        <v>71</v>
      </c>
      <c r="BKF868" s="295" t="s">
        <v>71</v>
      </c>
      <c r="BKG868" s="295" t="s">
        <v>71</v>
      </c>
      <c r="BKH868" s="295" t="s">
        <v>71</v>
      </c>
      <c r="BKI868" s="295" t="s">
        <v>71</v>
      </c>
      <c r="BKJ868" s="295" t="s">
        <v>71</v>
      </c>
      <c r="BKK868" s="295" t="s">
        <v>71</v>
      </c>
      <c r="BKL868" s="295" t="s">
        <v>71</v>
      </c>
      <c r="BKM868" s="295" t="s">
        <v>71</v>
      </c>
      <c r="BKN868" s="295" t="s">
        <v>71</v>
      </c>
      <c r="BKO868" s="295" t="s">
        <v>71</v>
      </c>
      <c r="BKP868" s="295" t="s">
        <v>71</v>
      </c>
      <c r="BKQ868" s="295" t="s">
        <v>71</v>
      </c>
      <c r="BKR868" s="295" t="s">
        <v>71</v>
      </c>
      <c r="BKS868" s="295" t="s">
        <v>71</v>
      </c>
      <c r="BKT868" s="295" t="s">
        <v>71</v>
      </c>
      <c r="BKU868" s="295" t="s">
        <v>71</v>
      </c>
      <c r="BKV868" s="295" t="s">
        <v>71</v>
      </c>
      <c r="BKW868" s="295" t="s">
        <v>71</v>
      </c>
      <c r="BKX868" s="295" t="s">
        <v>71</v>
      </c>
      <c r="BKY868" s="295" t="s">
        <v>71</v>
      </c>
      <c r="BKZ868" s="295" t="s">
        <v>71</v>
      </c>
      <c r="BLA868" s="295" t="s">
        <v>71</v>
      </c>
      <c r="BLB868" s="295" t="s">
        <v>71</v>
      </c>
      <c r="BLC868" s="295" t="s">
        <v>71</v>
      </c>
      <c r="BLD868" s="295" t="s">
        <v>71</v>
      </c>
      <c r="BLE868" s="295" t="s">
        <v>71</v>
      </c>
      <c r="BLF868" s="295" t="s">
        <v>71</v>
      </c>
      <c r="BLG868" s="295" t="s">
        <v>71</v>
      </c>
      <c r="BLH868" s="295" t="s">
        <v>71</v>
      </c>
      <c r="BLI868" s="295" t="s">
        <v>71</v>
      </c>
      <c r="BLJ868" s="295" t="s">
        <v>71</v>
      </c>
      <c r="BLK868" s="295" t="s">
        <v>71</v>
      </c>
      <c r="BLL868" s="295" t="s">
        <v>71</v>
      </c>
      <c r="BLM868" s="295" t="s">
        <v>71</v>
      </c>
      <c r="BLN868" s="295" t="s">
        <v>71</v>
      </c>
      <c r="BLO868" s="295" t="s">
        <v>71</v>
      </c>
      <c r="BLP868" s="295" t="s">
        <v>71</v>
      </c>
      <c r="BLQ868" s="295" t="s">
        <v>71</v>
      </c>
      <c r="BLR868" s="295" t="s">
        <v>71</v>
      </c>
      <c r="BLS868" s="295" t="s">
        <v>71</v>
      </c>
      <c r="BLT868" s="295" t="s">
        <v>71</v>
      </c>
      <c r="BLU868" s="295" t="s">
        <v>71</v>
      </c>
      <c r="BLV868" s="295" t="s">
        <v>71</v>
      </c>
      <c r="BLW868" s="295" t="s">
        <v>71</v>
      </c>
      <c r="BLX868" s="295" t="s">
        <v>71</v>
      </c>
      <c r="BLY868" s="295" t="s">
        <v>71</v>
      </c>
      <c r="BLZ868" s="295" t="s">
        <v>71</v>
      </c>
      <c r="BMA868" s="295" t="s">
        <v>71</v>
      </c>
      <c r="BMB868" s="295" t="s">
        <v>71</v>
      </c>
      <c r="BMC868" s="295" t="s">
        <v>71</v>
      </c>
      <c r="BMD868" s="295" t="s">
        <v>71</v>
      </c>
      <c r="BME868" s="295" t="s">
        <v>71</v>
      </c>
      <c r="BMF868" s="295" t="s">
        <v>71</v>
      </c>
      <c r="BMG868" s="295" t="s">
        <v>71</v>
      </c>
      <c r="BMH868" s="295" t="s">
        <v>71</v>
      </c>
      <c r="BMI868" s="295" t="s">
        <v>71</v>
      </c>
      <c r="BMJ868" s="295" t="s">
        <v>71</v>
      </c>
      <c r="BMK868" s="295" t="s">
        <v>71</v>
      </c>
      <c r="BML868" s="295" t="s">
        <v>71</v>
      </c>
      <c r="BMM868" s="295" t="s">
        <v>71</v>
      </c>
      <c r="BMN868" s="295" t="s">
        <v>71</v>
      </c>
      <c r="BMO868" s="295" t="s">
        <v>71</v>
      </c>
      <c r="BMP868" s="295" t="s">
        <v>71</v>
      </c>
      <c r="BMQ868" s="295" t="s">
        <v>71</v>
      </c>
      <c r="BMR868" s="295" t="s">
        <v>71</v>
      </c>
      <c r="BMS868" s="295" t="s">
        <v>71</v>
      </c>
      <c r="BMT868" s="295" t="s">
        <v>71</v>
      </c>
      <c r="BMU868" s="295" t="s">
        <v>71</v>
      </c>
      <c r="BMV868" s="295" t="s">
        <v>71</v>
      </c>
      <c r="BMW868" s="295" t="s">
        <v>71</v>
      </c>
      <c r="BMX868" s="295" t="s">
        <v>71</v>
      </c>
      <c r="BMY868" s="295" t="s">
        <v>71</v>
      </c>
      <c r="BMZ868" s="295" t="s">
        <v>71</v>
      </c>
      <c r="BNA868" s="295" t="s">
        <v>71</v>
      </c>
      <c r="BNB868" s="295" t="s">
        <v>71</v>
      </c>
      <c r="BNC868" s="295" t="s">
        <v>71</v>
      </c>
      <c r="BND868" s="295" t="s">
        <v>71</v>
      </c>
      <c r="BNE868" s="295" t="s">
        <v>71</v>
      </c>
      <c r="BNF868" s="295" t="s">
        <v>71</v>
      </c>
      <c r="BNG868" s="295" t="s">
        <v>71</v>
      </c>
      <c r="BNH868" s="295" t="s">
        <v>71</v>
      </c>
      <c r="BNI868" s="295" t="s">
        <v>71</v>
      </c>
      <c r="BNJ868" s="295" t="s">
        <v>71</v>
      </c>
      <c r="BNK868" s="295" t="s">
        <v>71</v>
      </c>
      <c r="BNL868" s="295" t="s">
        <v>71</v>
      </c>
      <c r="BNM868" s="295" t="s">
        <v>71</v>
      </c>
      <c r="BNN868" s="295" t="s">
        <v>71</v>
      </c>
      <c r="BNO868" s="295" t="s">
        <v>71</v>
      </c>
      <c r="BNP868" s="295" t="s">
        <v>71</v>
      </c>
      <c r="BNQ868" s="295" t="s">
        <v>71</v>
      </c>
      <c r="BNR868" s="295" t="s">
        <v>71</v>
      </c>
      <c r="BNS868" s="295" t="s">
        <v>71</v>
      </c>
      <c r="BNT868" s="295" t="s">
        <v>71</v>
      </c>
      <c r="BNU868" s="295" t="s">
        <v>71</v>
      </c>
      <c r="BNV868" s="295" t="s">
        <v>71</v>
      </c>
      <c r="BNW868" s="295" t="s">
        <v>71</v>
      </c>
      <c r="BNX868" s="295" t="s">
        <v>71</v>
      </c>
      <c r="BNY868" s="295" t="s">
        <v>71</v>
      </c>
      <c r="BNZ868" s="295" t="s">
        <v>71</v>
      </c>
      <c r="BOA868" s="295" t="s">
        <v>71</v>
      </c>
      <c r="BOB868" s="295" t="s">
        <v>71</v>
      </c>
      <c r="BOC868" s="295" t="s">
        <v>71</v>
      </c>
      <c r="BOD868" s="295" t="s">
        <v>71</v>
      </c>
      <c r="BOE868" s="295" t="s">
        <v>71</v>
      </c>
      <c r="BOF868" s="295" t="s">
        <v>71</v>
      </c>
      <c r="BOG868" s="295" t="s">
        <v>71</v>
      </c>
      <c r="BOH868" s="295" t="s">
        <v>71</v>
      </c>
      <c r="BOI868" s="295" t="s">
        <v>71</v>
      </c>
      <c r="BOJ868" s="295" t="s">
        <v>71</v>
      </c>
      <c r="BOK868" s="295" t="s">
        <v>71</v>
      </c>
      <c r="BOL868" s="295" t="s">
        <v>71</v>
      </c>
      <c r="BOM868" s="295" t="s">
        <v>71</v>
      </c>
      <c r="BON868" s="295" t="s">
        <v>71</v>
      </c>
      <c r="BOO868" s="295" t="s">
        <v>71</v>
      </c>
      <c r="BOP868" s="295" t="s">
        <v>71</v>
      </c>
      <c r="BOQ868" s="295" t="s">
        <v>71</v>
      </c>
      <c r="BOR868" s="295" t="s">
        <v>71</v>
      </c>
      <c r="BOS868" s="295" t="s">
        <v>71</v>
      </c>
      <c r="BOT868" s="295" t="s">
        <v>71</v>
      </c>
      <c r="BOU868" s="295" t="s">
        <v>71</v>
      </c>
      <c r="BOV868" s="295" t="s">
        <v>71</v>
      </c>
      <c r="BOW868" s="295" t="s">
        <v>71</v>
      </c>
      <c r="BOX868" s="295" t="s">
        <v>71</v>
      </c>
      <c r="BOY868" s="295" t="s">
        <v>71</v>
      </c>
      <c r="BOZ868" s="295" t="s">
        <v>71</v>
      </c>
      <c r="BPA868" s="295" t="s">
        <v>71</v>
      </c>
      <c r="BPB868" s="295" t="s">
        <v>71</v>
      </c>
      <c r="BPC868" s="295" t="s">
        <v>71</v>
      </c>
      <c r="BPD868" s="295" t="s">
        <v>71</v>
      </c>
      <c r="BPE868" s="295" t="s">
        <v>71</v>
      </c>
      <c r="BPF868" s="295" t="s">
        <v>71</v>
      </c>
      <c r="BPG868" s="295" t="s">
        <v>71</v>
      </c>
      <c r="BPH868" s="295" t="s">
        <v>71</v>
      </c>
      <c r="BPI868" s="295" t="s">
        <v>71</v>
      </c>
      <c r="BPJ868" s="295" t="s">
        <v>71</v>
      </c>
      <c r="BPK868" s="295" t="s">
        <v>71</v>
      </c>
      <c r="BPL868" s="295" t="s">
        <v>71</v>
      </c>
      <c r="BPM868" s="295" t="s">
        <v>71</v>
      </c>
      <c r="BPN868" s="295" t="s">
        <v>71</v>
      </c>
      <c r="BPO868" s="295" t="s">
        <v>71</v>
      </c>
      <c r="BPP868" s="295" t="s">
        <v>71</v>
      </c>
      <c r="BPQ868" s="295" t="s">
        <v>71</v>
      </c>
      <c r="BPR868" s="295" t="s">
        <v>71</v>
      </c>
      <c r="BPS868" s="295" t="s">
        <v>71</v>
      </c>
      <c r="BPT868" s="295" t="s">
        <v>71</v>
      </c>
      <c r="BPU868" s="295" t="s">
        <v>71</v>
      </c>
      <c r="BPV868" s="295" t="s">
        <v>71</v>
      </c>
      <c r="BPW868" s="295" t="s">
        <v>71</v>
      </c>
      <c r="BPX868" s="295" t="s">
        <v>71</v>
      </c>
      <c r="BPY868" s="295" t="s">
        <v>71</v>
      </c>
      <c r="BPZ868" s="295" t="s">
        <v>71</v>
      </c>
      <c r="BQA868" s="295" t="s">
        <v>71</v>
      </c>
      <c r="BQB868" s="295" t="s">
        <v>71</v>
      </c>
      <c r="BQC868" s="295" t="s">
        <v>71</v>
      </c>
      <c r="BQD868" s="295" t="s">
        <v>71</v>
      </c>
      <c r="BQE868" s="295" t="s">
        <v>71</v>
      </c>
      <c r="BQF868" s="295" t="s">
        <v>71</v>
      </c>
      <c r="BQG868" s="295" t="s">
        <v>71</v>
      </c>
      <c r="BQH868" s="295" t="s">
        <v>71</v>
      </c>
      <c r="BQI868" s="295" t="s">
        <v>71</v>
      </c>
      <c r="BQJ868" s="295" t="s">
        <v>71</v>
      </c>
      <c r="BQK868" s="295" t="s">
        <v>71</v>
      </c>
      <c r="BQL868" s="295" t="s">
        <v>71</v>
      </c>
      <c r="BQM868" s="295" t="s">
        <v>71</v>
      </c>
      <c r="BQN868" s="295" t="s">
        <v>71</v>
      </c>
      <c r="BQO868" s="295" t="s">
        <v>71</v>
      </c>
      <c r="BQP868" s="295" t="s">
        <v>71</v>
      </c>
      <c r="BQQ868" s="295" t="s">
        <v>71</v>
      </c>
      <c r="BQR868" s="295" t="s">
        <v>71</v>
      </c>
      <c r="BQS868" s="295" t="s">
        <v>71</v>
      </c>
      <c r="BQT868" s="295" t="s">
        <v>71</v>
      </c>
      <c r="BQU868" s="295" t="s">
        <v>71</v>
      </c>
      <c r="BQV868" s="295" t="s">
        <v>71</v>
      </c>
      <c r="BQW868" s="295" t="s">
        <v>71</v>
      </c>
      <c r="BQX868" s="295" t="s">
        <v>71</v>
      </c>
      <c r="BQY868" s="295" t="s">
        <v>71</v>
      </c>
      <c r="BQZ868" s="295" t="s">
        <v>71</v>
      </c>
      <c r="BRA868" s="295" t="s">
        <v>71</v>
      </c>
      <c r="BRB868" s="295" t="s">
        <v>71</v>
      </c>
      <c r="BRC868" s="295" t="s">
        <v>71</v>
      </c>
      <c r="BRD868" s="295" t="s">
        <v>71</v>
      </c>
      <c r="BRE868" s="295" t="s">
        <v>71</v>
      </c>
      <c r="BRF868" s="295" t="s">
        <v>71</v>
      </c>
      <c r="BRG868" s="295" t="s">
        <v>71</v>
      </c>
      <c r="BRH868" s="295" t="s">
        <v>71</v>
      </c>
      <c r="BRI868" s="295" t="s">
        <v>71</v>
      </c>
      <c r="BRJ868" s="295" t="s">
        <v>71</v>
      </c>
      <c r="BRK868" s="295" t="s">
        <v>71</v>
      </c>
      <c r="BRL868" s="295" t="s">
        <v>71</v>
      </c>
      <c r="BRM868" s="295" t="s">
        <v>71</v>
      </c>
      <c r="BRN868" s="295" t="s">
        <v>71</v>
      </c>
      <c r="BRO868" s="295" t="s">
        <v>71</v>
      </c>
      <c r="BRP868" s="295" t="s">
        <v>71</v>
      </c>
      <c r="BRQ868" s="295" t="s">
        <v>71</v>
      </c>
      <c r="BRR868" s="295" t="s">
        <v>71</v>
      </c>
      <c r="BRS868" s="295" t="s">
        <v>71</v>
      </c>
      <c r="BRT868" s="295" t="s">
        <v>71</v>
      </c>
      <c r="BRU868" s="295" t="s">
        <v>71</v>
      </c>
      <c r="BRV868" s="295" t="s">
        <v>71</v>
      </c>
      <c r="BRW868" s="295" t="s">
        <v>71</v>
      </c>
      <c r="BRX868" s="295" t="s">
        <v>71</v>
      </c>
      <c r="BRY868" s="295" t="s">
        <v>71</v>
      </c>
      <c r="BRZ868" s="295" t="s">
        <v>71</v>
      </c>
      <c r="BSA868" s="295" t="s">
        <v>71</v>
      </c>
      <c r="BSB868" s="295" t="s">
        <v>71</v>
      </c>
      <c r="BSC868" s="295" t="s">
        <v>71</v>
      </c>
      <c r="BSD868" s="295" t="s">
        <v>71</v>
      </c>
      <c r="BSE868" s="295" t="s">
        <v>71</v>
      </c>
      <c r="BSF868" s="295" t="s">
        <v>71</v>
      </c>
      <c r="BSG868" s="295" t="s">
        <v>71</v>
      </c>
      <c r="BSH868" s="295" t="s">
        <v>71</v>
      </c>
      <c r="BSI868" s="295" t="s">
        <v>71</v>
      </c>
      <c r="BSJ868" s="295" t="s">
        <v>71</v>
      </c>
      <c r="BSK868" s="295" t="s">
        <v>71</v>
      </c>
      <c r="BSL868" s="295" t="s">
        <v>71</v>
      </c>
      <c r="BSM868" s="295" t="s">
        <v>71</v>
      </c>
      <c r="BSN868" s="295" t="s">
        <v>71</v>
      </c>
      <c r="BSO868" s="295" t="s">
        <v>71</v>
      </c>
      <c r="BSP868" s="295" t="s">
        <v>71</v>
      </c>
      <c r="BSQ868" s="295" t="s">
        <v>71</v>
      </c>
      <c r="BSR868" s="295" t="s">
        <v>71</v>
      </c>
      <c r="BSS868" s="295" t="s">
        <v>71</v>
      </c>
      <c r="BST868" s="295" t="s">
        <v>71</v>
      </c>
      <c r="BSU868" s="295" t="s">
        <v>71</v>
      </c>
      <c r="BSV868" s="295" t="s">
        <v>71</v>
      </c>
      <c r="BSW868" s="295" t="s">
        <v>71</v>
      </c>
      <c r="BSX868" s="295" t="s">
        <v>71</v>
      </c>
      <c r="BSY868" s="295" t="s">
        <v>71</v>
      </c>
      <c r="BSZ868" s="295" t="s">
        <v>71</v>
      </c>
      <c r="BTA868" s="295" t="s">
        <v>71</v>
      </c>
      <c r="BTB868" s="295" t="s">
        <v>71</v>
      </c>
      <c r="BTC868" s="295" t="s">
        <v>71</v>
      </c>
      <c r="BTD868" s="295" t="s">
        <v>71</v>
      </c>
      <c r="BTE868" s="295" t="s">
        <v>71</v>
      </c>
      <c r="BTF868" s="295" t="s">
        <v>71</v>
      </c>
      <c r="BTG868" s="295" t="s">
        <v>71</v>
      </c>
      <c r="BTH868" s="295" t="s">
        <v>71</v>
      </c>
      <c r="BTI868" s="295" t="s">
        <v>71</v>
      </c>
      <c r="BTJ868" s="295" t="s">
        <v>71</v>
      </c>
      <c r="BTK868" s="295" t="s">
        <v>71</v>
      </c>
      <c r="BTL868" s="295" t="s">
        <v>71</v>
      </c>
      <c r="BTM868" s="295" t="s">
        <v>71</v>
      </c>
      <c r="BTN868" s="295" t="s">
        <v>71</v>
      </c>
      <c r="BTO868" s="295" t="s">
        <v>71</v>
      </c>
      <c r="BTP868" s="295" t="s">
        <v>71</v>
      </c>
      <c r="BTQ868" s="295" t="s">
        <v>71</v>
      </c>
      <c r="BTR868" s="295" t="s">
        <v>71</v>
      </c>
      <c r="BTS868" s="295" t="s">
        <v>71</v>
      </c>
      <c r="BTT868" s="295" t="s">
        <v>71</v>
      </c>
      <c r="BTU868" s="295" t="s">
        <v>71</v>
      </c>
      <c r="BTV868" s="295" t="s">
        <v>71</v>
      </c>
      <c r="BTW868" s="295" t="s">
        <v>71</v>
      </c>
      <c r="BTX868" s="295" t="s">
        <v>71</v>
      </c>
      <c r="BTY868" s="295" t="s">
        <v>71</v>
      </c>
      <c r="BTZ868" s="295" t="s">
        <v>71</v>
      </c>
      <c r="BUA868" s="295" t="s">
        <v>71</v>
      </c>
      <c r="BUB868" s="295" t="s">
        <v>71</v>
      </c>
      <c r="BUC868" s="295" t="s">
        <v>71</v>
      </c>
      <c r="BUD868" s="295" t="s">
        <v>71</v>
      </c>
      <c r="BUE868" s="295" t="s">
        <v>71</v>
      </c>
      <c r="BUF868" s="295" t="s">
        <v>71</v>
      </c>
      <c r="BUG868" s="295" t="s">
        <v>71</v>
      </c>
      <c r="BUH868" s="295" t="s">
        <v>71</v>
      </c>
      <c r="BUI868" s="295" t="s">
        <v>71</v>
      </c>
      <c r="BUJ868" s="295" t="s">
        <v>71</v>
      </c>
      <c r="BUK868" s="295" t="s">
        <v>71</v>
      </c>
      <c r="BUL868" s="295" t="s">
        <v>71</v>
      </c>
      <c r="BUM868" s="295" t="s">
        <v>71</v>
      </c>
      <c r="BUN868" s="295" t="s">
        <v>71</v>
      </c>
      <c r="BUO868" s="295" t="s">
        <v>71</v>
      </c>
      <c r="BUP868" s="295" t="s">
        <v>71</v>
      </c>
      <c r="BUQ868" s="295" t="s">
        <v>71</v>
      </c>
      <c r="BUR868" s="295" t="s">
        <v>71</v>
      </c>
      <c r="BUS868" s="295" t="s">
        <v>71</v>
      </c>
      <c r="BUT868" s="295" t="s">
        <v>71</v>
      </c>
      <c r="BUU868" s="295" t="s">
        <v>71</v>
      </c>
      <c r="BUV868" s="295" t="s">
        <v>71</v>
      </c>
      <c r="BUW868" s="295" t="s">
        <v>71</v>
      </c>
      <c r="BUX868" s="295" t="s">
        <v>71</v>
      </c>
      <c r="BUY868" s="295" t="s">
        <v>71</v>
      </c>
      <c r="BUZ868" s="295" t="s">
        <v>71</v>
      </c>
      <c r="BVA868" s="295" t="s">
        <v>71</v>
      </c>
      <c r="BVB868" s="295" t="s">
        <v>71</v>
      </c>
      <c r="BVC868" s="295" t="s">
        <v>71</v>
      </c>
      <c r="BVD868" s="295" t="s">
        <v>71</v>
      </c>
      <c r="BVE868" s="295" t="s">
        <v>71</v>
      </c>
      <c r="BVF868" s="295" t="s">
        <v>71</v>
      </c>
      <c r="BVG868" s="295" t="s">
        <v>71</v>
      </c>
      <c r="BVH868" s="295" t="s">
        <v>71</v>
      </c>
      <c r="BVI868" s="295" t="s">
        <v>71</v>
      </c>
      <c r="BVJ868" s="295" t="s">
        <v>71</v>
      </c>
      <c r="BVK868" s="295" t="s">
        <v>71</v>
      </c>
      <c r="BVL868" s="295" t="s">
        <v>71</v>
      </c>
      <c r="BVM868" s="295" t="s">
        <v>71</v>
      </c>
      <c r="BVN868" s="295" t="s">
        <v>71</v>
      </c>
      <c r="BVO868" s="295" t="s">
        <v>71</v>
      </c>
      <c r="BVP868" s="295" t="s">
        <v>71</v>
      </c>
      <c r="BVQ868" s="295" t="s">
        <v>71</v>
      </c>
      <c r="BVR868" s="295" t="s">
        <v>71</v>
      </c>
      <c r="BVS868" s="295" t="s">
        <v>71</v>
      </c>
      <c r="BVT868" s="295" t="s">
        <v>71</v>
      </c>
      <c r="BVU868" s="295" t="s">
        <v>71</v>
      </c>
      <c r="BVV868" s="295" t="s">
        <v>71</v>
      </c>
      <c r="BVW868" s="295" t="s">
        <v>71</v>
      </c>
      <c r="BVX868" s="295" t="s">
        <v>71</v>
      </c>
      <c r="BVY868" s="295" t="s">
        <v>71</v>
      </c>
      <c r="BVZ868" s="295" t="s">
        <v>71</v>
      </c>
      <c r="BWA868" s="295" t="s">
        <v>71</v>
      </c>
      <c r="BWB868" s="295" t="s">
        <v>71</v>
      </c>
      <c r="BWC868" s="295" t="s">
        <v>71</v>
      </c>
      <c r="BWD868" s="295" t="s">
        <v>71</v>
      </c>
      <c r="BWE868" s="295" t="s">
        <v>71</v>
      </c>
      <c r="BWF868" s="295" t="s">
        <v>71</v>
      </c>
      <c r="BWG868" s="295" t="s">
        <v>71</v>
      </c>
      <c r="BWH868" s="295" t="s">
        <v>71</v>
      </c>
      <c r="BWI868" s="295" t="s">
        <v>71</v>
      </c>
      <c r="BWJ868" s="295" t="s">
        <v>71</v>
      </c>
      <c r="BWK868" s="295" t="s">
        <v>71</v>
      </c>
      <c r="BWL868" s="295" t="s">
        <v>71</v>
      </c>
      <c r="BWM868" s="295" t="s">
        <v>71</v>
      </c>
      <c r="BWN868" s="295" t="s">
        <v>71</v>
      </c>
      <c r="BWO868" s="295" t="s">
        <v>71</v>
      </c>
      <c r="BWP868" s="295" t="s">
        <v>71</v>
      </c>
      <c r="BWQ868" s="295" t="s">
        <v>71</v>
      </c>
      <c r="BWR868" s="295" t="s">
        <v>71</v>
      </c>
      <c r="BWS868" s="295" t="s">
        <v>71</v>
      </c>
      <c r="BWT868" s="295" t="s">
        <v>71</v>
      </c>
      <c r="BWU868" s="295" t="s">
        <v>71</v>
      </c>
      <c r="BWV868" s="295" t="s">
        <v>71</v>
      </c>
      <c r="BWW868" s="295" t="s">
        <v>71</v>
      </c>
      <c r="BWX868" s="295" t="s">
        <v>71</v>
      </c>
      <c r="BWY868" s="295" t="s">
        <v>71</v>
      </c>
      <c r="BWZ868" s="295" t="s">
        <v>71</v>
      </c>
      <c r="BXA868" s="295" t="s">
        <v>71</v>
      </c>
      <c r="BXB868" s="295" t="s">
        <v>71</v>
      </c>
      <c r="BXC868" s="295" t="s">
        <v>71</v>
      </c>
      <c r="BXD868" s="295" t="s">
        <v>71</v>
      </c>
      <c r="BXE868" s="295" t="s">
        <v>71</v>
      </c>
      <c r="BXF868" s="295" t="s">
        <v>71</v>
      </c>
      <c r="BXG868" s="295" t="s">
        <v>71</v>
      </c>
      <c r="BXH868" s="295" t="s">
        <v>71</v>
      </c>
      <c r="BXI868" s="295" t="s">
        <v>71</v>
      </c>
      <c r="BXJ868" s="295" t="s">
        <v>71</v>
      </c>
      <c r="BXK868" s="295" t="s">
        <v>71</v>
      </c>
      <c r="BXL868" s="295" t="s">
        <v>71</v>
      </c>
      <c r="BXM868" s="295" t="s">
        <v>71</v>
      </c>
      <c r="BXN868" s="295" t="s">
        <v>71</v>
      </c>
      <c r="BXO868" s="295" t="s">
        <v>71</v>
      </c>
      <c r="BXP868" s="295" t="s">
        <v>71</v>
      </c>
      <c r="BXQ868" s="295" t="s">
        <v>71</v>
      </c>
      <c r="BXR868" s="295" t="s">
        <v>71</v>
      </c>
      <c r="BXS868" s="295" t="s">
        <v>71</v>
      </c>
      <c r="BXT868" s="295" t="s">
        <v>71</v>
      </c>
      <c r="BXU868" s="295" t="s">
        <v>71</v>
      </c>
      <c r="BXV868" s="295" t="s">
        <v>71</v>
      </c>
      <c r="BXW868" s="295" t="s">
        <v>71</v>
      </c>
      <c r="BXX868" s="295" t="s">
        <v>71</v>
      </c>
      <c r="BXY868" s="295" t="s">
        <v>71</v>
      </c>
      <c r="BXZ868" s="295" t="s">
        <v>71</v>
      </c>
      <c r="BYA868" s="295" t="s">
        <v>71</v>
      </c>
      <c r="BYB868" s="295" t="s">
        <v>71</v>
      </c>
      <c r="BYC868" s="295" t="s">
        <v>71</v>
      </c>
      <c r="BYD868" s="295" t="s">
        <v>71</v>
      </c>
      <c r="BYE868" s="295" t="s">
        <v>71</v>
      </c>
      <c r="BYF868" s="295" t="s">
        <v>71</v>
      </c>
      <c r="BYG868" s="295" t="s">
        <v>71</v>
      </c>
      <c r="BYH868" s="295" t="s">
        <v>71</v>
      </c>
      <c r="BYI868" s="295" t="s">
        <v>71</v>
      </c>
      <c r="BYJ868" s="295" t="s">
        <v>71</v>
      </c>
      <c r="BYK868" s="295" t="s">
        <v>71</v>
      </c>
      <c r="BYL868" s="295" t="s">
        <v>71</v>
      </c>
      <c r="BYM868" s="295" t="s">
        <v>71</v>
      </c>
      <c r="BYN868" s="295" t="s">
        <v>71</v>
      </c>
      <c r="BYO868" s="295" t="s">
        <v>71</v>
      </c>
      <c r="BYP868" s="295" t="s">
        <v>71</v>
      </c>
      <c r="BYQ868" s="295" t="s">
        <v>71</v>
      </c>
      <c r="BYR868" s="295" t="s">
        <v>71</v>
      </c>
      <c r="BYS868" s="295" t="s">
        <v>71</v>
      </c>
      <c r="BYT868" s="295" t="s">
        <v>71</v>
      </c>
      <c r="BYU868" s="295" t="s">
        <v>71</v>
      </c>
      <c r="BYV868" s="295" t="s">
        <v>71</v>
      </c>
      <c r="BYW868" s="295" t="s">
        <v>71</v>
      </c>
      <c r="BYX868" s="295" t="s">
        <v>71</v>
      </c>
      <c r="BYY868" s="295" t="s">
        <v>71</v>
      </c>
      <c r="BYZ868" s="295" t="s">
        <v>71</v>
      </c>
      <c r="BZA868" s="295" t="s">
        <v>71</v>
      </c>
      <c r="BZB868" s="295" t="s">
        <v>71</v>
      </c>
      <c r="BZC868" s="295" t="s">
        <v>71</v>
      </c>
      <c r="BZD868" s="295" t="s">
        <v>71</v>
      </c>
      <c r="BZE868" s="295" t="s">
        <v>71</v>
      </c>
      <c r="BZF868" s="295" t="s">
        <v>71</v>
      </c>
      <c r="BZG868" s="295" t="s">
        <v>71</v>
      </c>
      <c r="BZH868" s="295" t="s">
        <v>71</v>
      </c>
      <c r="BZI868" s="295" t="s">
        <v>71</v>
      </c>
      <c r="BZJ868" s="295" t="s">
        <v>71</v>
      </c>
      <c r="BZK868" s="295" t="s">
        <v>71</v>
      </c>
      <c r="BZL868" s="295" t="s">
        <v>71</v>
      </c>
      <c r="BZM868" s="295" t="s">
        <v>71</v>
      </c>
      <c r="BZN868" s="295" t="s">
        <v>71</v>
      </c>
      <c r="BZO868" s="295" t="s">
        <v>71</v>
      </c>
      <c r="BZP868" s="295" t="s">
        <v>71</v>
      </c>
      <c r="BZQ868" s="295" t="s">
        <v>71</v>
      </c>
      <c r="BZR868" s="295" t="s">
        <v>71</v>
      </c>
      <c r="BZS868" s="295" t="s">
        <v>71</v>
      </c>
      <c r="BZT868" s="295" t="s">
        <v>71</v>
      </c>
      <c r="BZU868" s="295" t="s">
        <v>71</v>
      </c>
      <c r="BZV868" s="295" t="s">
        <v>71</v>
      </c>
      <c r="BZW868" s="295" t="s">
        <v>71</v>
      </c>
      <c r="BZX868" s="295" t="s">
        <v>71</v>
      </c>
      <c r="BZY868" s="295" t="s">
        <v>71</v>
      </c>
      <c r="BZZ868" s="295" t="s">
        <v>71</v>
      </c>
      <c r="CAA868" s="295" t="s">
        <v>71</v>
      </c>
      <c r="CAB868" s="295" t="s">
        <v>71</v>
      </c>
      <c r="CAC868" s="295" t="s">
        <v>71</v>
      </c>
      <c r="CAD868" s="295" t="s">
        <v>71</v>
      </c>
      <c r="CAE868" s="295" t="s">
        <v>71</v>
      </c>
      <c r="CAF868" s="295" t="s">
        <v>71</v>
      </c>
      <c r="CAG868" s="295" t="s">
        <v>71</v>
      </c>
      <c r="CAH868" s="295" t="s">
        <v>71</v>
      </c>
      <c r="CAI868" s="295" t="s">
        <v>71</v>
      </c>
      <c r="CAJ868" s="295" t="s">
        <v>71</v>
      </c>
      <c r="CAK868" s="295" t="s">
        <v>71</v>
      </c>
      <c r="CAL868" s="295" t="s">
        <v>71</v>
      </c>
      <c r="CAM868" s="295" t="s">
        <v>71</v>
      </c>
      <c r="CAN868" s="295" t="s">
        <v>71</v>
      </c>
      <c r="CAO868" s="295" t="s">
        <v>71</v>
      </c>
      <c r="CAP868" s="295" t="s">
        <v>71</v>
      </c>
      <c r="CAQ868" s="295" t="s">
        <v>71</v>
      </c>
      <c r="CAR868" s="295" t="s">
        <v>71</v>
      </c>
      <c r="CAS868" s="295" t="s">
        <v>71</v>
      </c>
      <c r="CAT868" s="295" t="s">
        <v>71</v>
      </c>
      <c r="CAU868" s="295" t="s">
        <v>71</v>
      </c>
      <c r="CAV868" s="295" t="s">
        <v>71</v>
      </c>
      <c r="CAW868" s="295" t="s">
        <v>71</v>
      </c>
      <c r="CAX868" s="295" t="s">
        <v>71</v>
      </c>
      <c r="CAY868" s="295" t="s">
        <v>71</v>
      </c>
      <c r="CAZ868" s="295" t="s">
        <v>71</v>
      </c>
      <c r="CBA868" s="295" t="s">
        <v>71</v>
      </c>
      <c r="CBB868" s="295" t="s">
        <v>71</v>
      </c>
      <c r="CBC868" s="295" t="s">
        <v>71</v>
      </c>
      <c r="CBD868" s="295" t="s">
        <v>71</v>
      </c>
      <c r="CBE868" s="295" t="s">
        <v>71</v>
      </c>
      <c r="CBF868" s="295" t="s">
        <v>71</v>
      </c>
      <c r="CBG868" s="295" t="s">
        <v>71</v>
      </c>
      <c r="CBH868" s="295" t="s">
        <v>71</v>
      </c>
      <c r="CBI868" s="295" t="s">
        <v>71</v>
      </c>
      <c r="CBJ868" s="295" t="s">
        <v>71</v>
      </c>
      <c r="CBK868" s="295" t="s">
        <v>71</v>
      </c>
      <c r="CBL868" s="295" t="s">
        <v>71</v>
      </c>
      <c r="CBM868" s="295" t="s">
        <v>71</v>
      </c>
      <c r="CBN868" s="295" t="s">
        <v>71</v>
      </c>
      <c r="CBO868" s="295" t="s">
        <v>71</v>
      </c>
      <c r="CBP868" s="295" t="s">
        <v>71</v>
      </c>
      <c r="CBQ868" s="295" t="s">
        <v>71</v>
      </c>
      <c r="CBR868" s="295" t="s">
        <v>71</v>
      </c>
      <c r="CBS868" s="295" t="s">
        <v>71</v>
      </c>
      <c r="CBT868" s="295" t="s">
        <v>71</v>
      </c>
      <c r="CBU868" s="295" t="s">
        <v>71</v>
      </c>
      <c r="CBV868" s="295" t="s">
        <v>71</v>
      </c>
      <c r="CBW868" s="295" t="s">
        <v>71</v>
      </c>
      <c r="CBX868" s="295" t="s">
        <v>71</v>
      </c>
      <c r="CBY868" s="295" t="s">
        <v>71</v>
      </c>
      <c r="CBZ868" s="295" t="s">
        <v>71</v>
      </c>
      <c r="CCA868" s="295" t="s">
        <v>71</v>
      </c>
      <c r="CCB868" s="295" t="s">
        <v>71</v>
      </c>
      <c r="CCC868" s="295" t="s">
        <v>71</v>
      </c>
      <c r="CCD868" s="295" t="s">
        <v>71</v>
      </c>
      <c r="CCE868" s="295" t="s">
        <v>71</v>
      </c>
      <c r="CCF868" s="295" t="s">
        <v>71</v>
      </c>
      <c r="CCG868" s="295" t="s">
        <v>71</v>
      </c>
      <c r="CCH868" s="295" t="s">
        <v>71</v>
      </c>
      <c r="CCI868" s="295" t="s">
        <v>71</v>
      </c>
      <c r="CCJ868" s="295" t="s">
        <v>71</v>
      </c>
      <c r="CCK868" s="295" t="s">
        <v>71</v>
      </c>
      <c r="CCL868" s="295" t="s">
        <v>71</v>
      </c>
      <c r="CCM868" s="295" t="s">
        <v>71</v>
      </c>
      <c r="CCN868" s="295" t="s">
        <v>71</v>
      </c>
      <c r="CCO868" s="295" t="s">
        <v>71</v>
      </c>
      <c r="CCP868" s="295" t="s">
        <v>71</v>
      </c>
      <c r="CCQ868" s="295" t="s">
        <v>71</v>
      </c>
      <c r="CCR868" s="295" t="s">
        <v>71</v>
      </c>
      <c r="CCS868" s="295" t="s">
        <v>71</v>
      </c>
      <c r="CCT868" s="295" t="s">
        <v>71</v>
      </c>
      <c r="CCU868" s="295" t="s">
        <v>71</v>
      </c>
      <c r="CCV868" s="295" t="s">
        <v>71</v>
      </c>
      <c r="CCW868" s="295" t="s">
        <v>71</v>
      </c>
      <c r="CCX868" s="295" t="s">
        <v>71</v>
      </c>
      <c r="CCY868" s="295" t="s">
        <v>71</v>
      </c>
      <c r="CCZ868" s="295" t="s">
        <v>71</v>
      </c>
      <c r="CDA868" s="295" t="s">
        <v>71</v>
      </c>
      <c r="CDB868" s="295" t="s">
        <v>71</v>
      </c>
      <c r="CDC868" s="295" t="s">
        <v>71</v>
      </c>
      <c r="CDD868" s="295" t="s">
        <v>71</v>
      </c>
      <c r="CDE868" s="295" t="s">
        <v>71</v>
      </c>
      <c r="CDF868" s="295" t="s">
        <v>71</v>
      </c>
      <c r="CDG868" s="295" t="s">
        <v>71</v>
      </c>
      <c r="CDH868" s="295" t="s">
        <v>71</v>
      </c>
      <c r="CDI868" s="295" t="s">
        <v>71</v>
      </c>
      <c r="CDJ868" s="295" t="s">
        <v>71</v>
      </c>
      <c r="CDK868" s="295" t="s">
        <v>71</v>
      </c>
      <c r="CDL868" s="295" t="s">
        <v>71</v>
      </c>
      <c r="CDM868" s="295" t="s">
        <v>71</v>
      </c>
      <c r="CDN868" s="295" t="s">
        <v>71</v>
      </c>
      <c r="CDO868" s="295" t="s">
        <v>71</v>
      </c>
      <c r="CDP868" s="295" t="s">
        <v>71</v>
      </c>
      <c r="CDQ868" s="295" t="s">
        <v>71</v>
      </c>
      <c r="CDR868" s="295" t="s">
        <v>71</v>
      </c>
      <c r="CDS868" s="295" t="s">
        <v>71</v>
      </c>
      <c r="CDT868" s="295" t="s">
        <v>71</v>
      </c>
      <c r="CDU868" s="295" t="s">
        <v>71</v>
      </c>
      <c r="CDV868" s="295" t="s">
        <v>71</v>
      </c>
      <c r="CDW868" s="295" t="s">
        <v>71</v>
      </c>
      <c r="CDX868" s="295" t="s">
        <v>71</v>
      </c>
      <c r="CDY868" s="295" t="s">
        <v>71</v>
      </c>
      <c r="CDZ868" s="295" t="s">
        <v>71</v>
      </c>
      <c r="CEA868" s="295" t="s">
        <v>71</v>
      </c>
      <c r="CEB868" s="295" t="s">
        <v>71</v>
      </c>
      <c r="CEC868" s="295" t="s">
        <v>71</v>
      </c>
      <c r="CED868" s="295" t="s">
        <v>71</v>
      </c>
      <c r="CEE868" s="295" t="s">
        <v>71</v>
      </c>
      <c r="CEF868" s="295" t="s">
        <v>71</v>
      </c>
      <c r="CEG868" s="295" t="s">
        <v>71</v>
      </c>
      <c r="CEH868" s="295" t="s">
        <v>71</v>
      </c>
      <c r="CEI868" s="295" t="s">
        <v>71</v>
      </c>
      <c r="CEJ868" s="295" t="s">
        <v>71</v>
      </c>
      <c r="CEK868" s="295" t="s">
        <v>71</v>
      </c>
      <c r="CEL868" s="295" t="s">
        <v>71</v>
      </c>
      <c r="CEM868" s="295" t="s">
        <v>71</v>
      </c>
      <c r="CEN868" s="295" t="s">
        <v>71</v>
      </c>
      <c r="CEO868" s="295" t="s">
        <v>71</v>
      </c>
      <c r="CEP868" s="295" t="s">
        <v>71</v>
      </c>
      <c r="CEQ868" s="295" t="s">
        <v>71</v>
      </c>
      <c r="CER868" s="295" t="s">
        <v>71</v>
      </c>
      <c r="CES868" s="295" t="s">
        <v>71</v>
      </c>
      <c r="CET868" s="295" t="s">
        <v>71</v>
      </c>
      <c r="CEU868" s="295" t="s">
        <v>71</v>
      </c>
      <c r="CEV868" s="295" t="s">
        <v>71</v>
      </c>
      <c r="CEW868" s="295" t="s">
        <v>71</v>
      </c>
      <c r="CEX868" s="295" t="s">
        <v>71</v>
      </c>
      <c r="CEY868" s="295" t="s">
        <v>71</v>
      </c>
      <c r="CEZ868" s="295" t="s">
        <v>71</v>
      </c>
      <c r="CFA868" s="295" t="s">
        <v>71</v>
      </c>
      <c r="CFB868" s="295" t="s">
        <v>71</v>
      </c>
      <c r="CFC868" s="295" t="s">
        <v>71</v>
      </c>
      <c r="CFD868" s="295" t="s">
        <v>71</v>
      </c>
      <c r="CFE868" s="295" t="s">
        <v>71</v>
      </c>
      <c r="CFF868" s="295" t="s">
        <v>71</v>
      </c>
      <c r="CFG868" s="295" t="s">
        <v>71</v>
      </c>
      <c r="CFH868" s="295" t="s">
        <v>71</v>
      </c>
      <c r="CFI868" s="295" t="s">
        <v>71</v>
      </c>
      <c r="CFJ868" s="295" t="s">
        <v>71</v>
      </c>
      <c r="CFK868" s="295" t="s">
        <v>71</v>
      </c>
      <c r="CFL868" s="295" t="s">
        <v>71</v>
      </c>
      <c r="CFM868" s="295" t="s">
        <v>71</v>
      </c>
      <c r="CFN868" s="295" t="s">
        <v>71</v>
      </c>
      <c r="CFO868" s="295" t="s">
        <v>71</v>
      </c>
      <c r="CFP868" s="295" t="s">
        <v>71</v>
      </c>
      <c r="CFQ868" s="295" t="s">
        <v>71</v>
      </c>
      <c r="CFR868" s="295" t="s">
        <v>71</v>
      </c>
      <c r="CFS868" s="295" t="s">
        <v>71</v>
      </c>
      <c r="CFT868" s="295" t="s">
        <v>71</v>
      </c>
      <c r="CFU868" s="295" t="s">
        <v>71</v>
      </c>
      <c r="CFV868" s="295" t="s">
        <v>71</v>
      </c>
      <c r="CFW868" s="295" t="s">
        <v>71</v>
      </c>
      <c r="CFX868" s="295" t="s">
        <v>71</v>
      </c>
      <c r="CFY868" s="295" t="s">
        <v>71</v>
      </c>
      <c r="CFZ868" s="295" t="s">
        <v>71</v>
      </c>
      <c r="CGA868" s="295" t="s">
        <v>71</v>
      </c>
      <c r="CGB868" s="295" t="s">
        <v>71</v>
      </c>
      <c r="CGC868" s="295" t="s">
        <v>71</v>
      </c>
      <c r="CGD868" s="295" t="s">
        <v>71</v>
      </c>
      <c r="CGE868" s="295" t="s">
        <v>71</v>
      </c>
      <c r="CGF868" s="295" t="s">
        <v>71</v>
      </c>
      <c r="CGG868" s="295" t="s">
        <v>71</v>
      </c>
      <c r="CGH868" s="295" t="s">
        <v>71</v>
      </c>
      <c r="CGI868" s="295" t="s">
        <v>71</v>
      </c>
      <c r="CGJ868" s="295" t="s">
        <v>71</v>
      </c>
      <c r="CGK868" s="295" t="s">
        <v>71</v>
      </c>
      <c r="CGL868" s="295" t="s">
        <v>71</v>
      </c>
      <c r="CGM868" s="295" t="s">
        <v>71</v>
      </c>
      <c r="CGN868" s="295" t="s">
        <v>71</v>
      </c>
      <c r="CGO868" s="295" t="s">
        <v>71</v>
      </c>
      <c r="CGP868" s="295" t="s">
        <v>71</v>
      </c>
      <c r="CGQ868" s="295" t="s">
        <v>71</v>
      </c>
      <c r="CGR868" s="295" t="s">
        <v>71</v>
      </c>
      <c r="CGS868" s="295" t="s">
        <v>71</v>
      </c>
      <c r="CGT868" s="295" t="s">
        <v>71</v>
      </c>
      <c r="CGU868" s="295" t="s">
        <v>71</v>
      </c>
      <c r="CGV868" s="295" t="s">
        <v>71</v>
      </c>
      <c r="CGW868" s="295" t="s">
        <v>71</v>
      </c>
      <c r="CGX868" s="295" t="s">
        <v>71</v>
      </c>
      <c r="CGY868" s="295" t="s">
        <v>71</v>
      </c>
      <c r="CGZ868" s="295" t="s">
        <v>71</v>
      </c>
      <c r="CHA868" s="295" t="s">
        <v>71</v>
      </c>
      <c r="CHB868" s="295" t="s">
        <v>71</v>
      </c>
      <c r="CHC868" s="295" t="s">
        <v>71</v>
      </c>
      <c r="CHD868" s="295" t="s">
        <v>71</v>
      </c>
      <c r="CHE868" s="295" t="s">
        <v>71</v>
      </c>
      <c r="CHF868" s="295" t="s">
        <v>71</v>
      </c>
      <c r="CHG868" s="295" t="s">
        <v>71</v>
      </c>
      <c r="CHH868" s="295" t="s">
        <v>71</v>
      </c>
      <c r="CHI868" s="295" t="s">
        <v>71</v>
      </c>
      <c r="CHJ868" s="295" t="s">
        <v>71</v>
      </c>
      <c r="CHK868" s="295" t="s">
        <v>71</v>
      </c>
      <c r="CHL868" s="295" t="s">
        <v>71</v>
      </c>
      <c r="CHM868" s="295" t="s">
        <v>71</v>
      </c>
      <c r="CHN868" s="295" t="s">
        <v>71</v>
      </c>
      <c r="CHO868" s="295" t="s">
        <v>71</v>
      </c>
      <c r="CHP868" s="295" t="s">
        <v>71</v>
      </c>
      <c r="CHQ868" s="295" t="s">
        <v>71</v>
      </c>
      <c r="CHR868" s="295" t="s">
        <v>71</v>
      </c>
      <c r="CHS868" s="295" t="s">
        <v>71</v>
      </c>
      <c r="CHT868" s="295" t="s">
        <v>71</v>
      </c>
      <c r="CHU868" s="295" t="s">
        <v>71</v>
      </c>
      <c r="CHV868" s="295" t="s">
        <v>71</v>
      </c>
      <c r="CHW868" s="295" t="s">
        <v>71</v>
      </c>
      <c r="CHX868" s="295" t="s">
        <v>71</v>
      </c>
      <c r="CHY868" s="295" t="s">
        <v>71</v>
      </c>
      <c r="CHZ868" s="295" t="s">
        <v>71</v>
      </c>
      <c r="CIA868" s="295" t="s">
        <v>71</v>
      </c>
      <c r="CIB868" s="295" t="s">
        <v>71</v>
      </c>
      <c r="CIC868" s="295" t="s">
        <v>71</v>
      </c>
      <c r="CID868" s="295" t="s">
        <v>71</v>
      </c>
      <c r="CIE868" s="295" t="s">
        <v>71</v>
      </c>
      <c r="CIF868" s="295" t="s">
        <v>71</v>
      </c>
      <c r="CIG868" s="295" t="s">
        <v>71</v>
      </c>
      <c r="CIH868" s="295" t="s">
        <v>71</v>
      </c>
      <c r="CII868" s="295" t="s">
        <v>71</v>
      </c>
      <c r="CIJ868" s="295" t="s">
        <v>71</v>
      </c>
      <c r="CIK868" s="295" t="s">
        <v>71</v>
      </c>
      <c r="CIL868" s="295" t="s">
        <v>71</v>
      </c>
      <c r="CIM868" s="295" t="s">
        <v>71</v>
      </c>
      <c r="CIN868" s="295" t="s">
        <v>71</v>
      </c>
      <c r="CIO868" s="295" t="s">
        <v>71</v>
      </c>
      <c r="CIP868" s="295" t="s">
        <v>71</v>
      </c>
      <c r="CIQ868" s="295" t="s">
        <v>71</v>
      </c>
      <c r="CIR868" s="295" t="s">
        <v>71</v>
      </c>
      <c r="CIS868" s="295" t="s">
        <v>71</v>
      </c>
      <c r="CIT868" s="295" t="s">
        <v>71</v>
      </c>
      <c r="CIU868" s="295" t="s">
        <v>71</v>
      </c>
      <c r="CIV868" s="295" t="s">
        <v>71</v>
      </c>
      <c r="CIW868" s="295" t="s">
        <v>71</v>
      </c>
      <c r="CIX868" s="295" t="s">
        <v>71</v>
      </c>
      <c r="CIY868" s="295" t="s">
        <v>71</v>
      </c>
      <c r="CIZ868" s="295" t="s">
        <v>71</v>
      </c>
      <c r="CJA868" s="295" t="s">
        <v>71</v>
      </c>
      <c r="CJB868" s="295" t="s">
        <v>71</v>
      </c>
      <c r="CJC868" s="295" t="s">
        <v>71</v>
      </c>
      <c r="CJD868" s="295" t="s">
        <v>71</v>
      </c>
      <c r="CJE868" s="295" t="s">
        <v>71</v>
      </c>
      <c r="CJF868" s="295" t="s">
        <v>71</v>
      </c>
      <c r="CJG868" s="295" t="s">
        <v>71</v>
      </c>
      <c r="CJH868" s="295" t="s">
        <v>71</v>
      </c>
      <c r="CJI868" s="295" t="s">
        <v>71</v>
      </c>
      <c r="CJJ868" s="295" t="s">
        <v>71</v>
      </c>
      <c r="CJK868" s="295" t="s">
        <v>71</v>
      </c>
      <c r="CJL868" s="295" t="s">
        <v>71</v>
      </c>
      <c r="CJM868" s="295" t="s">
        <v>71</v>
      </c>
      <c r="CJN868" s="295" t="s">
        <v>71</v>
      </c>
      <c r="CJO868" s="295" t="s">
        <v>71</v>
      </c>
      <c r="CJP868" s="295" t="s">
        <v>71</v>
      </c>
      <c r="CJQ868" s="295" t="s">
        <v>71</v>
      </c>
      <c r="CJR868" s="295" t="s">
        <v>71</v>
      </c>
      <c r="CJS868" s="295" t="s">
        <v>71</v>
      </c>
      <c r="CJT868" s="295" t="s">
        <v>71</v>
      </c>
      <c r="CJU868" s="295" t="s">
        <v>71</v>
      </c>
      <c r="CJV868" s="295" t="s">
        <v>71</v>
      </c>
      <c r="CJW868" s="295" t="s">
        <v>71</v>
      </c>
      <c r="CJX868" s="295" t="s">
        <v>71</v>
      </c>
      <c r="CJY868" s="295" t="s">
        <v>71</v>
      </c>
      <c r="CJZ868" s="295" t="s">
        <v>71</v>
      </c>
      <c r="CKA868" s="295" t="s">
        <v>71</v>
      </c>
      <c r="CKB868" s="295" t="s">
        <v>71</v>
      </c>
      <c r="CKC868" s="295" t="s">
        <v>71</v>
      </c>
      <c r="CKD868" s="295" t="s">
        <v>71</v>
      </c>
      <c r="CKE868" s="295" t="s">
        <v>71</v>
      </c>
      <c r="CKF868" s="295" t="s">
        <v>71</v>
      </c>
      <c r="CKG868" s="295" t="s">
        <v>71</v>
      </c>
      <c r="CKH868" s="295" t="s">
        <v>71</v>
      </c>
      <c r="CKI868" s="295" t="s">
        <v>71</v>
      </c>
      <c r="CKJ868" s="295" t="s">
        <v>71</v>
      </c>
      <c r="CKK868" s="295" t="s">
        <v>71</v>
      </c>
      <c r="CKL868" s="295" t="s">
        <v>71</v>
      </c>
      <c r="CKM868" s="295" t="s">
        <v>71</v>
      </c>
      <c r="CKN868" s="295" t="s">
        <v>71</v>
      </c>
      <c r="CKO868" s="295" t="s">
        <v>71</v>
      </c>
      <c r="CKP868" s="295" t="s">
        <v>71</v>
      </c>
      <c r="CKQ868" s="295" t="s">
        <v>71</v>
      </c>
      <c r="CKR868" s="295" t="s">
        <v>71</v>
      </c>
      <c r="CKS868" s="295" t="s">
        <v>71</v>
      </c>
      <c r="CKT868" s="295" t="s">
        <v>71</v>
      </c>
      <c r="CKU868" s="295" t="s">
        <v>71</v>
      </c>
      <c r="CKV868" s="295" t="s">
        <v>71</v>
      </c>
      <c r="CKW868" s="295" t="s">
        <v>71</v>
      </c>
      <c r="CKX868" s="295" t="s">
        <v>71</v>
      </c>
      <c r="CKY868" s="295" t="s">
        <v>71</v>
      </c>
      <c r="CKZ868" s="295" t="s">
        <v>71</v>
      </c>
      <c r="CLA868" s="295" t="s">
        <v>71</v>
      </c>
      <c r="CLB868" s="295" t="s">
        <v>71</v>
      </c>
      <c r="CLC868" s="295" t="s">
        <v>71</v>
      </c>
      <c r="CLD868" s="295" t="s">
        <v>71</v>
      </c>
      <c r="CLE868" s="295" t="s">
        <v>71</v>
      </c>
      <c r="CLF868" s="295" t="s">
        <v>71</v>
      </c>
      <c r="CLG868" s="295" t="s">
        <v>71</v>
      </c>
      <c r="CLH868" s="295" t="s">
        <v>71</v>
      </c>
      <c r="CLI868" s="295" t="s">
        <v>71</v>
      </c>
      <c r="CLJ868" s="295" t="s">
        <v>71</v>
      </c>
      <c r="CLK868" s="295" t="s">
        <v>71</v>
      </c>
      <c r="CLL868" s="295" t="s">
        <v>71</v>
      </c>
      <c r="CLM868" s="295" t="s">
        <v>71</v>
      </c>
      <c r="CLN868" s="295" t="s">
        <v>71</v>
      </c>
      <c r="CLO868" s="295" t="s">
        <v>71</v>
      </c>
      <c r="CLP868" s="295" t="s">
        <v>71</v>
      </c>
      <c r="CLQ868" s="295" t="s">
        <v>71</v>
      </c>
      <c r="CLR868" s="295" t="s">
        <v>71</v>
      </c>
      <c r="CLS868" s="295" t="s">
        <v>71</v>
      </c>
      <c r="CLT868" s="295" t="s">
        <v>71</v>
      </c>
      <c r="CLU868" s="295" t="s">
        <v>71</v>
      </c>
      <c r="CLV868" s="295" t="s">
        <v>71</v>
      </c>
      <c r="CLW868" s="295" t="s">
        <v>71</v>
      </c>
      <c r="CLX868" s="295" t="s">
        <v>71</v>
      </c>
      <c r="CLY868" s="295" t="s">
        <v>71</v>
      </c>
      <c r="CLZ868" s="295" t="s">
        <v>71</v>
      </c>
      <c r="CMA868" s="295" t="s">
        <v>71</v>
      </c>
      <c r="CMB868" s="295" t="s">
        <v>71</v>
      </c>
      <c r="CMC868" s="295" t="s">
        <v>71</v>
      </c>
      <c r="CMD868" s="295" t="s">
        <v>71</v>
      </c>
      <c r="CME868" s="295" t="s">
        <v>71</v>
      </c>
      <c r="CMF868" s="295" t="s">
        <v>71</v>
      </c>
      <c r="CMG868" s="295" t="s">
        <v>71</v>
      </c>
      <c r="CMH868" s="295" t="s">
        <v>71</v>
      </c>
      <c r="CMI868" s="295" t="s">
        <v>71</v>
      </c>
      <c r="CMJ868" s="295" t="s">
        <v>71</v>
      </c>
      <c r="CMK868" s="295" t="s">
        <v>71</v>
      </c>
      <c r="CML868" s="295" t="s">
        <v>71</v>
      </c>
      <c r="CMM868" s="295" t="s">
        <v>71</v>
      </c>
      <c r="CMN868" s="295" t="s">
        <v>71</v>
      </c>
      <c r="CMO868" s="295" t="s">
        <v>71</v>
      </c>
      <c r="CMP868" s="295" t="s">
        <v>71</v>
      </c>
      <c r="CMQ868" s="295" t="s">
        <v>71</v>
      </c>
      <c r="CMR868" s="295" t="s">
        <v>71</v>
      </c>
      <c r="CMS868" s="295" t="s">
        <v>71</v>
      </c>
      <c r="CMT868" s="295" t="s">
        <v>71</v>
      </c>
      <c r="CMU868" s="295" t="s">
        <v>71</v>
      </c>
      <c r="CMV868" s="295" t="s">
        <v>71</v>
      </c>
      <c r="CMW868" s="295" t="s">
        <v>71</v>
      </c>
      <c r="CMX868" s="295" t="s">
        <v>71</v>
      </c>
      <c r="CMY868" s="295" t="s">
        <v>71</v>
      </c>
      <c r="CMZ868" s="295" t="s">
        <v>71</v>
      </c>
      <c r="CNA868" s="295" t="s">
        <v>71</v>
      </c>
      <c r="CNB868" s="295" t="s">
        <v>71</v>
      </c>
      <c r="CNC868" s="295" t="s">
        <v>71</v>
      </c>
      <c r="CND868" s="295" t="s">
        <v>71</v>
      </c>
      <c r="CNE868" s="295" t="s">
        <v>71</v>
      </c>
      <c r="CNF868" s="295" t="s">
        <v>71</v>
      </c>
      <c r="CNG868" s="295" t="s">
        <v>71</v>
      </c>
      <c r="CNH868" s="295" t="s">
        <v>71</v>
      </c>
      <c r="CNI868" s="295" t="s">
        <v>71</v>
      </c>
      <c r="CNJ868" s="295" t="s">
        <v>71</v>
      </c>
      <c r="CNK868" s="295" t="s">
        <v>71</v>
      </c>
      <c r="CNL868" s="295" t="s">
        <v>71</v>
      </c>
      <c r="CNM868" s="295" t="s">
        <v>71</v>
      </c>
      <c r="CNN868" s="295" t="s">
        <v>71</v>
      </c>
      <c r="CNO868" s="295" t="s">
        <v>71</v>
      </c>
      <c r="CNP868" s="295" t="s">
        <v>71</v>
      </c>
      <c r="CNQ868" s="295" t="s">
        <v>71</v>
      </c>
      <c r="CNR868" s="295" t="s">
        <v>71</v>
      </c>
      <c r="CNS868" s="295" t="s">
        <v>71</v>
      </c>
      <c r="CNT868" s="295" t="s">
        <v>71</v>
      </c>
      <c r="CNU868" s="295" t="s">
        <v>71</v>
      </c>
      <c r="CNV868" s="295" t="s">
        <v>71</v>
      </c>
      <c r="CNW868" s="295" t="s">
        <v>71</v>
      </c>
      <c r="CNX868" s="295" t="s">
        <v>71</v>
      </c>
      <c r="CNY868" s="295" t="s">
        <v>71</v>
      </c>
      <c r="CNZ868" s="295" t="s">
        <v>71</v>
      </c>
      <c r="COA868" s="295" t="s">
        <v>71</v>
      </c>
      <c r="COB868" s="295" t="s">
        <v>71</v>
      </c>
      <c r="COC868" s="295" t="s">
        <v>71</v>
      </c>
      <c r="COD868" s="295" t="s">
        <v>71</v>
      </c>
      <c r="COE868" s="295" t="s">
        <v>71</v>
      </c>
      <c r="COF868" s="295" t="s">
        <v>71</v>
      </c>
      <c r="COG868" s="295" t="s">
        <v>71</v>
      </c>
      <c r="COH868" s="295" t="s">
        <v>71</v>
      </c>
      <c r="COI868" s="295" t="s">
        <v>71</v>
      </c>
      <c r="COJ868" s="295" t="s">
        <v>71</v>
      </c>
      <c r="COK868" s="295" t="s">
        <v>71</v>
      </c>
      <c r="COL868" s="295" t="s">
        <v>71</v>
      </c>
      <c r="COM868" s="295" t="s">
        <v>71</v>
      </c>
      <c r="CON868" s="295" t="s">
        <v>71</v>
      </c>
      <c r="COO868" s="295" t="s">
        <v>71</v>
      </c>
      <c r="COP868" s="295" t="s">
        <v>71</v>
      </c>
      <c r="COQ868" s="295" t="s">
        <v>71</v>
      </c>
      <c r="COR868" s="295" t="s">
        <v>71</v>
      </c>
      <c r="COS868" s="295" t="s">
        <v>71</v>
      </c>
      <c r="COT868" s="295" t="s">
        <v>71</v>
      </c>
      <c r="COU868" s="295" t="s">
        <v>71</v>
      </c>
      <c r="COV868" s="295" t="s">
        <v>71</v>
      </c>
      <c r="COW868" s="295" t="s">
        <v>71</v>
      </c>
      <c r="COX868" s="295" t="s">
        <v>71</v>
      </c>
      <c r="COY868" s="295" t="s">
        <v>71</v>
      </c>
      <c r="COZ868" s="295" t="s">
        <v>71</v>
      </c>
      <c r="CPA868" s="295" t="s">
        <v>71</v>
      </c>
      <c r="CPB868" s="295" t="s">
        <v>71</v>
      </c>
      <c r="CPC868" s="295" t="s">
        <v>71</v>
      </c>
      <c r="CPD868" s="295" t="s">
        <v>71</v>
      </c>
      <c r="CPE868" s="295" t="s">
        <v>71</v>
      </c>
      <c r="CPF868" s="295" t="s">
        <v>71</v>
      </c>
      <c r="CPG868" s="295" t="s">
        <v>71</v>
      </c>
      <c r="CPH868" s="295" t="s">
        <v>71</v>
      </c>
      <c r="CPI868" s="295" t="s">
        <v>71</v>
      </c>
      <c r="CPJ868" s="295" t="s">
        <v>71</v>
      </c>
      <c r="CPK868" s="295" t="s">
        <v>71</v>
      </c>
      <c r="CPL868" s="295" t="s">
        <v>71</v>
      </c>
      <c r="CPM868" s="295" t="s">
        <v>71</v>
      </c>
      <c r="CPN868" s="295" t="s">
        <v>71</v>
      </c>
      <c r="CPO868" s="295" t="s">
        <v>71</v>
      </c>
      <c r="CPP868" s="295" t="s">
        <v>71</v>
      </c>
      <c r="CPQ868" s="295" t="s">
        <v>71</v>
      </c>
      <c r="CPR868" s="295" t="s">
        <v>71</v>
      </c>
      <c r="CPS868" s="295" t="s">
        <v>71</v>
      </c>
      <c r="CPT868" s="295" t="s">
        <v>71</v>
      </c>
      <c r="CPU868" s="295" t="s">
        <v>71</v>
      </c>
      <c r="CPV868" s="295" t="s">
        <v>71</v>
      </c>
      <c r="CPW868" s="295" t="s">
        <v>71</v>
      </c>
      <c r="CPX868" s="295" t="s">
        <v>71</v>
      </c>
      <c r="CPY868" s="295" t="s">
        <v>71</v>
      </c>
      <c r="CPZ868" s="295" t="s">
        <v>71</v>
      </c>
      <c r="CQA868" s="295" t="s">
        <v>71</v>
      </c>
      <c r="CQB868" s="295" t="s">
        <v>71</v>
      </c>
      <c r="CQC868" s="295" t="s">
        <v>71</v>
      </c>
      <c r="CQD868" s="295" t="s">
        <v>71</v>
      </c>
      <c r="CQE868" s="295" t="s">
        <v>71</v>
      </c>
      <c r="CQF868" s="295" t="s">
        <v>71</v>
      </c>
      <c r="CQG868" s="295" t="s">
        <v>71</v>
      </c>
      <c r="CQH868" s="295" t="s">
        <v>71</v>
      </c>
      <c r="CQI868" s="295" t="s">
        <v>71</v>
      </c>
      <c r="CQJ868" s="295" t="s">
        <v>71</v>
      </c>
      <c r="CQK868" s="295" t="s">
        <v>71</v>
      </c>
      <c r="CQL868" s="295" t="s">
        <v>71</v>
      </c>
      <c r="CQM868" s="295" t="s">
        <v>71</v>
      </c>
      <c r="CQN868" s="295" t="s">
        <v>71</v>
      </c>
      <c r="CQO868" s="295" t="s">
        <v>71</v>
      </c>
      <c r="CQP868" s="295" t="s">
        <v>71</v>
      </c>
      <c r="CQQ868" s="295" t="s">
        <v>71</v>
      </c>
      <c r="CQR868" s="295" t="s">
        <v>71</v>
      </c>
      <c r="CQS868" s="295" t="s">
        <v>71</v>
      </c>
      <c r="CQT868" s="295" t="s">
        <v>71</v>
      </c>
      <c r="CQU868" s="295" t="s">
        <v>71</v>
      </c>
      <c r="CQV868" s="295" t="s">
        <v>71</v>
      </c>
      <c r="CQW868" s="295" t="s">
        <v>71</v>
      </c>
      <c r="CQX868" s="295" t="s">
        <v>71</v>
      </c>
      <c r="CQY868" s="295" t="s">
        <v>71</v>
      </c>
      <c r="CQZ868" s="295" t="s">
        <v>71</v>
      </c>
      <c r="CRA868" s="295" t="s">
        <v>71</v>
      </c>
      <c r="CRB868" s="295" t="s">
        <v>71</v>
      </c>
      <c r="CRC868" s="295" t="s">
        <v>71</v>
      </c>
      <c r="CRD868" s="295" t="s">
        <v>71</v>
      </c>
      <c r="CRE868" s="295" t="s">
        <v>71</v>
      </c>
      <c r="CRF868" s="295" t="s">
        <v>71</v>
      </c>
      <c r="CRG868" s="295" t="s">
        <v>71</v>
      </c>
      <c r="CRH868" s="295" t="s">
        <v>71</v>
      </c>
      <c r="CRI868" s="295" t="s">
        <v>71</v>
      </c>
      <c r="CRJ868" s="295" t="s">
        <v>71</v>
      </c>
      <c r="CRK868" s="295" t="s">
        <v>71</v>
      </c>
      <c r="CRL868" s="295" t="s">
        <v>71</v>
      </c>
      <c r="CRM868" s="295" t="s">
        <v>71</v>
      </c>
      <c r="CRN868" s="295" t="s">
        <v>71</v>
      </c>
      <c r="CRO868" s="295" t="s">
        <v>71</v>
      </c>
      <c r="CRP868" s="295" t="s">
        <v>71</v>
      </c>
      <c r="CRQ868" s="295" t="s">
        <v>71</v>
      </c>
      <c r="CRR868" s="295" t="s">
        <v>71</v>
      </c>
      <c r="CRS868" s="295" t="s">
        <v>71</v>
      </c>
      <c r="CRT868" s="295" t="s">
        <v>71</v>
      </c>
      <c r="CRU868" s="295" t="s">
        <v>71</v>
      </c>
      <c r="CRV868" s="295" t="s">
        <v>71</v>
      </c>
      <c r="CRW868" s="295" t="s">
        <v>71</v>
      </c>
      <c r="CRX868" s="295" t="s">
        <v>71</v>
      </c>
      <c r="CRY868" s="295" t="s">
        <v>71</v>
      </c>
      <c r="CRZ868" s="295" t="s">
        <v>71</v>
      </c>
      <c r="CSA868" s="295" t="s">
        <v>71</v>
      </c>
      <c r="CSB868" s="295" t="s">
        <v>71</v>
      </c>
      <c r="CSC868" s="295" t="s">
        <v>71</v>
      </c>
      <c r="CSD868" s="295" t="s">
        <v>71</v>
      </c>
      <c r="CSE868" s="295" t="s">
        <v>71</v>
      </c>
      <c r="CSF868" s="295" t="s">
        <v>71</v>
      </c>
      <c r="CSG868" s="295" t="s">
        <v>71</v>
      </c>
      <c r="CSH868" s="295" t="s">
        <v>71</v>
      </c>
      <c r="CSI868" s="295" t="s">
        <v>71</v>
      </c>
      <c r="CSJ868" s="295" t="s">
        <v>71</v>
      </c>
      <c r="CSK868" s="295" t="s">
        <v>71</v>
      </c>
      <c r="CSL868" s="295" t="s">
        <v>71</v>
      </c>
      <c r="CSM868" s="295" t="s">
        <v>71</v>
      </c>
      <c r="CSN868" s="295" t="s">
        <v>71</v>
      </c>
      <c r="CSO868" s="295" t="s">
        <v>71</v>
      </c>
      <c r="CSP868" s="295" t="s">
        <v>71</v>
      </c>
      <c r="CSQ868" s="295" t="s">
        <v>71</v>
      </c>
      <c r="CSR868" s="295" t="s">
        <v>71</v>
      </c>
      <c r="CSS868" s="295" t="s">
        <v>71</v>
      </c>
      <c r="CST868" s="295" t="s">
        <v>71</v>
      </c>
      <c r="CSU868" s="295" t="s">
        <v>71</v>
      </c>
      <c r="CSV868" s="295" t="s">
        <v>71</v>
      </c>
      <c r="CSW868" s="295" t="s">
        <v>71</v>
      </c>
      <c r="CSX868" s="295" t="s">
        <v>71</v>
      </c>
      <c r="CSY868" s="295" t="s">
        <v>71</v>
      </c>
      <c r="CSZ868" s="295" t="s">
        <v>71</v>
      </c>
      <c r="CTA868" s="295" t="s">
        <v>71</v>
      </c>
      <c r="CTB868" s="295" t="s">
        <v>71</v>
      </c>
      <c r="CTC868" s="295" t="s">
        <v>71</v>
      </c>
      <c r="CTD868" s="295" t="s">
        <v>71</v>
      </c>
      <c r="CTE868" s="295" t="s">
        <v>71</v>
      </c>
      <c r="CTF868" s="295" t="s">
        <v>71</v>
      </c>
      <c r="CTG868" s="295" t="s">
        <v>71</v>
      </c>
      <c r="CTH868" s="295" t="s">
        <v>71</v>
      </c>
      <c r="CTI868" s="295" t="s">
        <v>71</v>
      </c>
      <c r="CTJ868" s="295" t="s">
        <v>71</v>
      </c>
      <c r="CTK868" s="295" t="s">
        <v>71</v>
      </c>
      <c r="CTL868" s="295" t="s">
        <v>71</v>
      </c>
      <c r="CTM868" s="295" t="s">
        <v>71</v>
      </c>
      <c r="CTN868" s="295" t="s">
        <v>71</v>
      </c>
      <c r="CTO868" s="295" t="s">
        <v>71</v>
      </c>
      <c r="CTP868" s="295" t="s">
        <v>71</v>
      </c>
      <c r="CTQ868" s="295" t="s">
        <v>71</v>
      </c>
      <c r="CTR868" s="295" t="s">
        <v>71</v>
      </c>
      <c r="CTS868" s="295" t="s">
        <v>71</v>
      </c>
      <c r="CTT868" s="295" t="s">
        <v>71</v>
      </c>
      <c r="CTU868" s="295" t="s">
        <v>71</v>
      </c>
      <c r="CTV868" s="295" t="s">
        <v>71</v>
      </c>
      <c r="CTW868" s="295" t="s">
        <v>71</v>
      </c>
      <c r="CTX868" s="295" t="s">
        <v>71</v>
      </c>
      <c r="CTY868" s="295" t="s">
        <v>71</v>
      </c>
      <c r="CTZ868" s="295" t="s">
        <v>71</v>
      </c>
      <c r="CUA868" s="295" t="s">
        <v>71</v>
      </c>
      <c r="CUB868" s="295" t="s">
        <v>71</v>
      </c>
      <c r="CUC868" s="295" t="s">
        <v>71</v>
      </c>
      <c r="CUD868" s="295" t="s">
        <v>71</v>
      </c>
      <c r="CUE868" s="295" t="s">
        <v>71</v>
      </c>
      <c r="CUF868" s="295" t="s">
        <v>71</v>
      </c>
      <c r="CUG868" s="295" t="s">
        <v>71</v>
      </c>
      <c r="CUH868" s="295" t="s">
        <v>71</v>
      </c>
      <c r="CUI868" s="295" t="s">
        <v>71</v>
      </c>
      <c r="CUJ868" s="295" t="s">
        <v>71</v>
      </c>
      <c r="CUK868" s="295" t="s">
        <v>71</v>
      </c>
      <c r="CUL868" s="295" t="s">
        <v>71</v>
      </c>
      <c r="CUM868" s="295" t="s">
        <v>71</v>
      </c>
      <c r="CUN868" s="295" t="s">
        <v>71</v>
      </c>
      <c r="CUO868" s="295" t="s">
        <v>71</v>
      </c>
      <c r="CUP868" s="295" t="s">
        <v>71</v>
      </c>
      <c r="CUQ868" s="295" t="s">
        <v>71</v>
      </c>
      <c r="CUR868" s="295" t="s">
        <v>71</v>
      </c>
      <c r="CUS868" s="295" t="s">
        <v>71</v>
      </c>
      <c r="CUT868" s="295" t="s">
        <v>71</v>
      </c>
      <c r="CUU868" s="295" t="s">
        <v>71</v>
      </c>
      <c r="CUV868" s="295" t="s">
        <v>71</v>
      </c>
      <c r="CUW868" s="295" t="s">
        <v>71</v>
      </c>
      <c r="CUX868" s="295" t="s">
        <v>71</v>
      </c>
      <c r="CUY868" s="295" t="s">
        <v>71</v>
      </c>
      <c r="CUZ868" s="295" t="s">
        <v>71</v>
      </c>
      <c r="CVA868" s="295" t="s">
        <v>71</v>
      </c>
      <c r="CVB868" s="295" t="s">
        <v>71</v>
      </c>
      <c r="CVC868" s="295" t="s">
        <v>71</v>
      </c>
      <c r="CVD868" s="295" t="s">
        <v>71</v>
      </c>
      <c r="CVE868" s="295" t="s">
        <v>71</v>
      </c>
      <c r="CVF868" s="295" t="s">
        <v>71</v>
      </c>
      <c r="CVG868" s="295" t="s">
        <v>71</v>
      </c>
      <c r="CVH868" s="295" t="s">
        <v>71</v>
      </c>
      <c r="CVI868" s="295" t="s">
        <v>71</v>
      </c>
      <c r="CVJ868" s="295" t="s">
        <v>71</v>
      </c>
      <c r="CVK868" s="295" t="s">
        <v>71</v>
      </c>
      <c r="CVL868" s="295" t="s">
        <v>71</v>
      </c>
      <c r="CVM868" s="295" t="s">
        <v>71</v>
      </c>
      <c r="CVN868" s="295" t="s">
        <v>71</v>
      </c>
      <c r="CVO868" s="295" t="s">
        <v>71</v>
      </c>
      <c r="CVP868" s="295" t="s">
        <v>71</v>
      </c>
      <c r="CVQ868" s="295" t="s">
        <v>71</v>
      </c>
      <c r="CVR868" s="295" t="s">
        <v>71</v>
      </c>
      <c r="CVS868" s="295" t="s">
        <v>71</v>
      </c>
      <c r="CVT868" s="295" t="s">
        <v>71</v>
      </c>
      <c r="CVU868" s="295" t="s">
        <v>71</v>
      </c>
      <c r="CVV868" s="295" t="s">
        <v>71</v>
      </c>
      <c r="CVW868" s="295" t="s">
        <v>71</v>
      </c>
      <c r="CVX868" s="295" t="s">
        <v>71</v>
      </c>
      <c r="CVY868" s="295" t="s">
        <v>71</v>
      </c>
      <c r="CVZ868" s="295" t="s">
        <v>71</v>
      </c>
      <c r="CWA868" s="295" t="s">
        <v>71</v>
      </c>
      <c r="CWB868" s="295" t="s">
        <v>71</v>
      </c>
      <c r="CWC868" s="295" t="s">
        <v>71</v>
      </c>
      <c r="CWD868" s="295" t="s">
        <v>71</v>
      </c>
      <c r="CWE868" s="295" t="s">
        <v>71</v>
      </c>
      <c r="CWF868" s="295" t="s">
        <v>71</v>
      </c>
      <c r="CWG868" s="295" t="s">
        <v>71</v>
      </c>
      <c r="CWH868" s="295" t="s">
        <v>71</v>
      </c>
      <c r="CWI868" s="295" t="s">
        <v>71</v>
      </c>
      <c r="CWJ868" s="295" t="s">
        <v>71</v>
      </c>
      <c r="CWK868" s="295" t="s">
        <v>71</v>
      </c>
      <c r="CWL868" s="295" t="s">
        <v>71</v>
      </c>
      <c r="CWM868" s="295" t="s">
        <v>71</v>
      </c>
      <c r="CWN868" s="295" t="s">
        <v>71</v>
      </c>
      <c r="CWO868" s="295" t="s">
        <v>71</v>
      </c>
      <c r="CWP868" s="295" t="s">
        <v>71</v>
      </c>
      <c r="CWQ868" s="295" t="s">
        <v>71</v>
      </c>
      <c r="CWR868" s="295" t="s">
        <v>71</v>
      </c>
      <c r="CWS868" s="295" t="s">
        <v>71</v>
      </c>
      <c r="CWT868" s="295" t="s">
        <v>71</v>
      </c>
      <c r="CWU868" s="295" t="s">
        <v>71</v>
      </c>
      <c r="CWV868" s="295" t="s">
        <v>71</v>
      </c>
      <c r="CWW868" s="295" t="s">
        <v>71</v>
      </c>
      <c r="CWX868" s="295" t="s">
        <v>71</v>
      </c>
      <c r="CWY868" s="295" t="s">
        <v>71</v>
      </c>
      <c r="CWZ868" s="295" t="s">
        <v>71</v>
      </c>
      <c r="CXA868" s="295" t="s">
        <v>71</v>
      </c>
      <c r="CXB868" s="295" t="s">
        <v>71</v>
      </c>
      <c r="CXC868" s="295" t="s">
        <v>71</v>
      </c>
      <c r="CXD868" s="295" t="s">
        <v>71</v>
      </c>
      <c r="CXE868" s="295" t="s">
        <v>71</v>
      </c>
      <c r="CXF868" s="295" t="s">
        <v>71</v>
      </c>
      <c r="CXG868" s="295" t="s">
        <v>71</v>
      </c>
      <c r="CXH868" s="295" t="s">
        <v>71</v>
      </c>
      <c r="CXI868" s="295" t="s">
        <v>71</v>
      </c>
      <c r="CXJ868" s="295" t="s">
        <v>71</v>
      </c>
      <c r="CXK868" s="295" t="s">
        <v>71</v>
      </c>
      <c r="CXL868" s="295" t="s">
        <v>71</v>
      </c>
      <c r="CXM868" s="295" t="s">
        <v>71</v>
      </c>
      <c r="CXN868" s="295" t="s">
        <v>71</v>
      </c>
      <c r="CXO868" s="295" t="s">
        <v>71</v>
      </c>
      <c r="CXP868" s="295" t="s">
        <v>71</v>
      </c>
      <c r="CXQ868" s="295" t="s">
        <v>71</v>
      </c>
      <c r="CXR868" s="295" t="s">
        <v>71</v>
      </c>
      <c r="CXS868" s="295" t="s">
        <v>71</v>
      </c>
      <c r="CXT868" s="295" t="s">
        <v>71</v>
      </c>
      <c r="CXU868" s="295" t="s">
        <v>71</v>
      </c>
      <c r="CXV868" s="295" t="s">
        <v>71</v>
      </c>
      <c r="CXW868" s="295" t="s">
        <v>71</v>
      </c>
      <c r="CXX868" s="295" t="s">
        <v>71</v>
      </c>
      <c r="CXY868" s="295" t="s">
        <v>71</v>
      </c>
      <c r="CXZ868" s="295" t="s">
        <v>71</v>
      </c>
      <c r="CYA868" s="295" t="s">
        <v>71</v>
      </c>
      <c r="CYB868" s="295" t="s">
        <v>71</v>
      </c>
      <c r="CYC868" s="295" t="s">
        <v>71</v>
      </c>
      <c r="CYD868" s="295" t="s">
        <v>71</v>
      </c>
      <c r="CYE868" s="295" t="s">
        <v>71</v>
      </c>
      <c r="CYF868" s="295" t="s">
        <v>71</v>
      </c>
      <c r="CYG868" s="295" t="s">
        <v>71</v>
      </c>
      <c r="CYH868" s="295" t="s">
        <v>71</v>
      </c>
      <c r="CYI868" s="295" t="s">
        <v>71</v>
      </c>
      <c r="CYJ868" s="295" t="s">
        <v>71</v>
      </c>
      <c r="CYK868" s="295" t="s">
        <v>71</v>
      </c>
      <c r="CYL868" s="295" t="s">
        <v>71</v>
      </c>
      <c r="CYM868" s="295" t="s">
        <v>71</v>
      </c>
      <c r="CYN868" s="295" t="s">
        <v>71</v>
      </c>
      <c r="CYO868" s="295" t="s">
        <v>71</v>
      </c>
      <c r="CYP868" s="295" t="s">
        <v>71</v>
      </c>
      <c r="CYQ868" s="295" t="s">
        <v>71</v>
      </c>
      <c r="CYR868" s="295" t="s">
        <v>71</v>
      </c>
      <c r="CYS868" s="295" t="s">
        <v>71</v>
      </c>
      <c r="CYT868" s="295" t="s">
        <v>71</v>
      </c>
      <c r="CYU868" s="295" t="s">
        <v>71</v>
      </c>
      <c r="CYV868" s="295" t="s">
        <v>71</v>
      </c>
      <c r="CYW868" s="295" t="s">
        <v>71</v>
      </c>
      <c r="CYX868" s="295" t="s">
        <v>71</v>
      </c>
      <c r="CYY868" s="295" t="s">
        <v>71</v>
      </c>
      <c r="CYZ868" s="295" t="s">
        <v>71</v>
      </c>
      <c r="CZA868" s="295" t="s">
        <v>71</v>
      </c>
      <c r="CZB868" s="295" t="s">
        <v>71</v>
      </c>
      <c r="CZC868" s="295" t="s">
        <v>71</v>
      </c>
      <c r="CZD868" s="295" t="s">
        <v>71</v>
      </c>
      <c r="CZE868" s="295" t="s">
        <v>71</v>
      </c>
      <c r="CZF868" s="295" t="s">
        <v>71</v>
      </c>
      <c r="CZG868" s="295" t="s">
        <v>71</v>
      </c>
      <c r="CZH868" s="295" t="s">
        <v>71</v>
      </c>
      <c r="CZI868" s="295" t="s">
        <v>71</v>
      </c>
      <c r="CZJ868" s="295" t="s">
        <v>71</v>
      </c>
      <c r="CZK868" s="295" t="s">
        <v>71</v>
      </c>
      <c r="CZL868" s="295" t="s">
        <v>71</v>
      </c>
      <c r="CZM868" s="295" t="s">
        <v>71</v>
      </c>
      <c r="CZN868" s="295" t="s">
        <v>71</v>
      </c>
      <c r="CZO868" s="295" t="s">
        <v>71</v>
      </c>
      <c r="CZP868" s="295" t="s">
        <v>71</v>
      </c>
      <c r="CZQ868" s="295" t="s">
        <v>71</v>
      </c>
      <c r="CZR868" s="295" t="s">
        <v>71</v>
      </c>
      <c r="CZS868" s="295" t="s">
        <v>71</v>
      </c>
      <c r="CZT868" s="295" t="s">
        <v>71</v>
      </c>
      <c r="CZU868" s="295" t="s">
        <v>71</v>
      </c>
      <c r="CZV868" s="295" t="s">
        <v>71</v>
      </c>
      <c r="CZW868" s="295" t="s">
        <v>71</v>
      </c>
      <c r="CZX868" s="295" t="s">
        <v>71</v>
      </c>
      <c r="CZY868" s="295" t="s">
        <v>71</v>
      </c>
      <c r="CZZ868" s="295" t="s">
        <v>71</v>
      </c>
      <c r="DAA868" s="295" t="s">
        <v>71</v>
      </c>
      <c r="DAB868" s="295" t="s">
        <v>71</v>
      </c>
      <c r="DAC868" s="295" t="s">
        <v>71</v>
      </c>
      <c r="DAD868" s="295" t="s">
        <v>71</v>
      </c>
      <c r="DAE868" s="295" t="s">
        <v>71</v>
      </c>
      <c r="DAF868" s="295" t="s">
        <v>71</v>
      </c>
      <c r="DAG868" s="295" t="s">
        <v>71</v>
      </c>
      <c r="DAH868" s="295" t="s">
        <v>71</v>
      </c>
      <c r="DAI868" s="295" t="s">
        <v>71</v>
      </c>
      <c r="DAJ868" s="295" t="s">
        <v>71</v>
      </c>
      <c r="DAK868" s="295" t="s">
        <v>71</v>
      </c>
      <c r="DAL868" s="295" t="s">
        <v>71</v>
      </c>
      <c r="DAM868" s="295" t="s">
        <v>71</v>
      </c>
      <c r="DAN868" s="295" t="s">
        <v>71</v>
      </c>
      <c r="DAO868" s="295" t="s">
        <v>71</v>
      </c>
      <c r="DAP868" s="295" t="s">
        <v>71</v>
      </c>
      <c r="DAQ868" s="295" t="s">
        <v>71</v>
      </c>
      <c r="DAR868" s="295" t="s">
        <v>71</v>
      </c>
      <c r="DAS868" s="295" t="s">
        <v>71</v>
      </c>
      <c r="DAT868" s="295" t="s">
        <v>71</v>
      </c>
      <c r="DAU868" s="295" t="s">
        <v>71</v>
      </c>
      <c r="DAV868" s="295" t="s">
        <v>71</v>
      </c>
      <c r="DAW868" s="295" t="s">
        <v>71</v>
      </c>
      <c r="DAX868" s="295" t="s">
        <v>71</v>
      </c>
      <c r="DAY868" s="295" t="s">
        <v>71</v>
      </c>
      <c r="DAZ868" s="295" t="s">
        <v>71</v>
      </c>
      <c r="DBA868" s="295" t="s">
        <v>71</v>
      </c>
      <c r="DBB868" s="295" t="s">
        <v>71</v>
      </c>
      <c r="DBC868" s="295" t="s">
        <v>71</v>
      </c>
      <c r="DBD868" s="295" t="s">
        <v>71</v>
      </c>
      <c r="DBE868" s="295" t="s">
        <v>71</v>
      </c>
      <c r="DBF868" s="295" t="s">
        <v>71</v>
      </c>
      <c r="DBG868" s="295" t="s">
        <v>71</v>
      </c>
      <c r="DBH868" s="295" t="s">
        <v>71</v>
      </c>
      <c r="DBI868" s="295" t="s">
        <v>71</v>
      </c>
      <c r="DBJ868" s="295" t="s">
        <v>71</v>
      </c>
      <c r="DBK868" s="295" t="s">
        <v>71</v>
      </c>
      <c r="DBL868" s="295" t="s">
        <v>71</v>
      </c>
      <c r="DBM868" s="295" t="s">
        <v>71</v>
      </c>
      <c r="DBN868" s="295" t="s">
        <v>71</v>
      </c>
      <c r="DBO868" s="295" t="s">
        <v>71</v>
      </c>
      <c r="DBP868" s="295" t="s">
        <v>71</v>
      </c>
      <c r="DBQ868" s="295" t="s">
        <v>71</v>
      </c>
      <c r="DBR868" s="295" t="s">
        <v>71</v>
      </c>
      <c r="DBS868" s="295" t="s">
        <v>71</v>
      </c>
      <c r="DBT868" s="295" t="s">
        <v>71</v>
      </c>
      <c r="DBU868" s="295" t="s">
        <v>71</v>
      </c>
      <c r="DBV868" s="295" t="s">
        <v>71</v>
      </c>
      <c r="DBW868" s="295" t="s">
        <v>71</v>
      </c>
      <c r="DBX868" s="295" t="s">
        <v>71</v>
      </c>
      <c r="DBY868" s="295" t="s">
        <v>71</v>
      </c>
      <c r="DBZ868" s="295" t="s">
        <v>71</v>
      </c>
      <c r="DCA868" s="295" t="s">
        <v>71</v>
      </c>
      <c r="DCB868" s="295" t="s">
        <v>71</v>
      </c>
      <c r="DCC868" s="295" t="s">
        <v>71</v>
      </c>
      <c r="DCD868" s="295" t="s">
        <v>71</v>
      </c>
      <c r="DCE868" s="295" t="s">
        <v>71</v>
      </c>
      <c r="DCF868" s="295" t="s">
        <v>71</v>
      </c>
      <c r="DCG868" s="295" t="s">
        <v>71</v>
      </c>
      <c r="DCH868" s="295" t="s">
        <v>71</v>
      </c>
      <c r="DCI868" s="295" t="s">
        <v>71</v>
      </c>
      <c r="DCJ868" s="295" t="s">
        <v>71</v>
      </c>
      <c r="DCK868" s="295" t="s">
        <v>71</v>
      </c>
      <c r="DCL868" s="295" t="s">
        <v>71</v>
      </c>
      <c r="DCM868" s="295" t="s">
        <v>71</v>
      </c>
      <c r="DCN868" s="295" t="s">
        <v>71</v>
      </c>
      <c r="DCO868" s="295" t="s">
        <v>71</v>
      </c>
      <c r="DCP868" s="295" t="s">
        <v>71</v>
      </c>
      <c r="DCQ868" s="295" t="s">
        <v>71</v>
      </c>
      <c r="DCR868" s="295" t="s">
        <v>71</v>
      </c>
      <c r="DCS868" s="295" t="s">
        <v>71</v>
      </c>
      <c r="DCT868" s="295" t="s">
        <v>71</v>
      </c>
      <c r="DCU868" s="295" t="s">
        <v>71</v>
      </c>
      <c r="DCV868" s="295" t="s">
        <v>71</v>
      </c>
      <c r="DCW868" s="295" t="s">
        <v>71</v>
      </c>
      <c r="DCX868" s="295" t="s">
        <v>71</v>
      </c>
      <c r="DCY868" s="295" t="s">
        <v>71</v>
      </c>
      <c r="DCZ868" s="295" t="s">
        <v>71</v>
      </c>
      <c r="DDA868" s="295" t="s">
        <v>71</v>
      </c>
      <c r="DDB868" s="295" t="s">
        <v>71</v>
      </c>
      <c r="DDC868" s="295" t="s">
        <v>71</v>
      </c>
      <c r="DDD868" s="295" t="s">
        <v>71</v>
      </c>
      <c r="DDE868" s="295" t="s">
        <v>71</v>
      </c>
      <c r="DDF868" s="295" t="s">
        <v>71</v>
      </c>
      <c r="DDG868" s="295" t="s">
        <v>71</v>
      </c>
      <c r="DDH868" s="295" t="s">
        <v>71</v>
      </c>
      <c r="DDI868" s="295" t="s">
        <v>71</v>
      </c>
      <c r="DDJ868" s="295" t="s">
        <v>71</v>
      </c>
      <c r="DDK868" s="295" t="s">
        <v>71</v>
      </c>
      <c r="DDL868" s="295" t="s">
        <v>71</v>
      </c>
      <c r="DDM868" s="295" t="s">
        <v>71</v>
      </c>
      <c r="DDN868" s="295" t="s">
        <v>71</v>
      </c>
      <c r="DDO868" s="295" t="s">
        <v>71</v>
      </c>
      <c r="DDP868" s="295" t="s">
        <v>71</v>
      </c>
      <c r="DDQ868" s="295" t="s">
        <v>71</v>
      </c>
      <c r="DDR868" s="295" t="s">
        <v>71</v>
      </c>
      <c r="DDS868" s="295" t="s">
        <v>71</v>
      </c>
      <c r="DDT868" s="295" t="s">
        <v>71</v>
      </c>
      <c r="DDU868" s="295" t="s">
        <v>71</v>
      </c>
      <c r="DDV868" s="295" t="s">
        <v>71</v>
      </c>
      <c r="DDW868" s="295" t="s">
        <v>71</v>
      </c>
      <c r="DDX868" s="295" t="s">
        <v>71</v>
      </c>
      <c r="DDY868" s="295" t="s">
        <v>71</v>
      </c>
      <c r="DDZ868" s="295" t="s">
        <v>71</v>
      </c>
      <c r="DEA868" s="295" t="s">
        <v>71</v>
      </c>
      <c r="DEB868" s="295" t="s">
        <v>71</v>
      </c>
      <c r="DEC868" s="295" t="s">
        <v>71</v>
      </c>
      <c r="DED868" s="295" t="s">
        <v>71</v>
      </c>
      <c r="DEE868" s="295" t="s">
        <v>71</v>
      </c>
      <c r="DEF868" s="295" t="s">
        <v>71</v>
      </c>
      <c r="DEG868" s="295" t="s">
        <v>71</v>
      </c>
      <c r="DEH868" s="295" t="s">
        <v>71</v>
      </c>
      <c r="DEI868" s="295" t="s">
        <v>71</v>
      </c>
      <c r="DEJ868" s="295" t="s">
        <v>71</v>
      </c>
      <c r="DEK868" s="295" t="s">
        <v>71</v>
      </c>
      <c r="DEL868" s="295" t="s">
        <v>71</v>
      </c>
      <c r="DEM868" s="295" t="s">
        <v>71</v>
      </c>
      <c r="DEN868" s="295" t="s">
        <v>71</v>
      </c>
      <c r="DEO868" s="295" t="s">
        <v>71</v>
      </c>
      <c r="DEP868" s="295" t="s">
        <v>71</v>
      </c>
      <c r="DEQ868" s="295" t="s">
        <v>71</v>
      </c>
      <c r="DER868" s="295" t="s">
        <v>71</v>
      </c>
      <c r="DES868" s="295" t="s">
        <v>71</v>
      </c>
      <c r="DET868" s="295" t="s">
        <v>71</v>
      </c>
      <c r="DEU868" s="295" t="s">
        <v>71</v>
      </c>
      <c r="DEV868" s="295" t="s">
        <v>71</v>
      </c>
      <c r="DEW868" s="295" t="s">
        <v>71</v>
      </c>
      <c r="DEX868" s="295" t="s">
        <v>71</v>
      </c>
      <c r="DEY868" s="295" t="s">
        <v>71</v>
      </c>
      <c r="DEZ868" s="295" t="s">
        <v>71</v>
      </c>
      <c r="DFA868" s="295" t="s">
        <v>71</v>
      </c>
      <c r="DFB868" s="295" t="s">
        <v>71</v>
      </c>
      <c r="DFC868" s="295" t="s">
        <v>71</v>
      </c>
      <c r="DFD868" s="295" t="s">
        <v>71</v>
      </c>
      <c r="DFE868" s="295" t="s">
        <v>71</v>
      </c>
      <c r="DFF868" s="295" t="s">
        <v>71</v>
      </c>
      <c r="DFG868" s="295" t="s">
        <v>71</v>
      </c>
      <c r="DFH868" s="295" t="s">
        <v>71</v>
      </c>
      <c r="DFI868" s="295" t="s">
        <v>71</v>
      </c>
      <c r="DFJ868" s="295" t="s">
        <v>71</v>
      </c>
      <c r="DFK868" s="295" t="s">
        <v>71</v>
      </c>
      <c r="DFL868" s="295" t="s">
        <v>71</v>
      </c>
      <c r="DFM868" s="295" t="s">
        <v>71</v>
      </c>
      <c r="DFN868" s="295" t="s">
        <v>71</v>
      </c>
      <c r="DFO868" s="295" t="s">
        <v>71</v>
      </c>
      <c r="DFP868" s="295" t="s">
        <v>71</v>
      </c>
      <c r="DFQ868" s="295" t="s">
        <v>71</v>
      </c>
      <c r="DFR868" s="295" t="s">
        <v>71</v>
      </c>
      <c r="DFS868" s="295" t="s">
        <v>71</v>
      </c>
      <c r="DFT868" s="295" t="s">
        <v>71</v>
      </c>
      <c r="DFU868" s="295" t="s">
        <v>71</v>
      </c>
      <c r="DFV868" s="295" t="s">
        <v>71</v>
      </c>
      <c r="DFW868" s="295" t="s">
        <v>71</v>
      </c>
      <c r="DFX868" s="295" t="s">
        <v>71</v>
      </c>
      <c r="DFY868" s="295" t="s">
        <v>71</v>
      </c>
      <c r="DFZ868" s="295" t="s">
        <v>71</v>
      </c>
      <c r="DGA868" s="295" t="s">
        <v>71</v>
      </c>
      <c r="DGB868" s="295" t="s">
        <v>71</v>
      </c>
      <c r="DGC868" s="295" t="s">
        <v>71</v>
      </c>
      <c r="DGD868" s="295" t="s">
        <v>71</v>
      </c>
      <c r="DGE868" s="295" t="s">
        <v>71</v>
      </c>
      <c r="DGF868" s="295" t="s">
        <v>71</v>
      </c>
      <c r="DGG868" s="295" t="s">
        <v>71</v>
      </c>
      <c r="DGH868" s="295" t="s">
        <v>71</v>
      </c>
      <c r="DGI868" s="295" t="s">
        <v>71</v>
      </c>
      <c r="DGJ868" s="295" t="s">
        <v>71</v>
      </c>
      <c r="DGK868" s="295" t="s">
        <v>71</v>
      </c>
      <c r="DGL868" s="295" t="s">
        <v>71</v>
      </c>
      <c r="DGM868" s="295" t="s">
        <v>71</v>
      </c>
      <c r="DGN868" s="295" t="s">
        <v>71</v>
      </c>
      <c r="DGO868" s="295" t="s">
        <v>71</v>
      </c>
      <c r="DGP868" s="295" t="s">
        <v>71</v>
      </c>
      <c r="DGQ868" s="295" t="s">
        <v>71</v>
      </c>
      <c r="DGR868" s="295" t="s">
        <v>71</v>
      </c>
      <c r="DGS868" s="295" t="s">
        <v>71</v>
      </c>
      <c r="DGT868" s="295" t="s">
        <v>71</v>
      </c>
      <c r="DGU868" s="295" t="s">
        <v>71</v>
      </c>
      <c r="DGV868" s="295" t="s">
        <v>71</v>
      </c>
      <c r="DGW868" s="295" t="s">
        <v>71</v>
      </c>
      <c r="DGX868" s="295" t="s">
        <v>71</v>
      </c>
      <c r="DGY868" s="295" t="s">
        <v>71</v>
      </c>
      <c r="DGZ868" s="295" t="s">
        <v>71</v>
      </c>
      <c r="DHA868" s="295" t="s">
        <v>71</v>
      </c>
      <c r="DHB868" s="295" t="s">
        <v>71</v>
      </c>
      <c r="DHC868" s="295" t="s">
        <v>71</v>
      </c>
      <c r="DHD868" s="295" t="s">
        <v>71</v>
      </c>
      <c r="DHE868" s="295" t="s">
        <v>71</v>
      </c>
      <c r="DHF868" s="295" t="s">
        <v>71</v>
      </c>
      <c r="DHG868" s="295" t="s">
        <v>71</v>
      </c>
      <c r="DHH868" s="295" t="s">
        <v>71</v>
      </c>
      <c r="DHI868" s="295" t="s">
        <v>71</v>
      </c>
      <c r="DHJ868" s="295" t="s">
        <v>71</v>
      </c>
      <c r="DHK868" s="295" t="s">
        <v>71</v>
      </c>
      <c r="DHL868" s="295" t="s">
        <v>71</v>
      </c>
      <c r="DHM868" s="295" t="s">
        <v>71</v>
      </c>
      <c r="DHN868" s="295" t="s">
        <v>71</v>
      </c>
      <c r="DHO868" s="295" t="s">
        <v>71</v>
      </c>
      <c r="DHP868" s="295" t="s">
        <v>71</v>
      </c>
      <c r="DHQ868" s="295" t="s">
        <v>71</v>
      </c>
      <c r="DHR868" s="295" t="s">
        <v>71</v>
      </c>
      <c r="DHS868" s="295" t="s">
        <v>71</v>
      </c>
      <c r="DHT868" s="295" t="s">
        <v>71</v>
      </c>
      <c r="DHU868" s="295" t="s">
        <v>71</v>
      </c>
      <c r="DHV868" s="295" t="s">
        <v>71</v>
      </c>
      <c r="DHW868" s="295" t="s">
        <v>71</v>
      </c>
      <c r="DHX868" s="295" t="s">
        <v>71</v>
      </c>
      <c r="DHY868" s="295" t="s">
        <v>71</v>
      </c>
      <c r="DHZ868" s="295" t="s">
        <v>71</v>
      </c>
      <c r="DIA868" s="295" t="s">
        <v>71</v>
      </c>
      <c r="DIB868" s="295" t="s">
        <v>71</v>
      </c>
      <c r="DIC868" s="295" t="s">
        <v>71</v>
      </c>
      <c r="DID868" s="295" t="s">
        <v>71</v>
      </c>
      <c r="DIE868" s="295" t="s">
        <v>71</v>
      </c>
      <c r="DIF868" s="295" t="s">
        <v>71</v>
      </c>
      <c r="DIG868" s="295" t="s">
        <v>71</v>
      </c>
      <c r="DIH868" s="295" t="s">
        <v>71</v>
      </c>
      <c r="DII868" s="295" t="s">
        <v>71</v>
      </c>
      <c r="DIJ868" s="295" t="s">
        <v>71</v>
      </c>
      <c r="DIK868" s="295" t="s">
        <v>71</v>
      </c>
      <c r="DIL868" s="295" t="s">
        <v>71</v>
      </c>
      <c r="DIM868" s="295" t="s">
        <v>71</v>
      </c>
      <c r="DIN868" s="295" t="s">
        <v>71</v>
      </c>
      <c r="DIO868" s="295" t="s">
        <v>71</v>
      </c>
      <c r="DIP868" s="295" t="s">
        <v>71</v>
      </c>
      <c r="DIQ868" s="295" t="s">
        <v>71</v>
      </c>
      <c r="DIR868" s="295" t="s">
        <v>71</v>
      </c>
      <c r="DIS868" s="295" t="s">
        <v>71</v>
      </c>
      <c r="DIT868" s="295" t="s">
        <v>71</v>
      </c>
      <c r="DIU868" s="295" t="s">
        <v>71</v>
      </c>
      <c r="DIV868" s="295" t="s">
        <v>71</v>
      </c>
      <c r="DIW868" s="295" t="s">
        <v>71</v>
      </c>
      <c r="DIX868" s="295" t="s">
        <v>71</v>
      </c>
      <c r="DIY868" s="295" t="s">
        <v>71</v>
      </c>
      <c r="DIZ868" s="295" t="s">
        <v>71</v>
      </c>
      <c r="DJA868" s="295" t="s">
        <v>71</v>
      </c>
      <c r="DJB868" s="295" t="s">
        <v>71</v>
      </c>
      <c r="DJC868" s="295" t="s">
        <v>71</v>
      </c>
      <c r="DJD868" s="295" t="s">
        <v>71</v>
      </c>
      <c r="DJE868" s="295" t="s">
        <v>71</v>
      </c>
      <c r="DJF868" s="295" t="s">
        <v>71</v>
      </c>
      <c r="DJG868" s="295" t="s">
        <v>71</v>
      </c>
      <c r="DJH868" s="295" t="s">
        <v>71</v>
      </c>
      <c r="DJI868" s="295" t="s">
        <v>71</v>
      </c>
      <c r="DJJ868" s="295" t="s">
        <v>71</v>
      </c>
      <c r="DJK868" s="295" t="s">
        <v>71</v>
      </c>
      <c r="DJL868" s="295" t="s">
        <v>71</v>
      </c>
      <c r="DJM868" s="295" t="s">
        <v>71</v>
      </c>
      <c r="DJN868" s="295" t="s">
        <v>71</v>
      </c>
      <c r="DJO868" s="295" t="s">
        <v>71</v>
      </c>
      <c r="DJP868" s="295" t="s">
        <v>71</v>
      </c>
      <c r="DJQ868" s="295" t="s">
        <v>71</v>
      </c>
      <c r="DJR868" s="295" t="s">
        <v>71</v>
      </c>
      <c r="DJS868" s="295" t="s">
        <v>71</v>
      </c>
      <c r="DJT868" s="295" t="s">
        <v>71</v>
      </c>
      <c r="DJU868" s="295" t="s">
        <v>71</v>
      </c>
      <c r="DJV868" s="295" t="s">
        <v>71</v>
      </c>
      <c r="DJW868" s="295" t="s">
        <v>71</v>
      </c>
      <c r="DJX868" s="295" t="s">
        <v>71</v>
      </c>
      <c r="DJY868" s="295" t="s">
        <v>71</v>
      </c>
      <c r="DJZ868" s="295" t="s">
        <v>71</v>
      </c>
      <c r="DKA868" s="295" t="s">
        <v>71</v>
      </c>
      <c r="DKB868" s="295" t="s">
        <v>71</v>
      </c>
      <c r="DKC868" s="295" t="s">
        <v>71</v>
      </c>
      <c r="DKD868" s="295" t="s">
        <v>71</v>
      </c>
      <c r="DKE868" s="295" t="s">
        <v>71</v>
      </c>
      <c r="DKF868" s="295" t="s">
        <v>71</v>
      </c>
      <c r="DKG868" s="295" t="s">
        <v>71</v>
      </c>
      <c r="DKH868" s="295" t="s">
        <v>71</v>
      </c>
      <c r="DKI868" s="295" t="s">
        <v>71</v>
      </c>
      <c r="DKJ868" s="295" t="s">
        <v>71</v>
      </c>
      <c r="DKK868" s="295" t="s">
        <v>71</v>
      </c>
      <c r="DKL868" s="295" t="s">
        <v>71</v>
      </c>
      <c r="DKM868" s="295" t="s">
        <v>71</v>
      </c>
      <c r="DKN868" s="295" t="s">
        <v>71</v>
      </c>
      <c r="DKO868" s="295" t="s">
        <v>71</v>
      </c>
      <c r="DKP868" s="295" t="s">
        <v>71</v>
      </c>
      <c r="DKQ868" s="295" t="s">
        <v>71</v>
      </c>
      <c r="DKR868" s="295" t="s">
        <v>71</v>
      </c>
      <c r="DKS868" s="295" t="s">
        <v>71</v>
      </c>
      <c r="DKT868" s="295" t="s">
        <v>71</v>
      </c>
      <c r="DKU868" s="295" t="s">
        <v>71</v>
      </c>
      <c r="DKV868" s="295" t="s">
        <v>71</v>
      </c>
      <c r="DKW868" s="295" t="s">
        <v>71</v>
      </c>
      <c r="DKX868" s="295" t="s">
        <v>71</v>
      </c>
      <c r="DKY868" s="295" t="s">
        <v>71</v>
      </c>
      <c r="DKZ868" s="295" t="s">
        <v>71</v>
      </c>
      <c r="DLA868" s="295" t="s">
        <v>71</v>
      </c>
      <c r="DLB868" s="295" t="s">
        <v>71</v>
      </c>
      <c r="DLC868" s="295" t="s">
        <v>71</v>
      </c>
      <c r="DLD868" s="295" t="s">
        <v>71</v>
      </c>
      <c r="DLE868" s="295" t="s">
        <v>71</v>
      </c>
      <c r="DLF868" s="295" t="s">
        <v>71</v>
      </c>
      <c r="DLG868" s="295" t="s">
        <v>71</v>
      </c>
      <c r="DLH868" s="295" t="s">
        <v>71</v>
      </c>
      <c r="DLI868" s="295" t="s">
        <v>71</v>
      </c>
      <c r="DLJ868" s="295" t="s">
        <v>71</v>
      </c>
      <c r="DLK868" s="295" t="s">
        <v>71</v>
      </c>
      <c r="DLL868" s="295" t="s">
        <v>71</v>
      </c>
      <c r="DLM868" s="295" t="s">
        <v>71</v>
      </c>
      <c r="DLN868" s="295" t="s">
        <v>71</v>
      </c>
      <c r="DLO868" s="295" t="s">
        <v>71</v>
      </c>
      <c r="DLP868" s="295" t="s">
        <v>71</v>
      </c>
      <c r="DLQ868" s="295" t="s">
        <v>71</v>
      </c>
      <c r="DLR868" s="295" t="s">
        <v>71</v>
      </c>
      <c r="DLS868" s="295" t="s">
        <v>71</v>
      </c>
      <c r="DLT868" s="295" t="s">
        <v>71</v>
      </c>
      <c r="DLU868" s="295" t="s">
        <v>71</v>
      </c>
      <c r="DLV868" s="295" t="s">
        <v>71</v>
      </c>
      <c r="DLW868" s="295" t="s">
        <v>71</v>
      </c>
      <c r="DLX868" s="295" t="s">
        <v>71</v>
      </c>
      <c r="DLY868" s="295" t="s">
        <v>71</v>
      </c>
      <c r="DLZ868" s="295" t="s">
        <v>71</v>
      </c>
      <c r="DMA868" s="295" t="s">
        <v>71</v>
      </c>
      <c r="DMB868" s="295" t="s">
        <v>71</v>
      </c>
      <c r="DMC868" s="295" t="s">
        <v>71</v>
      </c>
      <c r="DMD868" s="295" t="s">
        <v>71</v>
      </c>
      <c r="DME868" s="295" t="s">
        <v>71</v>
      </c>
      <c r="DMF868" s="295" t="s">
        <v>71</v>
      </c>
      <c r="DMG868" s="295" t="s">
        <v>71</v>
      </c>
      <c r="DMH868" s="295" t="s">
        <v>71</v>
      </c>
      <c r="DMI868" s="295" t="s">
        <v>71</v>
      </c>
      <c r="DMJ868" s="295" t="s">
        <v>71</v>
      </c>
      <c r="DMK868" s="295" t="s">
        <v>71</v>
      </c>
      <c r="DML868" s="295" t="s">
        <v>71</v>
      </c>
      <c r="DMM868" s="295" t="s">
        <v>71</v>
      </c>
      <c r="DMN868" s="295" t="s">
        <v>71</v>
      </c>
      <c r="DMO868" s="295" t="s">
        <v>71</v>
      </c>
      <c r="DMP868" s="295" t="s">
        <v>71</v>
      </c>
      <c r="DMQ868" s="295" t="s">
        <v>71</v>
      </c>
      <c r="DMR868" s="295" t="s">
        <v>71</v>
      </c>
      <c r="DMS868" s="295" t="s">
        <v>71</v>
      </c>
      <c r="DMT868" s="295" t="s">
        <v>71</v>
      </c>
      <c r="DMU868" s="295" t="s">
        <v>71</v>
      </c>
      <c r="DMV868" s="295" t="s">
        <v>71</v>
      </c>
      <c r="DMW868" s="295" t="s">
        <v>71</v>
      </c>
      <c r="DMX868" s="295" t="s">
        <v>71</v>
      </c>
      <c r="DMY868" s="295" t="s">
        <v>71</v>
      </c>
      <c r="DMZ868" s="295" t="s">
        <v>71</v>
      </c>
      <c r="DNA868" s="295" t="s">
        <v>71</v>
      </c>
      <c r="DNB868" s="295" t="s">
        <v>71</v>
      </c>
      <c r="DNC868" s="295" t="s">
        <v>71</v>
      </c>
      <c r="DND868" s="295" t="s">
        <v>71</v>
      </c>
      <c r="DNE868" s="295" t="s">
        <v>71</v>
      </c>
      <c r="DNF868" s="295" t="s">
        <v>71</v>
      </c>
      <c r="DNG868" s="295" t="s">
        <v>71</v>
      </c>
      <c r="DNH868" s="295" t="s">
        <v>71</v>
      </c>
      <c r="DNI868" s="295" t="s">
        <v>71</v>
      </c>
      <c r="DNJ868" s="295" t="s">
        <v>71</v>
      </c>
      <c r="DNK868" s="295" t="s">
        <v>71</v>
      </c>
      <c r="DNL868" s="295" t="s">
        <v>71</v>
      </c>
      <c r="DNM868" s="295" t="s">
        <v>71</v>
      </c>
      <c r="DNN868" s="295" t="s">
        <v>71</v>
      </c>
      <c r="DNO868" s="295" t="s">
        <v>71</v>
      </c>
      <c r="DNP868" s="295" t="s">
        <v>71</v>
      </c>
      <c r="DNQ868" s="295" t="s">
        <v>71</v>
      </c>
      <c r="DNR868" s="295" t="s">
        <v>71</v>
      </c>
      <c r="DNS868" s="295" t="s">
        <v>71</v>
      </c>
      <c r="DNT868" s="295" t="s">
        <v>71</v>
      </c>
      <c r="DNU868" s="295" t="s">
        <v>71</v>
      </c>
      <c r="DNV868" s="295" t="s">
        <v>71</v>
      </c>
      <c r="DNW868" s="295" t="s">
        <v>71</v>
      </c>
      <c r="DNX868" s="295" t="s">
        <v>71</v>
      </c>
      <c r="DNY868" s="295" t="s">
        <v>71</v>
      </c>
      <c r="DNZ868" s="295" t="s">
        <v>71</v>
      </c>
      <c r="DOA868" s="295" t="s">
        <v>71</v>
      </c>
      <c r="DOB868" s="295" t="s">
        <v>71</v>
      </c>
      <c r="DOC868" s="295" t="s">
        <v>71</v>
      </c>
      <c r="DOD868" s="295" t="s">
        <v>71</v>
      </c>
      <c r="DOE868" s="295" t="s">
        <v>71</v>
      </c>
      <c r="DOF868" s="295" t="s">
        <v>71</v>
      </c>
      <c r="DOG868" s="295" t="s">
        <v>71</v>
      </c>
      <c r="DOH868" s="295" t="s">
        <v>71</v>
      </c>
      <c r="DOI868" s="295" t="s">
        <v>71</v>
      </c>
      <c r="DOJ868" s="295" t="s">
        <v>71</v>
      </c>
      <c r="DOK868" s="295" t="s">
        <v>71</v>
      </c>
      <c r="DOL868" s="295" t="s">
        <v>71</v>
      </c>
      <c r="DOM868" s="295" t="s">
        <v>71</v>
      </c>
      <c r="DON868" s="295" t="s">
        <v>71</v>
      </c>
      <c r="DOO868" s="295" t="s">
        <v>71</v>
      </c>
      <c r="DOP868" s="295" t="s">
        <v>71</v>
      </c>
      <c r="DOQ868" s="295" t="s">
        <v>71</v>
      </c>
      <c r="DOR868" s="295" t="s">
        <v>71</v>
      </c>
      <c r="DOS868" s="295" t="s">
        <v>71</v>
      </c>
      <c r="DOT868" s="295" t="s">
        <v>71</v>
      </c>
      <c r="DOU868" s="295" t="s">
        <v>71</v>
      </c>
      <c r="DOV868" s="295" t="s">
        <v>71</v>
      </c>
      <c r="DOW868" s="295" t="s">
        <v>71</v>
      </c>
      <c r="DOX868" s="295" t="s">
        <v>71</v>
      </c>
      <c r="DOY868" s="295" t="s">
        <v>71</v>
      </c>
      <c r="DOZ868" s="295" t="s">
        <v>71</v>
      </c>
      <c r="DPA868" s="295" t="s">
        <v>71</v>
      </c>
      <c r="DPB868" s="295" t="s">
        <v>71</v>
      </c>
      <c r="DPC868" s="295" t="s">
        <v>71</v>
      </c>
      <c r="DPD868" s="295" t="s">
        <v>71</v>
      </c>
      <c r="DPE868" s="295" t="s">
        <v>71</v>
      </c>
      <c r="DPF868" s="295" t="s">
        <v>71</v>
      </c>
      <c r="DPG868" s="295" t="s">
        <v>71</v>
      </c>
      <c r="DPH868" s="295" t="s">
        <v>71</v>
      </c>
      <c r="DPI868" s="295" t="s">
        <v>71</v>
      </c>
      <c r="DPJ868" s="295" t="s">
        <v>71</v>
      </c>
      <c r="DPK868" s="295" t="s">
        <v>71</v>
      </c>
      <c r="DPL868" s="295" t="s">
        <v>71</v>
      </c>
      <c r="DPM868" s="295" t="s">
        <v>71</v>
      </c>
      <c r="DPN868" s="295" t="s">
        <v>71</v>
      </c>
      <c r="DPO868" s="295" t="s">
        <v>71</v>
      </c>
      <c r="DPP868" s="295" t="s">
        <v>71</v>
      </c>
      <c r="DPQ868" s="295" t="s">
        <v>71</v>
      </c>
      <c r="DPR868" s="295" t="s">
        <v>71</v>
      </c>
      <c r="DPS868" s="295" t="s">
        <v>71</v>
      </c>
      <c r="DPT868" s="295" t="s">
        <v>71</v>
      </c>
      <c r="DPU868" s="295" t="s">
        <v>71</v>
      </c>
      <c r="DPV868" s="295" t="s">
        <v>71</v>
      </c>
      <c r="DPW868" s="295" t="s">
        <v>71</v>
      </c>
      <c r="DPX868" s="295" t="s">
        <v>71</v>
      </c>
      <c r="DPY868" s="295" t="s">
        <v>71</v>
      </c>
      <c r="DPZ868" s="295" t="s">
        <v>71</v>
      </c>
      <c r="DQA868" s="295" t="s">
        <v>71</v>
      </c>
      <c r="DQB868" s="295" t="s">
        <v>71</v>
      </c>
      <c r="DQC868" s="295" t="s">
        <v>71</v>
      </c>
      <c r="DQD868" s="295" t="s">
        <v>71</v>
      </c>
      <c r="DQE868" s="295" t="s">
        <v>71</v>
      </c>
      <c r="DQF868" s="295" t="s">
        <v>71</v>
      </c>
      <c r="DQG868" s="295" t="s">
        <v>71</v>
      </c>
      <c r="DQH868" s="295" t="s">
        <v>71</v>
      </c>
      <c r="DQI868" s="295" t="s">
        <v>71</v>
      </c>
      <c r="DQJ868" s="295" t="s">
        <v>71</v>
      </c>
      <c r="DQK868" s="295" t="s">
        <v>71</v>
      </c>
      <c r="DQL868" s="295" t="s">
        <v>71</v>
      </c>
      <c r="DQM868" s="295" t="s">
        <v>71</v>
      </c>
      <c r="DQN868" s="295" t="s">
        <v>71</v>
      </c>
      <c r="DQO868" s="295" t="s">
        <v>71</v>
      </c>
      <c r="DQP868" s="295" t="s">
        <v>71</v>
      </c>
      <c r="DQQ868" s="295" t="s">
        <v>71</v>
      </c>
      <c r="DQR868" s="295" t="s">
        <v>71</v>
      </c>
      <c r="DQS868" s="295" t="s">
        <v>71</v>
      </c>
      <c r="DQT868" s="295" t="s">
        <v>71</v>
      </c>
      <c r="DQU868" s="295" t="s">
        <v>71</v>
      </c>
      <c r="DQV868" s="295" t="s">
        <v>71</v>
      </c>
      <c r="DQW868" s="295" t="s">
        <v>71</v>
      </c>
      <c r="DQX868" s="295" t="s">
        <v>71</v>
      </c>
      <c r="DQY868" s="295" t="s">
        <v>71</v>
      </c>
      <c r="DQZ868" s="295" t="s">
        <v>71</v>
      </c>
      <c r="DRA868" s="295" t="s">
        <v>71</v>
      </c>
      <c r="DRB868" s="295" t="s">
        <v>71</v>
      </c>
      <c r="DRC868" s="295" t="s">
        <v>71</v>
      </c>
      <c r="DRD868" s="295" t="s">
        <v>71</v>
      </c>
      <c r="DRE868" s="295" t="s">
        <v>71</v>
      </c>
      <c r="DRF868" s="295" t="s">
        <v>71</v>
      </c>
      <c r="DRG868" s="295" t="s">
        <v>71</v>
      </c>
      <c r="DRH868" s="295" t="s">
        <v>71</v>
      </c>
      <c r="DRI868" s="295" t="s">
        <v>71</v>
      </c>
      <c r="DRJ868" s="295" t="s">
        <v>71</v>
      </c>
      <c r="DRK868" s="295" t="s">
        <v>71</v>
      </c>
      <c r="DRL868" s="295" t="s">
        <v>71</v>
      </c>
      <c r="DRM868" s="295" t="s">
        <v>71</v>
      </c>
      <c r="DRN868" s="295" t="s">
        <v>71</v>
      </c>
      <c r="DRO868" s="295" t="s">
        <v>71</v>
      </c>
      <c r="DRP868" s="295" t="s">
        <v>71</v>
      </c>
      <c r="DRQ868" s="295" t="s">
        <v>71</v>
      </c>
      <c r="DRR868" s="295" t="s">
        <v>71</v>
      </c>
      <c r="DRS868" s="295" t="s">
        <v>71</v>
      </c>
      <c r="DRT868" s="295" t="s">
        <v>71</v>
      </c>
      <c r="DRU868" s="295" t="s">
        <v>71</v>
      </c>
      <c r="DRV868" s="295" t="s">
        <v>71</v>
      </c>
      <c r="DRW868" s="295" t="s">
        <v>71</v>
      </c>
      <c r="DRX868" s="295" t="s">
        <v>71</v>
      </c>
      <c r="DRY868" s="295" t="s">
        <v>71</v>
      </c>
      <c r="DRZ868" s="295" t="s">
        <v>71</v>
      </c>
      <c r="DSA868" s="295" t="s">
        <v>71</v>
      </c>
      <c r="DSB868" s="295" t="s">
        <v>71</v>
      </c>
      <c r="DSC868" s="295" t="s">
        <v>71</v>
      </c>
      <c r="DSD868" s="295" t="s">
        <v>71</v>
      </c>
      <c r="DSE868" s="295" t="s">
        <v>71</v>
      </c>
      <c r="DSF868" s="295" t="s">
        <v>71</v>
      </c>
      <c r="DSG868" s="295" t="s">
        <v>71</v>
      </c>
      <c r="DSH868" s="295" t="s">
        <v>71</v>
      </c>
      <c r="DSI868" s="295" t="s">
        <v>71</v>
      </c>
      <c r="DSJ868" s="295" t="s">
        <v>71</v>
      </c>
      <c r="DSK868" s="295" t="s">
        <v>71</v>
      </c>
      <c r="DSL868" s="295" t="s">
        <v>71</v>
      </c>
      <c r="DSM868" s="295" t="s">
        <v>71</v>
      </c>
      <c r="DSN868" s="295" t="s">
        <v>71</v>
      </c>
      <c r="DSO868" s="295" t="s">
        <v>71</v>
      </c>
      <c r="DSP868" s="295" t="s">
        <v>71</v>
      </c>
      <c r="DSQ868" s="295" t="s">
        <v>71</v>
      </c>
      <c r="DSR868" s="295" t="s">
        <v>71</v>
      </c>
      <c r="DSS868" s="295" t="s">
        <v>71</v>
      </c>
      <c r="DST868" s="295" t="s">
        <v>71</v>
      </c>
      <c r="DSU868" s="295" t="s">
        <v>71</v>
      </c>
      <c r="DSV868" s="295" t="s">
        <v>71</v>
      </c>
      <c r="DSW868" s="295" t="s">
        <v>71</v>
      </c>
      <c r="DSX868" s="295" t="s">
        <v>71</v>
      </c>
      <c r="DSY868" s="295" t="s">
        <v>71</v>
      </c>
      <c r="DSZ868" s="295" t="s">
        <v>71</v>
      </c>
      <c r="DTA868" s="295" t="s">
        <v>71</v>
      </c>
      <c r="DTB868" s="295" t="s">
        <v>71</v>
      </c>
      <c r="DTC868" s="295" t="s">
        <v>71</v>
      </c>
      <c r="DTD868" s="295" t="s">
        <v>71</v>
      </c>
      <c r="DTE868" s="295" t="s">
        <v>71</v>
      </c>
      <c r="DTF868" s="295" t="s">
        <v>71</v>
      </c>
      <c r="DTG868" s="295" t="s">
        <v>71</v>
      </c>
      <c r="DTH868" s="295" t="s">
        <v>71</v>
      </c>
      <c r="DTI868" s="295" t="s">
        <v>71</v>
      </c>
      <c r="DTJ868" s="295" t="s">
        <v>71</v>
      </c>
      <c r="DTK868" s="295" t="s">
        <v>71</v>
      </c>
      <c r="DTL868" s="295" t="s">
        <v>71</v>
      </c>
      <c r="DTM868" s="295" t="s">
        <v>71</v>
      </c>
      <c r="DTN868" s="295" t="s">
        <v>71</v>
      </c>
      <c r="DTO868" s="295" t="s">
        <v>71</v>
      </c>
      <c r="DTP868" s="295" t="s">
        <v>71</v>
      </c>
      <c r="DTQ868" s="295" t="s">
        <v>71</v>
      </c>
      <c r="DTR868" s="295" t="s">
        <v>71</v>
      </c>
      <c r="DTS868" s="295" t="s">
        <v>71</v>
      </c>
      <c r="DTT868" s="295" t="s">
        <v>71</v>
      </c>
      <c r="DTU868" s="295" t="s">
        <v>71</v>
      </c>
      <c r="DTV868" s="295" t="s">
        <v>71</v>
      </c>
      <c r="DTW868" s="295" t="s">
        <v>71</v>
      </c>
      <c r="DTX868" s="295" t="s">
        <v>71</v>
      </c>
      <c r="DTY868" s="295" t="s">
        <v>71</v>
      </c>
      <c r="DTZ868" s="295" t="s">
        <v>71</v>
      </c>
      <c r="DUA868" s="295" t="s">
        <v>71</v>
      </c>
      <c r="DUB868" s="295" t="s">
        <v>71</v>
      </c>
      <c r="DUC868" s="295" t="s">
        <v>71</v>
      </c>
      <c r="DUD868" s="295" t="s">
        <v>71</v>
      </c>
      <c r="DUE868" s="295" t="s">
        <v>71</v>
      </c>
      <c r="DUF868" s="295" t="s">
        <v>71</v>
      </c>
      <c r="DUG868" s="295" t="s">
        <v>71</v>
      </c>
      <c r="DUH868" s="295" t="s">
        <v>71</v>
      </c>
      <c r="DUI868" s="295" t="s">
        <v>71</v>
      </c>
      <c r="DUJ868" s="295" t="s">
        <v>71</v>
      </c>
      <c r="DUK868" s="295" t="s">
        <v>71</v>
      </c>
      <c r="DUL868" s="295" t="s">
        <v>71</v>
      </c>
      <c r="DUM868" s="295" t="s">
        <v>71</v>
      </c>
      <c r="DUN868" s="295" t="s">
        <v>71</v>
      </c>
      <c r="DUO868" s="295" t="s">
        <v>71</v>
      </c>
      <c r="DUP868" s="295" t="s">
        <v>71</v>
      </c>
      <c r="DUQ868" s="295" t="s">
        <v>71</v>
      </c>
      <c r="DUR868" s="295" t="s">
        <v>71</v>
      </c>
      <c r="DUS868" s="295" t="s">
        <v>71</v>
      </c>
      <c r="DUT868" s="295" t="s">
        <v>71</v>
      </c>
      <c r="DUU868" s="295" t="s">
        <v>71</v>
      </c>
      <c r="DUV868" s="295" t="s">
        <v>71</v>
      </c>
      <c r="DUW868" s="295" t="s">
        <v>71</v>
      </c>
      <c r="DUX868" s="295" t="s">
        <v>71</v>
      </c>
      <c r="DUY868" s="295" t="s">
        <v>71</v>
      </c>
      <c r="DUZ868" s="295" t="s">
        <v>71</v>
      </c>
      <c r="DVA868" s="295" t="s">
        <v>71</v>
      </c>
      <c r="DVB868" s="295" t="s">
        <v>71</v>
      </c>
      <c r="DVC868" s="295" t="s">
        <v>71</v>
      </c>
      <c r="DVD868" s="295" t="s">
        <v>71</v>
      </c>
      <c r="DVE868" s="295" t="s">
        <v>71</v>
      </c>
      <c r="DVF868" s="295" t="s">
        <v>71</v>
      </c>
      <c r="DVG868" s="295" t="s">
        <v>71</v>
      </c>
      <c r="DVH868" s="295" t="s">
        <v>71</v>
      </c>
      <c r="DVI868" s="295" t="s">
        <v>71</v>
      </c>
      <c r="DVJ868" s="295" t="s">
        <v>71</v>
      </c>
      <c r="DVK868" s="295" t="s">
        <v>71</v>
      </c>
      <c r="DVL868" s="295" t="s">
        <v>71</v>
      </c>
      <c r="DVM868" s="295" t="s">
        <v>71</v>
      </c>
      <c r="DVN868" s="295" t="s">
        <v>71</v>
      </c>
      <c r="DVO868" s="295" t="s">
        <v>71</v>
      </c>
      <c r="DVP868" s="295" t="s">
        <v>71</v>
      </c>
      <c r="DVQ868" s="295" t="s">
        <v>71</v>
      </c>
      <c r="DVR868" s="295" t="s">
        <v>71</v>
      </c>
      <c r="DVS868" s="295" t="s">
        <v>71</v>
      </c>
      <c r="DVT868" s="295" t="s">
        <v>71</v>
      </c>
      <c r="DVU868" s="295" t="s">
        <v>71</v>
      </c>
      <c r="DVV868" s="295" t="s">
        <v>71</v>
      </c>
      <c r="DVW868" s="295" t="s">
        <v>71</v>
      </c>
      <c r="DVX868" s="295" t="s">
        <v>71</v>
      </c>
      <c r="DVY868" s="295" t="s">
        <v>71</v>
      </c>
      <c r="DVZ868" s="295" t="s">
        <v>71</v>
      </c>
      <c r="DWA868" s="295" t="s">
        <v>71</v>
      </c>
      <c r="DWB868" s="295" t="s">
        <v>71</v>
      </c>
      <c r="DWC868" s="295" t="s">
        <v>71</v>
      </c>
      <c r="DWD868" s="295" t="s">
        <v>71</v>
      </c>
      <c r="DWE868" s="295" t="s">
        <v>71</v>
      </c>
      <c r="DWF868" s="295" t="s">
        <v>71</v>
      </c>
      <c r="DWG868" s="295" t="s">
        <v>71</v>
      </c>
      <c r="DWH868" s="295" t="s">
        <v>71</v>
      </c>
      <c r="DWI868" s="295" t="s">
        <v>71</v>
      </c>
      <c r="DWJ868" s="295" t="s">
        <v>71</v>
      </c>
      <c r="DWK868" s="295" t="s">
        <v>71</v>
      </c>
      <c r="DWL868" s="295" t="s">
        <v>71</v>
      </c>
      <c r="DWM868" s="295" t="s">
        <v>71</v>
      </c>
      <c r="DWN868" s="295" t="s">
        <v>71</v>
      </c>
      <c r="DWO868" s="295" t="s">
        <v>71</v>
      </c>
      <c r="DWP868" s="295" t="s">
        <v>71</v>
      </c>
      <c r="DWQ868" s="295" t="s">
        <v>71</v>
      </c>
      <c r="DWR868" s="295" t="s">
        <v>71</v>
      </c>
      <c r="DWS868" s="295" t="s">
        <v>71</v>
      </c>
      <c r="DWT868" s="295" t="s">
        <v>71</v>
      </c>
      <c r="DWU868" s="295" t="s">
        <v>71</v>
      </c>
      <c r="DWV868" s="295" t="s">
        <v>71</v>
      </c>
      <c r="DWW868" s="295" t="s">
        <v>71</v>
      </c>
      <c r="DWX868" s="295" t="s">
        <v>71</v>
      </c>
      <c r="DWY868" s="295" t="s">
        <v>71</v>
      </c>
      <c r="DWZ868" s="295" t="s">
        <v>71</v>
      </c>
      <c r="DXA868" s="295" t="s">
        <v>71</v>
      </c>
      <c r="DXB868" s="295" t="s">
        <v>71</v>
      </c>
      <c r="DXC868" s="295" t="s">
        <v>71</v>
      </c>
      <c r="DXD868" s="295" t="s">
        <v>71</v>
      </c>
      <c r="DXE868" s="295" t="s">
        <v>71</v>
      </c>
      <c r="DXF868" s="295" t="s">
        <v>71</v>
      </c>
      <c r="DXG868" s="295" t="s">
        <v>71</v>
      </c>
      <c r="DXH868" s="295" t="s">
        <v>71</v>
      </c>
      <c r="DXI868" s="295" t="s">
        <v>71</v>
      </c>
      <c r="DXJ868" s="295" t="s">
        <v>71</v>
      </c>
      <c r="DXK868" s="295" t="s">
        <v>71</v>
      </c>
      <c r="DXL868" s="295" t="s">
        <v>71</v>
      </c>
      <c r="DXM868" s="295" t="s">
        <v>71</v>
      </c>
      <c r="DXN868" s="295" t="s">
        <v>71</v>
      </c>
      <c r="DXO868" s="295" t="s">
        <v>71</v>
      </c>
      <c r="DXP868" s="295" t="s">
        <v>71</v>
      </c>
      <c r="DXQ868" s="295" t="s">
        <v>71</v>
      </c>
      <c r="DXR868" s="295" t="s">
        <v>71</v>
      </c>
      <c r="DXS868" s="295" t="s">
        <v>71</v>
      </c>
      <c r="DXT868" s="295" t="s">
        <v>71</v>
      </c>
      <c r="DXU868" s="295" t="s">
        <v>71</v>
      </c>
      <c r="DXV868" s="295" t="s">
        <v>71</v>
      </c>
      <c r="DXW868" s="295" t="s">
        <v>71</v>
      </c>
      <c r="DXX868" s="295" t="s">
        <v>71</v>
      </c>
      <c r="DXY868" s="295" t="s">
        <v>71</v>
      </c>
      <c r="DXZ868" s="295" t="s">
        <v>71</v>
      </c>
      <c r="DYA868" s="295" t="s">
        <v>71</v>
      </c>
      <c r="DYB868" s="295" t="s">
        <v>71</v>
      </c>
      <c r="DYC868" s="295" t="s">
        <v>71</v>
      </c>
      <c r="DYD868" s="295" t="s">
        <v>71</v>
      </c>
      <c r="DYE868" s="295" t="s">
        <v>71</v>
      </c>
      <c r="DYF868" s="295" t="s">
        <v>71</v>
      </c>
      <c r="DYG868" s="295" t="s">
        <v>71</v>
      </c>
      <c r="DYH868" s="295" t="s">
        <v>71</v>
      </c>
      <c r="DYI868" s="295" t="s">
        <v>71</v>
      </c>
      <c r="DYJ868" s="295" t="s">
        <v>71</v>
      </c>
      <c r="DYK868" s="295" t="s">
        <v>71</v>
      </c>
      <c r="DYL868" s="295" t="s">
        <v>71</v>
      </c>
      <c r="DYM868" s="295" t="s">
        <v>71</v>
      </c>
      <c r="DYN868" s="295" t="s">
        <v>71</v>
      </c>
      <c r="DYO868" s="295" t="s">
        <v>71</v>
      </c>
      <c r="DYP868" s="295" t="s">
        <v>71</v>
      </c>
      <c r="DYQ868" s="295" t="s">
        <v>71</v>
      </c>
      <c r="DYR868" s="295" t="s">
        <v>71</v>
      </c>
      <c r="DYS868" s="295" t="s">
        <v>71</v>
      </c>
      <c r="DYT868" s="295" t="s">
        <v>71</v>
      </c>
      <c r="DYU868" s="295" t="s">
        <v>71</v>
      </c>
      <c r="DYV868" s="295" t="s">
        <v>71</v>
      </c>
      <c r="DYW868" s="295" t="s">
        <v>71</v>
      </c>
      <c r="DYX868" s="295" t="s">
        <v>71</v>
      </c>
      <c r="DYY868" s="295" t="s">
        <v>71</v>
      </c>
      <c r="DYZ868" s="295" t="s">
        <v>71</v>
      </c>
      <c r="DZA868" s="295" t="s">
        <v>71</v>
      </c>
      <c r="DZB868" s="295" t="s">
        <v>71</v>
      </c>
      <c r="DZC868" s="295" t="s">
        <v>71</v>
      </c>
      <c r="DZD868" s="295" t="s">
        <v>71</v>
      </c>
      <c r="DZE868" s="295" t="s">
        <v>71</v>
      </c>
      <c r="DZF868" s="295" t="s">
        <v>71</v>
      </c>
      <c r="DZG868" s="295" t="s">
        <v>71</v>
      </c>
      <c r="DZH868" s="295" t="s">
        <v>71</v>
      </c>
      <c r="DZI868" s="295" t="s">
        <v>71</v>
      </c>
      <c r="DZJ868" s="295" t="s">
        <v>71</v>
      </c>
      <c r="DZK868" s="295" t="s">
        <v>71</v>
      </c>
      <c r="DZL868" s="295" t="s">
        <v>71</v>
      </c>
      <c r="DZM868" s="295" t="s">
        <v>71</v>
      </c>
      <c r="DZN868" s="295" t="s">
        <v>71</v>
      </c>
      <c r="DZO868" s="295" t="s">
        <v>71</v>
      </c>
      <c r="DZP868" s="295" t="s">
        <v>71</v>
      </c>
      <c r="DZQ868" s="295" t="s">
        <v>71</v>
      </c>
      <c r="DZR868" s="295" t="s">
        <v>71</v>
      </c>
      <c r="DZS868" s="295" t="s">
        <v>71</v>
      </c>
      <c r="DZT868" s="295" t="s">
        <v>71</v>
      </c>
      <c r="DZU868" s="295" t="s">
        <v>71</v>
      </c>
      <c r="DZV868" s="295" t="s">
        <v>71</v>
      </c>
      <c r="DZW868" s="295" t="s">
        <v>71</v>
      </c>
      <c r="DZX868" s="295" t="s">
        <v>71</v>
      </c>
      <c r="DZY868" s="295" t="s">
        <v>71</v>
      </c>
      <c r="DZZ868" s="295" t="s">
        <v>71</v>
      </c>
      <c r="EAA868" s="295" t="s">
        <v>71</v>
      </c>
      <c r="EAB868" s="295" t="s">
        <v>71</v>
      </c>
      <c r="EAC868" s="295" t="s">
        <v>71</v>
      </c>
      <c r="EAD868" s="295" t="s">
        <v>71</v>
      </c>
      <c r="EAE868" s="295" t="s">
        <v>71</v>
      </c>
      <c r="EAF868" s="295" t="s">
        <v>71</v>
      </c>
      <c r="EAG868" s="295" t="s">
        <v>71</v>
      </c>
      <c r="EAH868" s="295" t="s">
        <v>71</v>
      </c>
      <c r="EAI868" s="295" t="s">
        <v>71</v>
      </c>
      <c r="EAJ868" s="295" t="s">
        <v>71</v>
      </c>
      <c r="EAK868" s="295" t="s">
        <v>71</v>
      </c>
      <c r="EAL868" s="295" t="s">
        <v>71</v>
      </c>
      <c r="EAM868" s="295" t="s">
        <v>71</v>
      </c>
      <c r="EAN868" s="295" t="s">
        <v>71</v>
      </c>
      <c r="EAO868" s="295" t="s">
        <v>71</v>
      </c>
      <c r="EAP868" s="295" t="s">
        <v>71</v>
      </c>
      <c r="EAQ868" s="295" t="s">
        <v>71</v>
      </c>
      <c r="EAR868" s="295" t="s">
        <v>71</v>
      </c>
      <c r="EAS868" s="295" t="s">
        <v>71</v>
      </c>
      <c r="EAT868" s="295" t="s">
        <v>71</v>
      </c>
      <c r="EAU868" s="295" t="s">
        <v>71</v>
      </c>
      <c r="EAV868" s="295" t="s">
        <v>71</v>
      </c>
      <c r="EAW868" s="295" t="s">
        <v>71</v>
      </c>
      <c r="EAX868" s="295" t="s">
        <v>71</v>
      </c>
      <c r="EAY868" s="295" t="s">
        <v>71</v>
      </c>
      <c r="EAZ868" s="295" t="s">
        <v>71</v>
      </c>
      <c r="EBA868" s="295" t="s">
        <v>71</v>
      </c>
      <c r="EBB868" s="295" t="s">
        <v>71</v>
      </c>
      <c r="EBC868" s="295" t="s">
        <v>71</v>
      </c>
      <c r="EBD868" s="295" t="s">
        <v>71</v>
      </c>
      <c r="EBE868" s="295" t="s">
        <v>71</v>
      </c>
      <c r="EBF868" s="295" t="s">
        <v>71</v>
      </c>
      <c r="EBG868" s="295" t="s">
        <v>71</v>
      </c>
      <c r="EBH868" s="295" t="s">
        <v>71</v>
      </c>
      <c r="EBI868" s="295" t="s">
        <v>71</v>
      </c>
      <c r="EBJ868" s="295" t="s">
        <v>71</v>
      </c>
      <c r="EBK868" s="295" t="s">
        <v>71</v>
      </c>
      <c r="EBL868" s="295" t="s">
        <v>71</v>
      </c>
      <c r="EBM868" s="295" t="s">
        <v>71</v>
      </c>
      <c r="EBN868" s="295" t="s">
        <v>71</v>
      </c>
      <c r="EBO868" s="295" t="s">
        <v>71</v>
      </c>
      <c r="EBP868" s="295" t="s">
        <v>71</v>
      </c>
      <c r="EBQ868" s="295" t="s">
        <v>71</v>
      </c>
      <c r="EBR868" s="295" t="s">
        <v>71</v>
      </c>
      <c r="EBS868" s="295" t="s">
        <v>71</v>
      </c>
      <c r="EBT868" s="295" t="s">
        <v>71</v>
      </c>
      <c r="EBU868" s="295" t="s">
        <v>71</v>
      </c>
      <c r="EBV868" s="295" t="s">
        <v>71</v>
      </c>
      <c r="EBW868" s="295" t="s">
        <v>71</v>
      </c>
      <c r="EBX868" s="295" t="s">
        <v>71</v>
      </c>
      <c r="EBY868" s="295" t="s">
        <v>71</v>
      </c>
      <c r="EBZ868" s="295" t="s">
        <v>71</v>
      </c>
      <c r="ECA868" s="295" t="s">
        <v>71</v>
      </c>
      <c r="ECB868" s="295" t="s">
        <v>71</v>
      </c>
      <c r="ECC868" s="295" t="s">
        <v>71</v>
      </c>
      <c r="ECD868" s="295" t="s">
        <v>71</v>
      </c>
      <c r="ECE868" s="295" t="s">
        <v>71</v>
      </c>
      <c r="ECF868" s="295" t="s">
        <v>71</v>
      </c>
      <c r="ECG868" s="295" t="s">
        <v>71</v>
      </c>
      <c r="ECH868" s="295" t="s">
        <v>71</v>
      </c>
      <c r="ECI868" s="295" t="s">
        <v>71</v>
      </c>
      <c r="ECJ868" s="295" t="s">
        <v>71</v>
      </c>
      <c r="ECK868" s="295" t="s">
        <v>71</v>
      </c>
      <c r="ECL868" s="295" t="s">
        <v>71</v>
      </c>
      <c r="ECM868" s="295" t="s">
        <v>71</v>
      </c>
      <c r="ECN868" s="295" t="s">
        <v>71</v>
      </c>
      <c r="ECO868" s="295" t="s">
        <v>71</v>
      </c>
      <c r="ECP868" s="295" t="s">
        <v>71</v>
      </c>
      <c r="ECQ868" s="295" t="s">
        <v>71</v>
      </c>
      <c r="ECR868" s="295" t="s">
        <v>71</v>
      </c>
      <c r="ECS868" s="295" t="s">
        <v>71</v>
      </c>
      <c r="ECT868" s="295" t="s">
        <v>71</v>
      </c>
      <c r="ECU868" s="295" t="s">
        <v>71</v>
      </c>
      <c r="ECV868" s="295" t="s">
        <v>71</v>
      </c>
      <c r="ECW868" s="295" t="s">
        <v>71</v>
      </c>
      <c r="ECX868" s="295" t="s">
        <v>71</v>
      </c>
      <c r="ECY868" s="295" t="s">
        <v>71</v>
      </c>
      <c r="ECZ868" s="295" t="s">
        <v>71</v>
      </c>
      <c r="EDA868" s="295" t="s">
        <v>71</v>
      </c>
      <c r="EDB868" s="295" t="s">
        <v>71</v>
      </c>
      <c r="EDC868" s="295" t="s">
        <v>71</v>
      </c>
      <c r="EDD868" s="295" t="s">
        <v>71</v>
      </c>
      <c r="EDE868" s="295" t="s">
        <v>71</v>
      </c>
      <c r="EDF868" s="295" t="s">
        <v>71</v>
      </c>
      <c r="EDG868" s="295" t="s">
        <v>71</v>
      </c>
      <c r="EDH868" s="295" t="s">
        <v>71</v>
      </c>
      <c r="EDI868" s="295" t="s">
        <v>71</v>
      </c>
      <c r="EDJ868" s="295" t="s">
        <v>71</v>
      </c>
      <c r="EDK868" s="295" t="s">
        <v>71</v>
      </c>
      <c r="EDL868" s="295" t="s">
        <v>71</v>
      </c>
      <c r="EDM868" s="295" t="s">
        <v>71</v>
      </c>
      <c r="EDN868" s="295" t="s">
        <v>71</v>
      </c>
      <c r="EDO868" s="295" t="s">
        <v>71</v>
      </c>
      <c r="EDP868" s="295" t="s">
        <v>71</v>
      </c>
      <c r="EDQ868" s="295" t="s">
        <v>71</v>
      </c>
      <c r="EDR868" s="295" t="s">
        <v>71</v>
      </c>
      <c r="EDS868" s="295" t="s">
        <v>71</v>
      </c>
      <c r="EDT868" s="295" t="s">
        <v>71</v>
      </c>
      <c r="EDU868" s="295" t="s">
        <v>71</v>
      </c>
      <c r="EDV868" s="295" t="s">
        <v>71</v>
      </c>
      <c r="EDW868" s="295" t="s">
        <v>71</v>
      </c>
      <c r="EDX868" s="295" t="s">
        <v>71</v>
      </c>
      <c r="EDY868" s="295" t="s">
        <v>71</v>
      </c>
      <c r="EDZ868" s="295" t="s">
        <v>71</v>
      </c>
      <c r="EEA868" s="295" t="s">
        <v>71</v>
      </c>
      <c r="EEB868" s="295" t="s">
        <v>71</v>
      </c>
      <c r="EEC868" s="295" t="s">
        <v>71</v>
      </c>
      <c r="EED868" s="295" t="s">
        <v>71</v>
      </c>
      <c r="EEE868" s="295" t="s">
        <v>71</v>
      </c>
      <c r="EEF868" s="295" t="s">
        <v>71</v>
      </c>
      <c r="EEG868" s="295" t="s">
        <v>71</v>
      </c>
      <c r="EEH868" s="295" t="s">
        <v>71</v>
      </c>
      <c r="EEI868" s="295" t="s">
        <v>71</v>
      </c>
      <c r="EEJ868" s="295" t="s">
        <v>71</v>
      </c>
      <c r="EEK868" s="295" t="s">
        <v>71</v>
      </c>
      <c r="EEL868" s="295" t="s">
        <v>71</v>
      </c>
      <c r="EEM868" s="295" t="s">
        <v>71</v>
      </c>
      <c r="EEN868" s="295" t="s">
        <v>71</v>
      </c>
      <c r="EEO868" s="295" t="s">
        <v>71</v>
      </c>
      <c r="EEP868" s="295" t="s">
        <v>71</v>
      </c>
      <c r="EEQ868" s="295" t="s">
        <v>71</v>
      </c>
      <c r="EER868" s="295" t="s">
        <v>71</v>
      </c>
      <c r="EES868" s="295" t="s">
        <v>71</v>
      </c>
      <c r="EET868" s="295" t="s">
        <v>71</v>
      </c>
      <c r="EEU868" s="295" t="s">
        <v>71</v>
      </c>
      <c r="EEV868" s="295" t="s">
        <v>71</v>
      </c>
      <c r="EEW868" s="295" t="s">
        <v>71</v>
      </c>
      <c r="EEX868" s="295" t="s">
        <v>71</v>
      </c>
      <c r="EEY868" s="295" t="s">
        <v>71</v>
      </c>
      <c r="EEZ868" s="295" t="s">
        <v>71</v>
      </c>
      <c r="EFA868" s="295" t="s">
        <v>71</v>
      </c>
      <c r="EFB868" s="295" t="s">
        <v>71</v>
      </c>
      <c r="EFC868" s="295" t="s">
        <v>71</v>
      </c>
      <c r="EFD868" s="295" t="s">
        <v>71</v>
      </c>
      <c r="EFE868" s="295" t="s">
        <v>71</v>
      </c>
      <c r="EFF868" s="295" t="s">
        <v>71</v>
      </c>
      <c r="EFG868" s="295" t="s">
        <v>71</v>
      </c>
      <c r="EFH868" s="295" t="s">
        <v>71</v>
      </c>
      <c r="EFI868" s="295" t="s">
        <v>71</v>
      </c>
      <c r="EFJ868" s="295" t="s">
        <v>71</v>
      </c>
      <c r="EFK868" s="295" t="s">
        <v>71</v>
      </c>
      <c r="EFL868" s="295" t="s">
        <v>71</v>
      </c>
      <c r="EFM868" s="295" t="s">
        <v>71</v>
      </c>
      <c r="EFN868" s="295" t="s">
        <v>71</v>
      </c>
      <c r="EFO868" s="295" t="s">
        <v>71</v>
      </c>
      <c r="EFP868" s="295" t="s">
        <v>71</v>
      </c>
      <c r="EFQ868" s="295" t="s">
        <v>71</v>
      </c>
      <c r="EFR868" s="295" t="s">
        <v>71</v>
      </c>
      <c r="EFS868" s="295" t="s">
        <v>71</v>
      </c>
      <c r="EFT868" s="295" t="s">
        <v>71</v>
      </c>
      <c r="EFU868" s="295" t="s">
        <v>71</v>
      </c>
      <c r="EFV868" s="295" t="s">
        <v>71</v>
      </c>
      <c r="EFW868" s="295" t="s">
        <v>71</v>
      </c>
      <c r="EFX868" s="295" t="s">
        <v>71</v>
      </c>
      <c r="EFY868" s="295" t="s">
        <v>71</v>
      </c>
      <c r="EFZ868" s="295" t="s">
        <v>71</v>
      </c>
      <c r="EGA868" s="295" t="s">
        <v>71</v>
      </c>
      <c r="EGB868" s="295" t="s">
        <v>71</v>
      </c>
      <c r="EGC868" s="295" t="s">
        <v>71</v>
      </c>
      <c r="EGD868" s="295" t="s">
        <v>71</v>
      </c>
      <c r="EGE868" s="295" t="s">
        <v>71</v>
      </c>
      <c r="EGF868" s="295" t="s">
        <v>71</v>
      </c>
      <c r="EGG868" s="295" t="s">
        <v>71</v>
      </c>
      <c r="EGH868" s="295" t="s">
        <v>71</v>
      </c>
      <c r="EGI868" s="295" t="s">
        <v>71</v>
      </c>
      <c r="EGJ868" s="295" t="s">
        <v>71</v>
      </c>
      <c r="EGK868" s="295" t="s">
        <v>71</v>
      </c>
      <c r="EGL868" s="295" t="s">
        <v>71</v>
      </c>
      <c r="EGM868" s="295" t="s">
        <v>71</v>
      </c>
      <c r="EGN868" s="295" t="s">
        <v>71</v>
      </c>
      <c r="EGO868" s="295" t="s">
        <v>71</v>
      </c>
      <c r="EGP868" s="295" t="s">
        <v>71</v>
      </c>
      <c r="EGQ868" s="295" t="s">
        <v>71</v>
      </c>
      <c r="EGR868" s="295" t="s">
        <v>71</v>
      </c>
      <c r="EGS868" s="295" t="s">
        <v>71</v>
      </c>
      <c r="EGT868" s="295" t="s">
        <v>71</v>
      </c>
      <c r="EGU868" s="295" t="s">
        <v>71</v>
      </c>
      <c r="EGV868" s="295" t="s">
        <v>71</v>
      </c>
      <c r="EGW868" s="295" t="s">
        <v>71</v>
      </c>
      <c r="EGX868" s="295" t="s">
        <v>71</v>
      </c>
      <c r="EGY868" s="295" t="s">
        <v>71</v>
      </c>
      <c r="EGZ868" s="295" t="s">
        <v>71</v>
      </c>
      <c r="EHA868" s="295" t="s">
        <v>71</v>
      </c>
      <c r="EHB868" s="295" t="s">
        <v>71</v>
      </c>
      <c r="EHC868" s="295" t="s">
        <v>71</v>
      </c>
      <c r="EHD868" s="295" t="s">
        <v>71</v>
      </c>
      <c r="EHE868" s="295" t="s">
        <v>71</v>
      </c>
      <c r="EHF868" s="295" t="s">
        <v>71</v>
      </c>
      <c r="EHG868" s="295" t="s">
        <v>71</v>
      </c>
      <c r="EHH868" s="295" t="s">
        <v>71</v>
      </c>
      <c r="EHI868" s="295" t="s">
        <v>71</v>
      </c>
      <c r="EHJ868" s="295" t="s">
        <v>71</v>
      </c>
      <c r="EHK868" s="295" t="s">
        <v>71</v>
      </c>
      <c r="EHL868" s="295" t="s">
        <v>71</v>
      </c>
      <c r="EHM868" s="295" t="s">
        <v>71</v>
      </c>
      <c r="EHN868" s="295" t="s">
        <v>71</v>
      </c>
      <c r="EHO868" s="295" t="s">
        <v>71</v>
      </c>
      <c r="EHP868" s="295" t="s">
        <v>71</v>
      </c>
      <c r="EHQ868" s="295" t="s">
        <v>71</v>
      </c>
      <c r="EHR868" s="295" t="s">
        <v>71</v>
      </c>
      <c r="EHS868" s="295" t="s">
        <v>71</v>
      </c>
      <c r="EHT868" s="295" t="s">
        <v>71</v>
      </c>
      <c r="EHU868" s="295" t="s">
        <v>71</v>
      </c>
      <c r="EHV868" s="295" t="s">
        <v>71</v>
      </c>
      <c r="EHW868" s="295" t="s">
        <v>71</v>
      </c>
      <c r="EHX868" s="295" t="s">
        <v>71</v>
      </c>
      <c r="EHY868" s="295" t="s">
        <v>71</v>
      </c>
      <c r="EHZ868" s="295" t="s">
        <v>71</v>
      </c>
      <c r="EIA868" s="295" t="s">
        <v>71</v>
      </c>
      <c r="EIB868" s="295" t="s">
        <v>71</v>
      </c>
      <c r="EIC868" s="295" t="s">
        <v>71</v>
      </c>
      <c r="EID868" s="295" t="s">
        <v>71</v>
      </c>
      <c r="EIE868" s="295" t="s">
        <v>71</v>
      </c>
      <c r="EIF868" s="295" t="s">
        <v>71</v>
      </c>
      <c r="EIG868" s="295" t="s">
        <v>71</v>
      </c>
      <c r="EIH868" s="295" t="s">
        <v>71</v>
      </c>
      <c r="EII868" s="295" t="s">
        <v>71</v>
      </c>
      <c r="EIJ868" s="295" t="s">
        <v>71</v>
      </c>
      <c r="EIK868" s="295" t="s">
        <v>71</v>
      </c>
      <c r="EIL868" s="295" t="s">
        <v>71</v>
      </c>
      <c r="EIM868" s="295" t="s">
        <v>71</v>
      </c>
      <c r="EIN868" s="295" t="s">
        <v>71</v>
      </c>
      <c r="EIO868" s="295" t="s">
        <v>71</v>
      </c>
      <c r="EIP868" s="295" t="s">
        <v>71</v>
      </c>
      <c r="EIQ868" s="295" t="s">
        <v>71</v>
      </c>
      <c r="EIR868" s="295" t="s">
        <v>71</v>
      </c>
      <c r="EIS868" s="295" t="s">
        <v>71</v>
      </c>
      <c r="EIT868" s="295" t="s">
        <v>71</v>
      </c>
      <c r="EIU868" s="295" t="s">
        <v>71</v>
      </c>
      <c r="EIV868" s="295" t="s">
        <v>71</v>
      </c>
      <c r="EIW868" s="295" t="s">
        <v>71</v>
      </c>
      <c r="EIX868" s="295" t="s">
        <v>71</v>
      </c>
      <c r="EIY868" s="295" t="s">
        <v>71</v>
      </c>
      <c r="EIZ868" s="295" t="s">
        <v>71</v>
      </c>
      <c r="EJA868" s="295" t="s">
        <v>71</v>
      </c>
      <c r="EJB868" s="295" t="s">
        <v>71</v>
      </c>
      <c r="EJC868" s="295" t="s">
        <v>71</v>
      </c>
      <c r="EJD868" s="295" t="s">
        <v>71</v>
      </c>
      <c r="EJE868" s="295" t="s">
        <v>71</v>
      </c>
      <c r="EJF868" s="295" t="s">
        <v>71</v>
      </c>
      <c r="EJG868" s="295" t="s">
        <v>71</v>
      </c>
      <c r="EJH868" s="295" t="s">
        <v>71</v>
      </c>
      <c r="EJI868" s="295" t="s">
        <v>71</v>
      </c>
      <c r="EJJ868" s="295" t="s">
        <v>71</v>
      </c>
      <c r="EJK868" s="295" t="s">
        <v>71</v>
      </c>
      <c r="EJL868" s="295" t="s">
        <v>71</v>
      </c>
      <c r="EJM868" s="295" t="s">
        <v>71</v>
      </c>
      <c r="EJN868" s="295" t="s">
        <v>71</v>
      </c>
      <c r="EJO868" s="295" t="s">
        <v>71</v>
      </c>
      <c r="EJP868" s="295" t="s">
        <v>71</v>
      </c>
      <c r="EJQ868" s="295" t="s">
        <v>71</v>
      </c>
      <c r="EJR868" s="295" t="s">
        <v>71</v>
      </c>
      <c r="EJS868" s="295" t="s">
        <v>71</v>
      </c>
      <c r="EJT868" s="295" t="s">
        <v>71</v>
      </c>
      <c r="EJU868" s="295" t="s">
        <v>71</v>
      </c>
      <c r="EJV868" s="295" t="s">
        <v>71</v>
      </c>
      <c r="EJW868" s="295" t="s">
        <v>71</v>
      </c>
      <c r="EJX868" s="295" t="s">
        <v>71</v>
      </c>
      <c r="EJY868" s="295" t="s">
        <v>71</v>
      </c>
      <c r="EJZ868" s="295" t="s">
        <v>71</v>
      </c>
      <c r="EKA868" s="295" t="s">
        <v>71</v>
      </c>
      <c r="EKB868" s="295" t="s">
        <v>71</v>
      </c>
      <c r="EKC868" s="295" t="s">
        <v>71</v>
      </c>
      <c r="EKD868" s="295" t="s">
        <v>71</v>
      </c>
      <c r="EKE868" s="295" t="s">
        <v>71</v>
      </c>
      <c r="EKF868" s="295" t="s">
        <v>71</v>
      </c>
      <c r="EKG868" s="295" t="s">
        <v>71</v>
      </c>
      <c r="EKH868" s="295" t="s">
        <v>71</v>
      </c>
      <c r="EKI868" s="295" t="s">
        <v>71</v>
      </c>
      <c r="EKJ868" s="295" t="s">
        <v>71</v>
      </c>
      <c r="EKK868" s="295" t="s">
        <v>71</v>
      </c>
      <c r="EKL868" s="295" t="s">
        <v>71</v>
      </c>
      <c r="EKM868" s="295" t="s">
        <v>71</v>
      </c>
      <c r="EKN868" s="295" t="s">
        <v>71</v>
      </c>
      <c r="EKO868" s="295" t="s">
        <v>71</v>
      </c>
      <c r="EKP868" s="295" t="s">
        <v>71</v>
      </c>
      <c r="EKQ868" s="295" t="s">
        <v>71</v>
      </c>
      <c r="EKR868" s="295" t="s">
        <v>71</v>
      </c>
      <c r="EKS868" s="295" t="s">
        <v>71</v>
      </c>
      <c r="EKT868" s="295" t="s">
        <v>71</v>
      </c>
      <c r="EKU868" s="295" t="s">
        <v>71</v>
      </c>
      <c r="EKV868" s="295" t="s">
        <v>71</v>
      </c>
      <c r="EKW868" s="295" t="s">
        <v>71</v>
      </c>
      <c r="EKX868" s="295" t="s">
        <v>71</v>
      </c>
      <c r="EKY868" s="295" t="s">
        <v>71</v>
      </c>
      <c r="EKZ868" s="295" t="s">
        <v>71</v>
      </c>
      <c r="ELA868" s="295" t="s">
        <v>71</v>
      </c>
      <c r="ELB868" s="295" t="s">
        <v>71</v>
      </c>
      <c r="ELC868" s="295" t="s">
        <v>71</v>
      </c>
      <c r="ELD868" s="295" t="s">
        <v>71</v>
      </c>
      <c r="ELE868" s="295" t="s">
        <v>71</v>
      </c>
      <c r="ELF868" s="295" t="s">
        <v>71</v>
      </c>
      <c r="ELG868" s="295" t="s">
        <v>71</v>
      </c>
      <c r="ELH868" s="295" t="s">
        <v>71</v>
      </c>
      <c r="ELI868" s="295" t="s">
        <v>71</v>
      </c>
      <c r="ELJ868" s="295" t="s">
        <v>71</v>
      </c>
      <c r="ELK868" s="295" t="s">
        <v>71</v>
      </c>
      <c r="ELL868" s="295" t="s">
        <v>71</v>
      </c>
      <c r="ELM868" s="295" t="s">
        <v>71</v>
      </c>
      <c r="ELN868" s="295" t="s">
        <v>71</v>
      </c>
      <c r="ELO868" s="295" t="s">
        <v>71</v>
      </c>
      <c r="ELP868" s="295" t="s">
        <v>71</v>
      </c>
      <c r="ELQ868" s="295" t="s">
        <v>71</v>
      </c>
      <c r="ELR868" s="295" t="s">
        <v>71</v>
      </c>
      <c r="ELS868" s="295" t="s">
        <v>71</v>
      </c>
      <c r="ELT868" s="295" t="s">
        <v>71</v>
      </c>
      <c r="ELU868" s="295" t="s">
        <v>71</v>
      </c>
      <c r="ELV868" s="295" t="s">
        <v>71</v>
      </c>
      <c r="ELW868" s="295" t="s">
        <v>71</v>
      </c>
      <c r="ELX868" s="295" t="s">
        <v>71</v>
      </c>
      <c r="ELY868" s="295" t="s">
        <v>71</v>
      </c>
      <c r="ELZ868" s="295" t="s">
        <v>71</v>
      </c>
      <c r="EMA868" s="295" t="s">
        <v>71</v>
      </c>
      <c r="EMB868" s="295" t="s">
        <v>71</v>
      </c>
      <c r="EMC868" s="295" t="s">
        <v>71</v>
      </c>
      <c r="EMD868" s="295" t="s">
        <v>71</v>
      </c>
      <c r="EME868" s="295" t="s">
        <v>71</v>
      </c>
      <c r="EMF868" s="295" t="s">
        <v>71</v>
      </c>
      <c r="EMG868" s="295" t="s">
        <v>71</v>
      </c>
      <c r="EMH868" s="295" t="s">
        <v>71</v>
      </c>
      <c r="EMI868" s="295" t="s">
        <v>71</v>
      </c>
      <c r="EMJ868" s="295" t="s">
        <v>71</v>
      </c>
      <c r="EMK868" s="295" t="s">
        <v>71</v>
      </c>
      <c r="EML868" s="295" t="s">
        <v>71</v>
      </c>
      <c r="EMM868" s="295" t="s">
        <v>71</v>
      </c>
      <c r="EMN868" s="295" t="s">
        <v>71</v>
      </c>
      <c r="EMO868" s="295" t="s">
        <v>71</v>
      </c>
      <c r="EMP868" s="295" t="s">
        <v>71</v>
      </c>
      <c r="EMQ868" s="295" t="s">
        <v>71</v>
      </c>
      <c r="EMR868" s="295" t="s">
        <v>71</v>
      </c>
      <c r="EMS868" s="295" t="s">
        <v>71</v>
      </c>
      <c r="EMT868" s="295" t="s">
        <v>71</v>
      </c>
      <c r="EMU868" s="295" t="s">
        <v>71</v>
      </c>
      <c r="EMV868" s="295" t="s">
        <v>71</v>
      </c>
      <c r="EMW868" s="295" t="s">
        <v>71</v>
      </c>
      <c r="EMX868" s="295" t="s">
        <v>71</v>
      </c>
      <c r="EMY868" s="295" t="s">
        <v>71</v>
      </c>
      <c r="EMZ868" s="295" t="s">
        <v>71</v>
      </c>
      <c r="ENA868" s="295" t="s">
        <v>71</v>
      </c>
      <c r="ENB868" s="295" t="s">
        <v>71</v>
      </c>
      <c r="ENC868" s="295" t="s">
        <v>71</v>
      </c>
      <c r="END868" s="295" t="s">
        <v>71</v>
      </c>
      <c r="ENE868" s="295" t="s">
        <v>71</v>
      </c>
      <c r="ENF868" s="295" t="s">
        <v>71</v>
      </c>
      <c r="ENG868" s="295" t="s">
        <v>71</v>
      </c>
      <c r="ENH868" s="295" t="s">
        <v>71</v>
      </c>
      <c r="ENI868" s="295" t="s">
        <v>71</v>
      </c>
      <c r="ENJ868" s="295" t="s">
        <v>71</v>
      </c>
      <c r="ENK868" s="295" t="s">
        <v>71</v>
      </c>
      <c r="ENL868" s="295" t="s">
        <v>71</v>
      </c>
      <c r="ENM868" s="295" t="s">
        <v>71</v>
      </c>
      <c r="ENN868" s="295" t="s">
        <v>71</v>
      </c>
      <c r="ENO868" s="295" t="s">
        <v>71</v>
      </c>
      <c r="ENP868" s="295" t="s">
        <v>71</v>
      </c>
      <c r="ENQ868" s="295" t="s">
        <v>71</v>
      </c>
      <c r="ENR868" s="295" t="s">
        <v>71</v>
      </c>
      <c r="ENS868" s="295" t="s">
        <v>71</v>
      </c>
      <c r="ENT868" s="295" t="s">
        <v>71</v>
      </c>
      <c r="ENU868" s="295" t="s">
        <v>71</v>
      </c>
      <c r="ENV868" s="295" t="s">
        <v>71</v>
      </c>
      <c r="ENW868" s="295" t="s">
        <v>71</v>
      </c>
      <c r="ENX868" s="295" t="s">
        <v>71</v>
      </c>
      <c r="ENY868" s="295" t="s">
        <v>71</v>
      </c>
      <c r="ENZ868" s="295" t="s">
        <v>71</v>
      </c>
      <c r="EOA868" s="295" t="s">
        <v>71</v>
      </c>
      <c r="EOB868" s="295" t="s">
        <v>71</v>
      </c>
      <c r="EOC868" s="295" t="s">
        <v>71</v>
      </c>
      <c r="EOD868" s="295" t="s">
        <v>71</v>
      </c>
      <c r="EOE868" s="295" t="s">
        <v>71</v>
      </c>
      <c r="EOF868" s="295" t="s">
        <v>71</v>
      </c>
      <c r="EOG868" s="295" t="s">
        <v>71</v>
      </c>
      <c r="EOH868" s="295" t="s">
        <v>71</v>
      </c>
      <c r="EOI868" s="295" t="s">
        <v>71</v>
      </c>
      <c r="EOJ868" s="295" t="s">
        <v>71</v>
      </c>
      <c r="EOK868" s="295" t="s">
        <v>71</v>
      </c>
      <c r="EOL868" s="295" t="s">
        <v>71</v>
      </c>
      <c r="EOM868" s="295" t="s">
        <v>71</v>
      </c>
      <c r="EON868" s="295" t="s">
        <v>71</v>
      </c>
      <c r="EOO868" s="295" t="s">
        <v>71</v>
      </c>
      <c r="EOP868" s="295" t="s">
        <v>71</v>
      </c>
      <c r="EOQ868" s="295" t="s">
        <v>71</v>
      </c>
      <c r="EOR868" s="295" t="s">
        <v>71</v>
      </c>
      <c r="EOS868" s="295" t="s">
        <v>71</v>
      </c>
      <c r="EOT868" s="295" t="s">
        <v>71</v>
      </c>
      <c r="EOU868" s="295" t="s">
        <v>71</v>
      </c>
      <c r="EOV868" s="295" t="s">
        <v>71</v>
      </c>
      <c r="EOW868" s="295" t="s">
        <v>71</v>
      </c>
      <c r="EOX868" s="295" t="s">
        <v>71</v>
      </c>
      <c r="EOY868" s="295" t="s">
        <v>71</v>
      </c>
      <c r="EOZ868" s="295" t="s">
        <v>71</v>
      </c>
      <c r="EPA868" s="295" t="s">
        <v>71</v>
      </c>
      <c r="EPB868" s="295" t="s">
        <v>71</v>
      </c>
      <c r="EPC868" s="295" t="s">
        <v>71</v>
      </c>
      <c r="EPD868" s="295" t="s">
        <v>71</v>
      </c>
      <c r="EPE868" s="295" t="s">
        <v>71</v>
      </c>
      <c r="EPF868" s="295" t="s">
        <v>71</v>
      </c>
      <c r="EPG868" s="295" t="s">
        <v>71</v>
      </c>
      <c r="EPH868" s="295" t="s">
        <v>71</v>
      </c>
      <c r="EPI868" s="295" t="s">
        <v>71</v>
      </c>
      <c r="EPJ868" s="295" t="s">
        <v>71</v>
      </c>
      <c r="EPK868" s="295" t="s">
        <v>71</v>
      </c>
      <c r="EPL868" s="295" t="s">
        <v>71</v>
      </c>
      <c r="EPM868" s="295" t="s">
        <v>71</v>
      </c>
      <c r="EPN868" s="295" t="s">
        <v>71</v>
      </c>
      <c r="EPO868" s="295" t="s">
        <v>71</v>
      </c>
      <c r="EPP868" s="295" t="s">
        <v>71</v>
      </c>
      <c r="EPQ868" s="295" t="s">
        <v>71</v>
      </c>
      <c r="EPR868" s="295" t="s">
        <v>71</v>
      </c>
      <c r="EPS868" s="295" t="s">
        <v>71</v>
      </c>
      <c r="EPT868" s="295" t="s">
        <v>71</v>
      </c>
      <c r="EPU868" s="295" t="s">
        <v>71</v>
      </c>
      <c r="EPV868" s="295" t="s">
        <v>71</v>
      </c>
      <c r="EPW868" s="295" t="s">
        <v>71</v>
      </c>
      <c r="EPX868" s="295" t="s">
        <v>71</v>
      </c>
      <c r="EPY868" s="295" t="s">
        <v>71</v>
      </c>
      <c r="EPZ868" s="295" t="s">
        <v>71</v>
      </c>
      <c r="EQA868" s="295" t="s">
        <v>71</v>
      </c>
      <c r="EQB868" s="295" t="s">
        <v>71</v>
      </c>
      <c r="EQC868" s="295" t="s">
        <v>71</v>
      </c>
      <c r="EQD868" s="295" t="s">
        <v>71</v>
      </c>
      <c r="EQE868" s="295" t="s">
        <v>71</v>
      </c>
      <c r="EQF868" s="295" t="s">
        <v>71</v>
      </c>
      <c r="EQG868" s="295" t="s">
        <v>71</v>
      </c>
      <c r="EQH868" s="295" t="s">
        <v>71</v>
      </c>
      <c r="EQI868" s="295" t="s">
        <v>71</v>
      </c>
      <c r="EQJ868" s="295" t="s">
        <v>71</v>
      </c>
      <c r="EQK868" s="295" t="s">
        <v>71</v>
      </c>
      <c r="EQL868" s="295" t="s">
        <v>71</v>
      </c>
      <c r="EQM868" s="295" t="s">
        <v>71</v>
      </c>
      <c r="EQN868" s="295" t="s">
        <v>71</v>
      </c>
      <c r="EQO868" s="295" t="s">
        <v>71</v>
      </c>
      <c r="EQP868" s="295" t="s">
        <v>71</v>
      </c>
      <c r="EQQ868" s="295" t="s">
        <v>71</v>
      </c>
      <c r="EQR868" s="295" t="s">
        <v>71</v>
      </c>
      <c r="EQS868" s="295" t="s">
        <v>71</v>
      </c>
      <c r="EQT868" s="295" t="s">
        <v>71</v>
      </c>
      <c r="EQU868" s="295" t="s">
        <v>71</v>
      </c>
      <c r="EQV868" s="295" t="s">
        <v>71</v>
      </c>
      <c r="EQW868" s="295" t="s">
        <v>71</v>
      </c>
      <c r="EQX868" s="295" t="s">
        <v>71</v>
      </c>
      <c r="EQY868" s="295" t="s">
        <v>71</v>
      </c>
      <c r="EQZ868" s="295" t="s">
        <v>71</v>
      </c>
      <c r="ERA868" s="295" t="s">
        <v>71</v>
      </c>
      <c r="ERB868" s="295" t="s">
        <v>71</v>
      </c>
      <c r="ERC868" s="295" t="s">
        <v>71</v>
      </c>
      <c r="ERD868" s="295" t="s">
        <v>71</v>
      </c>
      <c r="ERE868" s="295" t="s">
        <v>71</v>
      </c>
      <c r="ERF868" s="295" t="s">
        <v>71</v>
      </c>
      <c r="ERG868" s="295" t="s">
        <v>71</v>
      </c>
      <c r="ERH868" s="295" t="s">
        <v>71</v>
      </c>
      <c r="ERI868" s="295" t="s">
        <v>71</v>
      </c>
      <c r="ERJ868" s="295" t="s">
        <v>71</v>
      </c>
      <c r="ERK868" s="295" t="s">
        <v>71</v>
      </c>
      <c r="ERL868" s="295" t="s">
        <v>71</v>
      </c>
      <c r="ERM868" s="295" t="s">
        <v>71</v>
      </c>
      <c r="ERN868" s="295" t="s">
        <v>71</v>
      </c>
      <c r="ERO868" s="295" t="s">
        <v>71</v>
      </c>
      <c r="ERP868" s="295" t="s">
        <v>71</v>
      </c>
      <c r="ERQ868" s="295" t="s">
        <v>71</v>
      </c>
      <c r="ERR868" s="295" t="s">
        <v>71</v>
      </c>
      <c r="ERS868" s="295" t="s">
        <v>71</v>
      </c>
      <c r="ERT868" s="295" t="s">
        <v>71</v>
      </c>
      <c r="ERU868" s="295" t="s">
        <v>71</v>
      </c>
      <c r="ERV868" s="295" t="s">
        <v>71</v>
      </c>
      <c r="ERW868" s="295" t="s">
        <v>71</v>
      </c>
      <c r="ERX868" s="295" t="s">
        <v>71</v>
      </c>
      <c r="ERY868" s="295" t="s">
        <v>71</v>
      </c>
      <c r="ERZ868" s="295" t="s">
        <v>71</v>
      </c>
      <c r="ESA868" s="295" t="s">
        <v>71</v>
      </c>
      <c r="ESB868" s="295" t="s">
        <v>71</v>
      </c>
      <c r="ESC868" s="295" t="s">
        <v>71</v>
      </c>
      <c r="ESD868" s="295" t="s">
        <v>71</v>
      </c>
      <c r="ESE868" s="295" t="s">
        <v>71</v>
      </c>
      <c r="ESF868" s="295" t="s">
        <v>71</v>
      </c>
      <c r="ESG868" s="295" t="s">
        <v>71</v>
      </c>
      <c r="ESH868" s="295" t="s">
        <v>71</v>
      </c>
      <c r="ESI868" s="295" t="s">
        <v>71</v>
      </c>
      <c r="ESJ868" s="295" t="s">
        <v>71</v>
      </c>
      <c r="ESK868" s="295" t="s">
        <v>71</v>
      </c>
      <c r="ESL868" s="295" t="s">
        <v>71</v>
      </c>
      <c r="ESM868" s="295" t="s">
        <v>71</v>
      </c>
      <c r="ESN868" s="295" t="s">
        <v>71</v>
      </c>
      <c r="ESO868" s="295" t="s">
        <v>71</v>
      </c>
      <c r="ESP868" s="295" t="s">
        <v>71</v>
      </c>
      <c r="ESQ868" s="295" t="s">
        <v>71</v>
      </c>
      <c r="ESR868" s="295" t="s">
        <v>71</v>
      </c>
      <c r="ESS868" s="295" t="s">
        <v>71</v>
      </c>
      <c r="EST868" s="295" t="s">
        <v>71</v>
      </c>
      <c r="ESU868" s="295" t="s">
        <v>71</v>
      </c>
      <c r="ESV868" s="295" t="s">
        <v>71</v>
      </c>
      <c r="ESW868" s="295" t="s">
        <v>71</v>
      </c>
      <c r="ESX868" s="295" t="s">
        <v>71</v>
      </c>
      <c r="ESY868" s="295" t="s">
        <v>71</v>
      </c>
      <c r="ESZ868" s="295" t="s">
        <v>71</v>
      </c>
      <c r="ETA868" s="295" t="s">
        <v>71</v>
      </c>
      <c r="ETB868" s="295" t="s">
        <v>71</v>
      </c>
      <c r="ETC868" s="295" t="s">
        <v>71</v>
      </c>
      <c r="ETD868" s="295" t="s">
        <v>71</v>
      </c>
      <c r="ETE868" s="295" t="s">
        <v>71</v>
      </c>
      <c r="ETF868" s="295" t="s">
        <v>71</v>
      </c>
      <c r="ETG868" s="295" t="s">
        <v>71</v>
      </c>
      <c r="ETH868" s="295" t="s">
        <v>71</v>
      </c>
      <c r="ETI868" s="295" t="s">
        <v>71</v>
      </c>
      <c r="ETJ868" s="295" t="s">
        <v>71</v>
      </c>
      <c r="ETK868" s="295" t="s">
        <v>71</v>
      </c>
      <c r="ETL868" s="295" t="s">
        <v>71</v>
      </c>
      <c r="ETM868" s="295" t="s">
        <v>71</v>
      </c>
      <c r="ETN868" s="295" t="s">
        <v>71</v>
      </c>
      <c r="ETO868" s="295" t="s">
        <v>71</v>
      </c>
      <c r="ETP868" s="295" t="s">
        <v>71</v>
      </c>
      <c r="ETQ868" s="295" t="s">
        <v>71</v>
      </c>
      <c r="ETR868" s="295" t="s">
        <v>71</v>
      </c>
      <c r="ETS868" s="295" t="s">
        <v>71</v>
      </c>
      <c r="ETT868" s="295" t="s">
        <v>71</v>
      </c>
      <c r="ETU868" s="295" t="s">
        <v>71</v>
      </c>
      <c r="ETV868" s="295" t="s">
        <v>71</v>
      </c>
      <c r="ETW868" s="295" t="s">
        <v>71</v>
      </c>
      <c r="ETX868" s="295" t="s">
        <v>71</v>
      </c>
      <c r="ETY868" s="295" t="s">
        <v>71</v>
      </c>
      <c r="ETZ868" s="295" t="s">
        <v>71</v>
      </c>
      <c r="EUA868" s="295" t="s">
        <v>71</v>
      </c>
      <c r="EUB868" s="295" t="s">
        <v>71</v>
      </c>
      <c r="EUC868" s="295" t="s">
        <v>71</v>
      </c>
      <c r="EUD868" s="295" t="s">
        <v>71</v>
      </c>
      <c r="EUE868" s="295" t="s">
        <v>71</v>
      </c>
      <c r="EUF868" s="295" t="s">
        <v>71</v>
      </c>
      <c r="EUG868" s="295" t="s">
        <v>71</v>
      </c>
      <c r="EUH868" s="295" t="s">
        <v>71</v>
      </c>
      <c r="EUI868" s="295" t="s">
        <v>71</v>
      </c>
      <c r="EUJ868" s="295" t="s">
        <v>71</v>
      </c>
      <c r="EUK868" s="295" t="s">
        <v>71</v>
      </c>
      <c r="EUL868" s="295" t="s">
        <v>71</v>
      </c>
      <c r="EUM868" s="295" t="s">
        <v>71</v>
      </c>
      <c r="EUN868" s="295" t="s">
        <v>71</v>
      </c>
      <c r="EUO868" s="295" t="s">
        <v>71</v>
      </c>
      <c r="EUP868" s="295" t="s">
        <v>71</v>
      </c>
      <c r="EUQ868" s="295" t="s">
        <v>71</v>
      </c>
      <c r="EUR868" s="295" t="s">
        <v>71</v>
      </c>
      <c r="EUS868" s="295" t="s">
        <v>71</v>
      </c>
      <c r="EUT868" s="295" t="s">
        <v>71</v>
      </c>
      <c r="EUU868" s="295" t="s">
        <v>71</v>
      </c>
      <c r="EUV868" s="295" t="s">
        <v>71</v>
      </c>
      <c r="EUW868" s="295" t="s">
        <v>71</v>
      </c>
      <c r="EUX868" s="295" t="s">
        <v>71</v>
      </c>
      <c r="EUY868" s="295" t="s">
        <v>71</v>
      </c>
      <c r="EUZ868" s="295" t="s">
        <v>71</v>
      </c>
      <c r="EVA868" s="295" t="s">
        <v>71</v>
      </c>
      <c r="EVB868" s="295" t="s">
        <v>71</v>
      </c>
      <c r="EVC868" s="295" t="s">
        <v>71</v>
      </c>
      <c r="EVD868" s="295" t="s">
        <v>71</v>
      </c>
      <c r="EVE868" s="295" t="s">
        <v>71</v>
      </c>
      <c r="EVF868" s="295" t="s">
        <v>71</v>
      </c>
      <c r="EVG868" s="295" t="s">
        <v>71</v>
      </c>
      <c r="EVH868" s="295" t="s">
        <v>71</v>
      </c>
      <c r="EVI868" s="295" t="s">
        <v>71</v>
      </c>
      <c r="EVJ868" s="295" t="s">
        <v>71</v>
      </c>
      <c r="EVK868" s="295" t="s">
        <v>71</v>
      </c>
      <c r="EVL868" s="295" t="s">
        <v>71</v>
      </c>
      <c r="EVM868" s="295" t="s">
        <v>71</v>
      </c>
      <c r="EVN868" s="295" t="s">
        <v>71</v>
      </c>
      <c r="EVO868" s="295" t="s">
        <v>71</v>
      </c>
      <c r="EVP868" s="295" t="s">
        <v>71</v>
      </c>
      <c r="EVQ868" s="295" t="s">
        <v>71</v>
      </c>
      <c r="EVR868" s="295" t="s">
        <v>71</v>
      </c>
      <c r="EVS868" s="295" t="s">
        <v>71</v>
      </c>
      <c r="EVT868" s="295" t="s">
        <v>71</v>
      </c>
      <c r="EVU868" s="295" t="s">
        <v>71</v>
      </c>
      <c r="EVV868" s="295" t="s">
        <v>71</v>
      </c>
      <c r="EVW868" s="295" t="s">
        <v>71</v>
      </c>
      <c r="EVX868" s="295" t="s">
        <v>71</v>
      </c>
      <c r="EVY868" s="295" t="s">
        <v>71</v>
      </c>
      <c r="EVZ868" s="295" t="s">
        <v>71</v>
      </c>
      <c r="EWA868" s="295" t="s">
        <v>71</v>
      </c>
      <c r="EWB868" s="295" t="s">
        <v>71</v>
      </c>
      <c r="EWC868" s="295" t="s">
        <v>71</v>
      </c>
      <c r="EWD868" s="295" t="s">
        <v>71</v>
      </c>
      <c r="EWE868" s="295" t="s">
        <v>71</v>
      </c>
      <c r="EWF868" s="295" t="s">
        <v>71</v>
      </c>
      <c r="EWG868" s="295" t="s">
        <v>71</v>
      </c>
      <c r="EWH868" s="295" t="s">
        <v>71</v>
      </c>
      <c r="EWI868" s="295" t="s">
        <v>71</v>
      </c>
      <c r="EWJ868" s="295" t="s">
        <v>71</v>
      </c>
      <c r="EWK868" s="295" t="s">
        <v>71</v>
      </c>
      <c r="EWL868" s="295" t="s">
        <v>71</v>
      </c>
      <c r="EWM868" s="295" t="s">
        <v>71</v>
      </c>
      <c r="EWN868" s="295" t="s">
        <v>71</v>
      </c>
      <c r="EWO868" s="295" t="s">
        <v>71</v>
      </c>
      <c r="EWP868" s="295" t="s">
        <v>71</v>
      </c>
      <c r="EWQ868" s="295" t="s">
        <v>71</v>
      </c>
      <c r="EWR868" s="295" t="s">
        <v>71</v>
      </c>
      <c r="EWS868" s="295" t="s">
        <v>71</v>
      </c>
      <c r="EWT868" s="295" t="s">
        <v>71</v>
      </c>
      <c r="EWU868" s="295" t="s">
        <v>71</v>
      </c>
      <c r="EWV868" s="295" t="s">
        <v>71</v>
      </c>
      <c r="EWW868" s="295" t="s">
        <v>71</v>
      </c>
      <c r="EWX868" s="295" t="s">
        <v>71</v>
      </c>
      <c r="EWY868" s="295" t="s">
        <v>71</v>
      </c>
      <c r="EWZ868" s="295" t="s">
        <v>71</v>
      </c>
      <c r="EXA868" s="295" t="s">
        <v>71</v>
      </c>
      <c r="EXB868" s="295" t="s">
        <v>71</v>
      </c>
      <c r="EXC868" s="295" t="s">
        <v>71</v>
      </c>
      <c r="EXD868" s="295" t="s">
        <v>71</v>
      </c>
      <c r="EXE868" s="295" t="s">
        <v>71</v>
      </c>
      <c r="EXF868" s="295" t="s">
        <v>71</v>
      </c>
      <c r="EXG868" s="295" t="s">
        <v>71</v>
      </c>
      <c r="EXH868" s="295" t="s">
        <v>71</v>
      </c>
      <c r="EXI868" s="295" t="s">
        <v>71</v>
      </c>
      <c r="EXJ868" s="295" t="s">
        <v>71</v>
      </c>
      <c r="EXK868" s="295" t="s">
        <v>71</v>
      </c>
      <c r="EXL868" s="295" t="s">
        <v>71</v>
      </c>
      <c r="EXM868" s="295" t="s">
        <v>71</v>
      </c>
      <c r="EXN868" s="295" t="s">
        <v>71</v>
      </c>
      <c r="EXO868" s="295" t="s">
        <v>71</v>
      </c>
      <c r="EXP868" s="295" t="s">
        <v>71</v>
      </c>
      <c r="EXQ868" s="295" t="s">
        <v>71</v>
      </c>
      <c r="EXR868" s="295" t="s">
        <v>71</v>
      </c>
      <c r="EXS868" s="295" t="s">
        <v>71</v>
      </c>
      <c r="EXT868" s="295" t="s">
        <v>71</v>
      </c>
      <c r="EXU868" s="295" t="s">
        <v>71</v>
      </c>
      <c r="EXV868" s="295" t="s">
        <v>71</v>
      </c>
      <c r="EXW868" s="295" t="s">
        <v>71</v>
      </c>
      <c r="EXX868" s="295" t="s">
        <v>71</v>
      </c>
      <c r="EXY868" s="295" t="s">
        <v>71</v>
      </c>
      <c r="EXZ868" s="295" t="s">
        <v>71</v>
      </c>
      <c r="EYA868" s="295" t="s">
        <v>71</v>
      </c>
      <c r="EYB868" s="295" t="s">
        <v>71</v>
      </c>
      <c r="EYC868" s="295" t="s">
        <v>71</v>
      </c>
      <c r="EYD868" s="295" t="s">
        <v>71</v>
      </c>
      <c r="EYE868" s="295" t="s">
        <v>71</v>
      </c>
      <c r="EYF868" s="295" t="s">
        <v>71</v>
      </c>
      <c r="EYG868" s="295" t="s">
        <v>71</v>
      </c>
      <c r="EYH868" s="295" t="s">
        <v>71</v>
      </c>
      <c r="EYI868" s="295" t="s">
        <v>71</v>
      </c>
      <c r="EYJ868" s="295" t="s">
        <v>71</v>
      </c>
      <c r="EYK868" s="295" t="s">
        <v>71</v>
      </c>
      <c r="EYL868" s="295" t="s">
        <v>71</v>
      </c>
      <c r="EYM868" s="295" t="s">
        <v>71</v>
      </c>
      <c r="EYN868" s="295" t="s">
        <v>71</v>
      </c>
      <c r="EYO868" s="295" t="s">
        <v>71</v>
      </c>
      <c r="EYP868" s="295" t="s">
        <v>71</v>
      </c>
      <c r="EYQ868" s="295" t="s">
        <v>71</v>
      </c>
      <c r="EYR868" s="295" t="s">
        <v>71</v>
      </c>
      <c r="EYS868" s="295" t="s">
        <v>71</v>
      </c>
      <c r="EYT868" s="295" t="s">
        <v>71</v>
      </c>
      <c r="EYU868" s="295" t="s">
        <v>71</v>
      </c>
      <c r="EYV868" s="295" t="s">
        <v>71</v>
      </c>
      <c r="EYW868" s="295" t="s">
        <v>71</v>
      </c>
      <c r="EYX868" s="295" t="s">
        <v>71</v>
      </c>
      <c r="EYY868" s="295" t="s">
        <v>71</v>
      </c>
      <c r="EYZ868" s="295" t="s">
        <v>71</v>
      </c>
      <c r="EZA868" s="295" t="s">
        <v>71</v>
      </c>
      <c r="EZB868" s="295" t="s">
        <v>71</v>
      </c>
      <c r="EZC868" s="295" t="s">
        <v>71</v>
      </c>
      <c r="EZD868" s="295" t="s">
        <v>71</v>
      </c>
      <c r="EZE868" s="295" t="s">
        <v>71</v>
      </c>
      <c r="EZF868" s="295" t="s">
        <v>71</v>
      </c>
      <c r="EZG868" s="295" t="s">
        <v>71</v>
      </c>
      <c r="EZH868" s="295" t="s">
        <v>71</v>
      </c>
      <c r="EZI868" s="295" t="s">
        <v>71</v>
      </c>
      <c r="EZJ868" s="295" t="s">
        <v>71</v>
      </c>
      <c r="EZK868" s="295" t="s">
        <v>71</v>
      </c>
      <c r="EZL868" s="295" t="s">
        <v>71</v>
      </c>
      <c r="EZM868" s="295" t="s">
        <v>71</v>
      </c>
      <c r="EZN868" s="295" t="s">
        <v>71</v>
      </c>
      <c r="EZO868" s="295" t="s">
        <v>71</v>
      </c>
      <c r="EZP868" s="295" t="s">
        <v>71</v>
      </c>
      <c r="EZQ868" s="295" t="s">
        <v>71</v>
      </c>
      <c r="EZR868" s="295" t="s">
        <v>71</v>
      </c>
      <c r="EZS868" s="295" t="s">
        <v>71</v>
      </c>
      <c r="EZT868" s="295" t="s">
        <v>71</v>
      </c>
      <c r="EZU868" s="295" t="s">
        <v>71</v>
      </c>
      <c r="EZV868" s="295" t="s">
        <v>71</v>
      </c>
      <c r="EZW868" s="295" t="s">
        <v>71</v>
      </c>
      <c r="EZX868" s="295" t="s">
        <v>71</v>
      </c>
      <c r="EZY868" s="295" t="s">
        <v>71</v>
      </c>
      <c r="EZZ868" s="295" t="s">
        <v>71</v>
      </c>
      <c r="FAA868" s="295" t="s">
        <v>71</v>
      </c>
      <c r="FAB868" s="295" t="s">
        <v>71</v>
      </c>
      <c r="FAC868" s="295" t="s">
        <v>71</v>
      </c>
      <c r="FAD868" s="295" t="s">
        <v>71</v>
      </c>
      <c r="FAE868" s="295" t="s">
        <v>71</v>
      </c>
      <c r="FAF868" s="295" t="s">
        <v>71</v>
      </c>
      <c r="FAG868" s="295" t="s">
        <v>71</v>
      </c>
      <c r="FAH868" s="295" t="s">
        <v>71</v>
      </c>
      <c r="FAI868" s="295" t="s">
        <v>71</v>
      </c>
      <c r="FAJ868" s="295" t="s">
        <v>71</v>
      </c>
      <c r="FAK868" s="295" t="s">
        <v>71</v>
      </c>
      <c r="FAL868" s="295" t="s">
        <v>71</v>
      </c>
      <c r="FAM868" s="295" t="s">
        <v>71</v>
      </c>
      <c r="FAN868" s="295" t="s">
        <v>71</v>
      </c>
      <c r="FAO868" s="295" t="s">
        <v>71</v>
      </c>
      <c r="FAP868" s="295" t="s">
        <v>71</v>
      </c>
      <c r="FAQ868" s="295" t="s">
        <v>71</v>
      </c>
      <c r="FAR868" s="295" t="s">
        <v>71</v>
      </c>
      <c r="FAS868" s="295" t="s">
        <v>71</v>
      </c>
      <c r="FAT868" s="295" t="s">
        <v>71</v>
      </c>
      <c r="FAU868" s="295" t="s">
        <v>71</v>
      </c>
      <c r="FAV868" s="295" t="s">
        <v>71</v>
      </c>
      <c r="FAW868" s="295" t="s">
        <v>71</v>
      </c>
      <c r="FAX868" s="295" t="s">
        <v>71</v>
      </c>
      <c r="FAY868" s="295" t="s">
        <v>71</v>
      </c>
      <c r="FAZ868" s="295" t="s">
        <v>71</v>
      </c>
      <c r="FBA868" s="295" t="s">
        <v>71</v>
      </c>
      <c r="FBB868" s="295" t="s">
        <v>71</v>
      </c>
      <c r="FBC868" s="295" t="s">
        <v>71</v>
      </c>
      <c r="FBD868" s="295" t="s">
        <v>71</v>
      </c>
      <c r="FBE868" s="295" t="s">
        <v>71</v>
      </c>
      <c r="FBF868" s="295" t="s">
        <v>71</v>
      </c>
      <c r="FBG868" s="295" t="s">
        <v>71</v>
      </c>
      <c r="FBH868" s="295" t="s">
        <v>71</v>
      </c>
      <c r="FBI868" s="295" t="s">
        <v>71</v>
      </c>
      <c r="FBJ868" s="295" t="s">
        <v>71</v>
      </c>
      <c r="FBK868" s="295" t="s">
        <v>71</v>
      </c>
      <c r="FBL868" s="295" t="s">
        <v>71</v>
      </c>
      <c r="FBM868" s="295" t="s">
        <v>71</v>
      </c>
      <c r="FBN868" s="295" t="s">
        <v>71</v>
      </c>
      <c r="FBO868" s="295" t="s">
        <v>71</v>
      </c>
      <c r="FBP868" s="295" t="s">
        <v>71</v>
      </c>
      <c r="FBQ868" s="295" t="s">
        <v>71</v>
      </c>
      <c r="FBR868" s="295" t="s">
        <v>71</v>
      </c>
      <c r="FBS868" s="295" t="s">
        <v>71</v>
      </c>
      <c r="FBT868" s="295" t="s">
        <v>71</v>
      </c>
      <c r="FBU868" s="295" t="s">
        <v>71</v>
      </c>
      <c r="FBV868" s="295" t="s">
        <v>71</v>
      </c>
      <c r="FBW868" s="295" t="s">
        <v>71</v>
      </c>
      <c r="FBX868" s="295" t="s">
        <v>71</v>
      </c>
      <c r="FBY868" s="295" t="s">
        <v>71</v>
      </c>
      <c r="FBZ868" s="295" t="s">
        <v>71</v>
      </c>
      <c r="FCA868" s="295" t="s">
        <v>71</v>
      </c>
      <c r="FCB868" s="295" t="s">
        <v>71</v>
      </c>
      <c r="FCC868" s="295" t="s">
        <v>71</v>
      </c>
      <c r="FCD868" s="295" t="s">
        <v>71</v>
      </c>
      <c r="FCE868" s="295" t="s">
        <v>71</v>
      </c>
      <c r="FCF868" s="295" t="s">
        <v>71</v>
      </c>
      <c r="FCG868" s="295" t="s">
        <v>71</v>
      </c>
      <c r="FCH868" s="295" t="s">
        <v>71</v>
      </c>
      <c r="FCI868" s="295" t="s">
        <v>71</v>
      </c>
      <c r="FCJ868" s="295" t="s">
        <v>71</v>
      </c>
      <c r="FCK868" s="295" t="s">
        <v>71</v>
      </c>
      <c r="FCL868" s="295" t="s">
        <v>71</v>
      </c>
      <c r="FCM868" s="295" t="s">
        <v>71</v>
      </c>
      <c r="FCN868" s="295" t="s">
        <v>71</v>
      </c>
      <c r="FCO868" s="295" t="s">
        <v>71</v>
      </c>
      <c r="FCP868" s="295" t="s">
        <v>71</v>
      </c>
      <c r="FCQ868" s="295" t="s">
        <v>71</v>
      </c>
      <c r="FCR868" s="295" t="s">
        <v>71</v>
      </c>
      <c r="FCS868" s="295" t="s">
        <v>71</v>
      </c>
      <c r="FCT868" s="295" t="s">
        <v>71</v>
      </c>
      <c r="FCU868" s="295" t="s">
        <v>71</v>
      </c>
      <c r="FCV868" s="295" t="s">
        <v>71</v>
      </c>
      <c r="FCW868" s="295" t="s">
        <v>71</v>
      </c>
      <c r="FCX868" s="295" t="s">
        <v>71</v>
      </c>
      <c r="FCY868" s="295" t="s">
        <v>71</v>
      </c>
      <c r="FCZ868" s="295" t="s">
        <v>71</v>
      </c>
      <c r="FDA868" s="295" t="s">
        <v>71</v>
      </c>
      <c r="FDB868" s="295" t="s">
        <v>71</v>
      </c>
      <c r="FDC868" s="295" t="s">
        <v>71</v>
      </c>
      <c r="FDD868" s="295" t="s">
        <v>71</v>
      </c>
      <c r="FDE868" s="295" t="s">
        <v>71</v>
      </c>
      <c r="FDF868" s="295" t="s">
        <v>71</v>
      </c>
      <c r="FDG868" s="295" t="s">
        <v>71</v>
      </c>
      <c r="FDH868" s="295" t="s">
        <v>71</v>
      </c>
      <c r="FDI868" s="295" t="s">
        <v>71</v>
      </c>
      <c r="FDJ868" s="295" t="s">
        <v>71</v>
      </c>
      <c r="FDK868" s="295" t="s">
        <v>71</v>
      </c>
      <c r="FDL868" s="295" t="s">
        <v>71</v>
      </c>
      <c r="FDM868" s="295" t="s">
        <v>71</v>
      </c>
      <c r="FDN868" s="295" t="s">
        <v>71</v>
      </c>
      <c r="FDO868" s="295" t="s">
        <v>71</v>
      </c>
      <c r="FDP868" s="295" t="s">
        <v>71</v>
      </c>
      <c r="FDQ868" s="295" t="s">
        <v>71</v>
      </c>
      <c r="FDR868" s="295" t="s">
        <v>71</v>
      </c>
      <c r="FDS868" s="295" t="s">
        <v>71</v>
      </c>
      <c r="FDT868" s="295" t="s">
        <v>71</v>
      </c>
      <c r="FDU868" s="295" t="s">
        <v>71</v>
      </c>
      <c r="FDV868" s="295" t="s">
        <v>71</v>
      </c>
      <c r="FDW868" s="295" t="s">
        <v>71</v>
      </c>
      <c r="FDX868" s="295" t="s">
        <v>71</v>
      </c>
      <c r="FDY868" s="295" t="s">
        <v>71</v>
      </c>
      <c r="FDZ868" s="295" t="s">
        <v>71</v>
      </c>
      <c r="FEA868" s="295" t="s">
        <v>71</v>
      </c>
      <c r="FEB868" s="295" t="s">
        <v>71</v>
      </c>
      <c r="FEC868" s="295" t="s">
        <v>71</v>
      </c>
      <c r="FED868" s="295" t="s">
        <v>71</v>
      </c>
      <c r="FEE868" s="295" t="s">
        <v>71</v>
      </c>
      <c r="FEF868" s="295" t="s">
        <v>71</v>
      </c>
      <c r="FEG868" s="295" t="s">
        <v>71</v>
      </c>
      <c r="FEH868" s="295" t="s">
        <v>71</v>
      </c>
      <c r="FEI868" s="295" t="s">
        <v>71</v>
      </c>
      <c r="FEJ868" s="295" t="s">
        <v>71</v>
      </c>
      <c r="FEK868" s="295" t="s">
        <v>71</v>
      </c>
      <c r="FEL868" s="295" t="s">
        <v>71</v>
      </c>
      <c r="FEM868" s="295" t="s">
        <v>71</v>
      </c>
      <c r="FEN868" s="295" t="s">
        <v>71</v>
      </c>
      <c r="FEO868" s="295" t="s">
        <v>71</v>
      </c>
      <c r="FEP868" s="295" t="s">
        <v>71</v>
      </c>
      <c r="FEQ868" s="295" t="s">
        <v>71</v>
      </c>
      <c r="FER868" s="295" t="s">
        <v>71</v>
      </c>
      <c r="FES868" s="295" t="s">
        <v>71</v>
      </c>
      <c r="FET868" s="295" t="s">
        <v>71</v>
      </c>
      <c r="FEU868" s="295" t="s">
        <v>71</v>
      </c>
      <c r="FEV868" s="295" t="s">
        <v>71</v>
      </c>
      <c r="FEW868" s="295" t="s">
        <v>71</v>
      </c>
      <c r="FEX868" s="295" t="s">
        <v>71</v>
      </c>
      <c r="FEY868" s="295" t="s">
        <v>71</v>
      </c>
      <c r="FEZ868" s="295" t="s">
        <v>71</v>
      </c>
      <c r="FFA868" s="295" t="s">
        <v>71</v>
      </c>
      <c r="FFB868" s="295" t="s">
        <v>71</v>
      </c>
      <c r="FFC868" s="295" t="s">
        <v>71</v>
      </c>
      <c r="FFD868" s="295" t="s">
        <v>71</v>
      </c>
      <c r="FFE868" s="295" t="s">
        <v>71</v>
      </c>
      <c r="FFF868" s="295" t="s">
        <v>71</v>
      </c>
      <c r="FFG868" s="295" t="s">
        <v>71</v>
      </c>
      <c r="FFH868" s="295" t="s">
        <v>71</v>
      </c>
      <c r="FFI868" s="295" t="s">
        <v>71</v>
      </c>
      <c r="FFJ868" s="295" t="s">
        <v>71</v>
      </c>
      <c r="FFK868" s="295" t="s">
        <v>71</v>
      </c>
      <c r="FFL868" s="295" t="s">
        <v>71</v>
      </c>
      <c r="FFM868" s="295" t="s">
        <v>71</v>
      </c>
      <c r="FFN868" s="295" t="s">
        <v>71</v>
      </c>
      <c r="FFO868" s="295" t="s">
        <v>71</v>
      </c>
      <c r="FFP868" s="295" t="s">
        <v>71</v>
      </c>
      <c r="FFQ868" s="295" t="s">
        <v>71</v>
      </c>
      <c r="FFR868" s="295" t="s">
        <v>71</v>
      </c>
      <c r="FFS868" s="295" t="s">
        <v>71</v>
      </c>
      <c r="FFT868" s="295" t="s">
        <v>71</v>
      </c>
      <c r="FFU868" s="295" t="s">
        <v>71</v>
      </c>
      <c r="FFV868" s="295" t="s">
        <v>71</v>
      </c>
      <c r="FFW868" s="295" t="s">
        <v>71</v>
      </c>
      <c r="FFX868" s="295" t="s">
        <v>71</v>
      </c>
      <c r="FFY868" s="295" t="s">
        <v>71</v>
      </c>
      <c r="FFZ868" s="295" t="s">
        <v>71</v>
      </c>
      <c r="FGA868" s="295" t="s">
        <v>71</v>
      </c>
      <c r="FGB868" s="295" t="s">
        <v>71</v>
      </c>
      <c r="FGC868" s="295" t="s">
        <v>71</v>
      </c>
      <c r="FGD868" s="295" t="s">
        <v>71</v>
      </c>
      <c r="FGE868" s="295" t="s">
        <v>71</v>
      </c>
      <c r="FGF868" s="295" t="s">
        <v>71</v>
      </c>
      <c r="FGG868" s="295" t="s">
        <v>71</v>
      </c>
      <c r="FGH868" s="295" t="s">
        <v>71</v>
      </c>
      <c r="FGI868" s="295" t="s">
        <v>71</v>
      </c>
      <c r="FGJ868" s="295" t="s">
        <v>71</v>
      </c>
      <c r="FGK868" s="295" t="s">
        <v>71</v>
      </c>
      <c r="FGL868" s="295" t="s">
        <v>71</v>
      </c>
      <c r="FGM868" s="295" t="s">
        <v>71</v>
      </c>
      <c r="FGN868" s="295" t="s">
        <v>71</v>
      </c>
      <c r="FGO868" s="295" t="s">
        <v>71</v>
      </c>
      <c r="FGP868" s="295" t="s">
        <v>71</v>
      </c>
      <c r="FGQ868" s="295" t="s">
        <v>71</v>
      </c>
      <c r="FGR868" s="295" t="s">
        <v>71</v>
      </c>
      <c r="FGS868" s="295" t="s">
        <v>71</v>
      </c>
      <c r="FGT868" s="295" t="s">
        <v>71</v>
      </c>
      <c r="FGU868" s="295" t="s">
        <v>71</v>
      </c>
      <c r="FGV868" s="295" t="s">
        <v>71</v>
      </c>
      <c r="FGW868" s="295" t="s">
        <v>71</v>
      </c>
      <c r="FGX868" s="295" t="s">
        <v>71</v>
      </c>
      <c r="FGY868" s="295" t="s">
        <v>71</v>
      </c>
      <c r="FGZ868" s="295" t="s">
        <v>71</v>
      </c>
      <c r="FHA868" s="295" t="s">
        <v>71</v>
      </c>
      <c r="FHB868" s="295" t="s">
        <v>71</v>
      </c>
      <c r="FHC868" s="295" t="s">
        <v>71</v>
      </c>
      <c r="FHD868" s="295" t="s">
        <v>71</v>
      </c>
      <c r="FHE868" s="295" t="s">
        <v>71</v>
      </c>
      <c r="FHF868" s="295" t="s">
        <v>71</v>
      </c>
      <c r="FHG868" s="295" t="s">
        <v>71</v>
      </c>
      <c r="FHH868" s="295" t="s">
        <v>71</v>
      </c>
      <c r="FHI868" s="295" t="s">
        <v>71</v>
      </c>
      <c r="FHJ868" s="295" t="s">
        <v>71</v>
      </c>
      <c r="FHK868" s="295" t="s">
        <v>71</v>
      </c>
      <c r="FHL868" s="295" t="s">
        <v>71</v>
      </c>
      <c r="FHM868" s="295" t="s">
        <v>71</v>
      </c>
      <c r="FHN868" s="295" t="s">
        <v>71</v>
      </c>
      <c r="FHO868" s="295" t="s">
        <v>71</v>
      </c>
      <c r="FHP868" s="295" t="s">
        <v>71</v>
      </c>
      <c r="FHQ868" s="295" t="s">
        <v>71</v>
      </c>
      <c r="FHR868" s="295" t="s">
        <v>71</v>
      </c>
      <c r="FHS868" s="295" t="s">
        <v>71</v>
      </c>
      <c r="FHT868" s="295" t="s">
        <v>71</v>
      </c>
      <c r="FHU868" s="295" t="s">
        <v>71</v>
      </c>
      <c r="FHV868" s="295" t="s">
        <v>71</v>
      </c>
      <c r="FHW868" s="295" t="s">
        <v>71</v>
      </c>
      <c r="FHX868" s="295" t="s">
        <v>71</v>
      </c>
      <c r="FHY868" s="295" t="s">
        <v>71</v>
      </c>
      <c r="FHZ868" s="295" t="s">
        <v>71</v>
      </c>
      <c r="FIA868" s="295" t="s">
        <v>71</v>
      </c>
      <c r="FIB868" s="295" t="s">
        <v>71</v>
      </c>
      <c r="FIC868" s="295" t="s">
        <v>71</v>
      </c>
      <c r="FID868" s="295" t="s">
        <v>71</v>
      </c>
      <c r="FIE868" s="295" t="s">
        <v>71</v>
      </c>
      <c r="FIF868" s="295" t="s">
        <v>71</v>
      </c>
      <c r="FIG868" s="295" t="s">
        <v>71</v>
      </c>
      <c r="FIH868" s="295" t="s">
        <v>71</v>
      </c>
      <c r="FII868" s="295" t="s">
        <v>71</v>
      </c>
      <c r="FIJ868" s="295" t="s">
        <v>71</v>
      </c>
      <c r="FIK868" s="295" t="s">
        <v>71</v>
      </c>
      <c r="FIL868" s="295" t="s">
        <v>71</v>
      </c>
      <c r="FIM868" s="295" t="s">
        <v>71</v>
      </c>
      <c r="FIN868" s="295" t="s">
        <v>71</v>
      </c>
      <c r="FIO868" s="295" t="s">
        <v>71</v>
      </c>
      <c r="FIP868" s="295" t="s">
        <v>71</v>
      </c>
      <c r="FIQ868" s="295" t="s">
        <v>71</v>
      </c>
      <c r="FIR868" s="295" t="s">
        <v>71</v>
      </c>
      <c r="FIS868" s="295" t="s">
        <v>71</v>
      </c>
      <c r="FIT868" s="295" t="s">
        <v>71</v>
      </c>
      <c r="FIU868" s="295" t="s">
        <v>71</v>
      </c>
      <c r="FIV868" s="295" t="s">
        <v>71</v>
      </c>
      <c r="FIW868" s="295" t="s">
        <v>71</v>
      </c>
      <c r="FIX868" s="295" t="s">
        <v>71</v>
      </c>
      <c r="FIY868" s="295" t="s">
        <v>71</v>
      </c>
      <c r="FIZ868" s="295" t="s">
        <v>71</v>
      </c>
      <c r="FJA868" s="295" t="s">
        <v>71</v>
      </c>
      <c r="FJB868" s="295" t="s">
        <v>71</v>
      </c>
      <c r="FJC868" s="295" t="s">
        <v>71</v>
      </c>
      <c r="FJD868" s="295" t="s">
        <v>71</v>
      </c>
      <c r="FJE868" s="295" t="s">
        <v>71</v>
      </c>
      <c r="FJF868" s="295" t="s">
        <v>71</v>
      </c>
      <c r="FJG868" s="295" t="s">
        <v>71</v>
      </c>
      <c r="FJH868" s="295" t="s">
        <v>71</v>
      </c>
      <c r="FJI868" s="295" t="s">
        <v>71</v>
      </c>
      <c r="FJJ868" s="295" t="s">
        <v>71</v>
      </c>
      <c r="FJK868" s="295" t="s">
        <v>71</v>
      </c>
      <c r="FJL868" s="295" t="s">
        <v>71</v>
      </c>
      <c r="FJM868" s="295" t="s">
        <v>71</v>
      </c>
      <c r="FJN868" s="295" t="s">
        <v>71</v>
      </c>
      <c r="FJO868" s="295" t="s">
        <v>71</v>
      </c>
      <c r="FJP868" s="295" t="s">
        <v>71</v>
      </c>
      <c r="FJQ868" s="295" t="s">
        <v>71</v>
      </c>
      <c r="FJR868" s="295" t="s">
        <v>71</v>
      </c>
      <c r="FJS868" s="295" t="s">
        <v>71</v>
      </c>
      <c r="FJT868" s="295" t="s">
        <v>71</v>
      </c>
      <c r="FJU868" s="295" t="s">
        <v>71</v>
      </c>
      <c r="FJV868" s="295" t="s">
        <v>71</v>
      </c>
      <c r="FJW868" s="295" t="s">
        <v>71</v>
      </c>
      <c r="FJX868" s="295" t="s">
        <v>71</v>
      </c>
      <c r="FJY868" s="295" t="s">
        <v>71</v>
      </c>
      <c r="FJZ868" s="295" t="s">
        <v>71</v>
      </c>
      <c r="FKA868" s="295" t="s">
        <v>71</v>
      </c>
      <c r="FKB868" s="295" t="s">
        <v>71</v>
      </c>
      <c r="FKC868" s="295" t="s">
        <v>71</v>
      </c>
      <c r="FKD868" s="295" t="s">
        <v>71</v>
      </c>
      <c r="FKE868" s="295" t="s">
        <v>71</v>
      </c>
      <c r="FKF868" s="295" t="s">
        <v>71</v>
      </c>
      <c r="FKG868" s="295" t="s">
        <v>71</v>
      </c>
      <c r="FKH868" s="295" t="s">
        <v>71</v>
      </c>
      <c r="FKI868" s="295" t="s">
        <v>71</v>
      </c>
      <c r="FKJ868" s="295" t="s">
        <v>71</v>
      </c>
      <c r="FKK868" s="295" t="s">
        <v>71</v>
      </c>
      <c r="FKL868" s="295" t="s">
        <v>71</v>
      </c>
      <c r="FKM868" s="295" t="s">
        <v>71</v>
      </c>
      <c r="FKN868" s="295" t="s">
        <v>71</v>
      </c>
      <c r="FKO868" s="295" t="s">
        <v>71</v>
      </c>
      <c r="FKP868" s="295" t="s">
        <v>71</v>
      </c>
      <c r="FKQ868" s="295" t="s">
        <v>71</v>
      </c>
      <c r="FKR868" s="295" t="s">
        <v>71</v>
      </c>
      <c r="FKS868" s="295" t="s">
        <v>71</v>
      </c>
      <c r="FKT868" s="295" t="s">
        <v>71</v>
      </c>
      <c r="FKU868" s="295" t="s">
        <v>71</v>
      </c>
      <c r="FKV868" s="295" t="s">
        <v>71</v>
      </c>
      <c r="FKW868" s="295" t="s">
        <v>71</v>
      </c>
      <c r="FKX868" s="295" t="s">
        <v>71</v>
      </c>
      <c r="FKY868" s="295" t="s">
        <v>71</v>
      </c>
      <c r="FKZ868" s="295" t="s">
        <v>71</v>
      </c>
      <c r="FLA868" s="295" t="s">
        <v>71</v>
      </c>
      <c r="FLB868" s="295" t="s">
        <v>71</v>
      </c>
      <c r="FLC868" s="295" t="s">
        <v>71</v>
      </c>
      <c r="FLD868" s="295" t="s">
        <v>71</v>
      </c>
      <c r="FLE868" s="295" t="s">
        <v>71</v>
      </c>
      <c r="FLF868" s="295" t="s">
        <v>71</v>
      </c>
      <c r="FLG868" s="295" t="s">
        <v>71</v>
      </c>
      <c r="FLH868" s="295" t="s">
        <v>71</v>
      </c>
      <c r="FLI868" s="295" t="s">
        <v>71</v>
      </c>
      <c r="FLJ868" s="295" t="s">
        <v>71</v>
      </c>
      <c r="FLK868" s="295" t="s">
        <v>71</v>
      </c>
      <c r="FLL868" s="295" t="s">
        <v>71</v>
      </c>
      <c r="FLM868" s="295" t="s">
        <v>71</v>
      </c>
      <c r="FLN868" s="295" t="s">
        <v>71</v>
      </c>
      <c r="FLO868" s="295" t="s">
        <v>71</v>
      </c>
      <c r="FLP868" s="295" t="s">
        <v>71</v>
      </c>
      <c r="FLQ868" s="295" t="s">
        <v>71</v>
      </c>
      <c r="FLR868" s="295" t="s">
        <v>71</v>
      </c>
      <c r="FLS868" s="295" t="s">
        <v>71</v>
      </c>
      <c r="FLT868" s="295" t="s">
        <v>71</v>
      </c>
      <c r="FLU868" s="295" t="s">
        <v>71</v>
      </c>
      <c r="FLV868" s="295" t="s">
        <v>71</v>
      </c>
      <c r="FLW868" s="295" t="s">
        <v>71</v>
      </c>
      <c r="FLX868" s="295" t="s">
        <v>71</v>
      </c>
      <c r="FLY868" s="295" t="s">
        <v>71</v>
      </c>
      <c r="FLZ868" s="295" t="s">
        <v>71</v>
      </c>
      <c r="FMA868" s="295" t="s">
        <v>71</v>
      </c>
      <c r="FMB868" s="295" t="s">
        <v>71</v>
      </c>
      <c r="FMC868" s="295" t="s">
        <v>71</v>
      </c>
      <c r="FMD868" s="295" t="s">
        <v>71</v>
      </c>
      <c r="FME868" s="295" t="s">
        <v>71</v>
      </c>
      <c r="FMF868" s="295" t="s">
        <v>71</v>
      </c>
      <c r="FMG868" s="295" t="s">
        <v>71</v>
      </c>
      <c r="FMH868" s="295" t="s">
        <v>71</v>
      </c>
      <c r="FMI868" s="295" t="s">
        <v>71</v>
      </c>
      <c r="FMJ868" s="295" t="s">
        <v>71</v>
      </c>
      <c r="FMK868" s="295" t="s">
        <v>71</v>
      </c>
      <c r="FML868" s="295" t="s">
        <v>71</v>
      </c>
      <c r="FMM868" s="295" t="s">
        <v>71</v>
      </c>
      <c r="FMN868" s="295" t="s">
        <v>71</v>
      </c>
      <c r="FMO868" s="295" t="s">
        <v>71</v>
      </c>
      <c r="FMP868" s="295" t="s">
        <v>71</v>
      </c>
      <c r="FMQ868" s="295" t="s">
        <v>71</v>
      </c>
      <c r="FMR868" s="295" t="s">
        <v>71</v>
      </c>
      <c r="FMS868" s="295" t="s">
        <v>71</v>
      </c>
      <c r="FMT868" s="295" t="s">
        <v>71</v>
      </c>
      <c r="FMU868" s="295" t="s">
        <v>71</v>
      </c>
      <c r="FMV868" s="295" t="s">
        <v>71</v>
      </c>
      <c r="FMW868" s="295" t="s">
        <v>71</v>
      </c>
      <c r="FMX868" s="295" t="s">
        <v>71</v>
      </c>
      <c r="FMY868" s="295" t="s">
        <v>71</v>
      </c>
      <c r="FMZ868" s="295" t="s">
        <v>71</v>
      </c>
      <c r="FNA868" s="295" t="s">
        <v>71</v>
      </c>
      <c r="FNB868" s="295" t="s">
        <v>71</v>
      </c>
      <c r="FNC868" s="295" t="s">
        <v>71</v>
      </c>
      <c r="FND868" s="295" t="s">
        <v>71</v>
      </c>
      <c r="FNE868" s="295" t="s">
        <v>71</v>
      </c>
      <c r="FNF868" s="295" t="s">
        <v>71</v>
      </c>
      <c r="FNG868" s="295" t="s">
        <v>71</v>
      </c>
      <c r="FNH868" s="295" t="s">
        <v>71</v>
      </c>
      <c r="FNI868" s="295" t="s">
        <v>71</v>
      </c>
      <c r="FNJ868" s="295" t="s">
        <v>71</v>
      </c>
      <c r="FNK868" s="295" t="s">
        <v>71</v>
      </c>
      <c r="FNL868" s="295" t="s">
        <v>71</v>
      </c>
      <c r="FNM868" s="295" t="s">
        <v>71</v>
      </c>
      <c r="FNN868" s="295" t="s">
        <v>71</v>
      </c>
      <c r="FNO868" s="295" t="s">
        <v>71</v>
      </c>
      <c r="FNP868" s="295" t="s">
        <v>71</v>
      </c>
      <c r="FNQ868" s="295" t="s">
        <v>71</v>
      </c>
      <c r="FNR868" s="295" t="s">
        <v>71</v>
      </c>
      <c r="FNS868" s="295" t="s">
        <v>71</v>
      </c>
      <c r="FNT868" s="295" t="s">
        <v>71</v>
      </c>
      <c r="FNU868" s="295" t="s">
        <v>71</v>
      </c>
      <c r="FNV868" s="295" t="s">
        <v>71</v>
      </c>
      <c r="FNW868" s="295" t="s">
        <v>71</v>
      </c>
      <c r="FNX868" s="295" t="s">
        <v>71</v>
      </c>
      <c r="FNY868" s="295" t="s">
        <v>71</v>
      </c>
      <c r="FNZ868" s="295" t="s">
        <v>71</v>
      </c>
      <c r="FOA868" s="295" t="s">
        <v>71</v>
      </c>
      <c r="FOB868" s="295" t="s">
        <v>71</v>
      </c>
      <c r="FOC868" s="295" t="s">
        <v>71</v>
      </c>
      <c r="FOD868" s="295" t="s">
        <v>71</v>
      </c>
      <c r="FOE868" s="295" t="s">
        <v>71</v>
      </c>
      <c r="FOF868" s="295" t="s">
        <v>71</v>
      </c>
      <c r="FOG868" s="295" t="s">
        <v>71</v>
      </c>
      <c r="FOH868" s="295" t="s">
        <v>71</v>
      </c>
      <c r="FOI868" s="295" t="s">
        <v>71</v>
      </c>
      <c r="FOJ868" s="295" t="s">
        <v>71</v>
      </c>
      <c r="FOK868" s="295" t="s">
        <v>71</v>
      </c>
      <c r="FOL868" s="295" t="s">
        <v>71</v>
      </c>
      <c r="FOM868" s="295" t="s">
        <v>71</v>
      </c>
      <c r="FON868" s="295" t="s">
        <v>71</v>
      </c>
      <c r="FOO868" s="295" t="s">
        <v>71</v>
      </c>
      <c r="FOP868" s="295" t="s">
        <v>71</v>
      </c>
      <c r="FOQ868" s="295" t="s">
        <v>71</v>
      </c>
      <c r="FOR868" s="295" t="s">
        <v>71</v>
      </c>
      <c r="FOS868" s="295" t="s">
        <v>71</v>
      </c>
      <c r="FOT868" s="295" t="s">
        <v>71</v>
      </c>
      <c r="FOU868" s="295" t="s">
        <v>71</v>
      </c>
      <c r="FOV868" s="295" t="s">
        <v>71</v>
      </c>
      <c r="FOW868" s="295" t="s">
        <v>71</v>
      </c>
      <c r="FOX868" s="295" t="s">
        <v>71</v>
      </c>
      <c r="FOY868" s="295" t="s">
        <v>71</v>
      </c>
      <c r="FOZ868" s="295" t="s">
        <v>71</v>
      </c>
      <c r="FPA868" s="295" t="s">
        <v>71</v>
      </c>
      <c r="FPB868" s="295" t="s">
        <v>71</v>
      </c>
      <c r="FPC868" s="295" t="s">
        <v>71</v>
      </c>
      <c r="FPD868" s="295" t="s">
        <v>71</v>
      </c>
      <c r="FPE868" s="295" t="s">
        <v>71</v>
      </c>
      <c r="FPF868" s="295" t="s">
        <v>71</v>
      </c>
      <c r="FPG868" s="295" t="s">
        <v>71</v>
      </c>
      <c r="FPH868" s="295" t="s">
        <v>71</v>
      </c>
      <c r="FPI868" s="295" t="s">
        <v>71</v>
      </c>
      <c r="FPJ868" s="295" t="s">
        <v>71</v>
      </c>
      <c r="FPK868" s="295" t="s">
        <v>71</v>
      </c>
      <c r="FPL868" s="295" t="s">
        <v>71</v>
      </c>
      <c r="FPM868" s="295" t="s">
        <v>71</v>
      </c>
      <c r="FPN868" s="295" t="s">
        <v>71</v>
      </c>
      <c r="FPO868" s="295" t="s">
        <v>71</v>
      </c>
      <c r="FPP868" s="295" t="s">
        <v>71</v>
      </c>
      <c r="FPQ868" s="295" t="s">
        <v>71</v>
      </c>
      <c r="FPR868" s="295" t="s">
        <v>71</v>
      </c>
      <c r="FPS868" s="295" t="s">
        <v>71</v>
      </c>
      <c r="FPT868" s="295" t="s">
        <v>71</v>
      </c>
      <c r="FPU868" s="295" t="s">
        <v>71</v>
      </c>
      <c r="FPV868" s="295" t="s">
        <v>71</v>
      </c>
      <c r="FPW868" s="295" t="s">
        <v>71</v>
      </c>
      <c r="FPX868" s="295" t="s">
        <v>71</v>
      </c>
      <c r="FPY868" s="295" t="s">
        <v>71</v>
      </c>
      <c r="FPZ868" s="295" t="s">
        <v>71</v>
      </c>
      <c r="FQA868" s="295" t="s">
        <v>71</v>
      </c>
      <c r="FQB868" s="295" t="s">
        <v>71</v>
      </c>
      <c r="FQC868" s="295" t="s">
        <v>71</v>
      </c>
      <c r="FQD868" s="295" t="s">
        <v>71</v>
      </c>
      <c r="FQE868" s="295" t="s">
        <v>71</v>
      </c>
      <c r="FQF868" s="295" t="s">
        <v>71</v>
      </c>
      <c r="FQG868" s="295" t="s">
        <v>71</v>
      </c>
      <c r="FQH868" s="295" t="s">
        <v>71</v>
      </c>
      <c r="FQI868" s="295" t="s">
        <v>71</v>
      </c>
      <c r="FQJ868" s="295" t="s">
        <v>71</v>
      </c>
      <c r="FQK868" s="295" t="s">
        <v>71</v>
      </c>
      <c r="FQL868" s="295" t="s">
        <v>71</v>
      </c>
      <c r="FQM868" s="295" t="s">
        <v>71</v>
      </c>
      <c r="FQN868" s="295" t="s">
        <v>71</v>
      </c>
      <c r="FQO868" s="295" t="s">
        <v>71</v>
      </c>
      <c r="FQP868" s="295" t="s">
        <v>71</v>
      </c>
      <c r="FQQ868" s="295" t="s">
        <v>71</v>
      </c>
      <c r="FQR868" s="295" t="s">
        <v>71</v>
      </c>
      <c r="FQS868" s="295" t="s">
        <v>71</v>
      </c>
      <c r="FQT868" s="295" t="s">
        <v>71</v>
      </c>
      <c r="FQU868" s="295" t="s">
        <v>71</v>
      </c>
      <c r="FQV868" s="295" t="s">
        <v>71</v>
      </c>
      <c r="FQW868" s="295" t="s">
        <v>71</v>
      </c>
      <c r="FQX868" s="295" t="s">
        <v>71</v>
      </c>
      <c r="FQY868" s="295" t="s">
        <v>71</v>
      </c>
      <c r="FQZ868" s="295" t="s">
        <v>71</v>
      </c>
      <c r="FRA868" s="295" t="s">
        <v>71</v>
      </c>
      <c r="FRB868" s="295" t="s">
        <v>71</v>
      </c>
      <c r="FRC868" s="295" t="s">
        <v>71</v>
      </c>
      <c r="FRD868" s="295" t="s">
        <v>71</v>
      </c>
      <c r="FRE868" s="295" t="s">
        <v>71</v>
      </c>
      <c r="FRF868" s="295" t="s">
        <v>71</v>
      </c>
      <c r="FRG868" s="295" t="s">
        <v>71</v>
      </c>
      <c r="FRH868" s="295" t="s">
        <v>71</v>
      </c>
      <c r="FRI868" s="295" t="s">
        <v>71</v>
      </c>
      <c r="FRJ868" s="295" t="s">
        <v>71</v>
      </c>
      <c r="FRK868" s="295" t="s">
        <v>71</v>
      </c>
      <c r="FRL868" s="295" t="s">
        <v>71</v>
      </c>
      <c r="FRM868" s="295" t="s">
        <v>71</v>
      </c>
      <c r="FRN868" s="295" t="s">
        <v>71</v>
      </c>
      <c r="FRO868" s="295" t="s">
        <v>71</v>
      </c>
      <c r="FRP868" s="295" t="s">
        <v>71</v>
      </c>
      <c r="FRQ868" s="295" t="s">
        <v>71</v>
      </c>
      <c r="FRR868" s="295" t="s">
        <v>71</v>
      </c>
      <c r="FRS868" s="295" t="s">
        <v>71</v>
      </c>
      <c r="FRT868" s="295" t="s">
        <v>71</v>
      </c>
      <c r="FRU868" s="295" t="s">
        <v>71</v>
      </c>
      <c r="FRV868" s="295" t="s">
        <v>71</v>
      </c>
      <c r="FRW868" s="295" t="s">
        <v>71</v>
      </c>
      <c r="FRX868" s="295" t="s">
        <v>71</v>
      </c>
      <c r="FRY868" s="295" t="s">
        <v>71</v>
      </c>
      <c r="FRZ868" s="295" t="s">
        <v>71</v>
      </c>
      <c r="FSA868" s="295" t="s">
        <v>71</v>
      </c>
      <c r="FSB868" s="295" t="s">
        <v>71</v>
      </c>
      <c r="FSC868" s="295" t="s">
        <v>71</v>
      </c>
      <c r="FSD868" s="295" t="s">
        <v>71</v>
      </c>
      <c r="FSE868" s="295" t="s">
        <v>71</v>
      </c>
      <c r="FSF868" s="295" t="s">
        <v>71</v>
      </c>
      <c r="FSG868" s="295" t="s">
        <v>71</v>
      </c>
      <c r="FSH868" s="295" t="s">
        <v>71</v>
      </c>
      <c r="FSI868" s="295" t="s">
        <v>71</v>
      </c>
      <c r="FSJ868" s="295" t="s">
        <v>71</v>
      </c>
      <c r="FSK868" s="295" t="s">
        <v>71</v>
      </c>
      <c r="FSL868" s="295" t="s">
        <v>71</v>
      </c>
      <c r="FSM868" s="295" t="s">
        <v>71</v>
      </c>
      <c r="FSN868" s="295" t="s">
        <v>71</v>
      </c>
      <c r="FSO868" s="295" t="s">
        <v>71</v>
      </c>
      <c r="FSP868" s="295" t="s">
        <v>71</v>
      </c>
      <c r="FSQ868" s="295" t="s">
        <v>71</v>
      </c>
      <c r="FSR868" s="295" t="s">
        <v>71</v>
      </c>
      <c r="FSS868" s="295" t="s">
        <v>71</v>
      </c>
      <c r="FST868" s="295" t="s">
        <v>71</v>
      </c>
      <c r="FSU868" s="295" t="s">
        <v>71</v>
      </c>
      <c r="FSV868" s="295" t="s">
        <v>71</v>
      </c>
      <c r="FSW868" s="295" t="s">
        <v>71</v>
      </c>
      <c r="FSX868" s="295" t="s">
        <v>71</v>
      </c>
      <c r="FSY868" s="295" t="s">
        <v>71</v>
      </c>
      <c r="FSZ868" s="295" t="s">
        <v>71</v>
      </c>
      <c r="FTA868" s="295" t="s">
        <v>71</v>
      </c>
      <c r="FTB868" s="295" t="s">
        <v>71</v>
      </c>
      <c r="FTC868" s="295" t="s">
        <v>71</v>
      </c>
      <c r="FTD868" s="295" t="s">
        <v>71</v>
      </c>
      <c r="FTE868" s="295" t="s">
        <v>71</v>
      </c>
      <c r="FTF868" s="295" t="s">
        <v>71</v>
      </c>
      <c r="FTG868" s="295" t="s">
        <v>71</v>
      </c>
      <c r="FTH868" s="295" t="s">
        <v>71</v>
      </c>
      <c r="FTI868" s="295" t="s">
        <v>71</v>
      </c>
      <c r="FTJ868" s="295" t="s">
        <v>71</v>
      </c>
      <c r="FTK868" s="295" t="s">
        <v>71</v>
      </c>
      <c r="FTL868" s="295" t="s">
        <v>71</v>
      </c>
      <c r="FTM868" s="295" t="s">
        <v>71</v>
      </c>
      <c r="FTN868" s="295" t="s">
        <v>71</v>
      </c>
      <c r="FTO868" s="295" t="s">
        <v>71</v>
      </c>
      <c r="FTP868" s="295" t="s">
        <v>71</v>
      </c>
      <c r="FTQ868" s="295" t="s">
        <v>71</v>
      </c>
      <c r="FTR868" s="295" t="s">
        <v>71</v>
      </c>
      <c r="FTS868" s="295" t="s">
        <v>71</v>
      </c>
      <c r="FTT868" s="295" t="s">
        <v>71</v>
      </c>
      <c r="FTU868" s="295" t="s">
        <v>71</v>
      </c>
      <c r="FTV868" s="295" t="s">
        <v>71</v>
      </c>
      <c r="FTW868" s="295" t="s">
        <v>71</v>
      </c>
      <c r="FTX868" s="295" t="s">
        <v>71</v>
      </c>
      <c r="FTY868" s="295" t="s">
        <v>71</v>
      </c>
      <c r="FTZ868" s="295" t="s">
        <v>71</v>
      </c>
      <c r="FUA868" s="295" t="s">
        <v>71</v>
      </c>
      <c r="FUB868" s="295" t="s">
        <v>71</v>
      </c>
      <c r="FUC868" s="295" t="s">
        <v>71</v>
      </c>
      <c r="FUD868" s="295" t="s">
        <v>71</v>
      </c>
      <c r="FUE868" s="295" t="s">
        <v>71</v>
      </c>
      <c r="FUF868" s="295" t="s">
        <v>71</v>
      </c>
      <c r="FUG868" s="295" t="s">
        <v>71</v>
      </c>
      <c r="FUH868" s="295" t="s">
        <v>71</v>
      </c>
      <c r="FUI868" s="295" t="s">
        <v>71</v>
      </c>
      <c r="FUJ868" s="295" t="s">
        <v>71</v>
      </c>
      <c r="FUK868" s="295" t="s">
        <v>71</v>
      </c>
      <c r="FUL868" s="295" t="s">
        <v>71</v>
      </c>
      <c r="FUM868" s="295" t="s">
        <v>71</v>
      </c>
      <c r="FUN868" s="295" t="s">
        <v>71</v>
      </c>
      <c r="FUO868" s="295" t="s">
        <v>71</v>
      </c>
      <c r="FUP868" s="295" t="s">
        <v>71</v>
      </c>
      <c r="FUQ868" s="295" t="s">
        <v>71</v>
      </c>
      <c r="FUR868" s="295" t="s">
        <v>71</v>
      </c>
      <c r="FUS868" s="295" t="s">
        <v>71</v>
      </c>
      <c r="FUT868" s="295" t="s">
        <v>71</v>
      </c>
      <c r="FUU868" s="295" t="s">
        <v>71</v>
      </c>
      <c r="FUV868" s="295" t="s">
        <v>71</v>
      </c>
      <c r="FUW868" s="295" t="s">
        <v>71</v>
      </c>
      <c r="FUX868" s="295" t="s">
        <v>71</v>
      </c>
      <c r="FUY868" s="295" t="s">
        <v>71</v>
      </c>
      <c r="FUZ868" s="295" t="s">
        <v>71</v>
      </c>
      <c r="FVA868" s="295" t="s">
        <v>71</v>
      </c>
      <c r="FVB868" s="295" t="s">
        <v>71</v>
      </c>
      <c r="FVC868" s="295" t="s">
        <v>71</v>
      </c>
      <c r="FVD868" s="295" t="s">
        <v>71</v>
      </c>
      <c r="FVE868" s="295" t="s">
        <v>71</v>
      </c>
      <c r="FVF868" s="295" t="s">
        <v>71</v>
      </c>
      <c r="FVG868" s="295" t="s">
        <v>71</v>
      </c>
      <c r="FVH868" s="295" t="s">
        <v>71</v>
      </c>
      <c r="FVI868" s="295" t="s">
        <v>71</v>
      </c>
      <c r="FVJ868" s="295" t="s">
        <v>71</v>
      </c>
      <c r="FVK868" s="295" t="s">
        <v>71</v>
      </c>
      <c r="FVL868" s="295" t="s">
        <v>71</v>
      </c>
      <c r="FVM868" s="295" t="s">
        <v>71</v>
      </c>
      <c r="FVN868" s="295" t="s">
        <v>71</v>
      </c>
      <c r="FVO868" s="295" t="s">
        <v>71</v>
      </c>
      <c r="FVP868" s="295" t="s">
        <v>71</v>
      </c>
      <c r="FVQ868" s="295" t="s">
        <v>71</v>
      </c>
      <c r="FVR868" s="295" t="s">
        <v>71</v>
      </c>
      <c r="FVS868" s="295" t="s">
        <v>71</v>
      </c>
      <c r="FVT868" s="295" t="s">
        <v>71</v>
      </c>
      <c r="FVU868" s="295" t="s">
        <v>71</v>
      </c>
      <c r="FVV868" s="295" t="s">
        <v>71</v>
      </c>
      <c r="FVW868" s="295" t="s">
        <v>71</v>
      </c>
      <c r="FVX868" s="295" t="s">
        <v>71</v>
      </c>
      <c r="FVY868" s="295" t="s">
        <v>71</v>
      </c>
      <c r="FVZ868" s="295" t="s">
        <v>71</v>
      </c>
      <c r="FWA868" s="295" t="s">
        <v>71</v>
      </c>
      <c r="FWB868" s="295" t="s">
        <v>71</v>
      </c>
      <c r="FWC868" s="295" t="s">
        <v>71</v>
      </c>
      <c r="FWD868" s="295" t="s">
        <v>71</v>
      </c>
      <c r="FWE868" s="295" t="s">
        <v>71</v>
      </c>
      <c r="FWF868" s="295" t="s">
        <v>71</v>
      </c>
      <c r="FWG868" s="295" t="s">
        <v>71</v>
      </c>
      <c r="FWH868" s="295" t="s">
        <v>71</v>
      </c>
      <c r="FWI868" s="295" t="s">
        <v>71</v>
      </c>
      <c r="FWJ868" s="295" t="s">
        <v>71</v>
      </c>
      <c r="FWK868" s="295" t="s">
        <v>71</v>
      </c>
      <c r="FWL868" s="295" t="s">
        <v>71</v>
      </c>
      <c r="FWM868" s="295" t="s">
        <v>71</v>
      </c>
      <c r="FWN868" s="295" t="s">
        <v>71</v>
      </c>
      <c r="FWO868" s="295" t="s">
        <v>71</v>
      </c>
      <c r="FWP868" s="295" t="s">
        <v>71</v>
      </c>
      <c r="FWQ868" s="295" t="s">
        <v>71</v>
      </c>
      <c r="FWR868" s="295" t="s">
        <v>71</v>
      </c>
      <c r="FWS868" s="295" t="s">
        <v>71</v>
      </c>
      <c r="FWT868" s="295" t="s">
        <v>71</v>
      </c>
      <c r="FWU868" s="295" t="s">
        <v>71</v>
      </c>
      <c r="FWV868" s="295" t="s">
        <v>71</v>
      </c>
      <c r="FWW868" s="295" t="s">
        <v>71</v>
      </c>
      <c r="FWX868" s="295" t="s">
        <v>71</v>
      </c>
      <c r="FWY868" s="295" t="s">
        <v>71</v>
      </c>
      <c r="FWZ868" s="295" t="s">
        <v>71</v>
      </c>
      <c r="FXA868" s="295" t="s">
        <v>71</v>
      </c>
      <c r="FXB868" s="295" t="s">
        <v>71</v>
      </c>
      <c r="FXC868" s="295" t="s">
        <v>71</v>
      </c>
      <c r="FXD868" s="295" t="s">
        <v>71</v>
      </c>
      <c r="FXE868" s="295" t="s">
        <v>71</v>
      </c>
      <c r="FXF868" s="295" t="s">
        <v>71</v>
      </c>
      <c r="FXG868" s="295" t="s">
        <v>71</v>
      </c>
      <c r="FXH868" s="295" t="s">
        <v>71</v>
      </c>
      <c r="FXI868" s="295" t="s">
        <v>71</v>
      </c>
      <c r="FXJ868" s="295" t="s">
        <v>71</v>
      </c>
      <c r="FXK868" s="295" t="s">
        <v>71</v>
      </c>
      <c r="FXL868" s="295" t="s">
        <v>71</v>
      </c>
      <c r="FXM868" s="295" t="s">
        <v>71</v>
      </c>
      <c r="FXN868" s="295" t="s">
        <v>71</v>
      </c>
      <c r="FXO868" s="295" t="s">
        <v>71</v>
      </c>
      <c r="FXP868" s="295" t="s">
        <v>71</v>
      </c>
      <c r="FXQ868" s="295" t="s">
        <v>71</v>
      </c>
      <c r="FXR868" s="295" t="s">
        <v>71</v>
      </c>
      <c r="FXS868" s="295" t="s">
        <v>71</v>
      </c>
      <c r="FXT868" s="295" t="s">
        <v>71</v>
      </c>
      <c r="FXU868" s="295" t="s">
        <v>71</v>
      </c>
      <c r="FXV868" s="295" t="s">
        <v>71</v>
      </c>
      <c r="FXW868" s="295" t="s">
        <v>71</v>
      </c>
      <c r="FXX868" s="295" t="s">
        <v>71</v>
      </c>
      <c r="FXY868" s="295" t="s">
        <v>71</v>
      </c>
      <c r="FXZ868" s="295" t="s">
        <v>71</v>
      </c>
      <c r="FYA868" s="295" t="s">
        <v>71</v>
      </c>
      <c r="FYB868" s="295" t="s">
        <v>71</v>
      </c>
      <c r="FYC868" s="295" t="s">
        <v>71</v>
      </c>
      <c r="FYD868" s="295" t="s">
        <v>71</v>
      </c>
      <c r="FYE868" s="295" t="s">
        <v>71</v>
      </c>
      <c r="FYF868" s="295" t="s">
        <v>71</v>
      </c>
      <c r="FYG868" s="295" t="s">
        <v>71</v>
      </c>
      <c r="FYH868" s="295" t="s">
        <v>71</v>
      </c>
      <c r="FYI868" s="295" t="s">
        <v>71</v>
      </c>
      <c r="FYJ868" s="295" t="s">
        <v>71</v>
      </c>
      <c r="FYK868" s="295" t="s">
        <v>71</v>
      </c>
      <c r="FYL868" s="295" t="s">
        <v>71</v>
      </c>
      <c r="FYM868" s="295" t="s">
        <v>71</v>
      </c>
      <c r="FYN868" s="295" t="s">
        <v>71</v>
      </c>
      <c r="FYO868" s="295" t="s">
        <v>71</v>
      </c>
      <c r="FYP868" s="295" t="s">
        <v>71</v>
      </c>
      <c r="FYQ868" s="295" t="s">
        <v>71</v>
      </c>
      <c r="FYR868" s="295" t="s">
        <v>71</v>
      </c>
      <c r="FYS868" s="295" t="s">
        <v>71</v>
      </c>
      <c r="FYT868" s="295" t="s">
        <v>71</v>
      </c>
      <c r="FYU868" s="295" t="s">
        <v>71</v>
      </c>
      <c r="FYV868" s="295" t="s">
        <v>71</v>
      </c>
      <c r="FYW868" s="295" t="s">
        <v>71</v>
      </c>
      <c r="FYX868" s="295" t="s">
        <v>71</v>
      </c>
      <c r="FYY868" s="295" t="s">
        <v>71</v>
      </c>
      <c r="FYZ868" s="295" t="s">
        <v>71</v>
      </c>
      <c r="FZA868" s="295" t="s">
        <v>71</v>
      </c>
      <c r="FZB868" s="295" t="s">
        <v>71</v>
      </c>
      <c r="FZC868" s="295" t="s">
        <v>71</v>
      </c>
      <c r="FZD868" s="295" t="s">
        <v>71</v>
      </c>
      <c r="FZE868" s="295" t="s">
        <v>71</v>
      </c>
      <c r="FZF868" s="295" t="s">
        <v>71</v>
      </c>
      <c r="FZG868" s="295" t="s">
        <v>71</v>
      </c>
      <c r="FZH868" s="295" t="s">
        <v>71</v>
      </c>
      <c r="FZI868" s="295" t="s">
        <v>71</v>
      </c>
      <c r="FZJ868" s="295" t="s">
        <v>71</v>
      </c>
      <c r="FZK868" s="295" t="s">
        <v>71</v>
      </c>
      <c r="FZL868" s="295" t="s">
        <v>71</v>
      </c>
      <c r="FZM868" s="295" t="s">
        <v>71</v>
      </c>
      <c r="FZN868" s="295" t="s">
        <v>71</v>
      </c>
      <c r="FZO868" s="295" t="s">
        <v>71</v>
      </c>
      <c r="FZP868" s="295" t="s">
        <v>71</v>
      </c>
      <c r="FZQ868" s="295" t="s">
        <v>71</v>
      </c>
      <c r="FZR868" s="295" t="s">
        <v>71</v>
      </c>
      <c r="FZS868" s="295" t="s">
        <v>71</v>
      </c>
      <c r="FZT868" s="295" t="s">
        <v>71</v>
      </c>
      <c r="FZU868" s="295" t="s">
        <v>71</v>
      </c>
      <c r="FZV868" s="295" t="s">
        <v>71</v>
      </c>
      <c r="FZW868" s="295" t="s">
        <v>71</v>
      </c>
      <c r="FZX868" s="295" t="s">
        <v>71</v>
      </c>
      <c r="FZY868" s="295" t="s">
        <v>71</v>
      </c>
      <c r="FZZ868" s="295" t="s">
        <v>71</v>
      </c>
      <c r="GAA868" s="295" t="s">
        <v>71</v>
      </c>
      <c r="GAB868" s="295" t="s">
        <v>71</v>
      </c>
      <c r="GAC868" s="295" t="s">
        <v>71</v>
      </c>
      <c r="GAD868" s="295" t="s">
        <v>71</v>
      </c>
      <c r="GAE868" s="295" t="s">
        <v>71</v>
      </c>
      <c r="GAF868" s="295" t="s">
        <v>71</v>
      </c>
      <c r="GAG868" s="295" t="s">
        <v>71</v>
      </c>
      <c r="GAH868" s="295" t="s">
        <v>71</v>
      </c>
      <c r="GAI868" s="295" t="s">
        <v>71</v>
      </c>
      <c r="GAJ868" s="295" t="s">
        <v>71</v>
      </c>
      <c r="GAK868" s="295" t="s">
        <v>71</v>
      </c>
      <c r="GAL868" s="295" t="s">
        <v>71</v>
      </c>
      <c r="GAM868" s="295" t="s">
        <v>71</v>
      </c>
      <c r="GAN868" s="295" t="s">
        <v>71</v>
      </c>
      <c r="GAO868" s="295" t="s">
        <v>71</v>
      </c>
      <c r="GAP868" s="295" t="s">
        <v>71</v>
      </c>
      <c r="GAQ868" s="295" t="s">
        <v>71</v>
      </c>
      <c r="GAR868" s="295" t="s">
        <v>71</v>
      </c>
      <c r="GAS868" s="295" t="s">
        <v>71</v>
      </c>
      <c r="GAT868" s="295" t="s">
        <v>71</v>
      </c>
      <c r="GAU868" s="295" t="s">
        <v>71</v>
      </c>
      <c r="GAV868" s="295" t="s">
        <v>71</v>
      </c>
      <c r="GAW868" s="295" t="s">
        <v>71</v>
      </c>
      <c r="GAX868" s="295" t="s">
        <v>71</v>
      </c>
      <c r="GAY868" s="295" t="s">
        <v>71</v>
      </c>
      <c r="GAZ868" s="295" t="s">
        <v>71</v>
      </c>
      <c r="GBA868" s="295" t="s">
        <v>71</v>
      </c>
      <c r="GBB868" s="295" t="s">
        <v>71</v>
      </c>
      <c r="GBC868" s="295" t="s">
        <v>71</v>
      </c>
      <c r="GBD868" s="295" t="s">
        <v>71</v>
      </c>
      <c r="GBE868" s="295" t="s">
        <v>71</v>
      </c>
      <c r="GBF868" s="295" t="s">
        <v>71</v>
      </c>
      <c r="GBG868" s="295" t="s">
        <v>71</v>
      </c>
      <c r="GBH868" s="295" t="s">
        <v>71</v>
      </c>
      <c r="GBI868" s="295" t="s">
        <v>71</v>
      </c>
      <c r="GBJ868" s="295" t="s">
        <v>71</v>
      </c>
      <c r="GBK868" s="295" t="s">
        <v>71</v>
      </c>
      <c r="GBL868" s="295" t="s">
        <v>71</v>
      </c>
      <c r="GBM868" s="295" t="s">
        <v>71</v>
      </c>
      <c r="GBN868" s="295" t="s">
        <v>71</v>
      </c>
      <c r="GBO868" s="295" t="s">
        <v>71</v>
      </c>
      <c r="GBP868" s="295" t="s">
        <v>71</v>
      </c>
      <c r="GBQ868" s="295" t="s">
        <v>71</v>
      </c>
      <c r="GBR868" s="295" t="s">
        <v>71</v>
      </c>
      <c r="GBS868" s="295" t="s">
        <v>71</v>
      </c>
      <c r="GBT868" s="295" t="s">
        <v>71</v>
      </c>
      <c r="GBU868" s="295" t="s">
        <v>71</v>
      </c>
      <c r="GBV868" s="295" t="s">
        <v>71</v>
      </c>
      <c r="GBW868" s="295" t="s">
        <v>71</v>
      </c>
      <c r="GBX868" s="295" t="s">
        <v>71</v>
      </c>
      <c r="GBY868" s="295" t="s">
        <v>71</v>
      </c>
      <c r="GBZ868" s="295" t="s">
        <v>71</v>
      </c>
      <c r="GCA868" s="295" t="s">
        <v>71</v>
      </c>
      <c r="GCB868" s="295" t="s">
        <v>71</v>
      </c>
      <c r="GCC868" s="295" t="s">
        <v>71</v>
      </c>
      <c r="GCD868" s="295" t="s">
        <v>71</v>
      </c>
      <c r="GCE868" s="295" t="s">
        <v>71</v>
      </c>
      <c r="GCF868" s="295" t="s">
        <v>71</v>
      </c>
      <c r="GCG868" s="295" t="s">
        <v>71</v>
      </c>
      <c r="GCH868" s="295" t="s">
        <v>71</v>
      </c>
      <c r="GCI868" s="295" t="s">
        <v>71</v>
      </c>
      <c r="GCJ868" s="295" t="s">
        <v>71</v>
      </c>
      <c r="GCK868" s="295" t="s">
        <v>71</v>
      </c>
      <c r="GCL868" s="295" t="s">
        <v>71</v>
      </c>
      <c r="GCM868" s="295" t="s">
        <v>71</v>
      </c>
      <c r="GCN868" s="295" t="s">
        <v>71</v>
      </c>
      <c r="GCO868" s="295" t="s">
        <v>71</v>
      </c>
      <c r="GCP868" s="295" t="s">
        <v>71</v>
      </c>
      <c r="GCQ868" s="295" t="s">
        <v>71</v>
      </c>
      <c r="GCR868" s="295" t="s">
        <v>71</v>
      </c>
      <c r="GCS868" s="295" t="s">
        <v>71</v>
      </c>
      <c r="GCT868" s="295" t="s">
        <v>71</v>
      </c>
      <c r="GCU868" s="295" t="s">
        <v>71</v>
      </c>
      <c r="GCV868" s="295" t="s">
        <v>71</v>
      </c>
      <c r="GCW868" s="295" t="s">
        <v>71</v>
      </c>
      <c r="GCX868" s="295" t="s">
        <v>71</v>
      </c>
      <c r="GCY868" s="295" t="s">
        <v>71</v>
      </c>
      <c r="GCZ868" s="295" t="s">
        <v>71</v>
      </c>
      <c r="GDA868" s="295" t="s">
        <v>71</v>
      </c>
      <c r="GDB868" s="295" t="s">
        <v>71</v>
      </c>
      <c r="GDC868" s="295" t="s">
        <v>71</v>
      </c>
      <c r="GDD868" s="295" t="s">
        <v>71</v>
      </c>
      <c r="GDE868" s="295" t="s">
        <v>71</v>
      </c>
      <c r="GDF868" s="295" t="s">
        <v>71</v>
      </c>
      <c r="GDG868" s="295" t="s">
        <v>71</v>
      </c>
      <c r="GDH868" s="295" t="s">
        <v>71</v>
      </c>
      <c r="GDI868" s="295" t="s">
        <v>71</v>
      </c>
      <c r="GDJ868" s="295" t="s">
        <v>71</v>
      </c>
      <c r="GDK868" s="295" t="s">
        <v>71</v>
      </c>
      <c r="GDL868" s="295" t="s">
        <v>71</v>
      </c>
      <c r="GDM868" s="295" t="s">
        <v>71</v>
      </c>
      <c r="GDN868" s="295" t="s">
        <v>71</v>
      </c>
      <c r="GDO868" s="295" t="s">
        <v>71</v>
      </c>
      <c r="GDP868" s="295" t="s">
        <v>71</v>
      </c>
      <c r="GDQ868" s="295" t="s">
        <v>71</v>
      </c>
      <c r="GDR868" s="295" t="s">
        <v>71</v>
      </c>
      <c r="GDS868" s="295" t="s">
        <v>71</v>
      </c>
      <c r="GDT868" s="295" t="s">
        <v>71</v>
      </c>
      <c r="GDU868" s="295" t="s">
        <v>71</v>
      </c>
      <c r="GDV868" s="295" t="s">
        <v>71</v>
      </c>
      <c r="GDW868" s="295" t="s">
        <v>71</v>
      </c>
      <c r="GDX868" s="295" t="s">
        <v>71</v>
      </c>
      <c r="GDY868" s="295" t="s">
        <v>71</v>
      </c>
      <c r="GDZ868" s="295" t="s">
        <v>71</v>
      </c>
      <c r="GEA868" s="295" t="s">
        <v>71</v>
      </c>
      <c r="GEB868" s="295" t="s">
        <v>71</v>
      </c>
      <c r="GEC868" s="295" t="s">
        <v>71</v>
      </c>
      <c r="GED868" s="295" t="s">
        <v>71</v>
      </c>
      <c r="GEE868" s="295" t="s">
        <v>71</v>
      </c>
      <c r="GEF868" s="295" t="s">
        <v>71</v>
      </c>
      <c r="GEG868" s="295" t="s">
        <v>71</v>
      </c>
      <c r="GEH868" s="295" t="s">
        <v>71</v>
      </c>
      <c r="GEI868" s="295" t="s">
        <v>71</v>
      </c>
      <c r="GEJ868" s="295" t="s">
        <v>71</v>
      </c>
      <c r="GEK868" s="295" t="s">
        <v>71</v>
      </c>
      <c r="GEL868" s="295" t="s">
        <v>71</v>
      </c>
      <c r="GEM868" s="295" t="s">
        <v>71</v>
      </c>
      <c r="GEN868" s="295" t="s">
        <v>71</v>
      </c>
      <c r="GEO868" s="295" t="s">
        <v>71</v>
      </c>
      <c r="GEP868" s="295" t="s">
        <v>71</v>
      </c>
      <c r="GEQ868" s="295" t="s">
        <v>71</v>
      </c>
      <c r="GER868" s="295" t="s">
        <v>71</v>
      </c>
      <c r="GES868" s="295" t="s">
        <v>71</v>
      </c>
      <c r="GET868" s="295" t="s">
        <v>71</v>
      </c>
      <c r="GEU868" s="295" t="s">
        <v>71</v>
      </c>
      <c r="GEV868" s="295" t="s">
        <v>71</v>
      </c>
      <c r="GEW868" s="295" t="s">
        <v>71</v>
      </c>
      <c r="GEX868" s="295" t="s">
        <v>71</v>
      </c>
      <c r="GEY868" s="295" t="s">
        <v>71</v>
      </c>
      <c r="GEZ868" s="295" t="s">
        <v>71</v>
      </c>
      <c r="GFA868" s="295" t="s">
        <v>71</v>
      </c>
      <c r="GFB868" s="295" t="s">
        <v>71</v>
      </c>
      <c r="GFC868" s="295" t="s">
        <v>71</v>
      </c>
      <c r="GFD868" s="295" t="s">
        <v>71</v>
      </c>
      <c r="GFE868" s="295" t="s">
        <v>71</v>
      </c>
      <c r="GFF868" s="295" t="s">
        <v>71</v>
      </c>
      <c r="GFG868" s="295" t="s">
        <v>71</v>
      </c>
      <c r="GFH868" s="295" t="s">
        <v>71</v>
      </c>
      <c r="GFI868" s="295" t="s">
        <v>71</v>
      </c>
      <c r="GFJ868" s="295" t="s">
        <v>71</v>
      </c>
      <c r="GFK868" s="295" t="s">
        <v>71</v>
      </c>
      <c r="GFL868" s="295" t="s">
        <v>71</v>
      </c>
      <c r="GFM868" s="295" t="s">
        <v>71</v>
      </c>
      <c r="GFN868" s="295" t="s">
        <v>71</v>
      </c>
      <c r="GFO868" s="295" t="s">
        <v>71</v>
      </c>
      <c r="GFP868" s="295" t="s">
        <v>71</v>
      </c>
      <c r="GFQ868" s="295" t="s">
        <v>71</v>
      </c>
      <c r="GFR868" s="295" t="s">
        <v>71</v>
      </c>
      <c r="GFS868" s="295" t="s">
        <v>71</v>
      </c>
      <c r="GFT868" s="295" t="s">
        <v>71</v>
      </c>
      <c r="GFU868" s="295" t="s">
        <v>71</v>
      </c>
      <c r="GFV868" s="295" t="s">
        <v>71</v>
      </c>
      <c r="GFW868" s="295" t="s">
        <v>71</v>
      </c>
      <c r="GFX868" s="295" t="s">
        <v>71</v>
      </c>
      <c r="GFY868" s="295" t="s">
        <v>71</v>
      </c>
      <c r="GFZ868" s="295" t="s">
        <v>71</v>
      </c>
      <c r="GGA868" s="295" t="s">
        <v>71</v>
      </c>
      <c r="GGB868" s="295" t="s">
        <v>71</v>
      </c>
      <c r="GGC868" s="295" t="s">
        <v>71</v>
      </c>
      <c r="GGD868" s="295" t="s">
        <v>71</v>
      </c>
      <c r="GGE868" s="295" t="s">
        <v>71</v>
      </c>
      <c r="GGF868" s="295" t="s">
        <v>71</v>
      </c>
      <c r="GGG868" s="295" t="s">
        <v>71</v>
      </c>
      <c r="GGH868" s="295" t="s">
        <v>71</v>
      </c>
      <c r="GGI868" s="295" t="s">
        <v>71</v>
      </c>
      <c r="GGJ868" s="295" t="s">
        <v>71</v>
      </c>
      <c r="GGK868" s="295" t="s">
        <v>71</v>
      </c>
      <c r="GGL868" s="295" t="s">
        <v>71</v>
      </c>
      <c r="GGM868" s="295" t="s">
        <v>71</v>
      </c>
      <c r="GGN868" s="295" t="s">
        <v>71</v>
      </c>
      <c r="GGO868" s="295" t="s">
        <v>71</v>
      </c>
      <c r="GGP868" s="295" t="s">
        <v>71</v>
      </c>
      <c r="GGQ868" s="295" t="s">
        <v>71</v>
      </c>
      <c r="GGR868" s="295" t="s">
        <v>71</v>
      </c>
      <c r="GGS868" s="295" t="s">
        <v>71</v>
      </c>
      <c r="GGT868" s="295" t="s">
        <v>71</v>
      </c>
      <c r="GGU868" s="295" t="s">
        <v>71</v>
      </c>
      <c r="GGV868" s="295" t="s">
        <v>71</v>
      </c>
      <c r="GGW868" s="295" t="s">
        <v>71</v>
      </c>
      <c r="GGX868" s="295" t="s">
        <v>71</v>
      </c>
      <c r="GGY868" s="295" t="s">
        <v>71</v>
      </c>
      <c r="GGZ868" s="295" t="s">
        <v>71</v>
      </c>
      <c r="GHA868" s="295" t="s">
        <v>71</v>
      </c>
      <c r="GHB868" s="295" t="s">
        <v>71</v>
      </c>
      <c r="GHC868" s="295" t="s">
        <v>71</v>
      </c>
      <c r="GHD868" s="295" t="s">
        <v>71</v>
      </c>
      <c r="GHE868" s="295" t="s">
        <v>71</v>
      </c>
      <c r="GHF868" s="295" t="s">
        <v>71</v>
      </c>
      <c r="GHG868" s="295" t="s">
        <v>71</v>
      </c>
      <c r="GHH868" s="295" t="s">
        <v>71</v>
      </c>
      <c r="GHI868" s="295" t="s">
        <v>71</v>
      </c>
      <c r="GHJ868" s="295" t="s">
        <v>71</v>
      </c>
      <c r="GHK868" s="295" t="s">
        <v>71</v>
      </c>
      <c r="GHL868" s="295" t="s">
        <v>71</v>
      </c>
      <c r="GHM868" s="295" t="s">
        <v>71</v>
      </c>
      <c r="GHN868" s="295" t="s">
        <v>71</v>
      </c>
      <c r="GHO868" s="295" t="s">
        <v>71</v>
      </c>
      <c r="GHP868" s="295" t="s">
        <v>71</v>
      </c>
      <c r="GHQ868" s="295" t="s">
        <v>71</v>
      </c>
      <c r="GHR868" s="295" t="s">
        <v>71</v>
      </c>
      <c r="GHS868" s="295" t="s">
        <v>71</v>
      </c>
      <c r="GHT868" s="295" t="s">
        <v>71</v>
      </c>
      <c r="GHU868" s="295" t="s">
        <v>71</v>
      </c>
      <c r="GHV868" s="295" t="s">
        <v>71</v>
      </c>
      <c r="GHW868" s="295" t="s">
        <v>71</v>
      </c>
      <c r="GHX868" s="295" t="s">
        <v>71</v>
      </c>
      <c r="GHY868" s="295" t="s">
        <v>71</v>
      </c>
      <c r="GHZ868" s="295" t="s">
        <v>71</v>
      </c>
      <c r="GIA868" s="295" t="s">
        <v>71</v>
      </c>
      <c r="GIB868" s="295" t="s">
        <v>71</v>
      </c>
      <c r="GIC868" s="295" t="s">
        <v>71</v>
      </c>
      <c r="GID868" s="295" t="s">
        <v>71</v>
      </c>
      <c r="GIE868" s="295" t="s">
        <v>71</v>
      </c>
      <c r="GIF868" s="295" t="s">
        <v>71</v>
      </c>
      <c r="GIG868" s="295" t="s">
        <v>71</v>
      </c>
      <c r="GIH868" s="295" t="s">
        <v>71</v>
      </c>
      <c r="GII868" s="295" t="s">
        <v>71</v>
      </c>
      <c r="GIJ868" s="295" t="s">
        <v>71</v>
      </c>
      <c r="GIK868" s="295" t="s">
        <v>71</v>
      </c>
      <c r="GIL868" s="295" t="s">
        <v>71</v>
      </c>
      <c r="GIM868" s="295" t="s">
        <v>71</v>
      </c>
      <c r="GIN868" s="295" t="s">
        <v>71</v>
      </c>
      <c r="GIO868" s="295" t="s">
        <v>71</v>
      </c>
      <c r="GIP868" s="295" t="s">
        <v>71</v>
      </c>
      <c r="GIQ868" s="295" t="s">
        <v>71</v>
      </c>
      <c r="GIR868" s="295" t="s">
        <v>71</v>
      </c>
      <c r="GIS868" s="295" t="s">
        <v>71</v>
      </c>
      <c r="GIT868" s="295" t="s">
        <v>71</v>
      </c>
      <c r="GIU868" s="295" t="s">
        <v>71</v>
      </c>
      <c r="GIV868" s="295" t="s">
        <v>71</v>
      </c>
      <c r="GIW868" s="295" t="s">
        <v>71</v>
      </c>
      <c r="GIX868" s="295" t="s">
        <v>71</v>
      </c>
      <c r="GIY868" s="295" t="s">
        <v>71</v>
      </c>
      <c r="GIZ868" s="295" t="s">
        <v>71</v>
      </c>
      <c r="GJA868" s="295" t="s">
        <v>71</v>
      </c>
      <c r="GJB868" s="295" t="s">
        <v>71</v>
      </c>
      <c r="GJC868" s="295" t="s">
        <v>71</v>
      </c>
      <c r="GJD868" s="295" t="s">
        <v>71</v>
      </c>
      <c r="GJE868" s="295" t="s">
        <v>71</v>
      </c>
      <c r="GJF868" s="295" t="s">
        <v>71</v>
      </c>
      <c r="GJG868" s="295" t="s">
        <v>71</v>
      </c>
      <c r="GJH868" s="295" t="s">
        <v>71</v>
      </c>
      <c r="GJI868" s="295" t="s">
        <v>71</v>
      </c>
      <c r="GJJ868" s="295" t="s">
        <v>71</v>
      </c>
      <c r="GJK868" s="295" t="s">
        <v>71</v>
      </c>
      <c r="GJL868" s="295" t="s">
        <v>71</v>
      </c>
      <c r="GJM868" s="295" t="s">
        <v>71</v>
      </c>
      <c r="GJN868" s="295" t="s">
        <v>71</v>
      </c>
      <c r="GJO868" s="295" t="s">
        <v>71</v>
      </c>
      <c r="GJP868" s="295" t="s">
        <v>71</v>
      </c>
      <c r="GJQ868" s="295" t="s">
        <v>71</v>
      </c>
      <c r="GJR868" s="295" t="s">
        <v>71</v>
      </c>
      <c r="GJS868" s="295" t="s">
        <v>71</v>
      </c>
      <c r="GJT868" s="295" t="s">
        <v>71</v>
      </c>
      <c r="GJU868" s="295" t="s">
        <v>71</v>
      </c>
      <c r="GJV868" s="295" t="s">
        <v>71</v>
      </c>
      <c r="GJW868" s="295" t="s">
        <v>71</v>
      </c>
      <c r="GJX868" s="295" t="s">
        <v>71</v>
      </c>
      <c r="GJY868" s="295" t="s">
        <v>71</v>
      </c>
      <c r="GJZ868" s="295" t="s">
        <v>71</v>
      </c>
      <c r="GKA868" s="295" t="s">
        <v>71</v>
      </c>
      <c r="GKB868" s="295" t="s">
        <v>71</v>
      </c>
      <c r="GKC868" s="295" t="s">
        <v>71</v>
      </c>
      <c r="GKD868" s="295" t="s">
        <v>71</v>
      </c>
      <c r="GKE868" s="295" t="s">
        <v>71</v>
      </c>
      <c r="GKF868" s="295" t="s">
        <v>71</v>
      </c>
      <c r="GKG868" s="295" t="s">
        <v>71</v>
      </c>
      <c r="GKH868" s="295" t="s">
        <v>71</v>
      </c>
      <c r="GKI868" s="295" t="s">
        <v>71</v>
      </c>
      <c r="GKJ868" s="295" t="s">
        <v>71</v>
      </c>
      <c r="GKK868" s="295" t="s">
        <v>71</v>
      </c>
      <c r="GKL868" s="295" t="s">
        <v>71</v>
      </c>
      <c r="GKM868" s="295" t="s">
        <v>71</v>
      </c>
      <c r="GKN868" s="295" t="s">
        <v>71</v>
      </c>
      <c r="GKO868" s="295" t="s">
        <v>71</v>
      </c>
      <c r="GKP868" s="295" t="s">
        <v>71</v>
      </c>
      <c r="GKQ868" s="295" t="s">
        <v>71</v>
      </c>
      <c r="GKR868" s="295" t="s">
        <v>71</v>
      </c>
      <c r="GKS868" s="295" t="s">
        <v>71</v>
      </c>
      <c r="GKT868" s="295" t="s">
        <v>71</v>
      </c>
      <c r="GKU868" s="295" t="s">
        <v>71</v>
      </c>
      <c r="GKV868" s="295" t="s">
        <v>71</v>
      </c>
      <c r="GKW868" s="295" t="s">
        <v>71</v>
      </c>
      <c r="GKX868" s="295" t="s">
        <v>71</v>
      </c>
      <c r="GKY868" s="295" t="s">
        <v>71</v>
      </c>
      <c r="GKZ868" s="295" t="s">
        <v>71</v>
      </c>
      <c r="GLA868" s="295" t="s">
        <v>71</v>
      </c>
      <c r="GLB868" s="295" t="s">
        <v>71</v>
      </c>
      <c r="GLC868" s="295" t="s">
        <v>71</v>
      </c>
      <c r="GLD868" s="295" t="s">
        <v>71</v>
      </c>
      <c r="GLE868" s="295" t="s">
        <v>71</v>
      </c>
      <c r="GLF868" s="295" t="s">
        <v>71</v>
      </c>
      <c r="GLG868" s="295" t="s">
        <v>71</v>
      </c>
      <c r="GLH868" s="295" t="s">
        <v>71</v>
      </c>
      <c r="GLI868" s="295" t="s">
        <v>71</v>
      </c>
      <c r="GLJ868" s="295" t="s">
        <v>71</v>
      </c>
      <c r="GLK868" s="295" t="s">
        <v>71</v>
      </c>
      <c r="GLL868" s="295" t="s">
        <v>71</v>
      </c>
      <c r="GLM868" s="295" t="s">
        <v>71</v>
      </c>
      <c r="GLN868" s="295" t="s">
        <v>71</v>
      </c>
      <c r="GLO868" s="295" t="s">
        <v>71</v>
      </c>
      <c r="GLP868" s="295" t="s">
        <v>71</v>
      </c>
      <c r="GLQ868" s="295" t="s">
        <v>71</v>
      </c>
      <c r="GLR868" s="295" t="s">
        <v>71</v>
      </c>
      <c r="GLS868" s="295" t="s">
        <v>71</v>
      </c>
      <c r="GLT868" s="295" t="s">
        <v>71</v>
      </c>
      <c r="GLU868" s="295" t="s">
        <v>71</v>
      </c>
      <c r="GLV868" s="295" t="s">
        <v>71</v>
      </c>
      <c r="GLW868" s="295" t="s">
        <v>71</v>
      </c>
      <c r="GLX868" s="295" t="s">
        <v>71</v>
      </c>
      <c r="GLY868" s="295" t="s">
        <v>71</v>
      </c>
      <c r="GLZ868" s="295" t="s">
        <v>71</v>
      </c>
      <c r="GMA868" s="295" t="s">
        <v>71</v>
      </c>
      <c r="GMB868" s="295" t="s">
        <v>71</v>
      </c>
      <c r="GMC868" s="295" t="s">
        <v>71</v>
      </c>
      <c r="GMD868" s="295" t="s">
        <v>71</v>
      </c>
      <c r="GME868" s="295" t="s">
        <v>71</v>
      </c>
      <c r="GMF868" s="295" t="s">
        <v>71</v>
      </c>
      <c r="GMG868" s="295" t="s">
        <v>71</v>
      </c>
      <c r="GMH868" s="295" t="s">
        <v>71</v>
      </c>
      <c r="GMI868" s="295" t="s">
        <v>71</v>
      </c>
      <c r="GMJ868" s="295" t="s">
        <v>71</v>
      </c>
      <c r="GMK868" s="295" t="s">
        <v>71</v>
      </c>
      <c r="GML868" s="295" t="s">
        <v>71</v>
      </c>
      <c r="GMM868" s="295" t="s">
        <v>71</v>
      </c>
      <c r="GMN868" s="295" t="s">
        <v>71</v>
      </c>
      <c r="GMO868" s="295" t="s">
        <v>71</v>
      </c>
      <c r="GMP868" s="295" t="s">
        <v>71</v>
      </c>
      <c r="GMQ868" s="295" t="s">
        <v>71</v>
      </c>
      <c r="GMR868" s="295" t="s">
        <v>71</v>
      </c>
      <c r="GMS868" s="295" t="s">
        <v>71</v>
      </c>
      <c r="GMT868" s="295" t="s">
        <v>71</v>
      </c>
      <c r="GMU868" s="295" t="s">
        <v>71</v>
      </c>
      <c r="GMV868" s="295" t="s">
        <v>71</v>
      </c>
      <c r="GMW868" s="295" t="s">
        <v>71</v>
      </c>
      <c r="GMX868" s="295" t="s">
        <v>71</v>
      </c>
      <c r="GMY868" s="295" t="s">
        <v>71</v>
      </c>
      <c r="GMZ868" s="295" t="s">
        <v>71</v>
      </c>
      <c r="GNA868" s="295" t="s">
        <v>71</v>
      </c>
      <c r="GNB868" s="295" t="s">
        <v>71</v>
      </c>
      <c r="GNC868" s="295" t="s">
        <v>71</v>
      </c>
      <c r="GND868" s="295" t="s">
        <v>71</v>
      </c>
      <c r="GNE868" s="295" t="s">
        <v>71</v>
      </c>
      <c r="GNF868" s="295" t="s">
        <v>71</v>
      </c>
      <c r="GNG868" s="295" t="s">
        <v>71</v>
      </c>
      <c r="GNH868" s="295" t="s">
        <v>71</v>
      </c>
      <c r="GNI868" s="295" t="s">
        <v>71</v>
      </c>
      <c r="GNJ868" s="295" t="s">
        <v>71</v>
      </c>
      <c r="GNK868" s="295" t="s">
        <v>71</v>
      </c>
      <c r="GNL868" s="295" t="s">
        <v>71</v>
      </c>
      <c r="GNM868" s="295" t="s">
        <v>71</v>
      </c>
      <c r="GNN868" s="295" t="s">
        <v>71</v>
      </c>
      <c r="GNO868" s="295" t="s">
        <v>71</v>
      </c>
      <c r="GNP868" s="295" t="s">
        <v>71</v>
      </c>
      <c r="GNQ868" s="295" t="s">
        <v>71</v>
      </c>
      <c r="GNR868" s="295" t="s">
        <v>71</v>
      </c>
      <c r="GNS868" s="295" t="s">
        <v>71</v>
      </c>
      <c r="GNT868" s="295" t="s">
        <v>71</v>
      </c>
      <c r="GNU868" s="295" t="s">
        <v>71</v>
      </c>
      <c r="GNV868" s="295" t="s">
        <v>71</v>
      </c>
      <c r="GNW868" s="295" t="s">
        <v>71</v>
      </c>
      <c r="GNX868" s="295" t="s">
        <v>71</v>
      </c>
      <c r="GNY868" s="295" t="s">
        <v>71</v>
      </c>
      <c r="GNZ868" s="295" t="s">
        <v>71</v>
      </c>
      <c r="GOA868" s="295" t="s">
        <v>71</v>
      </c>
      <c r="GOB868" s="295" t="s">
        <v>71</v>
      </c>
      <c r="GOC868" s="295" t="s">
        <v>71</v>
      </c>
      <c r="GOD868" s="295" t="s">
        <v>71</v>
      </c>
      <c r="GOE868" s="295" t="s">
        <v>71</v>
      </c>
      <c r="GOF868" s="295" t="s">
        <v>71</v>
      </c>
      <c r="GOG868" s="295" t="s">
        <v>71</v>
      </c>
      <c r="GOH868" s="295" t="s">
        <v>71</v>
      </c>
      <c r="GOI868" s="295" t="s">
        <v>71</v>
      </c>
      <c r="GOJ868" s="295" t="s">
        <v>71</v>
      </c>
      <c r="GOK868" s="295" t="s">
        <v>71</v>
      </c>
      <c r="GOL868" s="295" t="s">
        <v>71</v>
      </c>
      <c r="GOM868" s="295" t="s">
        <v>71</v>
      </c>
      <c r="GON868" s="295" t="s">
        <v>71</v>
      </c>
      <c r="GOO868" s="295" t="s">
        <v>71</v>
      </c>
      <c r="GOP868" s="295" t="s">
        <v>71</v>
      </c>
      <c r="GOQ868" s="295" t="s">
        <v>71</v>
      </c>
      <c r="GOR868" s="295" t="s">
        <v>71</v>
      </c>
      <c r="GOS868" s="295" t="s">
        <v>71</v>
      </c>
      <c r="GOT868" s="295" t="s">
        <v>71</v>
      </c>
      <c r="GOU868" s="295" t="s">
        <v>71</v>
      </c>
      <c r="GOV868" s="295" t="s">
        <v>71</v>
      </c>
      <c r="GOW868" s="295" t="s">
        <v>71</v>
      </c>
      <c r="GOX868" s="295" t="s">
        <v>71</v>
      </c>
      <c r="GOY868" s="295" t="s">
        <v>71</v>
      </c>
      <c r="GOZ868" s="295" t="s">
        <v>71</v>
      </c>
      <c r="GPA868" s="295" t="s">
        <v>71</v>
      </c>
      <c r="GPB868" s="295" t="s">
        <v>71</v>
      </c>
      <c r="GPC868" s="295" t="s">
        <v>71</v>
      </c>
      <c r="GPD868" s="295" t="s">
        <v>71</v>
      </c>
      <c r="GPE868" s="295" t="s">
        <v>71</v>
      </c>
      <c r="GPF868" s="295" t="s">
        <v>71</v>
      </c>
      <c r="GPG868" s="295" t="s">
        <v>71</v>
      </c>
      <c r="GPH868" s="295" t="s">
        <v>71</v>
      </c>
      <c r="GPI868" s="295" t="s">
        <v>71</v>
      </c>
      <c r="GPJ868" s="295" t="s">
        <v>71</v>
      </c>
      <c r="GPK868" s="295" t="s">
        <v>71</v>
      </c>
      <c r="GPL868" s="295" t="s">
        <v>71</v>
      </c>
      <c r="GPM868" s="295" t="s">
        <v>71</v>
      </c>
      <c r="GPN868" s="295" t="s">
        <v>71</v>
      </c>
      <c r="GPO868" s="295" t="s">
        <v>71</v>
      </c>
      <c r="GPP868" s="295" t="s">
        <v>71</v>
      </c>
      <c r="GPQ868" s="295" t="s">
        <v>71</v>
      </c>
      <c r="GPR868" s="295" t="s">
        <v>71</v>
      </c>
      <c r="GPS868" s="295" t="s">
        <v>71</v>
      </c>
      <c r="GPT868" s="295" t="s">
        <v>71</v>
      </c>
      <c r="GPU868" s="295" t="s">
        <v>71</v>
      </c>
      <c r="GPV868" s="295" t="s">
        <v>71</v>
      </c>
      <c r="GPW868" s="295" t="s">
        <v>71</v>
      </c>
      <c r="GPX868" s="295" t="s">
        <v>71</v>
      </c>
      <c r="GPY868" s="295" t="s">
        <v>71</v>
      </c>
      <c r="GPZ868" s="295" t="s">
        <v>71</v>
      </c>
      <c r="GQA868" s="295" t="s">
        <v>71</v>
      </c>
      <c r="GQB868" s="295" t="s">
        <v>71</v>
      </c>
      <c r="GQC868" s="295" t="s">
        <v>71</v>
      </c>
      <c r="GQD868" s="295" t="s">
        <v>71</v>
      </c>
      <c r="GQE868" s="295" t="s">
        <v>71</v>
      </c>
      <c r="GQF868" s="295" t="s">
        <v>71</v>
      </c>
      <c r="GQG868" s="295" t="s">
        <v>71</v>
      </c>
      <c r="GQH868" s="295" t="s">
        <v>71</v>
      </c>
      <c r="GQI868" s="295" t="s">
        <v>71</v>
      </c>
      <c r="GQJ868" s="295" t="s">
        <v>71</v>
      </c>
      <c r="GQK868" s="295" t="s">
        <v>71</v>
      </c>
      <c r="GQL868" s="295" t="s">
        <v>71</v>
      </c>
      <c r="GQM868" s="295" t="s">
        <v>71</v>
      </c>
      <c r="GQN868" s="295" t="s">
        <v>71</v>
      </c>
      <c r="GQO868" s="295" t="s">
        <v>71</v>
      </c>
      <c r="GQP868" s="295" t="s">
        <v>71</v>
      </c>
      <c r="GQQ868" s="295" t="s">
        <v>71</v>
      </c>
      <c r="GQR868" s="295" t="s">
        <v>71</v>
      </c>
      <c r="GQS868" s="295" t="s">
        <v>71</v>
      </c>
      <c r="GQT868" s="295" t="s">
        <v>71</v>
      </c>
      <c r="GQU868" s="295" t="s">
        <v>71</v>
      </c>
      <c r="GQV868" s="295" t="s">
        <v>71</v>
      </c>
      <c r="GQW868" s="295" t="s">
        <v>71</v>
      </c>
      <c r="GQX868" s="295" t="s">
        <v>71</v>
      </c>
      <c r="GQY868" s="295" t="s">
        <v>71</v>
      </c>
      <c r="GQZ868" s="295" t="s">
        <v>71</v>
      </c>
      <c r="GRA868" s="295" t="s">
        <v>71</v>
      </c>
      <c r="GRB868" s="295" t="s">
        <v>71</v>
      </c>
      <c r="GRC868" s="295" t="s">
        <v>71</v>
      </c>
      <c r="GRD868" s="295" t="s">
        <v>71</v>
      </c>
      <c r="GRE868" s="295" t="s">
        <v>71</v>
      </c>
      <c r="GRF868" s="295" t="s">
        <v>71</v>
      </c>
      <c r="GRG868" s="295" t="s">
        <v>71</v>
      </c>
      <c r="GRH868" s="295" t="s">
        <v>71</v>
      </c>
      <c r="GRI868" s="295" t="s">
        <v>71</v>
      </c>
      <c r="GRJ868" s="295" t="s">
        <v>71</v>
      </c>
      <c r="GRK868" s="295" t="s">
        <v>71</v>
      </c>
      <c r="GRL868" s="295" t="s">
        <v>71</v>
      </c>
      <c r="GRM868" s="295" t="s">
        <v>71</v>
      </c>
      <c r="GRN868" s="295" t="s">
        <v>71</v>
      </c>
      <c r="GRO868" s="295" t="s">
        <v>71</v>
      </c>
      <c r="GRP868" s="295" t="s">
        <v>71</v>
      </c>
      <c r="GRQ868" s="295" t="s">
        <v>71</v>
      </c>
      <c r="GRR868" s="295" t="s">
        <v>71</v>
      </c>
      <c r="GRS868" s="295" t="s">
        <v>71</v>
      </c>
      <c r="GRT868" s="295" t="s">
        <v>71</v>
      </c>
      <c r="GRU868" s="295" t="s">
        <v>71</v>
      </c>
      <c r="GRV868" s="295" t="s">
        <v>71</v>
      </c>
      <c r="GRW868" s="295" t="s">
        <v>71</v>
      </c>
      <c r="GRX868" s="295" t="s">
        <v>71</v>
      </c>
      <c r="GRY868" s="295" t="s">
        <v>71</v>
      </c>
      <c r="GRZ868" s="295" t="s">
        <v>71</v>
      </c>
      <c r="GSA868" s="295" t="s">
        <v>71</v>
      </c>
      <c r="GSB868" s="295" t="s">
        <v>71</v>
      </c>
      <c r="GSC868" s="295" t="s">
        <v>71</v>
      </c>
      <c r="GSD868" s="295" t="s">
        <v>71</v>
      </c>
      <c r="GSE868" s="295" t="s">
        <v>71</v>
      </c>
      <c r="GSF868" s="295" t="s">
        <v>71</v>
      </c>
      <c r="GSG868" s="295" t="s">
        <v>71</v>
      </c>
      <c r="GSH868" s="295" t="s">
        <v>71</v>
      </c>
      <c r="GSI868" s="295" t="s">
        <v>71</v>
      </c>
      <c r="GSJ868" s="295" t="s">
        <v>71</v>
      </c>
      <c r="GSK868" s="295" t="s">
        <v>71</v>
      </c>
      <c r="GSL868" s="295" t="s">
        <v>71</v>
      </c>
      <c r="GSM868" s="295" t="s">
        <v>71</v>
      </c>
      <c r="GSN868" s="295" t="s">
        <v>71</v>
      </c>
      <c r="GSO868" s="295" t="s">
        <v>71</v>
      </c>
      <c r="GSP868" s="295" t="s">
        <v>71</v>
      </c>
      <c r="GSQ868" s="295" t="s">
        <v>71</v>
      </c>
      <c r="GSR868" s="295" t="s">
        <v>71</v>
      </c>
      <c r="GSS868" s="295" t="s">
        <v>71</v>
      </c>
      <c r="GST868" s="295" t="s">
        <v>71</v>
      </c>
      <c r="GSU868" s="295" t="s">
        <v>71</v>
      </c>
      <c r="GSV868" s="295" t="s">
        <v>71</v>
      </c>
      <c r="GSW868" s="295" t="s">
        <v>71</v>
      </c>
      <c r="GSX868" s="295" t="s">
        <v>71</v>
      </c>
      <c r="GSY868" s="295" t="s">
        <v>71</v>
      </c>
      <c r="GSZ868" s="295" t="s">
        <v>71</v>
      </c>
      <c r="GTA868" s="295" t="s">
        <v>71</v>
      </c>
      <c r="GTB868" s="295" t="s">
        <v>71</v>
      </c>
      <c r="GTC868" s="295" t="s">
        <v>71</v>
      </c>
      <c r="GTD868" s="295" t="s">
        <v>71</v>
      </c>
      <c r="GTE868" s="295" t="s">
        <v>71</v>
      </c>
      <c r="GTF868" s="295" t="s">
        <v>71</v>
      </c>
      <c r="GTG868" s="295" t="s">
        <v>71</v>
      </c>
      <c r="GTH868" s="295" t="s">
        <v>71</v>
      </c>
      <c r="GTI868" s="295" t="s">
        <v>71</v>
      </c>
      <c r="GTJ868" s="295" t="s">
        <v>71</v>
      </c>
      <c r="GTK868" s="295" t="s">
        <v>71</v>
      </c>
      <c r="GTL868" s="295" t="s">
        <v>71</v>
      </c>
      <c r="GTM868" s="295" t="s">
        <v>71</v>
      </c>
      <c r="GTN868" s="295" t="s">
        <v>71</v>
      </c>
      <c r="GTO868" s="295" t="s">
        <v>71</v>
      </c>
      <c r="GTP868" s="295" t="s">
        <v>71</v>
      </c>
      <c r="GTQ868" s="295" t="s">
        <v>71</v>
      </c>
      <c r="GTR868" s="295" t="s">
        <v>71</v>
      </c>
      <c r="GTS868" s="295" t="s">
        <v>71</v>
      </c>
      <c r="GTT868" s="295" t="s">
        <v>71</v>
      </c>
      <c r="GTU868" s="295" t="s">
        <v>71</v>
      </c>
      <c r="GTV868" s="295" t="s">
        <v>71</v>
      </c>
      <c r="GTW868" s="295" t="s">
        <v>71</v>
      </c>
      <c r="GTX868" s="295" t="s">
        <v>71</v>
      </c>
      <c r="GTY868" s="295" t="s">
        <v>71</v>
      </c>
      <c r="GTZ868" s="295" t="s">
        <v>71</v>
      </c>
      <c r="GUA868" s="295" t="s">
        <v>71</v>
      </c>
      <c r="GUB868" s="295" t="s">
        <v>71</v>
      </c>
      <c r="GUC868" s="295" t="s">
        <v>71</v>
      </c>
      <c r="GUD868" s="295" t="s">
        <v>71</v>
      </c>
      <c r="GUE868" s="295" t="s">
        <v>71</v>
      </c>
      <c r="GUF868" s="295" t="s">
        <v>71</v>
      </c>
      <c r="GUG868" s="295" t="s">
        <v>71</v>
      </c>
      <c r="GUH868" s="295" t="s">
        <v>71</v>
      </c>
      <c r="GUI868" s="295" t="s">
        <v>71</v>
      </c>
      <c r="GUJ868" s="295" t="s">
        <v>71</v>
      </c>
      <c r="GUK868" s="295" t="s">
        <v>71</v>
      </c>
      <c r="GUL868" s="295" t="s">
        <v>71</v>
      </c>
      <c r="GUM868" s="295" t="s">
        <v>71</v>
      </c>
      <c r="GUN868" s="295" t="s">
        <v>71</v>
      </c>
      <c r="GUO868" s="295" t="s">
        <v>71</v>
      </c>
      <c r="GUP868" s="295" t="s">
        <v>71</v>
      </c>
      <c r="GUQ868" s="295" t="s">
        <v>71</v>
      </c>
      <c r="GUR868" s="295" t="s">
        <v>71</v>
      </c>
      <c r="GUS868" s="295" t="s">
        <v>71</v>
      </c>
      <c r="GUT868" s="295" t="s">
        <v>71</v>
      </c>
      <c r="GUU868" s="295" t="s">
        <v>71</v>
      </c>
      <c r="GUV868" s="295" t="s">
        <v>71</v>
      </c>
      <c r="GUW868" s="295" t="s">
        <v>71</v>
      </c>
      <c r="GUX868" s="295" t="s">
        <v>71</v>
      </c>
      <c r="GUY868" s="295" t="s">
        <v>71</v>
      </c>
      <c r="GUZ868" s="295" t="s">
        <v>71</v>
      </c>
      <c r="GVA868" s="295" t="s">
        <v>71</v>
      </c>
      <c r="GVB868" s="295" t="s">
        <v>71</v>
      </c>
      <c r="GVC868" s="295" t="s">
        <v>71</v>
      </c>
      <c r="GVD868" s="295" t="s">
        <v>71</v>
      </c>
      <c r="GVE868" s="295" t="s">
        <v>71</v>
      </c>
      <c r="GVF868" s="295" t="s">
        <v>71</v>
      </c>
      <c r="GVG868" s="295" t="s">
        <v>71</v>
      </c>
      <c r="GVH868" s="295" t="s">
        <v>71</v>
      </c>
      <c r="GVI868" s="295" t="s">
        <v>71</v>
      </c>
      <c r="GVJ868" s="295" t="s">
        <v>71</v>
      </c>
      <c r="GVK868" s="295" t="s">
        <v>71</v>
      </c>
      <c r="GVL868" s="295" t="s">
        <v>71</v>
      </c>
      <c r="GVM868" s="295" t="s">
        <v>71</v>
      </c>
      <c r="GVN868" s="295" t="s">
        <v>71</v>
      </c>
      <c r="GVO868" s="295" t="s">
        <v>71</v>
      </c>
      <c r="GVP868" s="295" t="s">
        <v>71</v>
      </c>
      <c r="GVQ868" s="295" t="s">
        <v>71</v>
      </c>
      <c r="GVR868" s="295" t="s">
        <v>71</v>
      </c>
      <c r="GVS868" s="295" t="s">
        <v>71</v>
      </c>
      <c r="GVT868" s="295" t="s">
        <v>71</v>
      </c>
      <c r="GVU868" s="295" t="s">
        <v>71</v>
      </c>
      <c r="GVV868" s="295" t="s">
        <v>71</v>
      </c>
      <c r="GVW868" s="295" t="s">
        <v>71</v>
      </c>
      <c r="GVX868" s="295" t="s">
        <v>71</v>
      </c>
      <c r="GVY868" s="295" t="s">
        <v>71</v>
      </c>
      <c r="GVZ868" s="295" t="s">
        <v>71</v>
      </c>
      <c r="GWA868" s="295" t="s">
        <v>71</v>
      </c>
      <c r="GWB868" s="295" t="s">
        <v>71</v>
      </c>
      <c r="GWC868" s="295" t="s">
        <v>71</v>
      </c>
      <c r="GWD868" s="295" t="s">
        <v>71</v>
      </c>
      <c r="GWE868" s="295" t="s">
        <v>71</v>
      </c>
      <c r="GWF868" s="295" t="s">
        <v>71</v>
      </c>
      <c r="GWG868" s="295" t="s">
        <v>71</v>
      </c>
      <c r="GWH868" s="295" t="s">
        <v>71</v>
      </c>
      <c r="GWI868" s="295" t="s">
        <v>71</v>
      </c>
      <c r="GWJ868" s="295" t="s">
        <v>71</v>
      </c>
      <c r="GWK868" s="295" t="s">
        <v>71</v>
      </c>
      <c r="GWL868" s="295" t="s">
        <v>71</v>
      </c>
      <c r="GWM868" s="295" t="s">
        <v>71</v>
      </c>
      <c r="GWN868" s="295" t="s">
        <v>71</v>
      </c>
      <c r="GWO868" s="295" t="s">
        <v>71</v>
      </c>
      <c r="GWP868" s="295" t="s">
        <v>71</v>
      </c>
      <c r="GWQ868" s="295" t="s">
        <v>71</v>
      </c>
      <c r="GWR868" s="295" t="s">
        <v>71</v>
      </c>
      <c r="GWS868" s="295" t="s">
        <v>71</v>
      </c>
      <c r="GWT868" s="295" t="s">
        <v>71</v>
      </c>
      <c r="GWU868" s="295" t="s">
        <v>71</v>
      </c>
      <c r="GWV868" s="295" t="s">
        <v>71</v>
      </c>
      <c r="GWW868" s="295" t="s">
        <v>71</v>
      </c>
      <c r="GWX868" s="295" t="s">
        <v>71</v>
      </c>
      <c r="GWY868" s="295" t="s">
        <v>71</v>
      </c>
      <c r="GWZ868" s="295" t="s">
        <v>71</v>
      </c>
      <c r="GXA868" s="295" t="s">
        <v>71</v>
      </c>
      <c r="GXB868" s="295" t="s">
        <v>71</v>
      </c>
      <c r="GXC868" s="295" t="s">
        <v>71</v>
      </c>
      <c r="GXD868" s="295" t="s">
        <v>71</v>
      </c>
      <c r="GXE868" s="295" t="s">
        <v>71</v>
      </c>
      <c r="GXF868" s="295" t="s">
        <v>71</v>
      </c>
      <c r="GXG868" s="295" t="s">
        <v>71</v>
      </c>
      <c r="GXH868" s="295" t="s">
        <v>71</v>
      </c>
      <c r="GXI868" s="295" t="s">
        <v>71</v>
      </c>
      <c r="GXJ868" s="295" t="s">
        <v>71</v>
      </c>
      <c r="GXK868" s="295" t="s">
        <v>71</v>
      </c>
      <c r="GXL868" s="295" t="s">
        <v>71</v>
      </c>
      <c r="GXM868" s="295" t="s">
        <v>71</v>
      </c>
      <c r="GXN868" s="295" t="s">
        <v>71</v>
      </c>
      <c r="GXO868" s="295" t="s">
        <v>71</v>
      </c>
      <c r="GXP868" s="295" t="s">
        <v>71</v>
      </c>
      <c r="GXQ868" s="295" t="s">
        <v>71</v>
      </c>
      <c r="GXR868" s="295" t="s">
        <v>71</v>
      </c>
      <c r="GXS868" s="295" t="s">
        <v>71</v>
      </c>
      <c r="GXT868" s="295" t="s">
        <v>71</v>
      </c>
      <c r="GXU868" s="295" t="s">
        <v>71</v>
      </c>
      <c r="GXV868" s="295" t="s">
        <v>71</v>
      </c>
      <c r="GXW868" s="295" t="s">
        <v>71</v>
      </c>
      <c r="GXX868" s="295" t="s">
        <v>71</v>
      </c>
      <c r="GXY868" s="295" t="s">
        <v>71</v>
      </c>
      <c r="GXZ868" s="295" t="s">
        <v>71</v>
      </c>
      <c r="GYA868" s="295" t="s">
        <v>71</v>
      </c>
      <c r="GYB868" s="295" t="s">
        <v>71</v>
      </c>
      <c r="GYC868" s="295" t="s">
        <v>71</v>
      </c>
      <c r="GYD868" s="295" t="s">
        <v>71</v>
      </c>
      <c r="GYE868" s="295" t="s">
        <v>71</v>
      </c>
      <c r="GYF868" s="295" t="s">
        <v>71</v>
      </c>
      <c r="GYG868" s="295" t="s">
        <v>71</v>
      </c>
      <c r="GYH868" s="295" t="s">
        <v>71</v>
      </c>
      <c r="GYI868" s="295" t="s">
        <v>71</v>
      </c>
      <c r="GYJ868" s="295" t="s">
        <v>71</v>
      </c>
      <c r="GYK868" s="295" t="s">
        <v>71</v>
      </c>
      <c r="GYL868" s="295" t="s">
        <v>71</v>
      </c>
      <c r="GYM868" s="295" t="s">
        <v>71</v>
      </c>
      <c r="GYN868" s="295" t="s">
        <v>71</v>
      </c>
      <c r="GYO868" s="295" t="s">
        <v>71</v>
      </c>
      <c r="GYP868" s="295" t="s">
        <v>71</v>
      </c>
      <c r="GYQ868" s="295" t="s">
        <v>71</v>
      </c>
      <c r="GYR868" s="295" t="s">
        <v>71</v>
      </c>
      <c r="GYS868" s="295" t="s">
        <v>71</v>
      </c>
      <c r="GYT868" s="295" t="s">
        <v>71</v>
      </c>
      <c r="GYU868" s="295" t="s">
        <v>71</v>
      </c>
      <c r="GYV868" s="295" t="s">
        <v>71</v>
      </c>
      <c r="GYW868" s="295" t="s">
        <v>71</v>
      </c>
      <c r="GYX868" s="295" t="s">
        <v>71</v>
      </c>
      <c r="GYY868" s="295" t="s">
        <v>71</v>
      </c>
      <c r="GYZ868" s="295" t="s">
        <v>71</v>
      </c>
      <c r="GZA868" s="295" t="s">
        <v>71</v>
      </c>
      <c r="GZB868" s="295" t="s">
        <v>71</v>
      </c>
      <c r="GZC868" s="295" t="s">
        <v>71</v>
      </c>
      <c r="GZD868" s="295" t="s">
        <v>71</v>
      </c>
      <c r="GZE868" s="295" t="s">
        <v>71</v>
      </c>
      <c r="GZF868" s="295" t="s">
        <v>71</v>
      </c>
      <c r="GZG868" s="295" t="s">
        <v>71</v>
      </c>
      <c r="GZH868" s="295" t="s">
        <v>71</v>
      </c>
      <c r="GZI868" s="295" t="s">
        <v>71</v>
      </c>
      <c r="GZJ868" s="295" t="s">
        <v>71</v>
      </c>
      <c r="GZK868" s="295" t="s">
        <v>71</v>
      </c>
      <c r="GZL868" s="295" t="s">
        <v>71</v>
      </c>
      <c r="GZM868" s="295" t="s">
        <v>71</v>
      </c>
      <c r="GZN868" s="295" t="s">
        <v>71</v>
      </c>
      <c r="GZO868" s="295" t="s">
        <v>71</v>
      </c>
      <c r="GZP868" s="295" t="s">
        <v>71</v>
      </c>
      <c r="GZQ868" s="295" t="s">
        <v>71</v>
      </c>
      <c r="GZR868" s="295" t="s">
        <v>71</v>
      </c>
      <c r="GZS868" s="295" t="s">
        <v>71</v>
      </c>
      <c r="GZT868" s="295" t="s">
        <v>71</v>
      </c>
      <c r="GZU868" s="295" t="s">
        <v>71</v>
      </c>
      <c r="GZV868" s="295" t="s">
        <v>71</v>
      </c>
      <c r="GZW868" s="295" t="s">
        <v>71</v>
      </c>
      <c r="GZX868" s="295" t="s">
        <v>71</v>
      </c>
      <c r="GZY868" s="295" t="s">
        <v>71</v>
      </c>
      <c r="GZZ868" s="295" t="s">
        <v>71</v>
      </c>
      <c r="HAA868" s="295" t="s">
        <v>71</v>
      </c>
      <c r="HAB868" s="295" t="s">
        <v>71</v>
      </c>
      <c r="HAC868" s="295" t="s">
        <v>71</v>
      </c>
      <c r="HAD868" s="295" t="s">
        <v>71</v>
      </c>
      <c r="HAE868" s="295" t="s">
        <v>71</v>
      </c>
      <c r="HAF868" s="295" t="s">
        <v>71</v>
      </c>
      <c r="HAG868" s="295" t="s">
        <v>71</v>
      </c>
      <c r="HAH868" s="295" t="s">
        <v>71</v>
      </c>
      <c r="HAI868" s="295" t="s">
        <v>71</v>
      </c>
      <c r="HAJ868" s="295" t="s">
        <v>71</v>
      </c>
      <c r="HAK868" s="295" t="s">
        <v>71</v>
      </c>
      <c r="HAL868" s="295" t="s">
        <v>71</v>
      </c>
      <c r="HAM868" s="295" t="s">
        <v>71</v>
      </c>
      <c r="HAN868" s="295" t="s">
        <v>71</v>
      </c>
      <c r="HAO868" s="295" t="s">
        <v>71</v>
      </c>
      <c r="HAP868" s="295" t="s">
        <v>71</v>
      </c>
      <c r="HAQ868" s="295" t="s">
        <v>71</v>
      </c>
      <c r="HAR868" s="295" t="s">
        <v>71</v>
      </c>
      <c r="HAS868" s="295" t="s">
        <v>71</v>
      </c>
      <c r="HAT868" s="295" t="s">
        <v>71</v>
      </c>
      <c r="HAU868" s="295" t="s">
        <v>71</v>
      </c>
      <c r="HAV868" s="295" t="s">
        <v>71</v>
      </c>
      <c r="HAW868" s="295" t="s">
        <v>71</v>
      </c>
      <c r="HAX868" s="295" t="s">
        <v>71</v>
      </c>
      <c r="HAY868" s="295" t="s">
        <v>71</v>
      </c>
      <c r="HAZ868" s="295" t="s">
        <v>71</v>
      </c>
      <c r="HBA868" s="295" t="s">
        <v>71</v>
      </c>
      <c r="HBB868" s="295" t="s">
        <v>71</v>
      </c>
      <c r="HBC868" s="295" t="s">
        <v>71</v>
      </c>
      <c r="HBD868" s="295" t="s">
        <v>71</v>
      </c>
      <c r="HBE868" s="295" t="s">
        <v>71</v>
      </c>
      <c r="HBF868" s="295" t="s">
        <v>71</v>
      </c>
      <c r="HBG868" s="295" t="s">
        <v>71</v>
      </c>
      <c r="HBH868" s="295" t="s">
        <v>71</v>
      </c>
      <c r="HBI868" s="295" t="s">
        <v>71</v>
      </c>
      <c r="HBJ868" s="295" t="s">
        <v>71</v>
      </c>
      <c r="HBK868" s="295" t="s">
        <v>71</v>
      </c>
      <c r="HBL868" s="295" t="s">
        <v>71</v>
      </c>
      <c r="HBM868" s="295" t="s">
        <v>71</v>
      </c>
      <c r="HBN868" s="295" t="s">
        <v>71</v>
      </c>
      <c r="HBO868" s="295" t="s">
        <v>71</v>
      </c>
      <c r="HBP868" s="295" t="s">
        <v>71</v>
      </c>
      <c r="HBQ868" s="295" t="s">
        <v>71</v>
      </c>
      <c r="HBR868" s="295" t="s">
        <v>71</v>
      </c>
      <c r="HBS868" s="295" t="s">
        <v>71</v>
      </c>
      <c r="HBT868" s="295" t="s">
        <v>71</v>
      </c>
      <c r="HBU868" s="295" t="s">
        <v>71</v>
      </c>
      <c r="HBV868" s="295" t="s">
        <v>71</v>
      </c>
      <c r="HBW868" s="295" t="s">
        <v>71</v>
      </c>
      <c r="HBX868" s="295" t="s">
        <v>71</v>
      </c>
      <c r="HBY868" s="295" t="s">
        <v>71</v>
      </c>
      <c r="HBZ868" s="295" t="s">
        <v>71</v>
      </c>
      <c r="HCA868" s="295" t="s">
        <v>71</v>
      </c>
      <c r="HCB868" s="295" t="s">
        <v>71</v>
      </c>
      <c r="HCC868" s="295" t="s">
        <v>71</v>
      </c>
      <c r="HCD868" s="295" t="s">
        <v>71</v>
      </c>
      <c r="HCE868" s="295" t="s">
        <v>71</v>
      </c>
      <c r="HCF868" s="295" t="s">
        <v>71</v>
      </c>
      <c r="HCG868" s="295" t="s">
        <v>71</v>
      </c>
      <c r="HCH868" s="295" t="s">
        <v>71</v>
      </c>
      <c r="HCI868" s="295" t="s">
        <v>71</v>
      </c>
      <c r="HCJ868" s="295" t="s">
        <v>71</v>
      </c>
      <c r="HCK868" s="295" t="s">
        <v>71</v>
      </c>
      <c r="HCL868" s="295" t="s">
        <v>71</v>
      </c>
      <c r="HCM868" s="295" t="s">
        <v>71</v>
      </c>
      <c r="HCN868" s="295" t="s">
        <v>71</v>
      </c>
      <c r="HCO868" s="295" t="s">
        <v>71</v>
      </c>
      <c r="HCP868" s="295" t="s">
        <v>71</v>
      </c>
      <c r="HCQ868" s="295" t="s">
        <v>71</v>
      </c>
      <c r="HCR868" s="295" t="s">
        <v>71</v>
      </c>
      <c r="HCS868" s="295" t="s">
        <v>71</v>
      </c>
      <c r="HCT868" s="295" t="s">
        <v>71</v>
      </c>
      <c r="HCU868" s="295" t="s">
        <v>71</v>
      </c>
      <c r="HCV868" s="295" t="s">
        <v>71</v>
      </c>
      <c r="HCW868" s="295" t="s">
        <v>71</v>
      </c>
      <c r="HCX868" s="295" t="s">
        <v>71</v>
      </c>
      <c r="HCY868" s="295" t="s">
        <v>71</v>
      </c>
      <c r="HCZ868" s="295" t="s">
        <v>71</v>
      </c>
      <c r="HDA868" s="295" t="s">
        <v>71</v>
      </c>
      <c r="HDB868" s="295" t="s">
        <v>71</v>
      </c>
      <c r="HDC868" s="295" t="s">
        <v>71</v>
      </c>
      <c r="HDD868" s="295" t="s">
        <v>71</v>
      </c>
      <c r="HDE868" s="295" t="s">
        <v>71</v>
      </c>
      <c r="HDF868" s="295" t="s">
        <v>71</v>
      </c>
      <c r="HDG868" s="295" t="s">
        <v>71</v>
      </c>
      <c r="HDH868" s="295" t="s">
        <v>71</v>
      </c>
      <c r="HDI868" s="295" t="s">
        <v>71</v>
      </c>
      <c r="HDJ868" s="295" t="s">
        <v>71</v>
      </c>
      <c r="HDK868" s="295" t="s">
        <v>71</v>
      </c>
      <c r="HDL868" s="295" t="s">
        <v>71</v>
      </c>
      <c r="HDM868" s="295" t="s">
        <v>71</v>
      </c>
      <c r="HDN868" s="295" t="s">
        <v>71</v>
      </c>
      <c r="HDO868" s="295" t="s">
        <v>71</v>
      </c>
      <c r="HDP868" s="295" t="s">
        <v>71</v>
      </c>
      <c r="HDQ868" s="295" t="s">
        <v>71</v>
      </c>
      <c r="HDR868" s="295" t="s">
        <v>71</v>
      </c>
      <c r="HDS868" s="295" t="s">
        <v>71</v>
      </c>
      <c r="HDT868" s="295" t="s">
        <v>71</v>
      </c>
      <c r="HDU868" s="295" t="s">
        <v>71</v>
      </c>
      <c r="HDV868" s="295" t="s">
        <v>71</v>
      </c>
      <c r="HDW868" s="295" t="s">
        <v>71</v>
      </c>
      <c r="HDX868" s="295" t="s">
        <v>71</v>
      </c>
      <c r="HDY868" s="295" t="s">
        <v>71</v>
      </c>
      <c r="HDZ868" s="295" t="s">
        <v>71</v>
      </c>
      <c r="HEA868" s="295" t="s">
        <v>71</v>
      </c>
      <c r="HEB868" s="295" t="s">
        <v>71</v>
      </c>
      <c r="HEC868" s="295" t="s">
        <v>71</v>
      </c>
      <c r="HED868" s="295" t="s">
        <v>71</v>
      </c>
      <c r="HEE868" s="295" t="s">
        <v>71</v>
      </c>
      <c r="HEF868" s="295" t="s">
        <v>71</v>
      </c>
      <c r="HEG868" s="295" t="s">
        <v>71</v>
      </c>
      <c r="HEH868" s="295" t="s">
        <v>71</v>
      </c>
      <c r="HEI868" s="295" t="s">
        <v>71</v>
      </c>
      <c r="HEJ868" s="295" t="s">
        <v>71</v>
      </c>
      <c r="HEK868" s="295" t="s">
        <v>71</v>
      </c>
      <c r="HEL868" s="295" t="s">
        <v>71</v>
      </c>
      <c r="HEM868" s="295" t="s">
        <v>71</v>
      </c>
      <c r="HEN868" s="295" t="s">
        <v>71</v>
      </c>
      <c r="HEO868" s="295" t="s">
        <v>71</v>
      </c>
      <c r="HEP868" s="295" t="s">
        <v>71</v>
      </c>
      <c r="HEQ868" s="295" t="s">
        <v>71</v>
      </c>
      <c r="HER868" s="295" t="s">
        <v>71</v>
      </c>
      <c r="HES868" s="295" t="s">
        <v>71</v>
      </c>
      <c r="HET868" s="295" t="s">
        <v>71</v>
      </c>
      <c r="HEU868" s="295" t="s">
        <v>71</v>
      </c>
      <c r="HEV868" s="295" t="s">
        <v>71</v>
      </c>
      <c r="HEW868" s="295" t="s">
        <v>71</v>
      </c>
      <c r="HEX868" s="295" t="s">
        <v>71</v>
      </c>
      <c r="HEY868" s="295" t="s">
        <v>71</v>
      </c>
      <c r="HEZ868" s="295" t="s">
        <v>71</v>
      </c>
      <c r="HFA868" s="295" t="s">
        <v>71</v>
      </c>
      <c r="HFB868" s="295" t="s">
        <v>71</v>
      </c>
      <c r="HFC868" s="295" t="s">
        <v>71</v>
      </c>
      <c r="HFD868" s="295" t="s">
        <v>71</v>
      </c>
      <c r="HFE868" s="295" t="s">
        <v>71</v>
      </c>
      <c r="HFF868" s="295" t="s">
        <v>71</v>
      </c>
      <c r="HFG868" s="295" t="s">
        <v>71</v>
      </c>
      <c r="HFH868" s="295" t="s">
        <v>71</v>
      </c>
      <c r="HFI868" s="295" t="s">
        <v>71</v>
      </c>
      <c r="HFJ868" s="295" t="s">
        <v>71</v>
      </c>
      <c r="HFK868" s="295" t="s">
        <v>71</v>
      </c>
      <c r="HFL868" s="295" t="s">
        <v>71</v>
      </c>
      <c r="HFM868" s="295" t="s">
        <v>71</v>
      </c>
      <c r="HFN868" s="295" t="s">
        <v>71</v>
      </c>
      <c r="HFO868" s="295" t="s">
        <v>71</v>
      </c>
      <c r="HFP868" s="295" t="s">
        <v>71</v>
      </c>
      <c r="HFQ868" s="295" t="s">
        <v>71</v>
      </c>
      <c r="HFR868" s="295" t="s">
        <v>71</v>
      </c>
      <c r="HFS868" s="295" t="s">
        <v>71</v>
      </c>
      <c r="HFT868" s="295" t="s">
        <v>71</v>
      </c>
      <c r="HFU868" s="295" t="s">
        <v>71</v>
      </c>
      <c r="HFV868" s="295" t="s">
        <v>71</v>
      </c>
      <c r="HFW868" s="295" t="s">
        <v>71</v>
      </c>
      <c r="HFX868" s="295" t="s">
        <v>71</v>
      </c>
      <c r="HFY868" s="295" t="s">
        <v>71</v>
      </c>
      <c r="HFZ868" s="295" t="s">
        <v>71</v>
      </c>
      <c r="HGA868" s="295" t="s">
        <v>71</v>
      </c>
      <c r="HGB868" s="295" t="s">
        <v>71</v>
      </c>
      <c r="HGC868" s="295" t="s">
        <v>71</v>
      </c>
      <c r="HGD868" s="295" t="s">
        <v>71</v>
      </c>
      <c r="HGE868" s="295" t="s">
        <v>71</v>
      </c>
      <c r="HGF868" s="295" t="s">
        <v>71</v>
      </c>
      <c r="HGG868" s="295" t="s">
        <v>71</v>
      </c>
      <c r="HGH868" s="295" t="s">
        <v>71</v>
      </c>
      <c r="HGI868" s="295" t="s">
        <v>71</v>
      </c>
      <c r="HGJ868" s="295" t="s">
        <v>71</v>
      </c>
      <c r="HGK868" s="295" t="s">
        <v>71</v>
      </c>
      <c r="HGL868" s="295" t="s">
        <v>71</v>
      </c>
      <c r="HGM868" s="295" t="s">
        <v>71</v>
      </c>
      <c r="HGN868" s="295" t="s">
        <v>71</v>
      </c>
      <c r="HGO868" s="295" t="s">
        <v>71</v>
      </c>
      <c r="HGP868" s="295" t="s">
        <v>71</v>
      </c>
      <c r="HGQ868" s="295" t="s">
        <v>71</v>
      </c>
      <c r="HGR868" s="295" t="s">
        <v>71</v>
      </c>
      <c r="HGS868" s="295" t="s">
        <v>71</v>
      </c>
      <c r="HGT868" s="295" t="s">
        <v>71</v>
      </c>
      <c r="HGU868" s="295" t="s">
        <v>71</v>
      </c>
      <c r="HGV868" s="295" t="s">
        <v>71</v>
      </c>
      <c r="HGW868" s="295" t="s">
        <v>71</v>
      </c>
      <c r="HGX868" s="295" t="s">
        <v>71</v>
      </c>
      <c r="HGY868" s="295" t="s">
        <v>71</v>
      </c>
      <c r="HGZ868" s="295" t="s">
        <v>71</v>
      </c>
      <c r="HHA868" s="295" t="s">
        <v>71</v>
      </c>
      <c r="HHB868" s="295" t="s">
        <v>71</v>
      </c>
      <c r="HHC868" s="295" t="s">
        <v>71</v>
      </c>
      <c r="HHD868" s="295" t="s">
        <v>71</v>
      </c>
      <c r="HHE868" s="295" t="s">
        <v>71</v>
      </c>
      <c r="HHF868" s="295" t="s">
        <v>71</v>
      </c>
      <c r="HHG868" s="295" t="s">
        <v>71</v>
      </c>
      <c r="HHH868" s="295" t="s">
        <v>71</v>
      </c>
      <c r="HHI868" s="295" t="s">
        <v>71</v>
      </c>
      <c r="HHJ868" s="295" t="s">
        <v>71</v>
      </c>
      <c r="HHK868" s="295" t="s">
        <v>71</v>
      </c>
      <c r="HHL868" s="295" t="s">
        <v>71</v>
      </c>
      <c r="HHM868" s="295" t="s">
        <v>71</v>
      </c>
      <c r="HHN868" s="295" t="s">
        <v>71</v>
      </c>
      <c r="HHO868" s="295" t="s">
        <v>71</v>
      </c>
      <c r="HHP868" s="295" t="s">
        <v>71</v>
      </c>
      <c r="HHQ868" s="295" t="s">
        <v>71</v>
      </c>
      <c r="HHR868" s="295" t="s">
        <v>71</v>
      </c>
      <c r="HHS868" s="295" t="s">
        <v>71</v>
      </c>
      <c r="HHT868" s="295" t="s">
        <v>71</v>
      </c>
      <c r="HHU868" s="295" t="s">
        <v>71</v>
      </c>
      <c r="HHV868" s="295" t="s">
        <v>71</v>
      </c>
      <c r="HHW868" s="295" t="s">
        <v>71</v>
      </c>
      <c r="HHX868" s="295" t="s">
        <v>71</v>
      </c>
      <c r="HHY868" s="295" t="s">
        <v>71</v>
      </c>
      <c r="HHZ868" s="295" t="s">
        <v>71</v>
      </c>
      <c r="HIA868" s="295" t="s">
        <v>71</v>
      </c>
      <c r="HIB868" s="295" t="s">
        <v>71</v>
      </c>
      <c r="HIC868" s="295" t="s">
        <v>71</v>
      </c>
      <c r="HID868" s="295" t="s">
        <v>71</v>
      </c>
      <c r="HIE868" s="295" t="s">
        <v>71</v>
      </c>
      <c r="HIF868" s="295" t="s">
        <v>71</v>
      </c>
      <c r="HIG868" s="295" t="s">
        <v>71</v>
      </c>
      <c r="HIH868" s="295" t="s">
        <v>71</v>
      </c>
      <c r="HII868" s="295" t="s">
        <v>71</v>
      </c>
      <c r="HIJ868" s="295" t="s">
        <v>71</v>
      </c>
      <c r="HIK868" s="295" t="s">
        <v>71</v>
      </c>
      <c r="HIL868" s="295" t="s">
        <v>71</v>
      </c>
      <c r="HIM868" s="295" t="s">
        <v>71</v>
      </c>
      <c r="HIN868" s="295" t="s">
        <v>71</v>
      </c>
      <c r="HIO868" s="295" t="s">
        <v>71</v>
      </c>
      <c r="HIP868" s="295" t="s">
        <v>71</v>
      </c>
      <c r="HIQ868" s="295" t="s">
        <v>71</v>
      </c>
      <c r="HIR868" s="295" t="s">
        <v>71</v>
      </c>
      <c r="HIS868" s="295" t="s">
        <v>71</v>
      </c>
      <c r="HIT868" s="295" t="s">
        <v>71</v>
      </c>
      <c r="HIU868" s="295" t="s">
        <v>71</v>
      </c>
      <c r="HIV868" s="295" t="s">
        <v>71</v>
      </c>
      <c r="HIW868" s="295" t="s">
        <v>71</v>
      </c>
      <c r="HIX868" s="295" t="s">
        <v>71</v>
      </c>
      <c r="HIY868" s="295" t="s">
        <v>71</v>
      </c>
      <c r="HIZ868" s="295" t="s">
        <v>71</v>
      </c>
      <c r="HJA868" s="295" t="s">
        <v>71</v>
      </c>
      <c r="HJB868" s="295" t="s">
        <v>71</v>
      </c>
      <c r="HJC868" s="295" t="s">
        <v>71</v>
      </c>
      <c r="HJD868" s="295" t="s">
        <v>71</v>
      </c>
      <c r="HJE868" s="295" t="s">
        <v>71</v>
      </c>
      <c r="HJF868" s="295" t="s">
        <v>71</v>
      </c>
      <c r="HJG868" s="295" t="s">
        <v>71</v>
      </c>
      <c r="HJH868" s="295" t="s">
        <v>71</v>
      </c>
      <c r="HJI868" s="295" t="s">
        <v>71</v>
      </c>
      <c r="HJJ868" s="295" t="s">
        <v>71</v>
      </c>
      <c r="HJK868" s="295" t="s">
        <v>71</v>
      </c>
      <c r="HJL868" s="295" t="s">
        <v>71</v>
      </c>
      <c r="HJM868" s="295" t="s">
        <v>71</v>
      </c>
      <c r="HJN868" s="295" t="s">
        <v>71</v>
      </c>
      <c r="HJO868" s="295" t="s">
        <v>71</v>
      </c>
      <c r="HJP868" s="295" t="s">
        <v>71</v>
      </c>
      <c r="HJQ868" s="295" t="s">
        <v>71</v>
      </c>
      <c r="HJR868" s="295" t="s">
        <v>71</v>
      </c>
      <c r="HJS868" s="295" t="s">
        <v>71</v>
      </c>
      <c r="HJT868" s="295" t="s">
        <v>71</v>
      </c>
      <c r="HJU868" s="295" t="s">
        <v>71</v>
      </c>
      <c r="HJV868" s="295" t="s">
        <v>71</v>
      </c>
      <c r="HJW868" s="295" t="s">
        <v>71</v>
      </c>
      <c r="HJX868" s="295" t="s">
        <v>71</v>
      </c>
      <c r="HJY868" s="295" t="s">
        <v>71</v>
      </c>
      <c r="HJZ868" s="295" t="s">
        <v>71</v>
      </c>
      <c r="HKA868" s="295" t="s">
        <v>71</v>
      </c>
      <c r="HKB868" s="295" t="s">
        <v>71</v>
      </c>
      <c r="HKC868" s="295" t="s">
        <v>71</v>
      </c>
      <c r="HKD868" s="295" t="s">
        <v>71</v>
      </c>
      <c r="HKE868" s="295" t="s">
        <v>71</v>
      </c>
      <c r="HKF868" s="295" t="s">
        <v>71</v>
      </c>
      <c r="HKG868" s="295" t="s">
        <v>71</v>
      </c>
      <c r="HKH868" s="295" t="s">
        <v>71</v>
      </c>
      <c r="HKI868" s="295" t="s">
        <v>71</v>
      </c>
      <c r="HKJ868" s="295" t="s">
        <v>71</v>
      </c>
      <c r="HKK868" s="295" t="s">
        <v>71</v>
      </c>
      <c r="HKL868" s="295" t="s">
        <v>71</v>
      </c>
      <c r="HKM868" s="295" t="s">
        <v>71</v>
      </c>
      <c r="HKN868" s="295" t="s">
        <v>71</v>
      </c>
      <c r="HKO868" s="295" t="s">
        <v>71</v>
      </c>
      <c r="HKP868" s="295" t="s">
        <v>71</v>
      </c>
      <c r="HKQ868" s="295" t="s">
        <v>71</v>
      </c>
      <c r="HKR868" s="295" t="s">
        <v>71</v>
      </c>
      <c r="HKS868" s="295" t="s">
        <v>71</v>
      </c>
      <c r="HKT868" s="295" t="s">
        <v>71</v>
      </c>
      <c r="HKU868" s="295" t="s">
        <v>71</v>
      </c>
      <c r="HKV868" s="295" t="s">
        <v>71</v>
      </c>
      <c r="HKW868" s="295" t="s">
        <v>71</v>
      </c>
      <c r="HKX868" s="295" t="s">
        <v>71</v>
      </c>
      <c r="HKY868" s="295" t="s">
        <v>71</v>
      </c>
      <c r="HKZ868" s="295" t="s">
        <v>71</v>
      </c>
      <c r="HLA868" s="295" t="s">
        <v>71</v>
      </c>
      <c r="HLB868" s="295" t="s">
        <v>71</v>
      </c>
      <c r="HLC868" s="295" t="s">
        <v>71</v>
      </c>
      <c r="HLD868" s="295" t="s">
        <v>71</v>
      </c>
      <c r="HLE868" s="295" t="s">
        <v>71</v>
      </c>
      <c r="HLF868" s="295" t="s">
        <v>71</v>
      </c>
      <c r="HLG868" s="295" t="s">
        <v>71</v>
      </c>
      <c r="HLH868" s="295" t="s">
        <v>71</v>
      </c>
      <c r="HLI868" s="295" t="s">
        <v>71</v>
      </c>
      <c r="HLJ868" s="295" t="s">
        <v>71</v>
      </c>
      <c r="HLK868" s="295" t="s">
        <v>71</v>
      </c>
      <c r="HLL868" s="295" t="s">
        <v>71</v>
      </c>
      <c r="HLM868" s="295" t="s">
        <v>71</v>
      </c>
      <c r="HLN868" s="295" t="s">
        <v>71</v>
      </c>
      <c r="HLO868" s="295" t="s">
        <v>71</v>
      </c>
      <c r="HLP868" s="295" t="s">
        <v>71</v>
      </c>
      <c r="HLQ868" s="295" t="s">
        <v>71</v>
      </c>
      <c r="HLR868" s="295" t="s">
        <v>71</v>
      </c>
      <c r="HLS868" s="295" t="s">
        <v>71</v>
      </c>
      <c r="HLT868" s="295" t="s">
        <v>71</v>
      </c>
      <c r="HLU868" s="295" t="s">
        <v>71</v>
      </c>
      <c r="HLV868" s="295" t="s">
        <v>71</v>
      </c>
      <c r="HLW868" s="295" t="s">
        <v>71</v>
      </c>
      <c r="HLX868" s="295" t="s">
        <v>71</v>
      </c>
      <c r="HLY868" s="295" t="s">
        <v>71</v>
      </c>
      <c r="HLZ868" s="295" t="s">
        <v>71</v>
      </c>
      <c r="HMA868" s="295" t="s">
        <v>71</v>
      </c>
      <c r="HMB868" s="295" t="s">
        <v>71</v>
      </c>
      <c r="HMC868" s="295" t="s">
        <v>71</v>
      </c>
      <c r="HMD868" s="295" t="s">
        <v>71</v>
      </c>
      <c r="HME868" s="295" t="s">
        <v>71</v>
      </c>
      <c r="HMF868" s="295" t="s">
        <v>71</v>
      </c>
      <c r="HMG868" s="295" t="s">
        <v>71</v>
      </c>
      <c r="HMH868" s="295" t="s">
        <v>71</v>
      </c>
      <c r="HMI868" s="295" t="s">
        <v>71</v>
      </c>
      <c r="HMJ868" s="295" t="s">
        <v>71</v>
      </c>
      <c r="HMK868" s="295" t="s">
        <v>71</v>
      </c>
      <c r="HML868" s="295" t="s">
        <v>71</v>
      </c>
      <c r="HMM868" s="295" t="s">
        <v>71</v>
      </c>
      <c r="HMN868" s="295" t="s">
        <v>71</v>
      </c>
      <c r="HMO868" s="295" t="s">
        <v>71</v>
      </c>
      <c r="HMP868" s="295" t="s">
        <v>71</v>
      </c>
      <c r="HMQ868" s="295" t="s">
        <v>71</v>
      </c>
      <c r="HMR868" s="295" t="s">
        <v>71</v>
      </c>
      <c r="HMS868" s="295" t="s">
        <v>71</v>
      </c>
      <c r="HMT868" s="295" t="s">
        <v>71</v>
      </c>
      <c r="HMU868" s="295" t="s">
        <v>71</v>
      </c>
      <c r="HMV868" s="295" t="s">
        <v>71</v>
      </c>
      <c r="HMW868" s="295" t="s">
        <v>71</v>
      </c>
      <c r="HMX868" s="295" t="s">
        <v>71</v>
      </c>
      <c r="HMY868" s="295" t="s">
        <v>71</v>
      </c>
      <c r="HMZ868" s="295" t="s">
        <v>71</v>
      </c>
      <c r="HNA868" s="295" t="s">
        <v>71</v>
      </c>
      <c r="HNB868" s="295" t="s">
        <v>71</v>
      </c>
      <c r="HNC868" s="295" t="s">
        <v>71</v>
      </c>
      <c r="HND868" s="295" t="s">
        <v>71</v>
      </c>
      <c r="HNE868" s="295" t="s">
        <v>71</v>
      </c>
      <c r="HNF868" s="295" t="s">
        <v>71</v>
      </c>
      <c r="HNG868" s="295" t="s">
        <v>71</v>
      </c>
      <c r="HNH868" s="295" t="s">
        <v>71</v>
      </c>
      <c r="HNI868" s="295" t="s">
        <v>71</v>
      </c>
      <c r="HNJ868" s="295" t="s">
        <v>71</v>
      </c>
      <c r="HNK868" s="295" t="s">
        <v>71</v>
      </c>
      <c r="HNL868" s="295" t="s">
        <v>71</v>
      </c>
      <c r="HNM868" s="295" t="s">
        <v>71</v>
      </c>
      <c r="HNN868" s="295" t="s">
        <v>71</v>
      </c>
      <c r="HNO868" s="295" t="s">
        <v>71</v>
      </c>
      <c r="HNP868" s="295" t="s">
        <v>71</v>
      </c>
      <c r="HNQ868" s="295" t="s">
        <v>71</v>
      </c>
      <c r="HNR868" s="295" t="s">
        <v>71</v>
      </c>
      <c r="HNS868" s="295" t="s">
        <v>71</v>
      </c>
      <c r="HNT868" s="295" t="s">
        <v>71</v>
      </c>
      <c r="HNU868" s="295" t="s">
        <v>71</v>
      </c>
      <c r="HNV868" s="295" t="s">
        <v>71</v>
      </c>
      <c r="HNW868" s="295" t="s">
        <v>71</v>
      </c>
      <c r="HNX868" s="295" t="s">
        <v>71</v>
      </c>
      <c r="HNY868" s="295" t="s">
        <v>71</v>
      </c>
      <c r="HNZ868" s="295" t="s">
        <v>71</v>
      </c>
      <c r="HOA868" s="295" t="s">
        <v>71</v>
      </c>
      <c r="HOB868" s="295" t="s">
        <v>71</v>
      </c>
      <c r="HOC868" s="295" t="s">
        <v>71</v>
      </c>
      <c r="HOD868" s="295" t="s">
        <v>71</v>
      </c>
      <c r="HOE868" s="295" t="s">
        <v>71</v>
      </c>
      <c r="HOF868" s="295" t="s">
        <v>71</v>
      </c>
      <c r="HOG868" s="295" t="s">
        <v>71</v>
      </c>
      <c r="HOH868" s="295" t="s">
        <v>71</v>
      </c>
      <c r="HOI868" s="295" t="s">
        <v>71</v>
      </c>
      <c r="HOJ868" s="295" t="s">
        <v>71</v>
      </c>
      <c r="HOK868" s="295" t="s">
        <v>71</v>
      </c>
      <c r="HOL868" s="295" t="s">
        <v>71</v>
      </c>
      <c r="HOM868" s="295" t="s">
        <v>71</v>
      </c>
      <c r="HON868" s="295" t="s">
        <v>71</v>
      </c>
      <c r="HOO868" s="295" t="s">
        <v>71</v>
      </c>
      <c r="HOP868" s="295" t="s">
        <v>71</v>
      </c>
      <c r="HOQ868" s="295" t="s">
        <v>71</v>
      </c>
      <c r="HOR868" s="295" t="s">
        <v>71</v>
      </c>
      <c r="HOS868" s="295" t="s">
        <v>71</v>
      </c>
      <c r="HOT868" s="295" t="s">
        <v>71</v>
      </c>
      <c r="HOU868" s="295" t="s">
        <v>71</v>
      </c>
      <c r="HOV868" s="295" t="s">
        <v>71</v>
      </c>
      <c r="HOW868" s="295" t="s">
        <v>71</v>
      </c>
      <c r="HOX868" s="295" t="s">
        <v>71</v>
      </c>
      <c r="HOY868" s="295" t="s">
        <v>71</v>
      </c>
      <c r="HOZ868" s="295" t="s">
        <v>71</v>
      </c>
      <c r="HPA868" s="295" t="s">
        <v>71</v>
      </c>
      <c r="HPB868" s="295" t="s">
        <v>71</v>
      </c>
      <c r="HPC868" s="295" t="s">
        <v>71</v>
      </c>
      <c r="HPD868" s="295" t="s">
        <v>71</v>
      </c>
      <c r="HPE868" s="295" t="s">
        <v>71</v>
      </c>
      <c r="HPF868" s="295" t="s">
        <v>71</v>
      </c>
      <c r="HPG868" s="295" t="s">
        <v>71</v>
      </c>
      <c r="HPH868" s="295" t="s">
        <v>71</v>
      </c>
      <c r="HPI868" s="295" t="s">
        <v>71</v>
      </c>
      <c r="HPJ868" s="295" t="s">
        <v>71</v>
      </c>
      <c r="HPK868" s="295" t="s">
        <v>71</v>
      </c>
      <c r="HPL868" s="295" t="s">
        <v>71</v>
      </c>
      <c r="HPM868" s="295" t="s">
        <v>71</v>
      </c>
      <c r="HPN868" s="295" t="s">
        <v>71</v>
      </c>
      <c r="HPO868" s="295" t="s">
        <v>71</v>
      </c>
      <c r="HPP868" s="295" t="s">
        <v>71</v>
      </c>
      <c r="HPQ868" s="295" t="s">
        <v>71</v>
      </c>
      <c r="HPR868" s="295" t="s">
        <v>71</v>
      </c>
      <c r="HPS868" s="295" t="s">
        <v>71</v>
      </c>
      <c r="HPT868" s="295" t="s">
        <v>71</v>
      </c>
      <c r="HPU868" s="295" t="s">
        <v>71</v>
      </c>
      <c r="HPV868" s="295" t="s">
        <v>71</v>
      </c>
      <c r="HPW868" s="295" t="s">
        <v>71</v>
      </c>
      <c r="HPX868" s="295" t="s">
        <v>71</v>
      </c>
      <c r="HPY868" s="295" t="s">
        <v>71</v>
      </c>
      <c r="HPZ868" s="295" t="s">
        <v>71</v>
      </c>
      <c r="HQA868" s="295" t="s">
        <v>71</v>
      </c>
      <c r="HQB868" s="295" t="s">
        <v>71</v>
      </c>
      <c r="HQC868" s="295" t="s">
        <v>71</v>
      </c>
      <c r="HQD868" s="295" t="s">
        <v>71</v>
      </c>
      <c r="HQE868" s="295" t="s">
        <v>71</v>
      </c>
      <c r="HQF868" s="295" t="s">
        <v>71</v>
      </c>
      <c r="HQG868" s="295" t="s">
        <v>71</v>
      </c>
      <c r="HQH868" s="295" t="s">
        <v>71</v>
      </c>
      <c r="HQI868" s="295" t="s">
        <v>71</v>
      </c>
      <c r="HQJ868" s="295" t="s">
        <v>71</v>
      </c>
      <c r="HQK868" s="295" t="s">
        <v>71</v>
      </c>
      <c r="HQL868" s="295" t="s">
        <v>71</v>
      </c>
      <c r="HQM868" s="295" t="s">
        <v>71</v>
      </c>
      <c r="HQN868" s="295" t="s">
        <v>71</v>
      </c>
      <c r="HQO868" s="295" t="s">
        <v>71</v>
      </c>
      <c r="HQP868" s="295" t="s">
        <v>71</v>
      </c>
      <c r="HQQ868" s="295" t="s">
        <v>71</v>
      </c>
      <c r="HQR868" s="295" t="s">
        <v>71</v>
      </c>
      <c r="HQS868" s="295" t="s">
        <v>71</v>
      </c>
      <c r="HQT868" s="295" t="s">
        <v>71</v>
      </c>
      <c r="HQU868" s="295" t="s">
        <v>71</v>
      </c>
      <c r="HQV868" s="295" t="s">
        <v>71</v>
      </c>
      <c r="HQW868" s="295" t="s">
        <v>71</v>
      </c>
      <c r="HQX868" s="295" t="s">
        <v>71</v>
      </c>
      <c r="HQY868" s="295" t="s">
        <v>71</v>
      </c>
      <c r="HQZ868" s="295" t="s">
        <v>71</v>
      </c>
      <c r="HRA868" s="295" t="s">
        <v>71</v>
      </c>
      <c r="HRB868" s="295" t="s">
        <v>71</v>
      </c>
      <c r="HRC868" s="295" t="s">
        <v>71</v>
      </c>
      <c r="HRD868" s="295" t="s">
        <v>71</v>
      </c>
      <c r="HRE868" s="295" t="s">
        <v>71</v>
      </c>
      <c r="HRF868" s="295" t="s">
        <v>71</v>
      </c>
      <c r="HRG868" s="295" t="s">
        <v>71</v>
      </c>
      <c r="HRH868" s="295" t="s">
        <v>71</v>
      </c>
      <c r="HRI868" s="295" t="s">
        <v>71</v>
      </c>
      <c r="HRJ868" s="295" t="s">
        <v>71</v>
      </c>
      <c r="HRK868" s="295" t="s">
        <v>71</v>
      </c>
      <c r="HRL868" s="295" t="s">
        <v>71</v>
      </c>
      <c r="HRM868" s="295" t="s">
        <v>71</v>
      </c>
      <c r="HRN868" s="295" t="s">
        <v>71</v>
      </c>
      <c r="HRO868" s="295" t="s">
        <v>71</v>
      </c>
      <c r="HRP868" s="295" t="s">
        <v>71</v>
      </c>
      <c r="HRQ868" s="295" t="s">
        <v>71</v>
      </c>
      <c r="HRR868" s="295" t="s">
        <v>71</v>
      </c>
      <c r="HRS868" s="295" t="s">
        <v>71</v>
      </c>
      <c r="HRT868" s="295" t="s">
        <v>71</v>
      </c>
      <c r="HRU868" s="295" t="s">
        <v>71</v>
      </c>
      <c r="HRV868" s="295" t="s">
        <v>71</v>
      </c>
      <c r="HRW868" s="295" t="s">
        <v>71</v>
      </c>
      <c r="HRX868" s="295" t="s">
        <v>71</v>
      </c>
      <c r="HRY868" s="295" t="s">
        <v>71</v>
      </c>
      <c r="HRZ868" s="295" t="s">
        <v>71</v>
      </c>
      <c r="HSA868" s="295" t="s">
        <v>71</v>
      </c>
      <c r="HSB868" s="295" t="s">
        <v>71</v>
      </c>
      <c r="HSC868" s="295" t="s">
        <v>71</v>
      </c>
      <c r="HSD868" s="295" t="s">
        <v>71</v>
      </c>
      <c r="HSE868" s="295" t="s">
        <v>71</v>
      </c>
      <c r="HSF868" s="295" t="s">
        <v>71</v>
      </c>
      <c r="HSG868" s="295" t="s">
        <v>71</v>
      </c>
      <c r="HSH868" s="295" t="s">
        <v>71</v>
      </c>
      <c r="HSI868" s="295" t="s">
        <v>71</v>
      </c>
      <c r="HSJ868" s="295" t="s">
        <v>71</v>
      </c>
      <c r="HSK868" s="295" t="s">
        <v>71</v>
      </c>
      <c r="HSL868" s="295" t="s">
        <v>71</v>
      </c>
      <c r="HSM868" s="295" t="s">
        <v>71</v>
      </c>
      <c r="HSN868" s="295" t="s">
        <v>71</v>
      </c>
      <c r="HSO868" s="295" t="s">
        <v>71</v>
      </c>
      <c r="HSP868" s="295" t="s">
        <v>71</v>
      </c>
      <c r="HSQ868" s="295" t="s">
        <v>71</v>
      </c>
      <c r="HSR868" s="295" t="s">
        <v>71</v>
      </c>
      <c r="HSS868" s="295" t="s">
        <v>71</v>
      </c>
      <c r="HST868" s="295" t="s">
        <v>71</v>
      </c>
      <c r="HSU868" s="295" t="s">
        <v>71</v>
      </c>
      <c r="HSV868" s="295" t="s">
        <v>71</v>
      </c>
      <c r="HSW868" s="295" t="s">
        <v>71</v>
      </c>
      <c r="HSX868" s="295" t="s">
        <v>71</v>
      </c>
      <c r="HSY868" s="295" t="s">
        <v>71</v>
      </c>
      <c r="HSZ868" s="295" t="s">
        <v>71</v>
      </c>
      <c r="HTA868" s="295" t="s">
        <v>71</v>
      </c>
      <c r="HTB868" s="295" t="s">
        <v>71</v>
      </c>
      <c r="HTC868" s="295" t="s">
        <v>71</v>
      </c>
      <c r="HTD868" s="295" t="s">
        <v>71</v>
      </c>
      <c r="HTE868" s="295" t="s">
        <v>71</v>
      </c>
      <c r="HTF868" s="295" t="s">
        <v>71</v>
      </c>
      <c r="HTG868" s="295" t="s">
        <v>71</v>
      </c>
      <c r="HTH868" s="295" t="s">
        <v>71</v>
      </c>
      <c r="HTI868" s="295" t="s">
        <v>71</v>
      </c>
      <c r="HTJ868" s="295" t="s">
        <v>71</v>
      </c>
      <c r="HTK868" s="295" t="s">
        <v>71</v>
      </c>
      <c r="HTL868" s="295" t="s">
        <v>71</v>
      </c>
      <c r="HTM868" s="295" t="s">
        <v>71</v>
      </c>
      <c r="HTN868" s="295" t="s">
        <v>71</v>
      </c>
      <c r="HTO868" s="295" t="s">
        <v>71</v>
      </c>
      <c r="HTP868" s="295" t="s">
        <v>71</v>
      </c>
      <c r="HTQ868" s="295" t="s">
        <v>71</v>
      </c>
      <c r="HTR868" s="295" t="s">
        <v>71</v>
      </c>
      <c r="HTS868" s="295" t="s">
        <v>71</v>
      </c>
      <c r="HTT868" s="295" t="s">
        <v>71</v>
      </c>
      <c r="HTU868" s="295" t="s">
        <v>71</v>
      </c>
      <c r="HTV868" s="295" t="s">
        <v>71</v>
      </c>
      <c r="HTW868" s="295" t="s">
        <v>71</v>
      </c>
      <c r="HTX868" s="295" t="s">
        <v>71</v>
      </c>
      <c r="HTY868" s="295" t="s">
        <v>71</v>
      </c>
      <c r="HTZ868" s="295" t="s">
        <v>71</v>
      </c>
      <c r="HUA868" s="295" t="s">
        <v>71</v>
      </c>
      <c r="HUB868" s="295" t="s">
        <v>71</v>
      </c>
      <c r="HUC868" s="295" t="s">
        <v>71</v>
      </c>
      <c r="HUD868" s="295" t="s">
        <v>71</v>
      </c>
      <c r="HUE868" s="295" t="s">
        <v>71</v>
      </c>
      <c r="HUF868" s="295" t="s">
        <v>71</v>
      </c>
      <c r="HUG868" s="295" t="s">
        <v>71</v>
      </c>
      <c r="HUH868" s="295" t="s">
        <v>71</v>
      </c>
      <c r="HUI868" s="295" t="s">
        <v>71</v>
      </c>
      <c r="HUJ868" s="295" t="s">
        <v>71</v>
      </c>
      <c r="HUK868" s="295" t="s">
        <v>71</v>
      </c>
      <c r="HUL868" s="295" t="s">
        <v>71</v>
      </c>
      <c r="HUM868" s="295" t="s">
        <v>71</v>
      </c>
      <c r="HUN868" s="295" t="s">
        <v>71</v>
      </c>
      <c r="HUO868" s="295" t="s">
        <v>71</v>
      </c>
      <c r="HUP868" s="295" t="s">
        <v>71</v>
      </c>
      <c r="HUQ868" s="295" t="s">
        <v>71</v>
      </c>
      <c r="HUR868" s="295" t="s">
        <v>71</v>
      </c>
      <c r="HUS868" s="295" t="s">
        <v>71</v>
      </c>
      <c r="HUT868" s="295" t="s">
        <v>71</v>
      </c>
      <c r="HUU868" s="295" t="s">
        <v>71</v>
      </c>
      <c r="HUV868" s="295" t="s">
        <v>71</v>
      </c>
      <c r="HUW868" s="295" t="s">
        <v>71</v>
      </c>
      <c r="HUX868" s="295" t="s">
        <v>71</v>
      </c>
      <c r="HUY868" s="295" t="s">
        <v>71</v>
      </c>
      <c r="HUZ868" s="295" t="s">
        <v>71</v>
      </c>
      <c r="HVA868" s="295" t="s">
        <v>71</v>
      </c>
      <c r="HVB868" s="295" t="s">
        <v>71</v>
      </c>
      <c r="HVC868" s="295" t="s">
        <v>71</v>
      </c>
      <c r="HVD868" s="295" t="s">
        <v>71</v>
      </c>
      <c r="HVE868" s="295" t="s">
        <v>71</v>
      </c>
      <c r="HVF868" s="295" t="s">
        <v>71</v>
      </c>
      <c r="HVG868" s="295" t="s">
        <v>71</v>
      </c>
      <c r="HVH868" s="295" t="s">
        <v>71</v>
      </c>
      <c r="HVI868" s="295" t="s">
        <v>71</v>
      </c>
      <c r="HVJ868" s="295" t="s">
        <v>71</v>
      </c>
      <c r="HVK868" s="295" t="s">
        <v>71</v>
      </c>
      <c r="HVL868" s="295" t="s">
        <v>71</v>
      </c>
      <c r="HVM868" s="295" t="s">
        <v>71</v>
      </c>
      <c r="HVN868" s="295" t="s">
        <v>71</v>
      </c>
      <c r="HVO868" s="295" t="s">
        <v>71</v>
      </c>
      <c r="HVP868" s="295" t="s">
        <v>71</v>
      </c>
      <c r="HVQ868" s="295" t="s">
        <v>71</v>
      </c>
      <c r="HVR868" s="295" t="s">
        <v>71</v>
      </c>
      <c r="HVS868" s="295" t="s">
        <v>71</v>
      </c>
      <c r="HVT868" s="295" t="s">
        <v>71</v>
      </c>
      <c r="HVU868" s="295" t="s">
        <v>71</v>
      </c>
      <c r="HVV868" s="295" t="s">
        <v>71</v>
      </c>
      <c r="HVW868" s="295" t="s">
        <v>71</v>
      </c>
      <c r="HVX868" s="295" t="s">
        <v>71</v>
      </c>
      <c r="HVY868" s="295" t="s">
        <v>71</v>
      </c>
      <c r="HVZ868" s="295" t="s">
        <v>71</v>
      </c>
      <c r="HWA868" s="295" t="s">
        <v>71</v>
      </c>
      <c r="HWB868" s="295" t="s">
        <v>71</v>
      </c>
      <c r="HWC868" s="295" t="s">
        <v>71</v>
      </c>
      <c r="HWD868" s="295" t="s">
        <v>71</v>
      </c>
      <c r="HWE868" s="295" t="s">
        <v>71</v>
      </c>
      <c r="HWF868" s="295" t="s">
        <v>71</v>
      </c>
      <c r="HWG868" s="295" t="s">
        <v>71</v>
      </c>
      <c r="HWH868" s="295" t="s">
        <v>71</v>
      </c>
      <c r="HWI868" s="295" t="s">
        <v>71</v>
      </c>
      <c r="HWJ868" s="295" t="s">
        <v>71</v>
      </c>
      <c r="HWK868" s="295" t="s">
        <v>71</v>
      </c>
      <c r="HWL868" s="295" t="s">
        <v>71</v>
      </c>
      <c r="HWM868" s="295" t="s">
        <v>71</v>
      </c>
      <c r="HWN868" s="295" t="s">
        <v>71</v>
      </c>
      <c r="HWO868" s="295" t="s">
        <v>71</v>
      </c>
      <c r="HWP868" s="295" t="s">
        <v>71</v>
      </c>
      <c r="HWQ868" s="295" t="s">
        <v>71</v>
      </c>
      <c r="HWR868" s="295" t="s">
        <v>71</v>
      </c>
      <c r="HWS868" s="295" t="s">
        <v>71</v>
      </c>
      <c r="HWT868" s="295" t="s">
        <v>71</v>
      </c>
      <c r="HWU868" s="295" t="s">
        <v>71</v>
      </c>
      <c r="HWV868" s="295" t="s">
        <v>71</v>
      </c>
      <c r="HWW868" s="295" t="s">
        <v>71</v>
      </c>
      <c r="HWX868" s="295" t="s">
        <v>71</v>
      </c>
      <c r="HWY868" s="295" t="s">
        <v>71</v>
      </c>
      <c r="HWZ868" s="295" t="s">
        <v>71</v>
      </c>
      <c r="HXA868" s="295" t="s">
        <v>71</v>
      </c>
      <c r="HXB868" s="295" t="s">
        <v>71</v>
      </c>
      <c r="HXC868" s="295" t="s">
        <v>71</v>
      </c>
      <c r="HXD868" s="295" t="s">
        <v>71</v>
      </c>
      <c r="HXE868" s="295" t="s">
        <v>71</v>
      </c>
      <c r="HXF868" s="295" t="s">
        <v>71</v>
      </c>
      <c r="HXG868" s="295" t="s">
        <v>71</v>
      </c>
      <c r="HXH868" s="295" t="s">
        <v>71</v>
      </c>
      <c r="HXI868" s="295" t="s">
        <v>71</v>
      </c>
      <c r="HXJ868" s="295" t="s">
        <v>71</v>
      </c>
      <c r="HXK868" s="295" t="s">
        <v>71</v>
      </c>
      <c r="HXL868" s="295" t="s">
        <v>71</v>
      </c>
      <c r="HXM868" s="295" t="s">
        <v>71</v>
      </c>
      <c r="HXN868" s="295" t="s">
        <v>71</v>
      </c>
      <c r="HXO868" s="295" t="s">
        <v>71</v>
      </c>
      <c r="HXP868" s="295" t="s">
        <v>71</v>
      </c>
      <c r="HXQ868" s="295" t="s">
        <v>71</v>
      </c>
      <c r="HXR868" s="295" t="s">
        <v>71</v>
      </c>
      <c r="HXS868" s="295" t="s">
        <v>71</v>
      </c>
      <c r="HXT868" s="295" t="s">
        <v>71</v>
      </c>
      <c r="HXU868" s="295" t="s">
        <v>71</v>
      </c>
      <c r="HXV868" s="295" t="s">
        <v>71</v>
      </c>
      <c r="HXW868" s="295" t="s">
        <v>71</v>
      </c>
      <c r="HXX868" s="295" t="s">
        <v>71</v>
      </c>
      <c r="HXY868" s="295" t="s">
        <v>71</v>
      </c>
      <c r="HXZ868" s="295" t="s">
        <v>71</v>
      </c>
      <c r="HYA868" s="295" t="s">
        <v>71</v>
      </c>
      <c r="HYB868" s="295" t="s">
        <v>71</v>
      </c>
      <c r="HYC868" s="295" t="s">
        <v>71</v>
      </c>
      <c r="HYD868" s="295" t="s">
        <v>71</v>
      </c>
      <c r="HYE868" s="295" t="s">
        <v>71</v>
      </c>
      <c r="HYF868" s="295" t="s">
        <v>71</v>
      </c>
      <c r="HYG868" s="295" t="s">
        <v>71</v>
      </c>
      <c r="HYH868" s="295" t="s">
        <v>71</v>
      </c>
      <c r="HYI868" s="295" t="s">
        <v>71</v>
      </c>
      <c r="HYJ868" s="295" t="s">
        <v>71</v>
      </c>
      <c r="HYK868" s="295" t="s">
        <v>71</v>
      </c>
      <c r="HYL868" s="295" t="s">
        <v>71</v>
      </c>
      <c r="HYM868" s="295" t="s">
        <v>71</v>
      </c>
      <c r="HYN868" s="295" t="s">
        <v>71</v>
      </c>
      <c r="HYO868" s="295" t="s">
        <v>71</v>
      </c>
      <c r="HYP868" s="295" t="s">
        <v>71</v>
      </c>
      <c r="HYQ868" s="295" t="s">
        <v>71</v>
      </c>
      <c r="HYR868" s="295" t="s">
        <v>71</v>
      </c>
      <c r="HYS868" s="295" t="s">
        <v>71</v>
      </c>
      <c r="HYT868" s="295" t="s">
        <v>71</v>
      </c>
      <c r="HYU868" s="295" t="s">
        <v>71</v>
      </c>
      <c r="HYV868" s="295" t="s">
        <v>71</v>
      </c>
      <c r="HYW868" s="295" t="s">
        <v>71</v>
      </c>
      <c r="HYX868" s="295" t="s">
        <v>71</v>
      </c>
      <c r="HYY868" s="295" t="s">
        <v>71</v>
      </c>
      <c r="HYZ868" s="295" t="s">
        <v>71</v>
      </c>
      <c r="HZA868" s="295" t="s">
        <v>71</v>
      </c>
      <c r="HZB868" s="295" t="s">
        <v>71</v>
      </c>
      <c r="HZC868" s="295" t="s">
        <v>71</v>
      </c>
      <c r="HZD868" s="295" t="s">
        <v>71</v>
      </c>
      <c r="HZE868" s="295" t="s">
        <v>71</v>
      </c>
      <c r="HZF868" s="295" t="s">
        <v>71</v>
      </c>
      <c r="HZG868" s="295" t="s">
        <v>71</v>
      </c>
      <c r="HZH868" s="295" t="s">
        <v>71</v>
      </c>
      <c r="HZI868" s="295" t="s">
        <v>71</v>
      </c>
      <c r="HZJ868" s="295" t="s">
        <v>71</v>
      </c>
      <c r="HZK868" s="295" t="s">
        <v>71</v>
      </c>
      <c r="HZL868" s="295" t="s">
        <v>71</v>
      </c>
      <c r="HZM868" s="295" t="s">
        <v>71</v>
      </c>
      <c r="HZN868" s="295" t="s">
        <v>71</v>
      </c>
      <c r="HZO868" s="295" t="s">
        <v>71</v>
      </c>
      <c r="HZP868" s="295" t="s">
        <v>71</v>
      </c>
      <c r="HZQ868" s="295" t="s">
        <v>71</v>
      </c>
      <c r="HZR868" s="295" t="s">
        <v>71</v>
      </c>
      <c r="HZS868" s="295" t="s">
        <v>71</v>
      </c>
      <c r="HZT868" s="295" t="s">
        <v>71</v>
      </c>
      <c r="HZU868" s="295" t="s">
        <v>71</v>
      </c>
      <c r="HZV868" s="295" t="s">
        <v>71</v>
      </c>
      <c r="HZW868" s="295" t="s">
        <v>71</v>
      </c>
      <c r="HZX868" s="295" t="s">
        <v>71</v>
      </c>
      <c r="HZY868" s="295" t="s">
        <v>71</v>
      </c>
      <c r="HZZ868" s="295" t="s">
        <v>71</v>
      </c>
      <c r="IAA868" s="295" t="s">
        <v>71</v>
      </c>
      <c r="IAB868" s="295" t="s">
        <v>71</v>
      </c>
      <c r="IAC868" s="295" t="s">
        <v>71</v>
      </c>
      <c r="IAD868" s="295" t="s">
        <v>71</v>
      </c>
      <c r="IAE868" s="295" t="s">
        <v>71</v>
      </c>
      <c r="IAF868" s="295" t="s">
        <v>71</v>
      </c>
      <c r="IAG868" s="295" t="s">
        <v>71</v>
      </c>
      <c r="IAH868" s="295" t="s">
        <v>71</v>
      </c>
      <c r="IAI868" s="295" t="s">
        <v>71</v>
      </c>
      <c r="IAJ868" s="295" t="s">
        <v>71</v>
      </c>
      <c r="IAK868" s="295" t="s">
        <v>71</v>
      </c>
      <c r="IAL868" s="295" t="s">
        <v>71</v>
      </c>
      <c r="IAM868" s="295" t="s">
        <v>71</v>
      </c>
      <c r="IAN868" s="295" t="s">
        <v>71</v>
      </c>
      <c r="IAO868" s="295" t="s">
        <v>71</v>
      </c>
      <c r="IAP868" s="295" t="s">
        <v>71</v>
      </c>
      <c r="IAQ868" s="295" t="s">
        <v>71</v>
      </c>
      <c r="IAR868" s="295" t="s">
        <v>71</v>
      </c>
      <c r="IAS868" s="295" t="s">
        <v>71</v>
      </c>
      <c r="IAT868" s="295" t="s">
        <v>71</v>
      </c>
      <c r="IAU868" s="295" t="s">
        <v>71</v>
      </c>
      <c r="IAV868" s="295" t="s">
        <v>71</v>
      </c>
      <c r="IAW868" s="295" t="s">
        <v>71</v>
      </c>
      <c r="IAX868" s="295" t="s">
        <v>71</v>
      </c>
      <c r="IAY868" s="295" t="s">
        <v>71</v>
      </c>
      <c r="IAZ868" s="295" t="s">
        <v>71</v>
      </c>
      <c r="IBA868" s="295" t="s">
        <v>71</v>
      </c>
      <c r="IBB868" s="295" t="s">
        <v>71</v>
      </c>
      <c r="IBC868" s="295" t="s">
        <v>71</v>
      </c>
      <c r="IBD868" s="295" t="s">
        <v>71</v>
      </c>
      <c r="IBE868" s="295" t="s">
        <v>71</v>
      </c>
      <c r="IBF868" s="295" t="s">
        <v>71</v>
      </c>
      <c r="IBG868" s="295" t="s">
        <v>71</v>
      </c>
      <c r="IBH868" s="295" t="s">
        <v>71</v>
      </c>
      <c r="IBI868" s="295" t="s">
        <v>71</v>
      </c>
      <c r="IBJ868" s="295" t="s">
        <v>71</v>
      </c>
      <c r="IBK868" s="295" t="s">
        <v>71</v>
      </c>
      <c r="IBL868" s="295" t="s">
        <v>71</v>
      </c>
      <c r="IBM868" s="295" t="s">
        <v>71</v>
      </c>
      <c r="IBN868" s="295" t="s">
        <v>71</v>
      </c>
      <c r="IBO868" s="295" t="s">
        <v>71</v>
      </c>
      <c r="IBP868" s="295" t="s">
        <v>71</v>
      </c>
      <c r="IBQ868" s="295" t="s">
        <v>71</v>
      </c>
      <c r="IBR868" s="295" t="s">
        <v>71</v>
      </c>
      <c r="IBS868" s="295" t="s">
        <v>71</v>
      </c>
      <c r="IBT868" s="295" t="s">
        <v>71</v>
      </c>
      <c r="IBU868" s="295" t="s">
        <v>71</v>
      </c>
      <c r="IBV868" s="295" t="s">
        <v>71</v>
      </c>
      <c r="IBW868" s="295" t="s">
        <v>71</v>
      </c>
      <c r="IBX868" s="295" t="s">
        <v>71</v>
      </c>
      <c r="IBY868" s="295" t="s">
        <v>71</v>
      </c>
      <c r="IBZ868" s="295" t="s">
        <v>71</v>
      </c>
      <c r="ICA868" s="295" t="s">
        <v>71</v>
      </c>
      <c r="ICB868" s="295" t="s">
        <v>71</v>
      </c>
      <c r="ICC868" s="295" t="s">
        <v>71</v>
      </c>
      <c r="ICD868" s="295" t="s">
        <v>71</v>
      </c>
      <c r="ICE868" s="295" t="s">
        <v>71</v>
      </c>
      <c r="ICF868" s="295" t="s">
        <v>71</v>
      </c>
      <c r="ICG868" s="295" t="s">
        <v>71</v>
      </c>
      <c r="ICH868" s="295" t="s">
        <v>71</v>
      </c>
      <c r="ICI868" s="295" t="s">
        <v>71</v>
      </c>
      <c r="ICJ868" s="295" t="s">
        <v>71</v>
      </c>
      <c r="ICK868" s="295" t="s">
        <v>71</v>
      </c>
      <c r="ICL868" s="295" t="s">
        <v>71</v>
      </c>
      <c r="ICM868" s="295" t="s">
        <v>71</v>
      </c>
      <c r="ICN868" s="295" t="s">
        <v>71</v>
      </c>
      <c r="ICO868" s="295" t="s">
        <v>71</v>
      </c>
      <c r="ICP868" s="295" t="s">
        <v>71</v>
      </c>
      <c r="ICQ868" s="295" t="s">
        <v>71</v>
      </c>
      <c r="ICR868" s="295" t="s">
        <v>71</v>
      </c>
      <c r="ICS868" s="295" t="s">
        <v>71</v>
      </c>
      <c r="ICT868" s="295" t="s">
        <v>71</v>
      </c>
      <c r="ICU868" s="295" t="s">
        <v>71</v>
      </c>
      <c r="ICV868" s="295" t="s">
        <v>71</v>
      </c>
      <c r="ICW868" s="295" t="s">
        <v>71</v>
      </c>
      <c r="ICX868" s="295" t="s">
        <v>71</v>
      </c>
      <c r="ICY868" s="295" t="s">
        <v>71</v>
      </c>
      <c r="ICZ868" s="295" t="s">
        <v>71</v>
      </c>
      <c r="IDA868" s="295" t="s">
        <v>71</v>
      </c>
      <c r="IDB868" s="295" t="s">
        <v>71</v>
      </c>
      <c r="IDC868" s="295" t="s">
        <v>71</v>
      </c>
      <c r="IDD868" s="295" t="s">
        <v>71</v>
      </c>
      <c r="IDE868" s="295" t="s">
        <v>71</v>
      </c>
      <c r="IDF868" s="295" t="s">
        <v>71</v>
      </c>
      <c r="IDG868" s="295" t="s">
        <v>71</v>
      </c>
      <c r="IDH868" s="295" t="s">
        <v>71</v>
      </c>
      <c r="IDI868" s="295" t="s">
        <v>71</v>
      </c>
      <c r="IDJ868" s="295" t="s">
        <v>71</v>
      </c>
      <c r="IDK868" s="295" t="s">
        <v>71</v>
      </c>
      <c r="IDL868" s="295" t="s">
        <v>71</v>
      </c>
      <c r="IDM868" s="295" t="s">
        <v>71</v>
      </c>
      <c r="IDN868" s="295" t="s">
        <v>71</v>
      </c>
      <c r="IDO868" s="295" t="s">
        <v>71</v>
      </c>
      <c r="IDP868" s="295" t="s">
        <v>71</v>
      </c>
      <c r="IDQ868" s="295" t="s">
        <v>71</v>
      </c>
      <c r="IDR868" s="295" t="s">
        <v>71</v>
      </c>
      <c r="IDS868" s="295" t="s">
        <v>71</v>
      </c>
      <c r="IDT868" s="295" t="s">
        <v>71</v>
      </c>
      <c r="IDU868" s="295" t="s">
        <v>71</v>
      </c>
      <c r="IDV868" s="295" t="s">
        <v>71</v>
      </c>
      <c r="IDW868" s="295" t="s">
        <v>71</v>
      </c>
      <c r="IDX868" s="295" t="s">
        <v>71</v>
      </c>
      <c r="IDY868" s="295" t="s">
        <v>71</v>
      </c>
      <c r="IDZ868" s="295" t="s">
        <v>71</v>
      </c>
      <c r="IEA868" s="295" t="s">
        <v>71</v>
      </c>
      <c r="IEB868" s="295" t="s">
        <v>71</v>
      </c>
      <c r="IEC868" s="295" t="s">
        <v>71</v>
      </c>
      <c r="IED868" s="295" t="s">
        <v>71</v>
      </c>
      <c r="IEE868" s="295" t="s">
        <v>71</v>
      </c>
      <c r="IEF868" s="295" t="s">
        <v>71</v>
      </c>
      <c r="IEG868" s="295" t="s">
        <v>71</v>
      </c>
      <c r="IEH868" s="295" t="s">
        <v>71</v>
      </c>
      <c r="IEI868" s="295" t="s">
        <v>71</v>
      </c>
      <c r="IEJ868" s="295" t="s">
        <v>71</v>
      </c>
      <c r="IEK868" s="295" t="s">
        <v>71</v>
      </c>
      <c r="IEL868" s="295" t="s">
        <v>71</v>
      </c>
      <c r="IEM868" s="295" t="s">
        <v>71</v>
      </c>
      <c r="IEN868" s="295" t="s">
        <v>71</v>
      </c>
      <c r="IEO868" s="295" t="s">
        <v>71</v>
      </c>
      <c r="IEP868" s="295" t="s">
        <v>71</v>
      </c>
      <c r="IEQ868" s="295" t="s">
        <v>71</v>
      </c>
      <c r="IER868" s="295" t="s">
        <v>71</v>
      </c>
      <c r="IES868" s="295" t="s">
        <v>71</v>
      </c>
      <c r="IET868" s="295" t="s">
        <v>71</v>
      </c>
      <c r="IEU868" s="295" t="s">
        <v>71</v>
      </c>
      <c r="IEV868" s="295" t="s">
        <v>71</v>
      </c>
      <c r="IEW868" s="295" t="s">
        <v>71</v>
      </c>
      <c r="IEX868" s="295" t="s">
        <v>71</v>
      </c>
      <c r="IEY868" s="295" t="s">
        <v>71</v>
      </c>
      <c r="IEZ868" s="295" t="s">
        <v>71</v>
      </c>
      <c r="IFA868" s="295" t="s">
        <v>71</v>
      </c>
      <c r="IFB868" s="295" t="s">
        <v>71</v>
      </c>
      <c r="IFC868" s="295" t="s">
        <v>71</v>
      </c>
      <c r="IFD868" s="295" t="s">
        <v>71</v>
      </c>
      <c r="IFE868" s="295" t="s">
        <v>71</v>
      </c>
      <c r="IFF868" s="295" t="s">
        <v>71</v>
      </c>
      <c r="IFG868" s="295" t="s">
        <v>71</v>
      </c>
      <c r="IFH868" s="295" t="s">
        <v>71</v>
      </c>
      <c r="IFI868" s="295" t="s">
        <v>71</v>
      </c>
      <c r="IFJ868" s="295" t="s">
        <v>71</v>
      </c>
      <c r="IFK868" s="295" t="s">
        <v>71</v>
      </c>
      <c r="IFL868" s="295" t="s">
        <v>71</v>
      </c>
      <c r="IFM868" s="295" t="s">
        <v>71</v>
      </c>
      <c r="IFN868" s="295" t="s">
        <v>71</v>
      </c>
      <c r="IFO868" s="295" t="s">
        <v>71</v>
      </c>
      <c r="IFP868" s="295" t="s">
        <v>71</v>
      </c>
      <c r="IFQ868" s="295" t="s">
        <v>71</v>
      </c>
      <c r="IFR868" s="295" t="s">
        <v>71</v>
      </c>
      <c r="IFS868" s="295" t="s">
        <v>71</v>
      </c>
      <c r="IFT868" s="295" t="s">
        <v>71</v>
      </c>
      <c r="IFU868" s="295" t="s">
        <v>71</v>
      </c>
      <c r="IFV868" s="295" t="s">
        <v>71</v>
      </c>
      <c r="IFW868" s="295" t="s">
        <v>71</v>
      </c>
      <c r="IFX868" s="295" t="s">
        <v>71</v>
      </c>
      <c r="IFY868" s="295" t="s">
        <v>71</v>
      </c>
      <c r="IFZ868" s="295" t="s">
        <v>71</v>
      </c>
      <c r="IGA868" s="295" t="s">
        <v>71</v>
      </c>
      <c r="IGB868" s="295" t="s">
        <v>71</v>
      </c>
      <c r="IGC868" s="295" t="s">
        <v>71</v>
      </c>
      <c r="IGD868" s="295" t="s">
        <v>71</v>
      </c>
      <c r="IGE868" s="295" t="s">
        <v>71</v>
      </c>
      <c r="IGF868" s="295" t="s">
        <v>71</v>
      </c>
      <c r="IGG868" s="295" t="s">
        <v>71</v>
      </c>
      <c r="IGH868" s="295" t="s">
        <v>71</v>
      </c>
      <c r="IGI868" s="295" t="s">
        <v>71</v>
      </c>
      <c r="IGJ868" s="295" t="s">
        <v>71</v>
      </c>
      <c r="IGK868" s="295" t="s">
        <v>71</v>
      </c>
      <c r="IGL868" s="295" t="s">
        <v>71</v>
      </c>
      <c r="IGM868" s="295" t="s">
        <v>71</v>
      </c>
      <c r="IGN868" s="295" t="s">
        <v>71</v>
      </c>
      <c r="IGO868" s="295" t="s">
        <v>71</v>
      </c>
      <c r="IGP868" s="295" t="s">
        <v>71</v>
      </c>
      <c r="IGQ868" s="295" t="s">
        <v>71</v>
      </c>
      <c r="IGR868" s="295" t="s">
        <v>71</v>
      </c>
      <c r="IGS868" s="295" t="s">
        <v>71</v>
      </c>
      <c r="IGT868" s="295" t="s">
        <v>71</v>
      </c>
      <c r="IGU868" s="295" t="s">
        <v>71</v>
      </c>
      <c r="IGV868" s="295" t="s">
        <v>71</v>
      </c>
      <c r="IGW868" s="295" t="s">
        <v>71</v>
      </c>
      <c r="IGX868" s="295" t="s">
        <v>71</v>
      </c>
      <c r="IGY868" s="295" t="s">
        <v>71</v>
      </c>
      <c r="IGZ868" s="295" t="s">
        <v>71</v>
      </c>
      <c r="IHA868" s="295" t="s">
        <v>71</v>
      </c>
      <c r="IHB868" s="295" t="s">
        <v>71</v>
      </c>
      <c r="IHC868" s="295" t="s">
        <v>71</v>
      </c>
      <c r="IHD868" s="295" t="s">
        <v>71</v>
      </c>
      <c r="IHE868" s="295" t="s">
        <v>71</v>
      </c>
      <c r="IHF868" s="295" t="s">
        <v>71</v>
      </c>
      <c r="IHG868" s="295" t="s">
        <v>71</v>
      </c>
      <c r="IHH868" s="295" t="s">
        <v>71</v>
      </c>
      <c r="IHI868" s="295" t="s">
        <v>71</v>
      </c>
      <c r="IHJ868" s="295" t="s">
        <v>71</v>
      </c>
      <c r="IHK868" s="295" t="s">
        <v>71</v>
      </c>
      <c r="IHL868" s="295" t="s">
        <v>71</v>
      </c>
      <c r="IHM868" s="295" t="s">
        <v>71</v>
      </c>
      <c r="IHN868" s="295" t="s">
        <v>71</v>
      </c>
      <c r="IHO868" s="295" t="s">
        <v>71</v>
      </c>
      <c r="IHP868" s="295" t="s">
        <v>71</v>
      </c>
      <c r="IHQ868" s="295" t="s">
        <v>71</v>
      </c>
      <c r="IHR868" s="295" t="s">
        <v>71</v>
      </c>
      <c r="IHS868" s="295" t="s">
        <v>71</v>
      </c>
      <c r="IHT868" s="295" t="s">
        <v>71</v>
      </c>
      <c r="IHU868" s="295" t="s">
        <v>71</v>
      </c>
      <c r="IHV868" s="295" t="s">
        <v>71</v>
      </c>
      <c r="IHW868" s="295" t="s">
        <v>71</v>
      </c>
      <c r="IHX868" s="295" t="s">
        <v>71</v>
      </c>
      <c r="IHY868" s="295" t="s">
        <v>71</v>
      </c>
      <c r="IHZ868" s="295" t="s">
        <v>71</v>
      </c>
      <c r="IIA868" s="295" t="s">
        <v>71</v>
      </c>
      <c r="IIB868" s="295" t="s">
        <v>71</v>
      </c>
      <c r="IIC868" s="295" t="s">
        <v>71</v>
      </c>
      <c r="IID868" s="295" t="s">
        <v>71</v>
      </c>
      <c r="IIE868" s="295" t="s">
        <v>71</v>
      </c>
      <c r="IIF868" s="295" t="s">
        <v>71</v>
      </c>
      <c r="IIG868" s="295" t="s">
        <v>71</v>
      </c>
      <c r="IIH868" s="295" t="s">
        <v>71</v>
      </c>
      <c r="III868" s="295" t="s">
        <v>71</v>
      </c>
      <c r="IIJ868" s="295" t="s">
        <v>71</v>
      </c>
      <c r="IIK868" s="295" t="s">
        <v>71</v>
      </c>
      <c r="IIL868" s="295" t="s">
        <v>71</v>
      </c>
      <c r="IIM868" s="295" t="s">
        <v>71</v>
      </c>
      <c r="IIN868" s="295" t="s">
        <v>71</v>
      </c>
      <c r="IIO868" s="295" t="s">
        <v>71</v>
      </c>
      <c r="IIP868" s="295" t="s">
        <v>71</v>
      </c>
      <c r="IIQ868" s="295" t="s">
        <v>71</v>
      </c>
      <c r="IIR868" s="295" t="s">
        <v>71</v>
      </c>
      <c r="IIS868" s="295" t="s">
        <v>71</v>
      </c>
      <c r="IIT868" s="295" t="s">
        <v>71</v>
      </c>
      <c r="IIU868" s="295" t="s">
        <v>71</v>
      </c>
      <c r="IIV868" s="295" t="s">
        <v>71</v>
      </c>
      <c r="IIW868" s="295" t="s">
        <v>71</v>
      </c>
      <c r="IIX868" s="295" t="s">
        <v>71</v>
      </c>
      <c r="IIY868" s="295" t="s">
        <v>71</v>
      </c>
      <c r="IIZ868" s="295" t="s">
        <v>71</v>
      </c>
      <c r="IJA868" s="295" t="s">
        <v>71</v>
      </c>
      <c r="IJB868" s="295" t="s">
        <v>71</v>
      </c>
      <c r="IJC868" s="295" t="s">
        <v>71</v>
      </c>
      <c r="IJD868" s="295" t="s">
        <v>71</v>
      </c>
      <c r="IJE868" s="295" t="s">
        <v>71</v>
      </c>
      <c r="IJF868" s="295" t="s">
        <v>71</v>
      </c>
      <c r="IJG868" s="295" t="s">
        <v>71</v>
      </c>
      <c r="IJH868" s="295" t="s">
        <v>71</v>
      </c>
      <c r="IJI868" s="295" t="s">
        <v>71</v>
      </c>
      <c r="IJJ868" s="295" t="s">
        <v>71</v>
      </c>
      <c r="IJK868" s="295" t="s">
        <v>71</v>
      </c>
      <c r="IJL868" s="295" t="s">
        <v>71</v>
      </c>
      <c r="IJM868" s="295" t="s">
        <v>71</v>
      </c>
      <c r="IJN868" s="295" t="s">
        <v>71</v>
      </c>
      <c r="IJO868" s="295" t="s">
        <v>71</v>
      </c>
      <c r="IJP868" s="295" t="s">
        <v>71</v>
      </c>
      <c r="IJQ868" s="295" t="s">
        <v>71</v>
      </c>
      <c r="IJR868" s="295" t="s">
        <v>71</v>
      </c>
      <c r="IJS868" s="295" t="s">
        <v>71</v>
      </c>
      <c r="IJT868" s="295" t="s">
        <v>71</v>
      </c>
      <c r="IJU868" s="295" t="s">
        <v>71</v>
      </c>
      <c r="IJV868" s="295" t="s">
        <v>71</v>
      </c>
      <c r="IJW868" s="295" t="s">
        <v>71</v>
      </c>
      <c r="IJX868" s="295" t="s">
        <v>71</v>
      </c>
      <c r="IJY868" s="295" t="s">
        <v>71</v>
      </c>
      <c r="IJZ868" s="295" t="s">
        <v>71</v>
      </c>
      <c r="IKA868" s="295" t="s">
        <v>71</v>
      </c>
      <c r="IKB868" s="295" t="s">
        <v>71</v>
      </c>
      <c r="IKC868" s="295" t="s">
        <v>71</v>
      </c>
      <c r="IKD868" s="295" t="s">
        <v>71</v>
      </c>
      <c r="IKE868" s="295" t="s">
        <v>71</v>
      </c>
      <c r="IKF868" s="295" t="s">
        <v>71</v>
      </c>
      <c r="IKG868" s="295" t="s">
        <v>71</v>
      </c>
      <c r="IKH868" s="295" t="s">
        <v>71</v>
      </c>
      <c r="IKI868" s="295" t="s">
        <v>71</v>
      </c>
      <c r="IKJ868" s="295" t="s">
        <v>71</v>
      </c>
      <c r="IKK868" s="295" t="s">
        <v>71</v>
      </c>
      <c r="IKL868" s="295" t="s">
        <v>71</v>
      </c>
      <c r="IKM868" s="295" t="s">
        <v>71</v>
      </c>
      <c r="IKN868" s="295" t="s">
        <v>71</v>
      </c>
      <c r="IKO868" s="295" t="s">
        <v>71</v>
      </c>
      <c r="IKP868" s="295" t="s">
        <v>71</v>
      </c>
      <c r="IKQ868" s="295" t="s">
        <v>71</v>
      </c>
      <c r="IKR868" s="295" t="s">
        <v>71</v>
      </c>
      <c r="IKS868" s="295" t="s">
        <v>71</v>
      </c>
      <c r="IKT868" s="295" t="s">
        <v>71</v>
      </c>
      <c r="IKU868" s="295" t="s">
        <v>71</v>
      </c>
      <c r="IKV868" s="295" t="s">
        <v>71</v>
      </c>
      <c r="IKW868" s="295" t="s">
        <v>71</v>
      </c>
      <c r="IKX868" s="295" t="s">
        <v>71</v>
      </c>
      <c r="IKY868" s="295" t="s">
        <v>71</v>
      </c>
      <c r="IKZ868" s="295" t="s">
        <v>71</v>
      </c>
      <c r="ILA868" s="295" t="s">
        <v>71</v>
      </c>
      <c r="ILB868" s="295" t="s">
        <v>71</v>
      </c>
      <c r="ILC868" s="295" t="s">
        <v>71</v>
      </c>
      <c r="ILD868" s="295" t="s">
        <v>71</v>
      </c>
      <c r="ILE868" s="295" t="s">
        <v>71</v>
      </c>
      <c r="ILF868" s="295" t="s">
        <v>71</v>
      </c>
      <c r="ILG868" s="295" t="s">
        <v>71</v>
      </c>
      <c r="ILH868" s="295" t="s">
        <v>71</v>
      </c>
      <c r="ILI868" s="295" t="s">
        <v>71</v>
      </c>
      <c r="ILJ868" s="295" t="s">
        <v>71</v>
      </c>
      <c r="ILK868" s="295" t="s">
        <v>71</v>
      </c>
      <c r="ILL868" s="295" t="s">
        <v>71</v>
      </c>
      <c r="ILM868" s="295" t="s">
        <v>71</v>
      </c>
      <c r="ILN868" s="295" t="s">
        <v>71</v>
      </c>
      <c r="ILO868" s="295" t="s">
        <v>71</v>
      </c>
      <c r="ILP868" s="295" t="s">
        <v>71</v>
      </c>
      <c r="ILQ868" s="295" t="s">
        <v>71</v>
      </c>
      <c r="ILR868" s="295" t="s">
        <v>71</v>
      </c>
      <c r="ILS868" s="295" t="s">
        <v>71</v>
      </c>
      <c r="ILT868" s="295" t="s">
        <v>71</v>
      </c>
      <c r="ILU868" s="295" t="s">
        <v>71</v>
      </c>
      <c r="ILV868" s="295" t="s">
        <v>71</v>
      </c>
      <c r="ILW868" s="295" t="s">
        <v>71</v>
      </c>
      <c r="ILX868" s="295" t="s">
        <v>71</v>
      </c>
      <c r="ILY868" s="295" t="s">
        <v>71</v>
      </c>
      <c r="ILZ868" s="295" t="s">
        <v>71</v>
      </c>
      <c r="IMA868" s="295" t="s">
        <v>71</v>
      </c>
      <c r="IMB868" s="295" t="s">
        <v>71</v>
      </c>
      <c r="IMC868" s="295" t="s">
        <v>71</v>
      </c>
      <c r="IMD868" s="295" t="s">
        <v>71</v>
      </c>
      <c r="IME868" s="295" t="s">
        <v>71</v>
      </c>
      <c r="IMF868" s="295" t="s">
        <v>71</v>
      </c>
      <c r="IMG868" s="295" t="s">
        <v>71</v>
      </c>
      <c r="IMH868" s="295" t="s">
        <v>71</v>
      </c>
      <c r="IMI868" s="295" t="s">
        <v>71</v>
      </c>
      <c r="IMJ868" s="295" t="s">
        <v>71</v>
      </c>
      <c r="IMK868" s="295" t="s">
        <v>71</v>
      </c>
      <c r="IML868" s="295" t="s">
        <v>71</v>
      </c>
      <c r="IMM868" s="295" t="s">
        <v>71</v>
      </c>
      <c r="IMN868" s="295" t="s">
        <v>71</v>
      </c>
      <c r="IMO868" s="295" t="s">
        <v>71</v>
      </c>
      <c r="IMP868" s="295" t="s">
        <v>71</v>
      </c>
      <c r="IMQ868" s="295" t="s">
        <v>71</v>
      </c>
      <c r="IMR868" s="295" t="s">
        <v>71</v>
      </c>
      <c r="IMS868" s="295" t="s">
        <v>71</v>
      </c>
      <c r="IMT868" s="295" t="s">
        <v>71</v>
      </c>
      <c r="IMU868" s="295" t="s">
        <v>71</v>
      </c>
      <c r="IMV868" s="295" t="s">
        <v>71</v>
      </c>
      <c r="IMW868" s="295" t="s">
        <v>71</v>
      </c>
      <c r="IMX868" s="295" t="s">
        <v>71</v>
      </c>
      <c r="IMY868" s="295" t="s">
        <v>71</v>
      </c>
      <c r="IMZ868" s="295" t="s">
        <v>71</v>
      </c>
      <c r="INA868" s="295" t="s">
        <v>71</v>
      </c>
      <c r="INB868" s="295" t="s">
        <v>71</v>
      </c>
      <c r="INC868" s="295" t="s">
        <v>71</v>
      </c>
      <c r="IND868" s="295" t="s">
        <v>71</v>
      </c>
      <c r="INE868" s="295" t="s">
        <v>71</v>
      </c>
      <c r="INF868" s="295" t="s">
        <v>71</v>
      </c>
      <c r="ING868" s="295" t="s">
        <v>71</v>
      </c>
      <c r="INH868" s="295" t="s">
        <v>71</v>
      </c>
      <c r="INI868" s="295" t="s">
        <v>71</v>
      </c>
      <c r="INJ868" s="295" t="s">
        <v>71</v>
      </c>
      <c r="INK868" s="295" t="s">
        <v>71</v>
      </c>
      <c r="INL868" s="295" t="s">
        <v>71</v>
      </c>
      <c r="INM868" s="295" t="s">
        <v>71</v>
      </c>
      <c r="INN868" s="295" t="s">
        <v>71</v>
      </c>
      <c r="INO868" s="295" t="s">
        <v>71</v>
      </c>
      <c r="INP868" s="295" t="s">
        <v>71</v>
      </c>
      <c r="INQ868" s="295" t="s">
        <v>71</v>
      </c>
      <c r="INR868" s="295" t="s">
        <v>71</v>
      </c>
      <c r="INS868" s="295" t="s">
        <v>71</v>
      </c>
      <c r="INT868" s="295" t="s">
        <v>71</v>
      </c>
      <c r="INU868" s="295" t="s">
        <v>71</v>
      </c>
      <c r="INV868" s="295" t="s">
        <v>71</v>
      </c>
      <c r="INW868" s="295" t="s">
        <v>71</v>
      </c>
      <c r="INX868" s="295" t="s">
        <v>71</v>
      </c>
      <c r="INY868" s="295" t="s">
        <v>71</v>
      </c>
      <c r="INZ868" s="295" t="s">
        <v>71</v>
      </c>
      <c r="IOA868" s="295" t="s">
        <v>71</v>
      </c>
      <c r="IOB868" s="295" t="s">
        <v>71</v>
      </c>
      <c r="IOC868" s="295" t="s">
        <v>71</v>
      </c>
      <c r="IOD868" s="295" t="s">
        <v>71</v>
      </c>
      <c r="IOE868" s="295" t="s">
        <v>71</v>
      </c>
      <c r="IOF868" s="295" t="s">
        <v>71</v>
      </c>
      <c r="IOG868" s="295" t="s">
        <v>71</v>
      </c>
      <c r="IOH868" s="295" t="s">
        <v>71</v>
      </c>
      <c r="IOI868" s="295" t="s">
        <v>71</v>
      </c>
      <c r="IOJ868" s="295" t="s">
        <v>71</v>
      </c>
      <c r="IOK868" s="295" t="s">
        <v>71</v>
      </c>
      <c r="IOL868" s="295" t="s">
        <v>71</v>
      </c>
      <c r="IOM868" s="295" t="s">
        <v>71</v>
      </c>
      <c r="ION868" s="295" t="s">
        <v>71</v>
      </c>
      <c r="IOO868" s="295" t="s">
        <v>71</v>
      </c>
      <c r="IOP868" s="295" t="s">
        <v>71</v>
      </c>
      <c r="IOQ868" s="295" t="s">
        <v>71</v>
      </c>
      <c r="IOR868" s="295" t="s">
        <v>71</v>
      </c>
      <c r="IOS868" s="295" t="s">
        <v>71</v>
      </c>
      <c r="IOT868" s="295" t="s">
        <v>71</v>
      </c>
      <c r="IOU868" s="295" t="s">
        <v>71</v>
      </c>
      <c r="IOV868" s="295" t="s">
        <v>71</v>
      </c>
      <c r="IOW868" s="295" t="s">
        <v>71</v>
      </c>
      <c r="IOX868" s="295" t="s">
        <v>71</v>
      </c>
      <c r="IOY868" s="295" t="s">
        <v>71</v>
      </c>
      <c r="IOZ868" s="295" t="s">
        <v>71</v>
      </c>
      <c r="IPA868" s="295" t="s">
        <v>71</v>
      </c>
      <c r="IPB868" s="295" t="s">
        <v>71</v>
      </c>
      <c r="IPC868" s="295" t="s">
        <v>71</v>
      </c>
      <c r="IPD868" s="295" t="s">
        <v>71</v>
      </c>
      <c r="IPE868" s="295" t="s">
        <v>71</v>
      </c>
      <c r="IPF868" s="295" t="s">
        <v>71</v>
      </c>
      <c r="IPG868" s="295" t="s">
        <v>71</v>
      </c>
      <c r="IPH868" s="295" t="s">
        <v>71</v>
      </c>
      <c r="IPI868" s="295" t="s">
        <v>71</v>
      </c>
      <c r="IPJ868" s="295" t="s">
        <v>71</v>
      </c>
      <c r="IPK868" s="295" t="s">
        <v>71</v>
      </c>
      <c r="IPL868" s="295" t="s">
        <v>71</v>
      </c>
      <c r="IPM868" s="295" t="s">
        <v>71</v>
      </c>
      <c r="IPN868" s="295" t="s">
        <v>71</v>
      </c>
      <c r="IPO868" s="295" t="s">
        <v>71</v>
      </c>
      <c r="IPP868" s="295" t="s">
        <v>71</v>
      </c>
      <c r="IPQ868" s="295" t="s">
        <v>71</v>
      </c>
      <c r="IPR868" s="295" t="s">
        <v>71</v>
      </c>
      <c r="IPS868" s="295" t="s">
        <v>71</v>
      </c>
      <c r="IPT868" s="295" t="s">
        <v>71</v>
      </c>
      <c r="IPU868" s="295" t="s">
        <v>71</v>
      </c>
      <c r="IPV868" s="295" t="s">
        <v>71</v>
      </c>
      <c r="IPW868" s="295" t="s">
        <v>71</v>
      </c>
      <c r="IPX868" s="295" t="s">
        <v>71</v>
      </c>
      <c r="IPY868" s="295" t="s">
        <v>71</v>
      </c>
      <c r="IPZ868" s="295" t="s">
        <v>71</v>
      </c>
      <c r="IQA868" s="295" t="s">
        <v>71</v>
      </c>
      <c r="IQB868" s="295" t="s">
        <v>71</v>
      </c>
      <c r="IQC868" s="295" t="s">
        <v>71</v>
      </c>
      <c r="IQD868" s="295" t="s">
        <v>71</v>
      </c>
      <c r="IQE868" s="295" t="s">
        <v>71</v>
      </c>
      <c r="IQF868" s="295" t="s">
        <v>71</v>
      </c>
      <c r="IQG868" s="295" t="s">
        <v>71</v>
      </c>
      <c r="IQH868" s="295" t="s">
        <v>71</v>
      </c>
      <c r="IQI868" s="295" t="s">
        <v>71</v>
      </c>
      <c r="IQJ868" s="295" t="s">
        <v>71</v>
      </c>
      <c r="IQK868" s="295" t="s">
        <v>71</v>
      </c>
      <c r="IQL868" s="295" t="s">
        <v>71</v>
      </c>
      <c r="IQM868" s="295" t="s">
        <v>71</v>
      </c>
      <c r="IQN868" s="295" t="s">
        <v>71</v>
      </c>
      <c r="IQO868" s="295" t="s">
        <v>71</v>
      </c>
      <c r="IQP868" s="295" t="s">
        <v>71</v>
      </c>
      <c r="IQQ868" s="295" t="s">
        <v>71</v>
      </c>
      <c r="IQR868" s="295" t="s">
        <v>71</v>
      </c>
      <c r="IQS868" s="295" t="s">
        <v>71</v>
      </c>
      <c r="IQT868" s="295" t="s">
        <v>71</v>
      </c>
      <c r="IQU868" s="295" t="s">
        <v>71</v>
      </c>
      <c r="IQV868" s="295" t="s">
        <v>71</v>
      </c>
      <c r="IQW868" s="295" t="s">
        <v>71</v>
      </c>
      <c r="IQX868" s="295" t="s">
        <v>71</v>
      </c>
      <c r="IQY868" s="295" t="s">
        <v>71</v>
      </c>
      <c r="IQZ868" s="295" t="s">
        <v>71</v>
      </c>
      <c r="IRA868" s="295" t="s">
        <v>71</v>
      </c>
      <c r="IRB868" s="295" t="s">
        <v>71</v>
      </c>
      <c r="IRC868" s="295" t="s">
        <v>71</v>
      </c>
      <c r="IRD868" s="295" t="s">
        <v>71</v>
      </c>
      <c r="IRE868" s="295" t="s">
        <v>71</v>
      </c>
      <c r="IRF868" s="295" t="s">
        <v>71</v>
      </c>
      <c r="IRG868" s="295" t="s">
        <v>71</v>
      </c>
      <c r="IRH868" s="295" t="s">
        <v>71</v>
      </c>
      <c r="IRI868" s="295" t="s">
        <v>71</v>
      </c>
      <c r="IRJ868" s="295" t="s">
        <v>71</v>
      </c>
      <c r="IRK868" s="295" t="s">
        <v>71</v>
      </c>
      <c r="IRL868" s="295" t="s">
        <v>71</v>
      </c>
      <c r="IRM868" s="295" t="s">
        <v>71</v>
      </c>
      <c r="IRN868" s="295" t="s">
        <v>71</v>
      </c>
      <c r="IRO868" s="295" t="s">
        <v>71</v>
      </c>
      <c r="IRP868" s="295" t="s">
        <v>71</v>
      </c>
      <c r="IRQ868" s="295" t="s">
        <v>71</v>
      </c>
      <c r="IRR868" s="295" t="s">
        <v>71</v>
      </c>
      <c r="IRS868" s="295" t="s">
        <v>71</v>
      </c>
      <c r="IRT868" s="295" t="s">
        <v>71</v>
      </c>
      <c r="IRU868" s="295" t="s">
        <v>71</v>
      </c>
      <c r="IRV868" s="295" t="s">
        <v>71</v>
      </c>
      <c r="IRW868" s="295" t="s">
        <v>71</v>
      </c>
      <c r="IRX868" s="295" t="s">
        <v>71</v>
      </c>
      <c r="IRY868" s="295" t="s">
        <v>71</v>
      </c>
      <c r="IRZ868" s="295" t="s">
        <v>71</v>
      </c>
      <c r="ISA868" s="295" t="s">
        <v>71</v>
      </c>
      <c r="ISB868" s="295" t="s">
        <v>71</v>
      </c>
      <c r="ISC868" s="295" t="s">
        <v>71</v>
      </c>
      <c r="ISD868" s="295" t="s">
        <v>71</v>
      </c>
      <c r="ISE868" s="295" t="s">
        <v>71</v>
      </c>
      <c r="ISF868" s="295" t="s">
        <v>71</v>
      </c>
      <c r="ISG868" s="295" t="s">
        <v>71</v>
      </c>
      <c r="ISH868" s="295" t="s">
        <v>71</v>
      </c>
      <c r="ISI868" s="295" t="s">
        <v>71</v>
      </c>
      <c r="ISJ868" s="295" t="s">
        <v>71</v>
      </c>
      <c r="ISK868" s="295" t="s">
        <v>71</v>
      </c>
      <c r="ISL868" s="295" t="s">
        <v>71</v>
      </c>
      <c r="ISM868" s="295" t="s">
        <v>71</v>
      </c>
      <c r="ISN868" s="295" t="s">
        <v>71</v>
      </c>
      <c r="ISO868" s="295" t="s">
        <v>71</v>
      </c>
      <c r="ISP868" s="295" t="s">
        <v>71</v>
      </c>
      <c r="ISQ868" s="295" t="s">
        <v>71</v>
      </c>
      <c r="ISR868" s="295" t="s">
        <v>71</v>
      </c>
      <c r="ISS868" s="295" t="s">
        <v>71</v>
      </c>
      <c r="IST868" s="295" t="s">
        <v>71</v>
      </c>
      <c r="ISU868" s="295" t="s">
        <v>71</v>
      </c>
      <c r="ISV868" s="295" t="s">
        <v>71</v>
      </c>
      <c r="ISW868" s="295" t="s">
        <v>71</v>
      </c>
      <c r="ISX868" s="295" t="s">
        <v>71</v>
      </c>
      <c r="ISY868" s="295" t="s">
        <v>71</v>
      </c>
      <c r="ISZ868" s="295" t="s">
        <v>71</v>
      </c>
      <c r="ITA868" s="295" t="s">
        <v>71</v>
      </c>
      <c r="ITB868" s="295" t="s">
        <v>71</v>
      </c>
      <c r="ITC868" s="295" t="s">
        <v>71</v>
      </c>
      <c r="ITD868" s="295" t="s">
        <v>71</v>
      </c>
      <c r="ITE868" s="295" t="s">
        <v>71</v>
      </c>
      <c r="ITF868" s="295" t="s">
        <v>71</v>
      </c>
      <c r="ITG868" s="295" t="s">
        <v>71</v>
      </c>
      <c r="ITH868" s="295" t="s">
        <v>71</v>
      </c>
      <c r="ITI868" s="295" t="s">
        <v>71</v>
      </c>
      <c r="ITJ868" s="295" t="s">
        <v>71</v>
      </c>
      <c r="ITK868" s="295" t="s">
        <v>71</v>
      </c>
      <c r="ITL868" s="295" t="s">
        <v>71</v>
      </c>
      <c r="ITM868" s="295" t="s">
        <v>71</v>
      </c>
      <c r="ITN868" s="295" t="s">
        <v>71</v>
      </c>
      <c r="ITO868" s="295" t="s">
        <v>71</v>
      </c>
      <c r="ITP868" s="295" t="s">
        <v>71</v>
      </c>
      <c r="ITQ868" s="295" t="s">
        <v>71</v>
      </c>
      <c r="ITR868" s="295" t="s">
        <v>71</v>
      </c>
      <c r="ITS868" s="295" t="s">
        <v>71</v>
      </c>
      <c r="ITT868" s="295" t="s">
        <v>71</v>
      </c>
      <c r="ITU868" s="295" t="s">
        <v>71</v>
      </c>
      <c r="ITV868" s="295" t="s">
        <v>71</v>
      </c>
      <c r="ITW868" s="295" t="s">
        <v>71</v>
      </c>
      <c r="ITX868" s="295" t="s">
        <v>71</v>
      </c>
      <c r="ITY868" s="295" t="s">
        <v>71</v>
      </c>
      <c r="ITZ868" s="295" t="s">
        <v>71</v>
      </c>
      <c r="IUA868" s="295" t="s">
        <v>71</v>
      </c>
      <c r="IUB868" s="295" t="s">
        <v>71</v>
      </c>
      <c r="IUC868" s="295" t="s">
        <v>71</v>
      </c>
      <c r="IUD868" s="295" t="s">
        <v>71</v>
      </c>
      <c r="IUE868" s="295" t="s">
        <v>71</v>
      </c>
      <c r="IUF868" s="295" t="s">
        <v>71</v>
      </c>
      <c r="IUG868" s="295" t="s">
        <v>71</v>
      </c>
      <c r="IUH868" s="295" t="s">
        <v>71</v>
      </c>
      <c r="IUI868" s="295" t="s">
        <v>71</v>
      </c>
      <c r="IUJ868" s="295" t="s">
        <v>71</v>
      </c>
      <c r="IUK868" s="295" t="s">
        <v>71</v>
      </c>
      <c r="IUL868" s="295" t="s">
        <v>71</v>
      </c>
      <c r="IUM868" s="295" t="s">
        <v>71</v>
      </c>
      <c r="IUN868" s="295" t="s">
        <v>71</v>
      </c>
      <c r="IUO868" s="295" t="s">
        <v>71</v>
      </c>
      <c r="IUP868" s="295" t="s">
        <v>71</v>
      </c>
      <c r="IUQ868" s="295" t="s">
        <v>71</v>
      </c>
      <c r="IUR868" s="295" t="s">
        <v>71</v>
      </c>
      <c r="IUS868" s="295" t="s">
        <v>71</v>
      </c>
      <c r="IUT868" s="295" t="s">
        <v>71</v>
      </c>
      <c r="IUU868" s="295" t="s">
        <v>71</v>
      </c>
      <c r="IUV868" s="295" t="s">
        <v>71</v>
      </c>
      <c r="IUW868" s="295" t="s">
        <v>71</v>
      </c>
      <c r="IUX868" s="295" t="s">
        <v>71</v>
      </c>
      <c r="IUY868" s="295" t="s">
        <v>71</v>
      </c>
      <c r="IUZ868" s="295" t="s">
        <v>71</v>
      </c>
      <c r="IVA868" s="295" t="s">
        <v>71</v>
      </c>
      <c r="IVB868" s="295" t="s">
        <v>71</v>
      </c>
      <c r="IVC868" s="295" t="s">
        <v>71</v>
      </c>
      <c r="IVD868" s="295" t="s">
        <v>71</v>
      </c>
      <c r="IVE868" s="295" t="s">
        <v>71</v>
      </c>
      <c r="IVF868" s="295" t="s">
        <v>71</v>
      </c>
      <c r="IVG868" s="295" t="s">
        <v>71</v>
      </c>
      <c r="IVH868" s="295" t="s">
        <v>71</v>
      </c>
      <c r="IVI868" s="295" t="s">
        <v>71</v>
      </c>
      <c r="IVJ868" s="295" t="s">
        <v>71</v>
      </c>
      <c r="IVK868" s="295" t="s">
        <v>71</v>
      </c>
      <c r="IVL868" s="295" t="s">
        <v>71</v>
      </c>
      <c r="IVM868" s="295" t="s">
        <v>71</v>
      </c>
      <c r="IVN868" s="295" t="s">
        <v>71</v>
      </c>
      <c r="IVO868" s="295" t="s">
        <v>71</v>
      </c>
      <c r="IVP868" s="295" t="s">
        <v>71</v>
      </c>
      <c r="IVQ868" s="295" t="s">
        <v>71</v>
      </c>
      <c r="IVR868" s="295" t="s">
        <v>71</v>
      </c>
      <c r="IVS868" s="295" t="s">
        <v>71</v>
      </c>
      <c r="IVT868" s="295" t="s">
        <v>71</v>
      </c>
      <c r="IVU868" s="295" t="s">
        <v>71</v>
      </c>
      <c r="IVV868" s="295" t="s">
        <v>71</v>
      </c>
      <c r="IVW868" s="295" t="s">
        <v>71</v>
      </c>
      <c r="IVX868" s="295" t="s">
        <v>71</v>
      </c>
      <c r="IVY868" s="295" t="s">
        <v>71</v>
      </c>
      <c r="IVZ868" s="295" t="s">
        <v>71</v>
      </c>
      <c r="IWA868" s="295" t="s">
        <v>71</v>
      </c>
      <c r="IWB868" s="295" t="s">
        <v>71</v>
      </c>
      <c r="IWC868" s="295" t="s">
        <v>71</v>
      </c>
      <c r="IWD868" s="295" t="s">
        <v>71</v>
      </c>
      <c r="IWE868" s="295" t="s">
        <v>71</v>
      </c>
      <c r="IWF868" s="295" t="s">
        <v>71</v>
      </c>
      <c r="IWG868" s="295" t="s">
        <v>71</v>
      </c>
      <c r="IWH868" s="295" t="s">
        <v>71</v>
      </c>
      <c r="IWI868" s="295" t="s">
        <v>71</v>
      </c>
      <c r="IWJ868" s="295" t="s">
        <v>71</v>
      </c>
      <c r="IWK868" s="295" t="s">
        <v>71</v>
      </c>
      <c r="IWL868" s="295" t="s">
        <v>71</v>
      </c>
      <c r="IWM868" s="295" t="s">
        <v>71</v>
      </c>
      <c r="IWN868" s="295" t="s">
        <v>71</v>
      </c>
      <c r="IWO868" s="295" t="s">
        <v>71</v>
      </c>
      <c r="IWP868" s="295" t="s">
        <v>71</v>
      </c>
      <c r="IWQ868" s="295" t="s">
        <v>71</v>
      </c>
      <c r="IWR868" s="295" t="s">
        <v>71</v>
      </c>
      <c r="IWS868" s="295" t="s">
        <v>71</v>
      </c>
      <c r="IWT868" s="295" t="s">
        <v>71</v>
      </c>
      <c r="IWU868" s="295" t="s">
        <v>71</v>
      </c>
      <c r="IWV868" s="295" t="s">
        <v>71</v>
      </c>
      <c r="IWW868" s="295" t="s">
        <v>71</v>
      </c>
      <c r="IWX868" s="295" t="s">
        <v>71</v>
      </c>
      <c r="IWY868" s="295" t="s">
        <v>71</v>
      </c>
      <c r="IWZ868" s="295" t="s">
        <v>71</v>
      </c>
      <c r="IXA868" s="295" t="s">
        <v>71</v>
      </c>
      <c r="IXB868" s="295" t="s">
        <v>71</v>
      </c>
      <c r="IXC868" s="295" t="s">
        <v>71</v>
      </c>
      <c r="IXD868" s="295" t="s">
        <v>71</v>
      </c>
      <c r="IXE868" s="295" t="s">
        <v>71</v>
      </c>
      <c r="IXF868" s="295" t="s">
        <v>71</v>
      </c>
      <c r="IXG868" s="295" t="s">
        <v>71</v>
      </c>
      <c r="IXH868" s="295" t="s">
        <v>71</v>
      </c>
      <c r="IXI868" s="295" t="s">
        <v>71</v>
      </c>
      <c r="IXJ868" s="295" t="s">
        <v>71</v>
      </c>
      <c r="IXK868" s="295" t="s">
        <v>71</v>
      </c>
      <c r="IXL868" s="295" t="s">
        <v>71</v>
      </c>
      <c r="IXM868" s="295" t="s">
        <v>71</v>
      </c>
      <c r="IXN868" s="295" t="s">
        <v>71</v>
      </c>
      <c r="IXO868" s="295" t="s">
        <v>71</v>
      </c>
      <c r="IXP868" s="295" t="s">
        <v>71</v>
      </c>
      <c r="IXQ868" s="295" t="s">
        <v>71</v>
      </c>
      <c r="IXR868" s="295" t="s">
        <v>71</v>
      </c>
      <c r="IXS868" s="295" t="s">
        <v>71</v>
      </c>
      <c r="IXT868" s="295" t="s">
        <v>71</v>
      </c>
      <c r="IXU868" s="295" t="s">
        <v>71</v>
      </c>
      <c r="IXV868" s="295" t="s">
        <v>71</v>
      </c>
      <c r="IXW868" s="295" t="s">
        <v>71</v>
      </c>
      <c r="IXX868" s="295" t="s">
        <v>71</v>
      </c>
      <c r="IXY868" s="295" t="s">
        <v>71</v>
      </c>
      <c r="IXZ868" s="295" t="s">
        <v>71</v>
      </c>
      <c r="IYA868" s="295" t="s">
        <v>71</v>
      </c>
      <c r="IYB868" s="295" t="s">
        <v>71</v>
      </c>
      <c r="IYC868" s="295" t="s">
        <v>71</v>
      </c>
      <c r="IYD868" s="295" t="s">
        <v>71</v>
      </c>
      <c r="IYE868" s="295" t="s">
        <v>71</v>
      </c>
      <c r="IYF868" s="295" t="s">
        <v>71</v>
      </c>
      <c r="IYG868" s="295" t="s">
        <v>71</v>
      </c>
      <c r="IYH868" s="295" t="s">
        <v>71</v>
      </c>
      <c r="IYI868" s="295" t="s">
        <v>71</v>
      </c>
      <c r="IYJ868" s="295" t="s">
        <v>71</v>
      </c>
      <c r="IYK868" s="295" t="s">
        <v>71</v>
      </c>
      <c r="IYL868" s="295" t="s">
        <v>71</v>
      </c>
      <c r="IYM868" s="295" t="s">
        <v>71</v>
      </c>
      <c r="IYN868" s="295" t="s">
        <v>71</v>
      </c>
      <c r="IYO868" s="295" t="s">
        <v>71</v>
      </c>
      <c r="IYP868" s="295" t="s">
        <v>71</v>
      </c>
      <c r="IYQ868" s="295" t="s">
        <v>71</v>
      </c>
      <c r="IYR868" s="295" t="s">
        <v>71</v>
      </c>
      <c r="IYS868" s="295" t="s">
        <v>71</v>
      </c>
      <c r="IYT868" s="295" t="s">
        <v>71</v>
      </c>
      <c r="IYU868" s="295" t="s">
        <v>71</v>
      </c>
      <c r="IYV868" s="295" t="s">
        <v>71</v>
      </c>
      <c r="IYW868" s="295" t="s">
        <v>71</v>
      </c>
      <c r="IYX868" s="295" t="s">
        <v>71</v>
      </c>
      <c r="IYY868" s="295" t="s">
        <v>71</v>
      </c>
      <c r="IYZ868" s="295" t="s">
        <v>71</v>
      </c>
      <c r="IZA868" s="295" t="s">
        <v>71</v>
      </c>
      <c r="IZB868" s="295" t="s">
        <v>71</v>
      </c>
      <c r="IZC868" s="295" t="s">
        <v>71</v>
      </c>
      <c r="IZD868" s="295" t="s">
        <v>71</v>
      </c>
      <c r="IZE868" s="295" t="s">
        <v>71</v>
      </c>
      <c r="IZF868" s="295" t="s">
        <v>71</v>
      </c>
      <c r="IZG868" s="295" t="s">
        <v>71</v>
      </c>
      <c r="IZH868" s="295" t="s">
        <v>71</v>
      </c>
      <c r="IZI868" s="295" t="s">
        <v>71</v>
      </c>
      <c r="IZJ868" s="295" t="s">
        <v>71</v>
      </c>
      <c r="IZK868" s="295" t="s">
        <v>71</v>
      </c>
      <c r="IZL868" s="295" t="s">
        <v>71</v>
      </c>
      <c r="IZM868" s="295" t="s">
        <v>71</v>
      </c>
      <c r="IZN868" s="295" t="s">
        <v>71</v>
      </c>
      <c r="IZO868" s="295" t="s">
        <v>71</v>
      </c>
      <c r="IZP868" s="295" t="s">
        <v>71</v>
      </c>
      <c r="IZQ868" s="295" t="s">
        <v>71</v>
      </c>
      <c r="IZR868" s="295" t="s">
        <v>71</v>
      </c>
      <c r="IZS868" s="295" t="s">
        <v>71</v>
      </c>
      <c r="IZT868" s="295" t="s">
        <v>71</v>
      </c>
      <c r="IZU868" s="295" t="s">
        <v>71</v>
      </c>
      <c r="IZV868" s="295" t="s">
        <v>71</v>
      </c>
      <c r="IZW868" s="295" t="s">
        <v>71</v>
      </c>
      <c r="IZX868" s="295" t="s">
        <v>71</v>
      </c>
      <c r="IZY868" s="295" t="s">
        <v>71</v>
      </c>
      <c r="IZZ868" s="295" t="s">
        <v>71</v>
      </c>
      <c r="JAA868" s="295" t="s">
        <v>71</v>
      </c>
      <c r="JAB868" s="295" t="s">
        <v>71</v>
      </c>
      <c r="JAC868" s="295" t="s">
        <v>71</v>
      </c>
      <c r="JAD868" s="295" t="s">
        <v>71</v>
      </c>
      <c r="JAE868" s="295" t="s">
        <v>71</v>
      </c>
      <c r="JAF868" s="295" t="s">
        <v>71</v>
      </c>
      <c r="JAG868" s="295" t="s">
        <v>71</v>
      </c>
      <c r="JAH868" s="295" t="s">
        <v>71</v>
      </c>
      <c r="JAI868" s="295" t="s">
        <v>71</v>
      </c>
      <c r="JAJ868" s="295" t="s">
        <v>71</v>
      </c>
      <c r="JAK868" s="295" t="s">
        <v>71</v>
      </c>
      <c r="JAL868" s="295" t="s">
        <v>71</v>
      </c>
      <c r="JAM868" s="295" t="s">
        <v>71</v>
      </c>
      <c r="JAN868" s="295" t="s">
        <v>71</v>
      </c>
      <c r="JAO868" s="295" t="s">
        <v>71</v>
      </c>
      <c r="JAP868" s="295" t="s">
        <v>71</v>
      </c>
      <c r="JAQ868" s="295" t="s">
        <v>71</v>
      </c>
      <c r="JAR868" s="295" t="s">
        <v>71</v>
      </c>
      <c r="JAS868" s="295" t="s">
        <v>71</v>
      </c>
      <c r="JAT868" s="295" t="s">
        <v>71</v>
      </c>
      <c r="JAU868" s="295" t="s">
        <v>71</v>
      </c>
      <c r="JAV868" s="295" t="s">
        <v>71</v>
      </c>
      <c r="JAW868" s="295" t="s">
        <v>71</v>
      </c>
      <c r="JAX868" s="295" t="s">
        <v>71</v>
      </c>
      <c r="JAY868" s="295" t="s">
        <v>71</v>
      </c>
      <c r="JAZ868" s="295" t="s">
        <v>71</v>
      </c>
      <c r="JBA868" s="295" t="s">
        <v>71</v>
      </c>
      <c r="JBB868" s="295" t="s">
        <v>71</v>
      </c>
      <c r="JBC868" s="295" t="s">
        <v>71</v>
      </c>
      <c r="JBD868" s="295" t="s">
        <v>71</v>
      </c>
      <c r="JBE868" s="295" t="s">
        <v>71</v>
      </c>
      <c r="JBF868" s="295" t="s">
        <v>71</v>
      </c>
      <c r="JBG868" s="295" t="s">
        <v>71</v>
      </c>
      <c r="JBH868" s="295" t="s">
        <v>71</v>
      </c>
      <c r="JBI868" s="295" t="s">
        <v>71</v>
      </c>
      <c r="JBJ868" s="295" t="s">
        <v>71</v>
      </c>
      <c r="JBK868" s="295" t="s">
        <v>71</v>
      </c>
      <c r="JBL868" s="295" t="s">
        <v>71</v>
      </c>
      <c r="JBM868" s="295" t="s">
        <v>71</v>
      </c>
      <c r="JBN868" s="295" t="s">
        <v>71</v>
      </c>
      <c r="JBO868" s="295" t="s">
        <v>71</v>
      </c>
      <c r="JBP868" s="295" t="s">
        <v>71</v>
      </c>
      <c r="JBQ868" s="295" t="s">
        <v>71</v>
      </c>
      <c r="JBR868" s="295" t="s">
        <v>71</v>
      </c>
      <c r="JBS868" s="295" t="s">
        <v>71</v>
      </c>
      <c r="JBT868" s="295" t="s">
        <v>71</v>
      </c>
      <c r="JBU868" s="295" t="s">
        <v>71</v>
      </c>
      <c r="JBV868" s="295" t="s">
        <v>71</v>
      </c>
      <c r="JBW868" s="295" t="s">
        <v>71</v>
      </c>
      <c r="JBX868" s="295" t="s">
        <v>71</v>
      </c>
      <c r="JBY868" s="295" t="s">
        <v>71</v>
      </c>
      <c r="JBZ868" s="295" t="s">
        <v>71</v>
      </c>
      <c r="JCA868" s="295" t="s">
        <v>71</v>
      </c>
      <c r="JCB868" s="295" t="s">
        <v>71</v>
      </c>
      <c r="JCC868" s="295" t="s">
        <v>71</v>
      </c>
      <c r="JCD868" s="295" t="s">
        <v>71</v>
      </c>
      <c r="JCE868" s="295" t="s">
        <v>71</v>
      </c>
      <c r="JCF868" s="295" t="s">
        <v>71</v>
      </c>
      <c r="JCG868" s="295" t="s">
        <v>71</v>
      </c>
      <c r="JCH868" s="295" t="s">
        <v>71</v>
      </c>
      <c r="JCI868" s="295" t="s">
        <v>71</v>
      </c>
      <c r="JCJ868" s="295" t="s">
        <v>71</v>
      </c>
      <c r="JCK868" s="295" t="s">
        <v>71</v>
      </c>
      <c r="JCL868" s="295" t="s">
        <v>71</v>
      </c>
      <c r="JCM868" s="295" t="s">
        <v>71</v>
      </c>
      <c r="JCN868" s="295" t="s">
        <v>71</v>
      </c>
      <c r="JCO868" s="295" t="s">
        <v>71</v>
      </c>
      <c r="JCP868" s="295" t="s">
        <v>71</v>
      </c>
      <c r="JCQ868" s="295" t="s">
        <v>71</v>
      </c>
      <c r="JCR868" s="295" t="s">
        <v>71</v>
      </c>
      <c r="JCS868" s="295" t="s">
        <v>71</v>
      </c>
      <c r="JCT868" s="295" t="s">
        <v>71</v>
      </c>
      <c r="JCU868" s="295" t="s">
        <v>71</v>
      </c>
      <c r="JCV868" s="295" t="s">
        <v>71</v>
      </c>
      <c r="JCW868" s="295" t="s">
        <v>71</v>
      </c>
      <c r="JCX868" s="295" t="s">
        <v>71</v>
      </c>
      <c r="JCY868" s="295" t="s">
        <v>71</v>
      </c>
      <c r="JCZ868" s="295" t="s">
        <v>71</v>
      </c>
      <c r="JDA868" s="295" t="s">
        <v>71</v>
      </c>
      <c r="JDB868" s="295" t="s">
        <v>71</v>
      </c>
      <c r="JDC868" s="295" t="s">
        <v>71</v>
      </c>
      <c r="JDD868" s="295" t="s">
        <v>71</v>
      </c>
      <c r="JDE868" s="295" t="s">
        <v>71</v>
      </c>
      <c r="JDF868" s="295" t="s">
        <v>71</v>
      </c>
      <c r="JDG868" s="295" t="s">
        <v>71</v>
      </c>
      <c r="JDH868" s="295" t="s">
        <v>71</v>
      </c>
      <c r="JDI868" s="295" t="s">
        <v>71</v>
      </c>
      <c r="JDJ868" s="295" t="s">
        <v>71</v>
      </c>
      <c r="JDK868" s="295" t="s">
        <v>71</v>
      </c>
      <c r="JDL868" s="295" t="s">
        <v>71</v>
      </c>
      <c r="JDM868" s="295" t="s">
        <v>71</v>
      </c>
      <c r="JDN868" s="295" t="s">
        <v>71</v>
      </c>
      <c r="JDO868" s="295" t="s">
        <v>71</v>
      </c>
      <c r="JDP868" s="295" t="s">
        <v>71</v>
      </c>
      <c r="JDQ868" s="295" t="s">
        <v>71</v>
      </c>
      <c r="JDR868" s="295" t="s">
        <v>71</v>
      </c>
      <c r="JDS868" s="295" t="s">
        <v>71</v>
      </c>
      <c r="JDT868" s="295" t="s">
        <v>71</v>
      </c>
      <c r="JDU868" s="295" t="s">
        <v>71</v>
      </c>
      <c r="JDV868" s="295" t="s">
        <v>71</v>
      </c>
      <c r="JDW868" s="295" t="s">
        <v>71</v>
      </c>
      <c r="JDX868" s="295" t="s">
        <v>71</v>
      </c>
      <c r="JDY868" s="295" t="s">
        <v>71</v>
      </c>
      <c r="JDZ868" s="295" t="s">
        <v>71</v>
      </c>
      <c r="JEA868" s="295" t="s">
        <v>71</v>
      </c>
      <c r="JEB868" s="295" t="s">
        <v>71</v>
      </c>
      <c r="JEC868" s="295" t="s">
        <v>71</v>
      </c>
      <c r="JED868" s="295" t="s">
        <v>71</v>
      </c>
      <c r="JEE868" s="295" t="s">
        <v>71</v>
      </c>
      <c r="JEF868" s="295" t="s">
        <v>71</v>
      </c>
      <c r="JEG868" s="295" t="s">
        <v>71</v>
      </c>
      <c r="JEH868" s="295" t="s">
        <v>71</v>
      </c>
      <c r="JEI868" s="295" t="s">
        <v>71</v>
      </c>
      <c r="JEJ868" s="295" t="s">
        <v>71</v>
      </c>
      <c r="JEK868" s="295" t="s">
        <v>71</v>
      </c>
      <c r="JEL868" s="295" t="s">
        <v>71</v>
      </c>
      <c r="JEM868" s="295" t="s">
        <v>71</v>
      </c>
      <c r="JEN868" s="295" t="s">
        <v>71</v>
      </c>
      <c r="JEO868" s="295" t="s">
        <v>71</v>
      </c>
      <c r="JEP868" s="295" t="s">
        <v>71</v>
      </c>
      <c r="JEQ868" s="295" t="s">
        <v>71</v>
      </c>
      <c r="JER868" s="295" t="s">
        <v>71</v>
      </c>
      <c r="JES868" s="295" t="s">
        <v>71</v>
      </c>
      <c r="JET868" s="295" t="s">
        <v>71</v>
      </c>
      <c r="JEU868" s="295" t="s">
        <v>71</v>
      </c>
      <c r="JEV868" s="295" t="s">
        <v>71</v>
      </c>
      <c r="JEW868" s="295" t="s">
        <v>71</v>
      </c>
      <c r="JEX868" s="295" t="s">
        <v>71</v>
      </c>
      <c r="JEY868" s="295" t="s">
        <v>71</v>
      </c>
      <c r="JEZ868" s="295" t="s">
        <v>71</v>
      </c>
      <c r="JFA868" s="295" t="s">
        <v>71</v>
      </c>
      <c r="JFB868" s="295" t="s">
        <v>71</v>
      </c>
      <c r="JFC868" s="295" t="s">
        <v>71</v>
      </c>
      <c r="JFD868" s="295" t="s">
        <v>71</v>
      </c>
      <c r="JFE868" s="295" t="s">
        <v>71</v>
      </c>
      <c r="JFF868" s="295" t="s">
        <v>71</v>
      </c>
      <c r="JFG868" s="295" t="s">
        <v>71</v>
      </c>
      <c r="JFH868" s="295" t="s">
        <v>71</v>
      </c>
      <c r="JFI868" s="295" t="s">
        <v>71</v>
      </c>
      <c r="JFJ868" s="295" t="s">
        <v>71</v>
      </c>
      <c r="JFK868" s="295" t="s">
        <v>71</v>
      </c>
      <c r="JFL868" s="295" t="s">
        <v>71</v>
      </c>
      <c r="JFM868" s="295" t="s">
        <v>71</v>
      </c>
      <c r="JFN868" s="295" t="s">
        <v>71</v>
      </c>
      <c r="JFO868" s="295" t="s">
        <v>71</v>
      </c>
      <c r="JFP868" s="295" t="s">
        <v>71</v>
      </c>
      <c r="JFQ868" s="295" t="s">
        <v>71</v>
      </c>
      <c r="JFR868" s="295" t="s">
        <v>71</v>
      </c>
      <c r="JFS868" s="295" t="s">
        <v>71</v>
      </c>
      <c r="JFT868" s="295" t="s">
        <v>71</v>
      </c>
      <c r="JFU868" s="295" t="s">
        <v>71</v>
      </c>
      <c r="JFV868" s="295" t="s">
        <v>71</v>
      </c>
      <c r="JFW868" s="295" t="s">
        <v>71</v>
      </c>
      <c r="JFX868" s="295" t="s">
        <v>71</v>
      </c>
      <c r="JFY868" s="295" t="s">
        <v>71</v>
      </c>
      <c r="JFZ868" s="295" t="s">
        <v>71</v>
      </c>
      <c r="JGA868" s="295" t="s">
        <v>71</v>
      </c>
      <c r="JGB868" s="295" t="s">
        <v>71</v>
      </c>
      <c r="JGC868" s="295" t="s">
        <v>71</v>
      </c>
      <c r="JGD868" s="295" t="s">
        <v>71</v>
      </c>
      <c r="JGE868" s="295" t="s">
        <v>71</v>
      </c>
      <c r="JGF868" s="295" t="s">
        <v>71</v>
      </c>
      <c r="JGG868" s="295" t="s">
        <v>71</v>
      </c>
      <c r="JGH868" s="295" t="s">
        <v>71</v>
      </c>
      <c r="JGI868" s="295" t="s">
        <v>71</v>
      </c>
      <c r="JGJ868" s="295" t="s">
        <v>71</v>
      </c>
      <c r="JGK868" s="295" t="s">
        <v>71</v>
      </c>
      <c r="JGL868" s="295" t="s">
        <v>71</v>
      </c>
      <c r="JGM868" s="295" t="s">
        <v>71</v>
      </c>
      <c r="JGN868" s="295" t="s">
        <v>71</v>
      </c>
      <c r="JGO868" s="295" t="s">
        <v>71</v>
      </c>
      <c r="JGP868" s="295" t="s">
        <v>71</v>
      </c>
      <c r="JGQ868" s="295" t="s">
        <v>71</v>
      </c>
      <c r="JGR868" s="295" t="s">
        <v>71</v>
      </c>
      <c r="JGS868" s="295" t="s">
        <v>71</v>
      </c>
      <c r="JGT868" s="295" t="s">
        <v>71</v>
      </c>
      <c r="JGU868" s="295" t="s">
        <v>71</v>
      </c>
      <c r="JGV868" s="295" t="s">
        <v>71</v>
      </c>
      <c r="JGW868" s="295" t="s">
        <v>71</v>
      </c>
      <c r="JGX868" s="295" t="s">
        <v>71</v>
      </c>
      <c r="JGY868" s="295" t="s">
        <v>71</v>
      </c>
      <c r="JGZ868" s="295" t="s">
        <v>71</v>
      </c>
      <c r="JHA868" s="295" t="s">
        <v>71</v>
      </c>
      <c r="JHB868" s="295" t="s">
        <v>71</v>
      </c>
      <c r="JHC868" s="295" t="s">
        <v>71</v>
      </c>
      <c r="JHD868" s="295" t="s">
        <v>71</v>
      </c>
      <c r="JHE868" s="295" t="s">
        <v>71</v>
      </c>
      <c r="JHF868" s="295" t="s">
        <v>71</v>
      </c>
      <c r="JHG868" s="295" t="s">
        <v>71</v>
      </c>
      <c r="JHH868" s="295" t="s">
        <v>71</v>
      </c>
      <c r="JHI868" s="295" t="s">
        <v>71</v>
      </c>
      <c r="JHJ868" s="295" t="s">
        <v>71</v>
      </c>
      <c r="JHK868" s="295" t="s">
        <v>71</v>
      </c>
      <c r="JHL868" s="295" t="s">
        <v>71</v>
      </c>
      <c r="JHM868" s="295" t="s">
        <v>71</v>
      </c>
      <c r="JHN868" s="295" t="s">
        <v>71</v>
      </c>
      <c r="JHO868" s="295" t="s">
        <v>71</v>
      </c>
      <c r="JHP868" s="295" t="s">
        <v>71</v>
      </c>
      <c r="JHQ868" s="295" t="s">
        <v>71</v>
      </c>
      <c r="JHR868" s="295" t="s">
        <v>71</v>
      </c>
      <c r="JHS868" s="295" t="s">
        <v>71</v>
      </c>
      <c r="JHT868" s="295" t="s">
        <v>71</v>
      </c>
      <c r="JHU868" s="295" t="s">
        <v>71</v>
      </c>
      <c r="JHV868" s="295" t="s">
        <v>71</v>
      </c>
      <c r="JHW868" s="295" t="s">
        <v>71</v>
      </c>
      <c r="JHX868" s="295" t="s">
        <v>71</v>
      </c>
      <c r="JHY868" s="295" t="s">
        <v>71</v>
      </c>
      <c r="JHZ868" s="295" t="s">
        <v>71</v>
      </c>
      <c r="JIA868" s="295" t="s">
        <v>71</v>
      </c>
      <c r="JIB868" s="295" t="s">
        <v>71</v>
      </c>
      <c r="JIC868" s="295" t="s">
        <v>71</v>
      </c>
      <c r="JID868" s="295" t="s">
        <v>71</v>
      </c>
      <c r="JIE868" s="295" t="s">
        <v>71</v>
      </c>
      <c r="JIF868" s="295" t="s">
        <v>71</v>
      </c>
      <c r="JIG868" s="295" t="s">
        <v>71</v>
      </c>
      <c r="JIH868" s="295" t="s">
        <v>71</v>
      </c>
      <c r="JII868" s="295" t="s">
        <v>71</v>
      </c>
      <c r="JIJ868" s="295" t="s">
        <v>71</v>
      </c>
      <c r="JIK868" s="295" t="s">
        <v>71</v>
      </c>
      <c r="JIL868" s="295" t="s">
        <v>71</v>
      </c>
      <c r="JIM868" s="295" t="s">
        <v>71</v>
      </c>
      <c r="JIN868" s="295" t="s">
        <v>71</v>
      </c>
      <c r="JIO868" s="295" t="s">
        <v>71</v>
      </c>
      <c r="JIP868" s="295" t="s">
        <v>71</v>
      </c>
      <c r="JIQ868" s="295" t="s">
        <v>71</v>
      </c>
      <c r="JIR868" s="295" t="s">
        <v>71</v>
      </c>
      <c r="JIS868" s="295" t="s">
        <v>71</v>
      </c>
      <c r="JIT868" s="295" t="s">
        <v>71</v>
      </c>
      <c r="JIU868" s="295" t="s">
        <v>71</v>
      </c>
      <c r="JIV868" s="295" t="s">
        <v>71</v>
      </c>
      <c r="JIW868" s="295" t="s">
        <v>71</v>
      </c>
      <c r="JIX868" s="295" t="s">
        <v>71</v>
      </c>
      <c r="JIY868" s="295" t="s">
        <v>71</v>
      </c>
      <c r="JIZ868" s="295" t="s">
        <v>71</v>
      </c>
      <c r="JJA868" s="295" t="s">
        <v>71</v>
      </c>
      <c r="JJB868" s="295" t="s">
        <v>71</v>
      </c>
      <c r="JJC868" s="295" t="s">
        <v>71</v>
      </c>
      <c r="JJD868" s="295" t="s">
        <v>71</v>
      </c>
      <c r="JJE868" s="295" t="s">
        <v>71</v>
      </c>
      <c r="JJF868" s="295" t="s">
        <v>71</v>
      </c>
      <c r="JJG868" s="295" t="s">
        <v>71</v>
      </c>
      <c r="JJH868" s="295" t="s">
        <v>71</v>
      </c>
      <c r="JJI868" s="295" t="s">
        <v>71</v>
      </c>
      <c r="JJJ868" s="295" t="s">
        <v>71</v>
      </c>
      <c r="JJK868" s="295" t="s">
        <v>71</v>
      </c>
      <c r="JJL868" s="295" t="s">
        <v>71</v>
      </c>
      <c r="JJM868" s="295" t="s">
        <v>71</v>
      </c>
      <c r="JJN868" s="295" t="s">
        <v>71</v>
      </c>
      <c r="JJO868" s="295" t="s">
        <v>71</v>
      </c>
      <c r="JJP868" s="295" t="s">
        <v>71</v>
      </c>
      <c r="JJQ868" s="295" t="s">
        <v>71</v>
      </c>
      <c r="JJR868" s="295" t="s">
        <v>71</v>
      </c>
      <c r="JJS868" s="295" t="s">
        <v>71</v>
      </c>
      <c r="JJT868" s="295" t="s">
        <v>71</v>
      </c>
      <c r="JJU868" s="295" t="s">
        <v>71</v>
      </c>
      <c r="JJV868" s="295" t="s">
        <v>71</v>
      </c>
      <c r="JJW868" s="295" t="s">
        <v>71</v>
      </c>
      <c r="JJX868" s="295" t="s">
        <v>71</v>
      </c>
      <c r="JJY868" s="295" t="s">
        <v>71</v>
      </c>
      <c r="JJZ868" s="295" t="s">
        <v>71</v>
      </c>
      <c r="JKA868" s="295" t="s">
        <v>71</v>
      </c>
      <c r="JKB868" s="295" t="s">
        <v>71</v>
      </c>
      <c r="JKC868" s="295" t="s">
        <v>71</v>
      </c>
      <c r="JKD868" s="295" t="s">
        <v>71</v>
      </c>
      <c r="JKE868" s="295" t="s">
        <v>71</v>
      </c>
      <c r="JKF868" s="295" t="s">
        <v>71</v>
      </c>
      <c r="JKG868" s="295" t="s">
        <v>71</v>
      </c>
      <c r="JKH868" s="295" t="s">
        <v>71</v>
      </c>
      <c r="JKI868" s="295" t="s">
        <v>71</v>
      </c>
      <c r="JKJ868" s="295" t="s">
        <v>71</v>
      </c>
      <c r="JKK868" s="295" t="s">
        <v>71</v>
      </c>
      <c r="JKL868" s="295" t="s">
        <v>71</v>
      </c>
      <c r="JKM868" s="295" t="s">
        <v>71</v>
      </c>
      <c r="JKN868" s="295" t="s">
        <v>71</v>
      </c>
      <c r="JKO868" s="295" t="s">
        <v>71</v>
      </c>
      <c r="JKP868" s="295" t="s">
        <v>71</v>
      </c>
      <c r="JKQ868" s="295" t="s">
        <v>71</v>
      </c>
      <c r="JKR868" s="295" t="s">
        <v>71</v>
      </c>
      <c r="JKS868" s="295" t="s">
        <v>71</v>
      </c>
      <c r="JKT868" s="295" t="s">
        <v>71</v>
      </c>
      <c r="JKU868" s="295" t="s">
        <v>71</v>
      </c>
      <c r="JKV868" s="295" t="s">
        <v>71</v>
      </c>
      <c r="JKW868" s="295" t="s">
        <v>71</v>
      </c>
      <c r="JKX868" s="295" t="s">
        <v>71</v>
      </c>
      <c r="JKY868" s="295" t="s">
        <v>71</v>
      </c>
      <c r="JKZ868" s="295" t="s">
        <v>71</v>
      </c>
      <c r="JLA868" s="295" t="s">
        <v>71</v>
      </c>
      <c r="JLB868" s="295" t="s">
        <v>71</v>
      </c>
      <c r="JLC868" s="295" t="s">
        <v>71</v>
      </c>
      <c r="JLD868" s="295" t="s">
        <v>71</v>
      </c>
      <c r="JLE868" s="295" t="s">
        <v>71</v>
      </c>
      <c r="JLF868" s="295" t="s">
        <v>71</v>
      </c>
      <c r="JLG868" s="295" t="s">
        <v>71</v>
      </c>
      <c r="JLH868" s="295" t="s">
        <v>71</v>
      </c>
      <c r="JLI868" s="295" t="s">
        <v>71</v>
      </c>
      <c r="JLJ868" s="295" t="s">
        <v>71</v>
      </c>
      <c r="JLK868" s="295" t="s">
        <v>71</v>
      </c>
      <c r="JLL868" s="295" t="s">
        <v>71</v>
      </c>
      <c r="JLM868" s="295" t="s">
        <v>71</v>
      </c>
      <c r="JLN868" s="295" t="s">
        <v>71</v>
      </c>
      <c r="JLO868" s="295" t="s">
        <v>71</v>
      </c>
      <c r="JLP868" s="295" t="s">
        <v>71</v>
      </c>
      <c r="JLQ868" s="295" t="s">
        <v>71</v>
      </c>
      <c r="JLR868" s="295" t="s">
        <v>71</v>
      </c>
      <c r="JLS868" s="295" t="s">
        <v>71</v>
      </c>
      <c r="JLT868" s="295" t="s">
        <v>71</v>
      </c>
      <c r="JLU868" s="295" t="s">
        <v>71</v>
      </c>
      <c r="JLV868" s="295" t="s">
        <v>71</v>
      </c>
      <c r="JLW868" s="295" t="s">
        <v>71</v>
      </c>
      <c r="JLX868" s="295" t="s">
        <v>71</v>
      </c>
      <c r="JLY868" s="295" t="s">
        <v>71</v>
      </c>
      <c r="JLZ868" s="295" t="s">
        <v>71</v>
      </c>
      <c r="JMA868" s="295" t="s">
        <v>71</v>
      </c>
      <c r="JMB868" s="295" t="s">
        <v>71</v>
      </c>
      <c r="JMC868" s="295" t="s">
        <v>71</v>
      </c>
      <c r="JMD868" s="295" t="s">
        <v>71</v>
      </c>
      <c r="JME868" s="295" t="s">
        <v>71</v>
      </c>
      <c r="JMF868" s="295" t="s">
        <v>71</v>
      </c>
      <c r="JMG868" s="295" t="s">
        <v>71</v>
      </c>
      <c r="JMH868" s="295" t="s">
        <v>71</v>
      </c>
      <c r="JMI868" s="295" t="s">
        <v>71</v>
      </c>
      <c r="JMJ868" s="295" t="s">
        <v>71</v>
      </c>
      <c r="JMK868" s="295" t="s">
        <v>71</v>
      </c>
      <c r="JML868" s="295" t="s">
        <v>71</v>
      </c>
      <c r="JMM868" s="295" t="s">
        <v>71</v>
      </c>
      <c r="JMN868" s="295" t="s">
        <v>71</v>
      </c>
      <c r="JMO868" s="295" t="s">
        <v>71</v>
      </c>
      <c r="JMP868" s="295" t="s">
        <v>71</v>
      </c>
      <c r="JMQ868" s="295" t="s">
        <v>71</v>
      </c>
      <c r="JMR868" s="295" t="s">
        <v>71</v>
      </c>
      <c r="JMS868" s="295" t="s">
        <v>71</v>
      </c>
      <c r="JMT868" s="295" t="s">
        <v>71</v>
      </c>
      <c r="JMU868" s="295" t="s">
        <v>71</v>
      </c>
      <c r="JMV868" s="295" t="s">
        <v>71</v>
      </c>
      <c r="JMW868" s="295" t="s">
        <v>71</v>
      </c>
      <c r="JMX868" s="295" t="s">
        <v>71</v>
      </c>
      <c r="JMY868" s="295" t="s">
        <v>71</v>
      </c>
      <c r="JMZ868" s="295" t="s">
        <v>71</v>
      </c>
      <c r="JNA868" s="295" t="s">
        <v>71</v>
      </c>
      <c r="JNB868" s="295" t="s">
        <v>71</v>
      </c>
      <c r="JNC868" s="295" t="s">
        <v>71</v>
      </c>
      <c r="JND868" s="295" t="s">
        <v>71</v>
      </c>
      <c r="JNE868" s="295" t="s">
        <v>71</v>
      </c>
      <c r="JNF868" s="295" t="s">
        <v>71</v>
      </c>
      <c r="JNG868" s="295" t="s">
        <v>71</v>
      </c>
      <c r="JNH868" s="295" t="s">
        <v>71</v>
      </c>
      <c r="JNI868" s="295" t="s">
        <v>71</v>
      </c>
      <c r="JNJ868" s="295" t="s">
        <v>71</v>
      </c>
      <c r="JNK868" s="295" t="s">
        <v>71</v>
      </c>
      <c r="JNL868" s="295" t="s">
        <v>71</v>
      </c>
      <c r="JNM868" s="295" t="s">
        <v>71</v>
      </c>
      <c r="JNN868" s="295" t="s">
        <v>71</v>
      </c>
      <c r="JNO868" s="295" t="s">
        <v>71</v>
      </c>
      <c r="JNP868" s="295" t="s">
        <v>71</v>
      </c>
      <c r="JNQ868" s="295" t="s">
        <v>71</v>
      </c>
      <c r="JNR868" s="295" t="s">
        <v>71</v>
      </c>
      <c r="JNS868" s="295" t="s">
        <v>71</v>
      </c>
      <c r="JNT868" s="295" t="s">
        <v>71</v>
      </c>
      <c r="JNU868" s="295" t="s">
        <v>71</v>
      </c>
      <c r="JNV868" s="295" t="s">
        <v>71</v>
      </c>
      <c r="JNW868" s="295" t="s">
        <v>71</v>
      </c>
      <c r="JNX868" s="295" t="s">
        <v>71</v>
      </c>
      <c r="JNY868" s="295" t="s">
        <v>71</v>
      </c>
      <c r="JNZ868" s="295" t="s">
        <v>71</v>
      </c>
      <c r="JOA868" s="295" t="s">
        <v>71</v>
      </c>
      <c r="JOB868" s="295" t="s">
        <v>71</v>
      </c>
      <c r="JOC868" s="295" t="s">
        <v>71</v>
      </c>
      <c r="JOD868" s="295" t="s">
        <v>71</v>
      </c>
      <c r="JOE868" s="295" t="s">
        <v>71</v>
      </c>
      <c r="JOF868" s="295" t="s">
        <v>71</v>
      </c>
      <c r="JOG868" s="295" t="s">
        <v>71</v>
      </c>
      <c r="JOH868" s="295" t="s">
        <v>71</v>
      </c>
      <c r="JOI868" s="295" t="s">
        <v>71</v>
      </c>
      <c r="JOJ868" s="295" t="s">
        <v>71</v>
      </c>
      <c r="JOK868" s="295" t="s">
        <v>71</v>
      </c>
      <c r="JOL868" s="295" t="s">
        <v>71</v>
      </c>
      <c r="JOM868" s="295" t="s">
        <v>71</v>
      </c>
      <c r="JON868" s="295" t="s">
        <v>71</v>
      </c>
      <c r="JOO868" s="295" t="s">
        <v>71</v>
      </c>
      <c r="JOP868" s="295" t="s">
        <v>71</v>
      </c>
      <c r="JOQ868" s="295" t="s">
        <v>71</v>
      </c>
      <c r="JOR868" s="295" t="s">
        <v>71</v>
      </c>
      <c r="JOS868" s="295" t="s">
        <v>71</v>
      </c>
      <c r="JOT868" s="295" t="s">
        <v>71</v>
      </c>
      <c r="JOU868" s="295" t="s">
        <v>71</v>
      </c>
      <c r="JOV868" s="295" t="s">
        <v>71</v>
      </c>
      <c r="JOW868" s="295" t="s">
        <v>71</v>
      </c>
      <c r="JOX868" s="295" t="s">
        <v>71</v>
      </c>
      <c r="JOY868" s="295" t="s">
        <v>71</v>
      </c>
      <c r="JOZ868" s="295" t="s">
        <v>71</v>
      </c>
      <c r="JPA868" s="295" t="s">
        <v>71</v>
      </c>
      <c r="JPB868" s="295" t="s">
        <v>71</v>
      </c>
      <c r="JPC868" s="295" t="s">
        <v>71</v>
      </c>
      <c r="JPD868" s="295" t="s">
        <v>71</v>
      </c>
      <c r="JPE868" s="295" t="s">
        <v>71</v>
      </c>
      <c r="JPF868" s="295" t="s">
        <v>71</v>
      </c>
      <c r="JPG868" s="295" t="s">
        <v>71</v>
      </c>
      <c r="JPH868" s="295" t="s">
        <v>71</v>
      </c>
      <c r="JPI868" s="295" t="s">
        <v>71</v>
      </c>
      <c r="JPJ868" s="295" t="s">
        <v>71</v>
      </c>
      <c r="JPK868" s="295" t="s">
        <v>71</v>
      </c>
      <c r="JPL868" s="295" t="s">
        <v>71</v>
      </c>
      <c r="JPM868" s="295" t="s">
        <v>71</v>
      </c>
      <c r="JPN868" s="295" t="s">
        <v>71</v>
      </c>
      <c r="JPO868" s="295" t="s">
        <v>71</v>
      </c>
      <c r="JPP868" s="295" t="s">
        <v>71</v>
      </c>
      <c r="JPQ868" s="295" t="s">
        <v>71</v>
      </c>
      <c r="JPR868" s="295" t="s">
        <v>71</v>
      </c>
      <c r="JPS868" s="295" t="s">
        <v>71</v>
      </c>
      <c r="JPT868" s="295" t="s">
        <v>71</v>
      </c>
      <c r="JPU868" s="295" t="s">
        <v>71</v>
      </c>
      <c r="JPV868" s="295" t="s">
        <v>71</v>
      </c>
      <c r="JPW868" s="295" t="s">
        <v>71</v>
      </c>
      <c r="JPX868" s="295" t="s">
        <v>71</v>
      </c>
      <c r="JPY868" s="295" t="s">
        <v>71</v>
      </c>
      <c r="JPZ868" s="295" t="s">
        <v>71</v>
      </c>
      <c r="JQA868" s="295" t="s">
        <v>71</v>
      </c>
      <c r="JQB868" s="295" t="s">
        <v>71</v>
      </c>
      <c r="JQC868" s="295" t="s">
        <v>71</v>
      </c>
      <c r="JQD868" s="295" t="s">
        <v>71</v>
      </c>
      <c r="JQE868" s="295" t="s">
        <v>71</v>
      </c>
      <c r="JQF868" s="295" t="s">
        <v>71</v>
      </c>
      <c r="JQG868" s="295" t="s">
        <v>71</v>
      </c>
      <c r="JQH868" s="295" t="s">
        <v>71</v>
      </c>
      <c r="JQI868" s="295" t="s">
        <v>71</v>
      </c>
      <c r="JQJ868" s="295" t="s">
        <v>71</v>
      </c>
      <c r="JQK868" s="295" t="s">
        <v>71</v>
      </c>
      <c r="JQL868" s="295" t="s">
        <v>71</v>
      </c>
      <c r="JQM868" s="295" t="s">
        <v>71</v>
      </c>
      <c r="JQN868" s="295" t="s">
        <v>71</v>
      </c>
      <c r="JQO868" s="295" t="s">
        <v>71</v>
      </c>
      <c r="JQP868" s="295" t="s">
        <v>71</v>
      </c>
      <c r="JQQ868" s="295" t="s">
        <v>71</v>
      </c>
      <c r="JQR868" s="295" t="s">
        <v>71</v>
      </c>
      <c r="JQS868" s="295" t="s">
        <v>71</v>
      </c>
      <c r="JQT868" s="295" t="s">
        <v>71</v>
      </c>
      <c r="JQU868" s="295" t="s">
        <v>71</v>
      </c>
      <c r="JQV868" s="295" t="s">
        <v>71</v>
      </c>
      <c r="JQW868" s="295" t="s">
        <v>71</v>
      </c>
      <c r="JQX868" s="295" t="s">
        <v>71</v>
      </c>
      <c r="JQY868" s="295" t="s">
        <v>71</v>
      </c>
      <c r="JQZ868" s="295" t="s">
        <v>71</v>
      </c>
      <c r="JRA868" s="295" t="s">
        <v>71</v>
      </c>
      <c r="JRB868" s="295" t="s">
        <v>71</v>
      </c>
      <c r="JRC868" s="295" t="s">
        <v>71</v>
      </c>
      <c r="JRD868" s="295" t="s">
        <v>71</v>
      </c>
      <c r="JRE868" s="295" t="s">
        <v>71</v>
      </c>
      <c r="JRF868" s="295" t="s">
        <v>71</v>
      </c>
      <c r="JRG868" s="295" t="s">
        <v>71</v>
      </c>
      <c r="JRH868" s="295" t="s">
        <v>71</v>
      </c>
      <c r="JRI868" s="295" t="s">
        <v>71</v>
      </c>
      <c r="JRJ868" s="295" t="s">
        <v>71</v>
      </c>
      <c r="JRK868" s="295" t="s">
        <v>71</v>
      </c>
      <c r="JRL868" s="295" t="s">
        <v>71</v>
      </c>
      <c r="JRM868" s="295" t="s">
        <v>71</v>
      </c>
      <c r="JRN868" s="295" t="s">
        <v>71</v>
      </c>
      <c r="JRO868" s="295" t="s">
        <v>71</v>
      </c>
      <c r="JRP868" s="295" t="s">
        <v>71</v>
      </c>
      <c r="JRQ868" s="295" t="s">
        <v>71</v>
      </c>
      <c r="JRR868" s="295" t="s">
        <v>71</v>
      </c>
      <c r="JRS868" s="295" t="s">
        <v>71</v>
      </c>
      <c r="JRT868" s="295" t="s">
        <v>71</v>
      </c>
      <c r="JRU868" s="295" t="s">
        <v>71</v>
      </c>
      <c r="JRV868" s="295" t="s">
        <v>71</v>
      </c>
      <c r="JRW868" s="295" t="s">
        <v>71</v>
      </c>
      <c r="JRX868" s="295" t="s">
        <v>71</v>
      </c>
      <c r="JRY868" s="295" t="s">
        <v>71</v>
      </c>
      <c r="JRZ868" s="295" t="s">
        <v>71</v>
      </c>
      <c r="JSA868" s="295" t="s">
        <v>71</v>
      </c>
      <c r="JSB868" s="295" t="s">
        <v>71</v>
      </c>
      <c r="JSC868" s="295" t="s">
        <v>71</v>
      </c>
      <c r="JSD868" s="295" t="s">
        <v>71</v>
      </c>
      <c r="JSE868" s="295" t="s">
        <v>71</v>
      </c>
      <c r="JSF868" s="295" t="s">
        <v>71</v>
      </c>
      <c r="JSG868" s="295" t="s">
        <v>71</v>
      </c>
      <c r="JSH868" s="295" t="s">
        <v>71</v>
      </c>
      <c r="JSI868" s="295" t="s">
        <v>71</v>
      </c>
      <c r="JSJ868" s="295" t="s">
        <v>71</v>
      </c>
      <c r="JSK868" s="295" t="s">
        <v>71</v>
      </c>
      <c r="JSL868" s="295" t="s">
        <v>71</v>
      </c>
      <c r="JSM868" s="295" t="s">
        <v>71</v>
      </c>
      <c r="JSN868" s="295" t="s">
        <v>71</v>
      </c>
      <c r="JSO868" s="295" t="s">
        <v>71</v>
      </c>
      <c r="JSP868" s="295" t="s">
        <v>71</v>
      </c>
      <c r="JSQ868" s="295" t="s">
        <v>71</v>
      </c>
      <c r="JSR868" s="295" t="s">
        <v>71</v>
      </c>
      <c r="JSS868" s="295" t="s">
        <v>71</v>
      </c>
      <c r="JST868" s="295" t="s">
        <v>71</v>
      </c>
      <c r="JSU868" s="295" t="s">
        <v>71</v>
      </c>
      <c r="JSV868" s="295" t="s">
        <v>71</v>
      </c>
      <c r="JSW868" s="295" t="s">
        <v>71</v>
      </c>
      <c r="JSX868" s="295" t="s">
        <v>71</v>
      </c>
      <c r="JSY868" s="295" t="s">
        <v>71</v>
      </c>
      <c r="JSZ868" s="295" t="s">
        <v>71</v>
      </c>
      <c r="JTA868" s="295" t="s">
        <v>71</v>
      </c>
      <c r="JTB868" s="295" t="s">
        <v>71</v>
      </c>
      <c r="JTC868" s="295" t="s">
        <v>71</v>
      </c>
      <c r="JTD868" s="295" t="s">
        <v>71</v>
      </c>
      <c r="JTE868" s="295" t="s">
        <v>71</v>
      </c>
      <c r="JTF868" s="295" t="s">
        <v>71</v>
      </c>
      <c r="JTG868" s="295" t="s">
        <v>71</v>
      </c>
      <c r="JTH868" s="295" t="s">
        <v>71</v>
      </c>
      <c r="JTI868" s="295" t="s">
        <v>71</v>
      </c>
      <c r="JTJ868" s="295" t="s">
        <v>71</v>
      </c>
      <c r="JTK868" s="295" t="s">
        <v>71</v>
      </c>
      <c r="JTL868" s="295" t="s">
        <v>71</v>
      </c>
      <c r="JTM868" s="295" t="s">
        <v>71</v>
      </c>
      <c r="JTN868" s="295" t="s">
        <v>71</v>
      </c>
      <c r="JTO868" s="295" t="s">
        <v>71</v>
      </c>
      <c r="JTP868" s="295" t="s">
        <v>71</v>
      </c>
      <c r="JTQ868" s="295" t="s">
        <v>71</v>
      </c>
      <c r="JTR868" s="295" t="s">
        <v>71</v>
      </c>
      <c r="JTS868" s="295" t="s">
        <v>71</v>
      </c>
      <c r="JTT868" s="295" t="s">
        <v>71</v>
      </c>
      <c r="JTU868" s="295" t="s">
        <v>71</v>
      </c>
      <c r="JTV868" s="295" t="s">
        <v>71</v>
      </c>
      <c r="JTW868" s="295" t="s">
        <v>71</v>
      </c>
      <c r="JTX868" s="295" t="s">
        <v>71</v>
      </c>
      <c r="JTY868" s="295" t="s">
        <v>71</v>
      </c>
      <c r="JTZ868" s="295" t="s">
        <v>71</v>
      </c>
      <c r="JUA868" s="295" t="s">
        <v>71</v>
      </c>
      <c r="JUB868" s="295" t="s">
        <v>71</v>
      </c>
      <c r="JUC868" s="295" t="s">
        <v>71</v>
      </c>
      <c r="JUD868" s="295" t="s">
        <v>71</v>
      </c>
      <c r="JUE868" s="295" t="s">
        <v>71</v>
      </c>
      <c r="JUF868" s="295" t="s">
        <v>71</v>
      </c>
      <c r="JUG868" s="295" t="s">
        <v>71</v>
      </c>
      <c r="JUH868" s="295" t="s">
        <v>71</v>
      </c>
      <c r="JUI868" s="295" t="s">
        <v>71</v>
      </c>
      <c r="JUJ868" s="295" t="s">
        <v>71</v>
      </c>
      <c r="JUK868" s="295" t="s">
        <v>71</v>
      </c>
      <c r="JUL868" s="295" t="s">
        <v>71</v>
      </c>
      <c r="JUM868" s="295" t="s">
        <v>71</v>
      </c>
      <c r="JUN868" s="295" t="s">
        <v>71</v>
      </c>
      <c r="JUO868" s="295" t="s">
        <v>71</v>
      </c>
      <c r="JUP868" s="295" t="s">
        <v>71</v>
      </c>
      <c r="JUQ868" s="295" t="s">
        <v>71</v>
      </c>
      <c r="JUR868" s="295" t="s">
        <v>71</v>
      </c>
      <c r="JUS868" s="295" t="s">
        <v>71</v>
      </c>
      <c r="JUT868" s="295" t="s">
        <v>71</v>
      </c>
      <c r="JUU868" s="295" t="s">
        <v>71</v>
      </c>
      <c r="JUV868" s="295" t="s">
        <v>71</v>
      </c>
      <c r="JUW868" s="295" t="s">
        <v>71</v>
      </c>
      <c r="JUX868" s="295" t="s">
        <v>71</v>
      </c>
      <c r="JUY868" s="295" t="s">
        <v>71</v>
      </c>
      <c r="JUZ868" s="295" t="s">
        <v>71</v>
      </c>
      <c r="JVA868" s="295" t="s">
        <v>71</v>
      </c>
      <c r="JVB868" s="295" t="s">
        <v>71</v>
      </c>
      <c r="JVC868" s="295" t="s">
        <v>71</v>
      </c>
      <c r="JVD868" s="295" t="s">
        <v>71</v>
      </c>
      <c r="JVE868" s="295" t="s">
        <v>71</v>
      </c>
      <c r="JVF868" s="295" t="s">
        <v>71</v>
      </c>
      <c r="JVG868" s="295" t="s">
        <v>71</v>
      </c>
      <c r="JVH868" s="295" t="s">
        <v>71</v>
      </c>
      <c r="JVI868" s="295" t="s">
        <v>71</v>
      </c>
      <c r="JVJ868" s="295" t="s">
        <v>71</v>
      </c>
      <c r="JVK868" s="295" t="s">
        <v>71</v>
      </c>
      <c r="JVL868" s="295" t="s">
        <v>71</v>
      </c>
      <c r="JVM868" s="295" t="s">
        <v>71</v>
      </c>
      <c r="JVN868" s="295" t="s">
        <v>71</v>
      </c>
      <c r="JVO868" s="295" t="s">
        <v>71</v>
      </c>
      <c r="JVP868" s="295" t="s">
        <v>71</v>
      </c>
      <c r="JVQ868" s="295" t="s">
        <v>71</v>
      </c>
      <c r="JVR868" s="295" t="s">
        <v>71</v>
      </c>
      <c r="JVS868" s="295" t="s">
        <v>71</v>
      </c>
      <c r="JVT868" s="295" t="s">
        <v>71</v>
      </c>
      <c r="JVU868" s="295" t="s">
        <v>71</v>
      </c>
      <c r="JVV868" s="295" t="s">
        <v>71</v>
      </c>
      <c r="JVW868" s="295" t="s">
        <v>71</v>
      </c>
      <c r="JVX868" s="295" t="s">
        <v>71</v>
      </c>
      <c r="JVY868" s="295" t="s">
        <v>71</v>
      </c>
      <c r="JVZ868" s="295" t="s">
        <v>71</v>
      </c>
      <c r="JWA868" s="295" t="s">
        <v>71</v>
      </c>
      <c r="JWB868" s="295" t="s">
        <v>71</v>
      </c>
      <c r="JWC868" s="295" t="s">
        <v>71</v>
      </c>
      <c r="JWD868" s="295" t="s">
        <v>71</v>
      </c>
      <c r="JWE868" s="295" t="s">
        <v>71</v>
      </c>
      <c r="JWF868" s="295" t="s">
        <v>71</v>
      </c>
      <c r="JWG868" s="295" t="s">
        <v>71</v>
      </c>
      <c r="JWH868" s="295" t="s">
        <v>71</v>
      </c>
      <c r="JWI868" s="295" t="s">
        <v>71</v>
      </c>
      <c r="JWJ868" s="295" t="s">
        <v>71</v>
      </c>
      <c r="JWK868" s="295" t="s">
        <v>71</v>
      </c>
      <c r="JWL868" s="295" t="s">
        <v>71</v>
      </c>
      <c r="JWM868" s="295" t="s">
        <v>71</v>
      </c>
      <c r="JWN868" s="295" t="s">
        <v>71</v>
      </c>
      <c r="JWO868" s="295" t="s">
        <v>71</v>
      </c>
      <c r="JWP868" s="295" t="s">
        <v>71</v>
      </c>
      <c r="JWQ868" s="295" t="s">
        <v>71</v>
      </c>
      <c r="JWR868" s="295" t="s">
        <v>71</v>
      </c>
      <c r="JWS868" s="295" t="s">
        <v>71</v>
      </c>
      <c r="JWT868" s="295" t="s">
        <v>71</v>
      </c>
      <c r="JWU868" s="295" t="s">
        <v>71</v>
      </c>
      <c r="JWV868" s="295" t="s">
        <v>71</v>
      </c>
      <c r="JWW868" s="295" t="s">
        <v>71</v>
      </c>
      <c r="JWX868" s="295" t="s">
        <v>71</v>
      </c>
      <c r="JWY868" s="295" t="s">
        <v>71</v>
      </c>
      <c r="JWZ868" s="295" t="s">
        <v>71</v>
      </c>
      <c r="JXA868" s="295" t="s">
        <v>71</v>
      </c>
      <c r="JXB868" s="295" t="s">
        <v>71</v>
      </c>
      <c r="JXC868" s="295" t="s">
        <v>71</v>
      </c>
      <c r="JXD868" s="295" t="s">
        <v>71</v>
      </c>
      <c r="JXE868" s="295" t="s">
        <v>71</v>
      </c>
      <c r="JXF868" s="295" t="s">
        <v>71</v>
      </c>
      <c r="JXG868" s="295" t="s">
        <v>71</v>
      </c>
      <c r="JXH868" s="295" t="s">
        <v>71</v>
      </c>
      <c r="JXI868" s="295" t="s">
        <v>71</v>
      </c>
      <c r="JXJ868" s="295" t="s">
        <v>71</v>
      </c>
      <c r="JXK868" s="295" t="s">
        <v>71</v>
      </c>
      <c r="JXL868" s="295" t="s">
        <v>71</v>
      </c>
      <c r="JXM868" s="295" t="s">
        <v>71</v>
      </c>
      <c r="JXN868" s="295" t="s">
        <v>71</v>
      </c>
      <c r="JXO868" s="295" t="s">
        <v>71</v>
      </c>
      <c r="JXP868" s="295" t="s">
        <v>71</v>
      </c>
      <c r="JXQ868" s="295" t="s">
        <v>71</v>
      </c>
      <c r="JXR868" s="295" t="s">
        <v>71</v>
      </c>
      <c r="JXS868" s="295" t="s">
        <v>71</v>
      </c>
      <c r="JXT868" s="295" t="s">
        <v>71</v>
      </c>
      <c r="JXU868" s="295" t="s">
        <v>71</v>
      </c>
      <c r="JXV868" s="295" t="s">
        <v>71</v>
      </c>
      <c r="JXW868" s="295" t="s">
        <v>71</v>
      </c>
      <c r="JXX868" s="295" t="s">
        <v>71</v>
      </c>
      <c r="JXY868" s="295" t="s">
        <v>71</v>
      </c>
      <c r="JXZ868" s="295" t="s">
        <v>71</v>
      </c>
      <c r="JYA868" s="295" t="s">
        <v>71</v>
      </c>
      <c r="JYB868" s="295" t="s">
        <v>71</v>
      </c>
      <c r="JYC868" s="295" t="s">
        <v>71</v>
      </c>
      <c r="JYD868" s="295" t="s">
        <v>71</v>
      </c>
      <c r="JYE868" s="295" t="s">
        <v>71</v>
      </c>
      <c r="JYF868" s="295" t="s">
        <v>71</v>
      </c>
      <c r="JYG868" s="295" t="s">
        <v>71</v>
      </c>
      <c r="JYH868" s="295" t="s">
        <v>71</v>
      </c>
      <c r="JYI868" s="295" t="s">
        <v>71</v>
      </c>
      <c r="JYJ868" s="295" t="s">
        <v>71</v>
      </c>
      <c r="JYK868" s="295" t="s">
        <v>71</v>
      </c>
      <c r="JYL868" s="295" t="s">
        <v>71</v>
      </c>
      <c r="JYM868" s="295" t="s">
        <v>71</v>
      </c>
      <c r="JYN868" s="295" t="s">
        <v>71</v>
      </c>
      <c r="JYO868" s="295" t="s">
        <v>71</v>
      </c>
      <c r="JYP868" s="295" t="s">
        <v>71</v>
      </c>
      <c r="JYQ868" s="295" t="s">
        <v>71</v>
      </c>
      <c r="JYR868" s="295" t="s">
        <v>71</v>
      </c>
      <c r="JYS868" s="295" t="s">
        <v>71</v>
      </c>
      <c r="JYT868" s="295" t="s">
        <v>71</v>
      </c>
      <c r="JYU868" s="295" t="s">
        <v>71</v>
      </c>
      <c r="JYV868" s="295" t="s">
        <v>71</v>
      </c>
      <c r="JYW868" s="295" t="s">
        <v>71</v>
      </c>
      <c r="JYX868" s="295" t="s">
        <v>71</v>
      </c>
      <c r="JYY868" s="295" t="s">
        <v>71</v>
      </c>
      <c r="JYZ868" s="295" t="s">
        <v>71</v>
      </c>
      <c r="JZA868" s="295" t="s">
        <v>71</v>
      </c>
      <c r="JZB868" s="295" t="s">
        <v>71</v>
      </c>
      <c r="JZC868" s="295" t="s">
        <v>71</v>
      </c>
      <c r="JZD868" s="295" t="s">
        <v>71</v>
      </c>
      <c r="JZE868" s="295" t="s">
        <v>71</v>
      </c>
      <c r="JZF868" s="295" t="s">
        <v>71</v>
      </c>
      <c r="JZG868" s="295" t="s">
        <v>71</v>
      </c>
      <c r="JZH868" s="295" t="s">
        <v>71</v>
      </c>
      <c r="JZI868" s="295" t="s">
        <v>71</v>
      </c>
      <c r="JZJ868" s="295" t="s">
        <v>71</v>
      </c>
      <c r="JZK868" s="295" t="s">
        <v>71</v>
      </c>
      <c r="JZL868" s="295" t="s">
        <v>71</v>
      </c>
      <c r="JZM868" s="295" t="s">
        <v>71</v>
      </c>
      <c r="JZN868" s="295" t="s">
        <v>71</v>
      </c>
      <c r="JZO868" s="295" t="s">
        <v>71</v>
      </c>
      <c r="JZP868" s="295" t="s">
        <v>71</v>
      </c>
      <c r="JZQ868" s="295" t="s">
        <v>71</v>
      </c>
      <c r="JZR868" s="295" t="s">
        <v>71</v>
      </c>
      <c r="JZS868" s="295" t="s">
        <v>71</v>
      </c>
      <c r="JZT868" s="295" t="s">
        <v>71</v>
      </c>
      <c r="JZU868" s="295" t="s">
        <v>71</v>
      </c>
      <c r="JZV868" s="295" t="s">
        <v>71</v>
      </c>
      <c r="JZW868" s="295" t="s">
        <v>71</v>
      </c>
      <c r="JZX868" s="295" t="s">
        <v>71</v>
      </c>
      <c r="JZY868" s="295" t="s">
        <v>71</v>
      </c>
      <c r="JZZ868" s="295" t="s">
        <v>71</v>
      </c>
      <c r="KAA868" s="295" t="s">
        <v>71</v>
      </c>
      <c r="KAB868" s="295" t="s">
        <v>71</v>
      </c>
      <c r="KAC868" s="295" t="s">
        <v>71</v>
      </c>
      <c r="KAD868" s="295" t="s">
        <v>71</v>
      </c>
      <c r="KAE868" s="295" t="s">
        <v>71</v>
      </c>
      <c r="KAF868" s="295" t="s">
        <v>71</v>
      </c>
      <c r="KAG868" s="295" t="s">
        <v>71</v>
      </c>
      <c r="KAH868" s="295" t="s">
        <v>71</v>
      </c>
      <c r="KAI868" s="295" t="s">
        <v>71</v>
      </c>
      <c r="KAJ868" s="295" t="s">
        <v>71</v>
      </c>
      <c r="KAK868" s="295" t="s">
        <v>71</v>
      </c>
      <c r="KAL868" s="295" t="s">
        <v>71</v>
      </c>
      <c r="KAM868" s="295" t="s">
        <v>71</v>
      </c>
      <c r="KAN868" s="295" t="s">
        <v>71</v>
      </c>
      <c r="KAO868" s="295" t="s">
        <v>71</v>
      </c>
      <c r="KAP868" s="295" t="s">
        <v>71</v>
      </c>
      <c r="KAQ868" s="295" t="s">
        <v>71</v>
      </c>
      <c r="KAR868" s="295" t="s">
        <v>71</v>
      </c>
      <c r="KAS868" s="295" t="s">
        <v>71</v>
      </c>
      <c r="KAT868" s="295" t="s">
        <v>71</v>
      </c>
      <c r="KAU868" s="295" t="s">
        <v>71</v>
      </c>
      <c r="KAV868" s="295" t="s">
        <v>71</v>
      </c>
      <c r="KAW868" s="295" t="s">
        <v>71</v>
      </c>
      <c r="KAX868" s="295" t="s">
        <v>71</v>
      </c>
      <c r="KAY868" s="295" t="s">
        <v>71</v>
      </c>
      <c r="KAZ868" s="295" t="s">
        <v>71</v>
      </c>
      <c r="KBA868" s="295" t="s">
        <v>71</v>
      </c>
      <c r="KBB868" s="295" t="s">
        <v>71</v>
      </c>
      <c r="KBC868" s="295" t="s">
        <v>71</v>
      </c>
      <c r="KBD868" s="295" t="s">
        <v>71</v>
      </c>
      <c r="KBE868" s="295" t="s">
        <v>71</v>
      </c>
      <c r="KBF868" s="295" t="s">
        <v>71</v>
      </c>
      <c r="KBG868" s="295" t="s">
        <v>71</v>
      </c>
      <c r="KBH868" s="295" t="s">
        <v>71</v>
      </c>
      <c r="KBI868" s="295" t="s">
        <v>71</v>
      </c>
      <c r="KBJ868" s="295" t="s">
        <v>71</v>
      </c>
      <c r="KBK868" s="295" t="s">
        <v>71</v>
      </c>
      <c r="KBL868" s="295" t="s">
        <v>71</v>
      </c>
      <c r="KBM868" s="295" t="s">
        <v>71</v>
      </c>
      <c r="KBN868" s="295" t="s">
        <v>71</v>
      </c>
      <c r="KBO868" s="295" t="s">
        <v>71</v>
      </c>
      <c r="KBP868" s="295" t="s">
        <v>71</v>
      </c>
      <c r="KBQ868" s="295" t="s">
        <v>71</v>
      </c>
      <c r="KBR868" s="295" t="s">
        <v>71</v>
      </c>
      <c r="KBS868" s="295" t="s">
        <v>71</v>
      </c>
      <c r="KBT868" s="295" t="s">
        <v>71</v>
      </c>
      <c r="KBU868" s="295" t="s">
        <v>71</v>
      </c>
      <c r="KBV868" s="295" t="s">
        <v>71</v>
      </c>
      <c r="KBW868" s="295" t="s">
        <v>71</v>
      </c>
      <c r="KBX868" s="295" t="s">
        <v>71</v>
      </c>
      <c r="KBY868" s="295" t="s">
        <v>71</v>
      </c>
      <c r="KBZ868" s="295" t="s">
        <v>71</v>
      </c>
      <c r="KCA868" s="295" t="s">
        <v>71</v>
      </c>
      <c r="KCB868" s="295" t="s">
        <v>71</v>
      </c>
      <c r="KCC868" s="295" t="s">
        <v>71</v>
      </c>
      <c r="KCD868" s="295" t="s">
        <v>71</v>
      </c>
      <c r="KCE868" s="295" t="s">
        <v>71</v>
      </c>
      <c r="KCF868" s="295" t="s">
        <v>71</v>
      </c>
      <c r="KCG868" s="295" t="s">
        <v>71</v>
      </c>
      <c r="KCH868" s="295" t="s">
        <v>71</v>
      </c>
      <c r="KCI868" s="295" t="s">
        <v>71</v>
      </c>
      <c r="KCJ868" s="295" t="s">
        <v>71</v>
      </c>
      <c r="KCK868" s="295" t="s">
        <v>71</v>
      </c>
      <c r="KCL868" s="295" t="s">
        <v>71</v>
      </c>
      <c r="KCM868" s="295" t="s">
        <v>71</v>
      </c>
      <c r="KCN868" s="295" t="s">
        <v>71</v>
      </c>
      <c r="KCO868" s="295" t="s">
        <v>71</v>
      </c>
      <c r="KCP868" s="295" t="s">
        <v>71</v>
      </c>
      <c r="KCQ868" s="295" t="s">
        <v>71</v>
      </c>
      <c r="KCR868" s="295" t="s">
        <v>71</v>
      </c>
      <c r="KCS868" s="295" t="s">
        <v>71</v>
      </c>
      <c r="KCT868" s="295" t="s">
        <v>71</v>
      </c>
      <c r="KCU868" s="295" t="s">
        <v>71</v>
      </c>
      <c r="KCV868" s="295" t="s">
        <v>71</v>
      </c>
      <c r="KCW868" s="295" t="s">
        <v>71</v>
      </c>
      <c r="KCX868" s="295" t="s">
        <v>71</v>
      </c>
      <c r="KCY868" s="295" t="s">
        <v>71</v>
      </c>
      <c r="KCZ868" s="295" t="s">
        <v>71</v>
      </c>
      <c r="KDA868" s="295" t="s">
        <v>71</v>
      </c>
      <c r="KDB868" s="295" t="s">
        <v>71</v>
      </c>
      <c r="KDC868" s="295" t="s">
        <v>71</v>
      </c>
      <c r="KDD868" s="295" t="s">
        <v>71</v>
      </c>
      <c r="KDE868" s="295" t="s">
        <v>71</v>
      </c>
      <c r="KDF868" s="295" t="s">
        <v>71</v>
      </c>
      <c r="KDG868" s="295" t="s">
        <v>71</v>
      </c>
      <c r="KDH868" s="295" t="s">
        <v>71</v>
      </c>
      <c r="KDI868" s="295" t="s">
        <v>71</v>
      </c>
      <c r="KDJ868" s="295" t="s">
        <v>71</v>
      </c>
      <c r="KDK868" s="295" t="s">
        <v>71</v>
      </c>
      <c r="KDL868" s="295" t="s">
        <v>71</v>
      </c>
      <c r="KDM868" s="295" t="s">
        <v>71</v>
      </c>
      <c r="KDN868" s="295" t="s">
        <v>71</v>
      </c>
      <c r="KDO868" s="295" t="s">
        <v>71</v>
      </c>
      <c r="KDP868" s="295" t="s">
        <v>71</v>
      </c>
      <c r="KDQ868" s="295" t="s">
        <v>71</v>
      </c>
      <c r="KDR868" s="295" t="s">
        <v>71</v>
      </c>
      <c r="KDS868" s="295" t="s">
        <v>71</v>
      </c>
      <c r="KDT868" s="295" t="s">
        <v>71</v>
      </c>
      <c r="KDU868" s="295" t="s">
        <v>71</v>
      </c>
      <c r="KDV868" s="295" t="s">
        <v>71</v>
      </c>
      <c r="KDW868" s="295" t="s">
        <v>71</v>
      </c>
      <c r="KDX868" s="295" t="s">
        <v>71</v>
      </c>
      <c r="KDY868" s="295" t="s">
        <v>71</v>
      </c>
      <c r="KDZ868" s="295" t="s">
        <v>71</v>
      </c>
      <c r="KEA868" s="295" t="s">
        <v>71</v>
      </c>
      <c r="KEB868" s="295" t="s">
        <v>71</v>
      </c>
      <c r="KEC868" s="295" t="s">
        <v>71</v>
      </c>
      <c r="KED868" s="295" t="s">
        <v>71</v>
      </c>
      <c r="KEE868" s="295" t="s">
        <v>71</v>
      </c>
      <c r="KEF868" s="295" t="s">
        <v>71</v>
      </c>
      <c r="KEG868" s="295" t="s">
        <v>71</v>
      </c>
      <c r="KEH868" s="295" t="s">
        <v>71</v>
      </c>
      <c r="KEI868" s="295" t="s">
        <v>71</v>
      </c>
      <c r="KEJ868" s="295" t="s">
        <v>71</v>
      </c>
      <c r="KEK868" s="295" t="s">
        <v>71</v>
      </c>
      <c r="KEL868" s="295" t="s">
        <v>71</v>
      </c>
      <c r="KEM868" s="295" t="s">
        <v>71</v>
      </c>
      <c r="KEN868" s="295" t="s">
        <v>71</v>
      </c>
      <c r="KEO868" s="295" t="s">
        <v>71</v>
      </c>
      <c r="KEP868" s="295" t="s">
        <v>71</v>
      </c>
      <c r="KEQ868" s="295" t="s">
        <v>71</v>
      </c>
      <c r="KER868" s="295" t="s">
        <v>71</v>
      </c>
      <c r="KES868" s="295" t="s">
        <v>71</v>
      </c>
      <c r="KET868" s="295" t="s">
        <v>71</v>
      </c>
      <c r="KEU868" s="295" t="s">
        <v>71</v>
      </c>
      <c r="KEV868" s="295" t="s">
        <v>71</v>
      </c>
      <c r="KEW868" s="295" t="s">
        <v>71</v>
      </c>
      <c r="KEX868" s="295" t="s">
        <v>71</v>
      </c>
      <c r="KEY868" s="295" t="s">
        <v>71</v>
      </c>
      <c r="KEZ868" s="295" t="s">
        <v>71</v>
      </c>
      <c r="KFA868" s="295" t="s">
        <v>71</v>
      </c>
      <c r="KFB868" s="295" t="s">
        <v>71</v>
      </c>
      <c r="KFC868" s="295" t="s">
        <v>71</v>
      </c>
      <c r="KFD868" s="295" t="s">
        <v>71</v>
      </c>
      <c r="KFE868" s="295" t="s">
        <v>71</v>
      </c>
      <c r="KFF868" s="295" t="s">
        <v>71</v>
      </c>
      <c r="KFG868" s="295" t="s">
        <v>71</v>
      </c>
      <c r="KFH868" s="295" t="s">
        <v>71</v>
      </c>
      <c r="KFI868" s="295" t="s">
        <v>71</v>
      </c>
      <c r="KFJ868" s="295" t="s">
        <v>71</v>
      </c>
      <c r="KFK868" s="295" t="s">
        <v>71</v>
      </c>
      <c r="KFL868" s="295" t="s">
        <v>71</v>
      </c>
      <c r="KFM868" s="295" t="s">
        <v>71</v>
      </c>
      <c r="KFN868" s="295" t="s">
        <v>71</v>
      </c>
      <c r="KFO868" s="295" t="s">
        <v>71</v>
      </c>
      <c r="KFP868" s="295" t="s">
        <v>71</v>
      </c>
      <c r="KFQ868" s="295" t="s">
        <v>71</v>
      </c>
      <c r="KFR868" s="295" t="s">
        <v>71</v>
      </c>
      <c r="KFS868" s="295" t="s">
        <v>71</v>
      </c>
      <c r="KFT868" s="295" t="s">
        <v>71</v>
      </c>
      <c r="KFU868" s="295" t="s">
        <v>71</v>
      </c>
      <c r="KFV868" s="295" t="s">
        <v>71</v>
      </c>
      <c r="KFW868" s="295" t="s">
        <v>71</v>
      </c>
      <c r="KFX868" s="295" t="s">
        <v>71</v>
      </c>
      <c r="KFY868" s="295" t="s">
        <v>71</v>
      </c>
      <c r="KFZ868" s="295" t="s">
        <v>71</v>
      </c>
      <c r="KGA868" s="295" t="s">
        <v>71</v>
      </c>
      <c r="KGB868" s="295" t="s">
        <v>71</v>
      </c>
      <c r="KGC868" s="295" t="s">
        <v>71</v>
      </c>
      <c r="KGD868" s="295" t="s">
        <v>71</v>
      </c>
      <c r="KGE868" s="295" t="s">
        <v>71</v>
      </c>
      <c r="KGF868" s="295" t="s">
        <v>71</v>
      </c>
      <c r="KGG868" s="295" t="s">
        <v>71</v>
      </c>
      <c r="KGH868" s="295" t="s">
        <v>71</v>
      </c>
      <c r="KGI868" s="295" t="s">
        <v>71</v>
      </c>
      <c r="KGJ868" s="295" t="s">
        <v>71</v>
      </c>
      <c r="KGK868" s="295" t="s">
        <v>71</v>
      </c>
      <c r="KGL868" s="295" t="s">
        <v>71</v>
      </c>
      <c r="KGM868" s="295" t="s">
        <v>71</v>
      </c>
      <c r="KGN868" s="295" t="s">
        <v>71</v>
      </c>
      <c r="KGO868" s="295" t="s">
        <v>71</v>
      </c>
      <c r="KGP868" s="295" t="s">
        <v>71</v>
      </c>
      <c r="KGQ868" s="295" t="s">
        <v>71</v>
      </c>
      <c r="KGR868" s="295" t="s">
        <v>71</v>
      </c>
      <c r="KGS868" s="295" t="s">
        <v>71</v>
      </c>
      <c r="KGT868" s="295" t="s">
        <v>71</v>
      </c>
      <c r="KGU868" s="295" t="s">
        <v>71</v>
      </c>
      <c r="KGV868" s="295" t="s">
        <v>71</v>
      </c>
      <c r="KGW868" s="295" t="s">
        <v>71</v>
      </c>
      <c r="KGX868" s="295" t="s">
        <v>71</v>
      </c>
      <c r="KGY868" s="295" t="s">
        <v>71</v>
      </c>
      <c r="KGZ868" s="295" t="s">
        <v>71</v>
      </c>
      <c r="KHA868" s="295" t="s">
        <v>71</v>
      </c>
      <c r="KHB868" s="295" t="s">
        <v>71</v>
      </c>
      <c r="KHC868" s="295" t="s">
        <v>71</v>
      </c>
      <c r="KHD868" s="295" t="s">
        <v>71</v>
      </c>
      <c r="KHE868" s="295" t="s">
        <v>71</v>
      </c>
      <c r="KHF868" s="295" t="s">
        <v>71</v>
      </c>
      <c r="KHG868" s="295" t="s">
        <v>71</v>
      </c>
      <c r="KHH868" s="295" t="s">
        <v>71</v>
      </c>
      <c r="KHI868" s="295" t="s">
        <v>71</v>
      </c>
      <c r="KHJ868" s="295" t="s">
        <v>71</v>
      </c>
      <c r="KHK868" s="295" t="s">
        <v>71</v>
      </c>
      <c r="KHL868" s="295" t="s">
        <v>71</v>
      </c>
      <c r="KHM868" s="295" t="s">
        <v>71</v>
      </c>
      <c r="KHN868" s="295" t="s">
        <v>71</v>
      </c>
      <c r="KHO868" s="295" t="s">
        <v>71</v>
      </c>
      <c r="KHP868" s="295" t="s">
        <v>71</v>
      </c>
      <c r="KHQ868" s="295" t="s">
        <v>71</v>
      </c>
      <c r="KHR868" s="295" t="s">
        <v>71</v>
      </c>
      <c r="KHS868" s="295" t="s">
        <v>71</v>
      </c>
      <c r="KHT868" s="295" t="s">
        <v>71</v>
      </c>
      <c r="KHU868" s="295" t="s">
        <v>71</v>
      </c>
      <c r="KHV868" s="295" t="s">
        <v>71</v>
      </c>
      <c r="KHW868" s="295" t="s">
        <v>71</v>
      </c>
      <c r="KHX868" s="295" t="s">
        <v>71</v>
      </c>
      <c r="KHY868" s="295" t="s">
        <v>71</v>
      </c>
      <c r="KHZ868" s="295" t="s">
        <v>71</v>
      </c>
      <c r="KIA868" s="295" t="s">
        <v>71</v>
      </c>
      <c r="KIB868" s="295" t="s">
        <v>71</v>
      </c>
      <c r="KIC868" s="295" t="s">
        <v>71</v>
      </c>
      <c r="KID868" s="295" t="s">
        <v>71</v>
      </c>
      <c r="KIE868" s="295" t="s">
        <v>71</v>
      </c>
      <c r="KIF868" s="295" t="s">
        <v>71</v>
      </c>
      <c r="KIG868" s="295" t="s">
        <v>71</v>
      </c>
      <c r="KIH868" s="295" t="s">
        <v>71</v>
      </c>
      <c r="KII868" s="295" t="s">
        <v>71</v>
      </c>
      <c r="KIJ868" s="295" t="s">
        <v>71</v>
      </c>
      <c r="KIK868" s="295" t="s">
        <v>71</v>
      </c>
      <c r="KIL868" s="295" t="s">
        <v>71</v>
      </c>
      <c r="KIM868" s="295" t="s">
        <v>71</v>
      </c>
      <c r="KIN868" s="295" t="s">
        <v>71</v>
      </c>
      <c r="KIO868" s="295" t="s">
        <v>71</v>
      </c>
      <c r="KIP868" s="295" t="s">
        <v>71</v>
      </c>
      <c r="KIQ868" s="295" t="s">
        <v>71</v>
      </c>
      <c r="KIR868" s="295" t="s">
        <v>71</v>
      </c>
      <c r="KIS868" s="295" t="s">
        <v>71</v>
      </c>
      <c r="KIT868" s="295" t="s">
        <v>71</v>
      </c>
      <c r="KIU868" s="295" t="s">
        <v>71</v>
      </c>
      <c r="KIV868" s="295" t="s">
        <v>71</v>
      </c>
      <c r="KIW868" s="295" t="s">
        <v>71</v>
      </c>
      <c r="KIX868" s="295" t="s">
        <v>71</v>
      </c>
      <c r="KIY868" s="295" t="s">
        <v>71</v>
      </c>
      <c r="KIZ868" s="295" t="s">
        <v>71</v>
      </c>
      <c r="KJA868" s="295" t="s">
        <v>71</v>
      </c>
      <c r="KJB868" s="295" t="s">
        <v>71</v>
      </c>
      <c r="KJC868" s="295" t="s">
        <v>71</v>
      </c>
      <c r="KJD868" s="295" t="s">
        <v>71</v>
      </c>
      <c r="KJE868" s="295" t="s">
        <v>71</v>
      </c>
      <c r="KJF868" s="295" t="s">
        <v>71</v>
      </c>
      <c r="KJG868" s="295" t="s">
        <v>71</v>
      </c>
      <c r="KJH868" s="295" t="s">
        <v>71</v>
      </c>
      <c r="KJI868" s="295" t="s">
        <v>71</v>
      </c>
      <c r="KJJ868" s="295" t="s">
        <v>71</v>
      </c>
      <c r="KJK868" s="295" t="s">
        <v>71</v>
      </c>
      <c r="KJL868" s="295" t="s">
        <v>71</v>
      </c>
      <c r="KJM868" s="295" t="s">
        <v>71</v>
      </c>
      <c r="KJN868" s="295" t="s">
        <v>71</v>
      </c>
      <c r="KJO868" s="295" t="s">
        <v>71</v>
      </c>
      <c r="KJP868" s="295" t="s">
        <v>71</v>
      </c>
      <c r="KJQ868" s="295" t="s">
        <v>71</v>
      </c>
      <c r="KJR868" s="295" t="s">
        <v>71</v>
      </c>
      <c r="KJS868" s="295" t="s">
        <v>71</v>
      </c>
      <c r="KJT868" s="295" t="s">
        <v>71</v>
      </c>
      <c r="KJU868" s="295" t="s">
        <v>71</v>
      </c>
      <c r="KJV868" s="295" t="s">
        <v>71</v>
      </c>
      <c r="KJW868" s="295" t="s">
        <v>71</v>
      </c>
      <c r="KJX868" s="295" t="s">
        <v>71</v>
      </c>
      <c r="KJY868" s="295" t="s">
        <v>71</v>
      </c>
      <c r="KJZ868" s="295" t="s">
        <v>71</v>
      </c>
      <c r="KKA868" s="295" t="s">
        <v>71</v>
      </c>
      <c r="KKB868" s="295" t="s">
        <v>71</v>
      </c>
      <c r="KKC868" s="295" t="s">
        <v>71</v>
      </c>
      <c r="KKD868" s="295" t="s">
        <v>71</v>
      </c>
      <c r="KKE868" s="295" t="s">
        <v>71</v>
      </c>
      <c r="KKF868" s="295" t="s">
        <v>71</v>
      </c>
      <c r="KKG868" s="295" t="s">
        <v>71</v>
      </c>
      <c r="KKH868" s="295" t="s">
        <v>71</v>
      </c>
      <c r="KKI868" s="295" t="s">
        <v>71</v>
      </c>
      <c r="KKJ868" s="295" t="s">
        <v>71</v>
      </c>
      <c r="KKK868" s="295" t="s">
        <v>71</v>
      </c>
      <c r="KKL868" s="295" t="s">
        <v>71</v>
      </c>
      <c r="KKM868" s="295" t="s">
        <v>71</v>
      </c>
      <c r="KKN868" s="295" t="s">
        <v>71</v>
      </c>
      <c r="KKO868" s="295" t="s">
        <v>71</v>
      </c>
      <c r="KKP868" s="295" t="s">
        <v>71</v>
      </c>
      <c r="KKQ868" s="295" t="s">
        <v>71</v>
      </c>
      <c r="KKR868" s="295" t="s">
        <v>71</v>
      </c>
      <c r="KKS868" s="295" t="s">
        <v>71</v>
      </c>
      <c r="KKT868" s="295" t="s">
        <v>71</v>
      </c>
      <c r="KKU868" s="295" t="s">
        <v>71</v>
      </c>
      <c r="KKV868" s="295" t="s">
        <v>71</v>
      </c>
      <c r="KKW868" s="295" t="s">
        <v>71</v>
      </c>
      <c r="KKX868" s="295" t="s">
        <v>71</v>
      </c>
      <c r="KKY868" s="295" t="s">
        <v>71</v>
      </c>
      <c r="KKZ868" s="295" t="s">
        <v>71</v>
      </c>
      <c r="KLA868" s="295" t="s">
        <v>71</v>
      </c>
      <c r="KLB868" s="295" t="s">
        <v>71</v>
      </c>
      <c r="KLC868" s="295" t="s">
        <v>71</v>
      </c>
      <c r="KLD868" s="295" t="s">
        <v>71</v>
      </c>
      <c r="KLE868" s="295" t="s">
        <v>71</v>
      </c>
      <c r="KLF868" s="295" t="s">
        <v>71</v>
      </c>
      <c r="KLG868" s="295" t="s">
        <v>71</v>
      </c>
      <c r="KLH868" s="295" t="s">
        <v>71</v>
      </c>
      <c r="KLI868" s="295" t="s">
        <v>71</v>
      </c>
      <c r="KLJ868" s="295" t="s">
        <v>71</v>
      </c>
      <c r="KLK868" s="295" t="s">
        <v>71</v>
      </c>
      <c r="KLL868" s="295" t="s">
        <v>71</v>
      </c>
      <c r="KLM868" s="295" t="s">
        <v>71</v>
      </c>
      <c r="KLN868" s="295" t="s">
        <v>71</v>
      </c>
      <c r="KLO868" s="295" t="s">
        <v>71</v>
      </c>
      <c r="KLP868" s="295" t="s">
        <v>71</v>
      </c>
      <c r="KLQ868" s="295" t="s">
        <v>71</v>
      </c>
      <c r="KLR868" s="295" t="s">
        <v>71</v>
      </c>
      <c r="KLS868" s="295" t="s">
        <v>71</v>
      </c>
      <c r="KLT868" s="295" t="s">
        <v>71</v>
      </c>
      <c r="KLU868" s="295" t="s">
        <v>71</v>
      </c>
      <c r="KLV868" s="295" t="s">
        <v>71</v>
      </c>
      <c r="KLW868" s="295" t="s">
        <v>71</v>
      </c>
      <c r="KLX868" s="295" t="s">
        <v>71</v>
      </c>
      <c r="KLY868" s="295" t="s">
        <v>71</v>
      </c>
      <c r="KLZ868" s="295" t="s">
        <v>71</v>
      </c>
      <c r="KMA868" s="295" t="s">
        <v>71</v>
      </c>
      <c r="KMB868" s="295" t="s">
        <v>71</v>
      </c>
      <c r="KMC868" s="295" t="s">
        <v>71</v>
      </c>
      <c r="KMD868" s="295" t="s">
        <v>71</v>
      </c>
      <c r="KME868" s="295" t="s">
        <v>71</v>
      </c>
      <c r="KMF868" s="295" t="s">
        <v>71</v>
      </c>
      <c r="KMG868" s="295" t="s">
        <v>71</v>
      </c>
      <c r="KMH868" s="295" t="s">
        <v>71</v>
      </c>
      <c r="KMI868" s="295" t="s">
        <v>71</v>
      </c>
      <c r="KMJ868" s="295" t="s">
        <v>71</v>
      </c>
      <c r="KMK868" s="295" t="s">
        <v>71</v>
      </c>
      <c r="KML868" s="295" t="s">
        <v>71</v>
      </c>
      <c r="KMM868" s="295" t="s">
        <v>71</v>
      </c>
      <c r="KMN868" s="295" t="s">
        <v>71</v>
      </c>
      <c r="KMO868" s="295" t="s">
        <v>71</v>
      </c>
      <c r="KMP868" s="295" t="s">
        <v>71</v>
      </c>
      <c r="KMQ868" s="295" t="s">
        <v>71</v>
      </c>
      <c r="KMR868" s="295" t="s">
        <v>71</v>
      </c>
      <c r="KMS868" s="295" t="s">
        <v>71</v>
      </c>
      <c r="KMT868" s="295" t="s">
        <v>71</v>
      </c>
      <c r="KMU868" s="295" t="s">
        <v>71</v>
      </c>
      <c r="KMV868" s="295" t="s">
        <v>71</v>
      </c>
      <c r="KMW868" s="295" t="s">
        <v>71</v>
      </c>
      <c r="KMX868" s="295" t="s">
        <v>71</v>
      </c>
      <c r="KMY868" s="295" t="s">
        <v>71</v>
      </c>
      <c r="KMZ868" s="295" t="s">
        <v>71</v>
      </c>
      <c r="KNA868" s="295" t="s">
        <v>71</v>
      </c>
      <c r="KNB868" s="295" t="s">
        <v>71</v>
      </c>
      <c r="KNC868" s="295" t="s">
        <v>71</v>
      </c>
      <c r="KND868" s="295" t="s">
        <v>71</v>
      </c>
      <c r="KNE868" s="295" t="s">
        <v>71</v>
      </c>
      <c r="KNF868" s="295" t="s">
        <v>71</v>
      </c>
      <c r="KNG868" s="295" t="s">
        <v>71</v>
      </c>
      <c r="KNH868" s="295" t="s">
        <v>71</v>
      </c>
      <c r="KNI868" s="295" t="s">
        <v>71</v>
      </c>
      <c r="KNJ868" s="295" t="s">
        <v>71</v>
      </c>
      <c r="KNK868" s="295" t="s">
        <v>71</v>
      </c>
      <c r="KNL868" s="295" t="s">
        <v>71</v>
      </c>
      <c r="KNM868" s="295" t="s">
        <v>71</v>
      </c>
      <c r="KNN868" s="295" t="s">
        <v>71</v>
      </c>
      <c r="KNO868" s="295" t="s">
        <v>71</v>
      </c>
      <c r="KNP868" s="295" t="s">
        <v>71</v>
      </c>
      <c r="KNQ868" s="295" t="s">
        <v>71</v>
      </c>
      <c r="KNR868" s="295" t="s">
        <v>71</v>
      </c>
      <c r="KNS868" s="295" t="s">
        <v>71</v>
      </c>
      <c r="KNT868" s="295" t="s">
        <v>71</v>
      </c>
      <c r="KNU868" s="295" t="s">
        <v>71</v>
      </c>
      <c r="KNV868" s="295" t="s">
        <v>71</v>
      </c>
      <c r="KNW868" s="295" t="s">
        <v>71</v>
      </c>
      <c r="KNX868" s="295" t="s">
        <v>71</v>
      </c>
      <c r="KNY868" s="295" t="s">
        <v>71</v>
      </c>
      <c r="KNZ868" s="295" t="s">
        <v>71</v>
      </c>
      <c r="KOA868" s="295" t="s">
        <v>71</v>
      </c>
      <c r="KOB868" s="295" t="s">
        <v>71</v>
      </c>
      <c r="KOC868" s="295" t="s">
        <v>71</v>
      </c>
      <c r="KOD868" s="295" t="s">
        <v>71</v>
      </c>
      <c r="KOE868" s="295" t="s">
        <v>71</v>
      </c>
      <c r="KOF868" s="295" t="s">
        <v>71</v>
      </c>
      <c r="KOG868" s="295" t="s">
        <v>71</v>
      </c>
      <c r="KOH868" s="295" t="s">
        <v>71</v>
      </c>
      <c r="KOI868" s="295" t="s">
        <v>71</v>
      </c>
      <c r="KOJ868" s="295" t="s">
        <v>71</v>
      </c>
      <c r="KOK868" s="295" t="s">
        <v>71</v>
      </c>
      <c r="KOL868" s="295" t="s">
        <v>71</v>
      </c>
      <c r="KOM868" s="295" t="s">
        <v>71</v>
      </c>
      <c r="KON868" s="295" t="s">
        <v>71</v>
      </c>
      <c r="KOO868" s="295" t="s">
        <v>71</v>
      </c>
      <c r="KOP868" s="295" t="s">
        <v>71</v>
      </c>
      <c r="KOQ868" s="295" t="s">
        <v>71</v>
      </c>
      <c r="KOR868" s="295" t="s">
        <v>71</v>
      </c>
      <c r="KOS868" s="295" t="s">
        <v>71</v>
      </c>
      <c r="KOT868" s="295" t="s">
        <v>71</v>
      </c>
      <c r="KOU868" s="295" t="s">
        <v>71</v>
      </c>
      <c r="KOV868" s="295" t="s">
        <v>71</v>
      </c>
      <c r="KOW868" s="295" t="s">
        <v>71</v>
      </c>
      <c r="KOX868" s="295" t="s">
        <v>71</v>
      </c>
      <c r="KOY868" s="295" t="s">
        <v>71</v>
      </c>
      <c r="KOZ868" s="295" t="s">
        <v>71</v>
      </c>
      <c r="KPA868" s="295" t="s">
        <v>71</v>
      </c>
      <c r="KPB868" s="295" t="s">
        <v>71</v>
      </c>
      <c r="KPC868" s="295" t="s">
        <v>71</v>
      </c>
      <c r="KPD868" s="295" t="s">
        <v>71</v>
      </c>
      <c r="KPE868" s="295" t="s">
        <v>71</v>
      </c>
      <c r="KPF868" s="295" t="s">
        <v>71</v>
      </c>
      <c r="KPG868" s="295" t="s">
        <v>71</v>
      </c>
      <c r="KPH868" s="295" t="s">
        <v>71</v>
      </c>
      <c r="KPI868" s="295" t="s">
        <v>71</v>
      </c>
      <c r="KPJ868" s="295" t="s">
        <v>71</v>
      </c>
      <c r="KPK868" s="295" t="s">
        <v>71</v>
      </c>
      <c r="KPL868" s="295" t="s">
        <v>71</v>
      </c>
      <c r="KPM868" s="295" t="s">
        <v>71</v>
      </c>
      <c r="KPN868" s="295" t="s">
        <v>71</v>
      </c>
      <c r="KPO868" s="295" t="s">
        <v>71</v>
      </c>
      <c r="KPP868" s="295" t="s">
        <v>71</v>
      </c>
      <c r="KPQ868" s="295" t="s">
        <v>71</v>
      </c>
      <c r="KPR868" s="295" t="s">
        <v>71</v>
      </c>
      <c r="KPS868" s="295" t="s">
        <v>71</v>
      </c>
      <c r="KPT868" s="295" t="s">
        <v>71</v>
      </c>
      <c r="KPU868" s="295" t="s">
        <v>71</v>
      </c>
      <c r="KPV868" s="295" t="s">
        <v>71</v>
      </c>
      <c r="KPW868" s="295" t="s">
        <v>71</v>
      </c>
      <c r="KPX868" s="295" t="s">
        <v>71</v>
      </c>
      <c r="KPY868" s="295" t="s">
        <v>71</v>
      </c>
      <c r="KPZ868" s="295" t="s">
        <v>71</v>
      </c>
      <c r="KQA868" s="295" t="s">
        <v>71</v>
      </c>
      <c r="KQB868" s="295" t="s">
        <v>71</v>
      </c>
      <c r="KQC868" s="295" t="s">
        <v>71</v>
      </c>
      <c r="KQD868" s="295" t="s">
        <v>71</v>
      </c>
      <c r="KQE868" s="295" t="s">
        <v>71</v>
      </c>
      <c r="KQF868" s="295" t="s">
        <v>71</v>
      </c>
      <c r="KQG868" s="295" t="s">
        <v>71</v>
      </c>
      <c r="KQH868" s="295" t="s">
        <v>71</v>
      </c>
      <c r="KQI868" s="295" t="s">
        <v>71</v>
      </c>
      <c r="KQJ868" s="295" t="s">
        <v>71</v>
      </c>
      <c r="KQK868" s="295" t="s">
        <v>71</v>
      </c>
      <c r="KQL868" s="295" t="s">
        <v>71</v>
      </c>
      <c r="KQM868" s="295" t="s">
        <v>71</v>
      </c>
      <c r="KQN868" s="295" t="s">
        <v>71</v>
      </c>
      <c r="KQO868" s="295" t="s">
        <v>71</v>
      </c>
      <c r="KQP868" s="295" t="s">
        <v>71</v>
      </c>
      <c r="KQQ868" s="295" t="s">
        <v>71</v>
      </c>
      <c r="KQR868" s="295" t="s">
        <v>71</v>
      </c>
      <c r="KQS868" s="295" t="s">
        <v>71</v>
      </c>
      <c r="KQT868" s="295" t="s">
        <v>71</v>
      </c>
      <c r="KQU868" s="295" t="s">
        <v>71</v>
      </c>
      <c r="KQV868" s="295" t="s">
        <v>71</v>
      </c>
      <c r="KQW868" s="295" t="s">
        <v>71</v>
      </c>
      <c r="KQX868" s="295" t="s">
        <v>71</v>
      </c>
      <c r="KQY868" s="295" t="s">
        <v>71</v>
      </c>
      <c r="KQZ868" s="295" t="s">
        <v>71</v>
      </c>
      <c r="KRA868" s="295" t="s">
        <v>71</v>
      </c>
      <c r="KRB868" s="295" t="s">
        <v>71</v>
      </c>
      <c r="KRC868" s="295" t="s">
        <v>71</v>
      </c>
      <c r="KRD868" s="295" t="s">
        <v>71</v>
      </c>
      <c r="KRE868" s="295" t="s">
        <v>71</v>
      </c>
      <c r="KRF868" s="295" t="s">
        <v>71</v>
      </c>
      <c r="KRG868" s="295" t="s">
        <v>71</v>
      </c>
      <c r="KRH868" s="295" t="s">
        <v>71</v>
      </c>
      <c r="KRI868" s="295" t="s">
        <v>71</v>
      </c>
      <c r="KRJ868" s="295" t="s">
        <v>71</v>
      </c>
      <c r="KRK868" s="295" t="s">
        <v>71</v>
      </c>
      <c r="KRL868" s="295" t="s">
        <v>71</v>
      </c>
      <c r="KRM868" s="295" t="s">
        <v>71</v>
      </c>
      <c r="KRN868" s="295" t="s">
        <v>71</v>
      </c>
      <c r="KRO868" s="295" t="s">
        <v>71</v>
      </c>
      <c r="KRP868" s="295" t="s">
        <v>71</v>
      </c>
      <c r="KRQ868" s="295" t="s">
        <v>71</v>
      </c>
      <c r="KRR868" s="295" t="s">
        <v>71</v>
      </c>
      <c r="KRS868" s="295" t="s">
        <v>71</v>
      </c>
      <c r="KRT868" s="295" t="s">
        <v>71</v>
      </c>
      <c r="KRU868" s="295" t="s">
        <v>71</v>
      </c>
      <c r="KRV868" s="295" t="s">
        <v>71</v>
      </c>
      <c r="KRW868" s="295" t="s">
        <v>71</v>
      </c>
      <c r="KRX868" s="295" t="s">
        <v>71</v>
      </c>
      <c r="KRY868" s="295" t="s">
        <v>71</v>
      </c>
      <c r="KRZ868" s="295" t="s">
        <v>71</v>
      </c>
      <c r="KSA868" s="295" t="s">
        <v>71</v>
      </c>
      <c r="KSB868" s="295" t="s">
        <v>71</v>
      </c>
      <c r="KSC868" s="295" t="s">
        <v>71</v>
      </c>
      <c r="KSD868" s="295" t="s">
        <v>71</v>
      </c>
      <c r="KSE868" s="295" t="s">
        <v>71</v>
      </c>
      <c r="KSF868" s="295" t="s">
        <v>71</v>
      </c>
      <c r="KSG868" s="295" t="s">
        <v>71</v>
      </c>
      <c r="KSH868" s="295" t="s">
        <v>71</v>
      </c>
      <c r="KSI868" s="295" t="s">
        <v>71</v>
      </c>
      <c r="KSJ868" s="295" t="s">
        <v>71</v>
      </c>
      <c r="KSK868" s="295" t="s">
        <v>71</v>
      </c>
      <c r="KSL868" s="295" t="s">
        <v>71</v>
      </c>
      <c r="KSM868" s="295" t="s">
        <v>71</v>
      </c>
      <c r="KSN868" s="295" t="s">
        <v>71</v>
      </c>
      <c r="KSO868" s="295" t="s">
        <v>71</v>
      </c>
      <c r="KSP868" s="295" t="s">
        <v>71</v>
      </c>
      <c r="KSQ868" s="295" t="s">
        <v>71</v>
      </c>
      <c r="KSR868" s="295" t="s">
        <v>71</v>
      </c>
      <c r="KSS868" s="295" t="s">
        <v>71</v>
      </c>
      <c r="KST868" s="295" t="s">
        <v>71</v>
      </c>
      <c r="KSU868" s="295" t="s">
        <v>71</v>
      </c>
      <c r="KSV868" s="295" t="s">
        <v>71</v>
      </c>
      <c r="KSW868" s="295" t="s">
        <v>71</v>
      </c>
      <c r="KSX868" s="295" t="s">
        <v>71</v>
      </c>
      <c r="KSY868" s="295" t="s">
        <v>71</v>
      </c>
      <c r="KSZ868" s="295" t="s">
        <v>71</v>
      </c>
      <c r="KTA868" s="295" t="s">
        <v>71</v>
      </c>
      <c r="KTB868" s="295" t="s">
        <v>71</v>
      </c>
      <c r="KTC868" s="295" t="s">
        <v>71</v>
      </c>
      <c r="KTD868" s="295" t="s">
        <v>71</v>
      </c>
      <c r="KTE868" s="295" t="s">
        <v>71</v>
      </c>
      <c r="KTF868" s="295" t="s">
        <v>71</v>
      </c>
      <c r="KTG868" s="295" t="s">
        <v>71</v>
      </c>
      <c r="KTH868" s="295" t="s">
        <v>71</v>
      </c>
      <c r="KTI868" s="295" t="s">
        <v>71</v>
      </c>
      <c r="KTJ868" s="295" t="s">
        <v>71</v>
      </c>
      <c r="KTK868" s="295" t="s">
        <v>71</v>
      </c>
      <c r="KTL868" s="295" t="s">
        <v>71</v>
      </c>
      <c r="KTM868" s="295" t="s">
        <v>71</v>
      </c>
      <c r="KTN868" s="295" t="s">
        <v>71</v>
      </c>
      <c r="KTO868" s="295" t="s">
        <v>71</v>
      </c>
      <c r="KTP868" s="295" t="s">
        <v>71</v>
      </c>
      <c r="KTQ868" s="295" t="s">
        <v>71</v>
      </c>
      <c r="KTR868" s="295" t="s">
        <v>71</v>
      </c>
      <c r="KTS868" s="295" t="s">
        <v>71</v>
      </c>
      <c r="KTT868" s="295" t="s">
        <v>71</v>
      </c>
      <c r="KTU868" s="295" t="s">
        <v>71</v>
      </c>
      <c r="KTV868" s="295" t="s">
        <v>71</v>
      </c>
      <c r="KTW868" s="295" t="s">
        <v>71</v>
      </c>
      <c r="KTX868" s="295" t="s">
        <v>71</v>
      </c>
      <c r="KTY868" s="295" t="s">
        <v>71</v>
      </c>
      <c r="KTZ868" s="295" t="s">
        <v>71</v>
      </c>
      <c r="KUA868" s="295" t="s">
        <v>71</v>
      </c>
      <c r="KUB868" s="295" t="s">
        <v>71</v>
      </c>
      <c r="KUC868" s="295" t="s">
        <v>71</v>
      </c>
      <c r="KUD868" s="295" t="s">
        <v>71</v>
      </c>
      <c r="KUE868" s="295" t="s">
        <v>71</v>
      </c>
      <c r="KUF868" s="295" t="s">
        <v>71</v>
      </c>
      <c r="KUG868" s="295" t="s">
        <v>71</v>
      </c>
      <c r="KUH868" s="295" t="s">
        <v>71</v>
      </c>
      <c r="KUI868" s="295" t="s">
        <v>71</v>
      </c>
      <c r="KUJ868" s="295" t="s">
        <v>71</v>
      </c>
      <c r="KUK868" s="295" t="s">
        <v>71</v>
      </c>
      <c r="KUL868" s="295" t="s">
        <v>71</v>
      </c>
      <c r="KUM868" s="295" t="s">
        <v>71</v>
      </c>
      <c r="KUN868" s="295" t="s">
        <v>71</v>
      </c>
      <c r="KUO868" s="295" t="s">
        <v>71</v>
      </c>
      <c r="KUP868" s="295" t="s">
        <v>71</v>
      </c>
      <c r="KUQ868" s="295" t="s">
        <v>71</v>
      </c>
      <c r="KUR868" s="295" t="s">
        <v>71</v>
      </c>
      <c r="KUS868" s="295" t="s">
        <v>71</v>
      </c>
      <c r="KUT868" s="295" t="s">
        <v>71</v>
      </c>
      <c r="KUU868" s="295" t="s">
        <v>71</v>
      </c>
      <c r="KUV868" s="295" t="s">
        <v>71</v>
      </c>
      <c r="KUW868" s="295" t="s">
        <v>71</v>
      </c>
      <c r="KUX868" s="295" t="s">
        <v>71</v>
      </c>
      <c r="KUY868" s="295" t="s">
        <v>71</v>
      </c>
      <c r="KUZ868" s="295" t="s">
        <v>71</v>
      </c>
      <c r="KVA868" s="295" t="s">
        <v>71</v>
      </c>
      <c r="KVB868" s="295" t="s">
        <v>71</v>
      </c>
      <c r="KVC868" s="295" t="s">
        <v>71</v>
      </c>
      <c r="KVD868" s="295" t="s">
        <v>71</v>
      </c>
      <c r="KVE868" s="295" t="s">
        <v>71</v>
      </c>
      <c r="KVF868" s="295" t="s">
        <v>71</v>
      </c>
      <c r="KVG868" s="295" t="s">
        <v>71</v>
      </c>
      <c r="KVH868" s="295" t="s">
        <v>71</v>
      </c>
      <c r="KVI868" s="295" t="s">
        <v>71</v>
      </c>
      <c r="KVJ868" s="295" t="s">
        <v>71</v>
      </c>
      <c r="KVK868" s="295" t="s">
        <v>71</v>
      </c>
      <c r="KVL868" s="295" t="s">
        <v>71</v>
      </c>
      <c r="KVM868" s="295" t="s">
        <v>71</v>
      </c>
      <c r="KVN868" s="295" t="s">
        <v>71</v>
      </c>
      <c r="KVO868" s="295" t="s">
        <v>71</v>
      </c>
      <c r="KVP868" s="295" t="s">
        <v>71</v>
      </c>
      <c r="KVQ868" s="295" t="s">
        <v>71</v>
      </c>
      <c r="KVR868" s="295" t="s">
        <v>71</v>
      </c>
      <c r="KVS868" s="295" t="s">
        <v>71</v>
      </c>
      <c r="KVT868" s="295" t="s">
        <v>71</v>
      </c>
      <c r="KVU868" s="295" t="s">
        <v>71</v>
      </c>
      <c r="KVV868" s="295" t="s">
        <v>71</v>
      </c>
      <c r="KVW868" s="295" t="s">
        <v>71</v>
      </c>
      <c r="KVX868" s="295" t="s">
        <v>71</v>
      </c>
      <c r="KVY868" s="295" t="s">
        <v>71</v>
      </c>
      <c r="KVZ868" s="295" t="s">
        <v>71</v>
      </c>
      <c r="KWA868" s="295" t="s">
        <v>71</v>
      </c>
      <c r="KWB868" s="295" t="s">
        <v>71</v>
      </c>
      <c r="KWC868" s="295" t="s">
        <v>71</v>
      </c>
      <c r="KWD868" s="295" t="s">
        <v>71</v>
      </c>
      <c r="KWE868" s="295" t="s">
        <v>71</v>
      </c>
      <c r="KWF868" s="295" t="s">
        <v>71</v>
      </c>
      <c r="KWG868" s="295" t="s">
        <v>71</v>
      </c>
      <c r="KWH868" s="295" t="s">
        <v>71</v>
      </c>
      <c r="KWI868" s="295" t="s">
        <v>71</v>
      </c>
      <c r="KWJ868" s="295" t="s">
        <v>71</v>
      </c>
      <c r="KWK868" s="295" t="s">
        <v>71</v>
      </c>
      <c r="KWL868" s="295" t="s">
        <v>71</v>
      </c>
      <c r="KWM868" s="295" t="s">
        <v>71</v>
      </c>
      <c r="KWN868" s="295" t="s">
        <v>71</v>
      </c>
      <c r="KWO868" s="295" t="s">
        <v>71</v>
      </c>
      <c r="KWP868" s="295" t="s">
        <v>71</v>
      </c>
      <c r="KWQ868" s="295" t="s">
        <v>71</v>
      </c>
      <c r="KWR868" s="295" t="s">
        <v>71</v>
      </c>
      <c r="KWS868" s="295" t="s">
        <v>71</v>
      </c>
      <c r="KWT868" s="295" t="s">
        <v>71</v>
      </c>
      <c r="KWU868" s="295" t="s">
        <v>71</v>
      </c>
      <c r="KWV868" s="295" t="s">
        <v>71</v>
      </c>
      <c r="KWW868" s="295" t="s">
        <v>71</v>
      </c>
      <c r="KWX868" s="295" t="s">
        <v>71</v>
      </c>
      <c r="KWY868" s="295" t="s">
        <v>71</v>
      </c>
      <c r="KWZ868" s="295" t="s">
        <v>71</v>
      </c>
      <c r="KXA868" s="295" t="s">
        <v>71</v>
      </c>
      <c r="KXB868" s="295" t="s">
        <v>71</v>
      </c>
      <c r="KXC868" s="295" t="s">
        <v>71</v>
      </c>
      <c r="KXD868" s="295" t="s">
        <v>71</v>
      </c>
      <c r="KXE868" s="295" t="s">
        <v>71</v>
      </c>
      <c r="KXF868" s="295" t="s">
        <v>71</v>
      </c>
      <c r="KXG868" s="295" t="s">
        <v>71</v>
      </c>
      <c r="KXH868" s="295" t="s">
        <v>71</v>
      </c>
      <c r="KXI868" s="295" t="s">
        <v>71</v>
      </c>
      <c r="KXJ868" s="295" t="s">
        <v>71</v>
      </c>
      <c r="KXK868" s="295" t="s">
        <v>71</v>
      </c>
      <c r="KXL868" s="295" t="s">
        <v>71</v>
      </c>
      <c r="KXM868" s="295" t="s">
        <v>71</v>
      </c>
      <c r="KXN868" s="295" t="s">
        <v>71</v>
      </c>
      <c r="KXO868" s="295" t="s">
        <v>71</v>
      </c>
      <c r="KXP868" s="295" t="s">
        <v>71</v>
      </c>
      <c r="KXQ868" s="295" t="s">
        <v>71</v>
      </c>
      <c r="KXR868" s="295" t="s">
        <v>71</v>
      </c>
      <c r="KXS868" s="295" t="s">
        <v>71</v>
      </c>
      <c r="KXT868" s="295" t="s">
        <v>71</v>
      </c>
      <c r="KXU868" s="295" t="s">
        <v>71</v>
      </c>
      <c r="KXV868" s="295" t="s">
        <v>71</v>
      </c>
      <c r="KXW868" s="295" t="s">
        <v>71</v>
      </c>
      <c r="KXX868" s="295" t="s">
        <v>71</v>
      </c>
      <c r="KXY868" s="295" t="s">
        <v>71</v>
      </c>
      <c r="KXZ868" s="295" t="s">
        <v>71</v>
      </c>
      <c r="KYA868" s="295" t="s">
        <v>71</v>
      </c>
      <c r="KYB868" s="295" t="s">
        <v>71</v>
      </c>
      <c r="KYC868" s="295" t="s">
        <v>71</v>
      </c>
      <c r="KYD868" s="295" t="s">
        <v>71</v>
      </c>
      <c r="KYE868" s="295" t="s">
        <v>71</v>
      </c>
      <c r="KYF868" s="295" t="s">
        <v>71</v>
      </c>
      <c r="KYG868" s="295" t="s">
        <v>71</v>
      </c>
      <c r="KYH868" s="295" t="s">
        <v>71</v>
      </c>
      <c r="KYI868" s="295" t="s">
        <v>71</v>
      </c>
      <c r="KYJ868" s="295" t="s">
        <v>71</v>
      </c>
      <c r="KYK868" s="295" t="s">
        <v>71</v>
      </c>
      <c r="KYL868" s="295" t="s">
        <v>71</v>
      </c>
      <c r="KYM868" s="295" t="s">
        <v>71</v>
      </c>
      <c r="KYN868" s="295" t="s">
        <v>71</v>
      </c>
      <c r="KYO868" s="295" t="s">
        <v>71</v>
      </c>
      <c r="KYP868" s="295" t="s">
        <v>71</v>
      </c>
      <c r="KYQ868" s="295" t="s">
        <v>71</v>
      </c>
      <c r="KYR868" s="295" t="s">
        <v>71</v>
      </c>
      <c r="KYS868" s="295" t="s">
        <v>71</v>
      </c>
      <c r="KYT868" s="295" t="s">
        <v>71</v>
      </c>
      <c r="KYU868" s="295" t="s">
        <v>71</v>
      </c>
      <c r="KYV868" s="295" t="s">
        <v>71</v>
      </c>
      <c r="KYW868" s="295" t="s">
        <v>71</v>
      </c>
      <c r="KYX868" s="295" t="s">
        <v>71</v>
      </c>
      <c r="KYY868" s="295" t="s">
        <v>71</v>
      </c>
      <c r="KYZ868" s="295" t="s">
        <v>71</v>
      </c>
      <c r="KZA868" s="295" t="s">
        <v>71</v>
      </c>
      <c r="KZB868" s="295" t="s">
        <v>71</v>
      </c>
      <c r="KZC868" s="295" t="s">
        <v>71</v>
      </c>
      <c r="KZD868" s="295" t="s">
        <v>71</v>
      </c>
      <c r="KZE868" s="295" t="s">
        <v>71</v>
      </c>
      <c r="KZF868" s="295" t="s">
        <v>71</v>
      </c>
      <c r="KZG868" s="295" t="s">
        <v>71</v>
      </c>
      <c r="KZH868" s="295" t="s">
        <v>71</v>
      </c>
      <c r="KZI868" s="295" t="s">
        <v>71</v>
      </c>
      <c r="KZJ868" s="295" t="s">
        <v>71</v>
      </c>
      <c r="KZK868" s="295" t="s">
        <v>71</v>
      </c>
      <c r="KZL868" s="295" t="s">
        <v>71</v>
      </c>
      <c r="KZM868" s="295" t="s">
        <v>71</v>
      </c>
      <c r="KZN868" s="295" t="s">
        <v>71</v>
      </c>
      <c r="KZO868" s="295" t="s">
        <v>71</v>
      </c>
      <c r="KZP868" s="295" t="s">
        <v>71</v>
      </c>
      <c r="KZQ868" s="295" t="s">
        <v>71</v>
      </c>
      <c r="KZR868" s="295" t="s">
        <v>71</v>
      </c>
      <c r="KZS868" s="295" t="s">
        <v>71</v>
      </c>
      <c r="KZT868" s="295" t="s">
        <v>71</v>
      </c>
      <c r="KZU868" s="295" t="s">
        <v>71</v>
      </c>
      <c r="KZV868" s="295" t="s">
        <v>71</v>
      </c>
      <c r="KZW868" s="295" t="s">
        <v>71</v>
      </c>
      <c r="KZX868" s="295" t="s">
        <v>71</v>
      </c>
      <c r="KZY868" s="295" t="s">
        <v>71</v>
      </c>
      <c r="KZZ868" s="295" t="s">
        <v>71</v>
      </c>
      <c r="LAA868" s="295" t="s">
        <v>71</v>
      </c>
      <c r="LAB868" s="295" t="s">
        <v>71</v>
      </c>
      <c r="LAC868" s="295" t="s">
        <v>71</v>
      </c>
      <c r="LAD868" s="295" t="s">
        <v>71</v>
      </c>
      <c r="LAE868" s="295" t="s">
        <v>71</v>
      </c>
      <c r="LAF868" s="295" t="s">
        <v>71</v>
      </c>
      <c r="LAG868" s="295" t="s">
        <v>71</v>
      </c>
      <c r="LAH868" s="295" t="s">
        <v>71</v>
      </c>
      <c r="LAI868" s="295" t="s">
        <v>71</v>
      </c>
      <c r="LAJ868" s="295" t="s">
        <v>71</v>
      </c>
      <c r="LAK868" s="295" t="s">
        <v>71</v>
      </c>
      <c r="LAL868" s="295" t="s">
        <v>71</v>
      </c>
      <c r="LAM868" s="295" t="s">
        <v>71</v>
      </c>
      <c r="LAN868" s="295" t="s">
        <v>71</v>
      </c>
      <c r="LAO868" s="295" t="s">
        <v>71</v>
      </c>
      <c r="LAP868" s="295" t="s">
        <v>71</v>
      </c>
      <c r="LAQ868" s="295" t="s">
        <v>71</v>
      </c>
      <c r="LAR868" s="295" t="s">
        <v>71</v>
      </c>
      <c r="LAS868" s="295" t="s">
        <v>71</v>
      </c>
      <c r="LAT868" s="295" t="s">
        <v>71</v>
      </c>
      <c r="LAU868" s="295" t="s">
        <v>71</v>
      </c>
      <c r="LAV868" s="295" t="s">
        <v>71</v>
      </c>
      <c r="LAW868" s="295" t="s">
        <v>71</v>
      </c>
      <c r="LAX868" s="295" t="s">
        <v>71</v>
      </c>
      <c r="LAY868" s="295" t="s">
        <v>71</v>
      </c>
      <c r="LAZ868" s="295" t="s">
        <v>71</v>
      </c>
      <c r="LBA868" s="295" t="s">
        <v>71</v>
      </c>
      <c r="LBB868" s="295" t="s">
        <v>71</v>
      </c>
      <c r="LBC868" s="295" t="s">
        <v>71</v>
      </c>
      <c r="LBD868" s="295" t="s">
        <v>71</v>
      </c>
      <c r="LBE868" s="295" t="s">
        <v>71</v>
      </c>
      <c r="LBF868" s="295" t="s">
        <v>71</v>
      </c>
      <c r="LBG868" s="295" t="s">
        <v>71</v>
      </c>
      <c r="LBH868" s="295" t="s">
        <v>71</v>
      </c>
      <c r="LBI868" s="295" t="s">
        <v>71</v>
      </c>
      <c r="LBJ868" s="295" t="s">
        <v>71</v>
      </c>
      <c r="LBK868" s="295" t="s">
        <v>71</v>
      </c>
      <c r="LBL868" s="295" t="s">
        <v>71</v>
      </c>
      <c r="LBM868" s="295" t="s">
        <v>71</v>
      </c>
      <c r="LBN868" s="295" t="s">
        <v>71</v>
      </c>
      <c r="LBO868" s="295" t="s">
        <v>71</v>
      </c>
      <c r="LBP868" s="295" t="s">
        <v>71</v>
      </c>
      <c r="LBQ868" s="295" t="s">
        <v>71</v>
      </c>
      <c r="LBR868" s="295" t="s">
        <v>71</v>
      </c>
      <c r="LBS868" s="295" t="s">
        <v>71</v>
      </c>
      <c r="LBT868" s="295" t="s">
        <v>71</v>
      </c>
      <c r="LBU868" s="295" t="s">
        <v>71</v>
      </c>
      <c r="LBV868" s="295" t="s">
        <v>71</v>
      </c>
      <c r="LBW868" s="295" t="s">
        <v>71</v>
      </c>
      <c r="LBX868" s="295" t="s">
        <v>71</v>
      </c>
      <c r="LBY868" s="295" t="s">
        <v>71</v>
      </c>
      <c r="LBZ868" s="295" t="s">
        <v>71</v>
      </c>
      <c r="LCA868" s="295" t="s">
        <v>71</v>
      </c>
      <c r="LCB868" s="295" t="s">
        <v>71</v>
      </c>
      <c r="LCC868" s="295" t="s">
        <v>71</v>
      </c>
      <c r="LCD868" s="295" t="s">
        <v>71</v>
      </c>
      <c r="LCE868" s="295" t="s">
        <v>71</v>
      </c>
      <c r="LCF868" s="295" t="s">
        <v>71</v>
      </c>
      <c r="LCG868" s="295" t="s">
        <v>71</v>
      </c>
      <c r="LCH868" s="295" t="s">
        <v>71</v>
      </c>
      <c r="LCI868" s="295" t="s">
        <v>71</v>
      </c>
      <c r="LCJ868" s="295" t="s">
        <v>71</v>
      </c>
      <c r="LCK868" s="295" t="s">
        <v>71</v>
      </c>
      <c r="LCL868" s="295" t="s">
        <v>71</v>
      </c>
      <c r="LCM868" s="295" t="s">
        <v>71</v>
      </c>
      <c r="LCN868" s="295" t="s">
        <v>71</v>
      </c>
      <c r="LCO868" s="295" t="s">
        <v>71</v>
      </c>
      <c r="LCP868" s="295" t="s">
        <v>71</v>
      </c>
      <c r="LCQ868" s="295" t="s">
        <v>71</v>
      </c>
      <c r="LCR868" s="295" t="s">
        <v>71</v>
      </c>
      <c r="LCS868" s="295" t="s">
        <v>71</v>
      </c>
      <c r="LCT868" s="295" t="s">
        <v>71</v>
      </c>
      <c r="LCU868" s="295" t="s">
        <v>71</v>
      </c>
      <c r="LCV868" s="295" t="s">
        <v>71</v>
      </c>
      <c r="LCW868" s="295" t="s">
        <v>71</v>
      </c>
      <c r="LCX868" s="295" t="s">
        <v>71</v>
      </c>
      <c r="LCY868" s="295" t="s">
        <v>71</v>
      </c>
      <c r="LCZ868" s="295" t="s">
        <v>71</v>
      </c>
      <c r="LDA868" s="295" t="s">
        <v>71</v>
      </c>
      <c r="LDB868" s="295" t="s">
        <v>71</v>
      </c>
      <c r="LDC868" s="295" t="s">
        <v>71</v>
      </c>
      <c r="LDD868" s="295" t="s">
        <v>71</v>
      </c>
      <c r="LDE868" s="295" t="s">
        <v>71</v>
      </c>
      <c r="LDF868" s="295" t="s">
        <v>71</v>
      </c>
      <c r="LDG868" s="295" t="s">
        <v>71</v>
      </c>
      <c r="LDH868" s="295" t="s">
        <v>71</v>
      </c>
      <c r="LDI868" s="295" t="s">
        <v>71</v>
      </c>
      <c r="LDJ868" s="295" t="s">
        <v>71</v>
      </c>
      <c r="LDK868" s="295" t="s">
        <v>71</v>
      </c>
      <c r="LDL868" s="295" t="s">
        <v>71</v>
      </c>
      <c r="LDM868" s="295" t="s">
        <v>71</v>
      </c>
      <c r="LDN868" s="295" t="s">
        <v>71</v>
      </c>
      <c r="LDO868" s="295" t="s">
        <v>71</v>
      </c>
      <c r="LDP868" s="295" t="s">
        <v>71</v>
      </c>
      <c r="LDQ868" s="295" t="s">
        <v>71</v>
      </c>
      <c r="LDR868" s="295" t="s">
        <v>71</v>
      </c>
      <c r="LDS868" s="295" t="s">
        <v>71</v>
      </c>
      <c r="LDT868" s="295" t="s">
        <v>71</v>
      </c>
      <c r="LDU868" s="295" t="s">
        <v>71</v>
      </c>
      <c r="LDV868" s="295" t="s">
        <v>71</v>
      </c>
      <c r="LDW868" s="295" t="s">
        <v>71</v>
      </c>
      <c r="LDX868" s="295" t="s">
        <v>71</v>
      </c>
      <c r="LDY868" s="295" t="s">
        <v>71</v>
      </c>
      <c r="LDZ868" s="295" t="s">
        <v>71</v>
      </c>
      <c r="LEA868" s="295" t="s">
        <v>71</v>
      </c>
      <c r="LEB868" s="295" t="s">
        <v>71</v>
      </c>
      <c r="LEC868" s="295" t="s">
        <v>71</v>
      </c>
      <c r="LED868" s="295" t="s">
        <v>71</v>
      </c>
      <c r="LEE868" s="295" t="s">
        <v>71</v>
      </c>
      <c r="LEF868" s="295" t="s">
        <v>71</v>
      </c>
      <c r="LEG868" s="295" t="s">
        <v>71</v>
      </c>
      <c r="LEH868" s="295" t="s">
        <v>71</v>
      </c>
      <c r="LEI868" s="295" t="s">
        <v>71</v>
      </c>
      <c r="LEJ868" s="295" t="s">
        <v>71</v>
      </c>
      <c r="LEK868" s="295" t="s">
        <v>71</v>
      </c>
      <c r="LEL868" s="295" t="s">
        <v>71</v>
      </c>
      <c r="LEM868" s="295" t="s">
        <v>71</v>
      </c>
      <c r="LEN868" s="295" t="s">
        <v>71</v>
      </c>
      <c r="LEO868" s="295" t="s">
        <v>71</v>
      </c>
      <c r="LEP868" s="295" t="s">
        <v>71</v>
      </c>
      <c r="LEQ868" s="295" t="s">
        <v>71</v>
      </c>
      <c r="LER868" s="295" t="s">
        <v>71</v>
      </c>
      <c r="LES868" s="295" t="s">
        <v>71</v>
      </c>
      <c r="LET868" s="295" t="s">
        <v>71</v>
      </c>
      <c r="LEU868" s="295" t="s">
        <v>71</v>
      </c>
      <c r="LEV868" s="295" t="s">
        <v>71</v>
      </c>
      <c r="LEW868" s="295" t="s">
        <v>71</v>
      </c>
      <c r="LEX868" s="295" t="s">
        <v>71</v>
      </c>
      <c r="LEY868" s="295" t="s">
        <v>71</v>
      </c>
      <c r="LEZ868" s="295" t="s">
        <v>71</v>
      </c>
      <c r="LFA868" s="295" t="s">
        <v>71</v>
      </c>
      <c r="LFB868" s="295" t="s">
        <v>71</v>
      </c>
      <c r="LFC868" s="295" t="s">
        <v>71</v>
      </c>
      <c r="LFD868" s="295" t="s">
        <v>71</v>
      </c>
      <c r="LFE868" s="295" t="s">
        <v>71</v>
      </c>
      <c r="LFF868" s="295" t="s">
        <v>71</v>
      </c>
      <c r="LFG868" s="295" t="s">
        <v>71</v>
      </c>
      <c r="LFH868" s="295" t="s">
        <v>71</v>
      </c>
      <c r="LFI868" s="295" t="s">
        <v>71</v>
      </c>
      <c r="LFJ868" s="295" t="s">
        <v>71</v>
      </c>
      <c r="LFK868" s="295" t="s">
        <v>71</v>
      </c>
      <c r="LFL868" s="295" t="s">
        <v>71</v>
      </c>
      <c r="LFM868" s="295" t="s">
        <v>71</v>
      </c>
      <c r="LFN868" s="295" t="s">
        <v>71</v>
      </c>
      <c r="LFO868" s="295" t="s">
        <v>71</v>
      </c>
      <c r="LFP868" s="295" t="s">
        <v>71</v>
      </c>
      <c r="LFQ868" s="295" t="s">
        <v>71</v>
      </c>
      <c r="LFR868" s="295" t="s">
        <v>71</v>
      </c>
      <c r="LFS868" s="295" t="s">
        <v>71</v>
      </c>
      <c r="LFT868" s="295" t="s">
        <v>71</v>
      </c>
      <c r="LFU868" s="295" t="s">
        <v>71</v>
      </c>
      <c r="LFV868" s="295" t="s">
        <v>71</v>
      </c>
      <c r="LFW868" s="295" t="s">
        <v>71</v>
      </c>
      <c r="LFX868" s="295" t="s">
        <v>71</v>
      </c>
      <c r="LFY868" s="295" t="s">
        <v>71</v>
      </c>
      <c r="LFZ868" s="295" t="s">
        <v>71</v>
      </c>
      <c r="LGA868" s="295" t="s">
        <v>71</v>
      </c>
      <c r="LGB868" s="295" t="s">
        <v>71</v>
      </c>
      <c r="LGC868" s="295" t="s">
        <v>71</v>
      </c>
      <c r="LGD868" s="295" t="s">
        <v>71</v>
      </c>
      <c r="LGE868" s="295" t="s">
        <v>71</v>
      </c>
      <c r="LGF868" s="295" t="s">
        <v>71</v>
      </c>
      <c r="LGG868" s="295" t="s">
        <v>71</v>
      </c>
      <c r="LGH868" s="295" t="s">
        <v>71</v>
      </c>
      <c r="LGI868" s="295" t="s">
        <v>71</v>
      </c>
      <c r="LGJ868" s="295" t="s">
        <v>71</v>
      </c>
      <c r="LGK868" s="295" t="s">
        <v>71</v>
      </c>
      <c r="LGL868" s="295" t="s">
        <v>71</v>
      </c>
      <c r="LGM868" s="295" t="s">
        <v>71</v>
      </c>
      <c r="LGN868" s="295" t="s">
        <v>71</v>
      </c>
      <c r="LGO868" s="295" t="s">
        <v>71</v>
      </c>
      <c r="LGP868" s="295" t="s">
        <v>71</v>
      </c>
      <c r="LGQ868" s="295" t="s">
        <v>71</v>
      </c>
      <c r="LGR868" s="295" t="s">
        <v>71</v>
      </c>
      <c r="LGS868" s="295" t="s">
        <v>71</v>
      </c>
      <c r="LGT868" s="295" t="s">
        <v>71</v>
      </c>
      <c r="LGU868" s="295" t="s">
        <v>71</v>
      </c>
      <c r="LGV868" s="295" t="s">
        <v>71</v>
      </c>
      <c r="LGW868" s="295" t="s">
        <v>71</v>
      </c>
      <c r="LGX868" s="295" t="s">
        <v>71</v>
      </c>
      <c r="LGY868" s="295" t="s">
        <v>71</v>
      </c>
      <c r="LGZ868" s="295" t="s">
        <v>71</v>
      </c>
      <c r="LHA868" s="295" t="s">
        <v>71</v>
      </c>
      <c r="LHB868" s="295" t="s">
        <v>71</v>
      </c>
      <c r="LHC868" s="295" t="s">
        <v>71</v>
      </c>
      <c r="LHD868" s="295" t="s">
        <v>71</v>
      </c>
      <c r="LHE868" s="295" t="s">
        <v>71</v>
      </c>
      <c r="LHF868" s="295" t="s">
        <v>71</v>
      </c>
      <c r="LHG868" s="295" t="s">
        <v>71</v>
      </c>
      <c r="LHH868" s="295" t="s">
        <v>71</v>
      </c>
      <c r="LHI868" s="295" t="s">
        <v>71</v>
      </c>
      <c r="LHJ868" s="295" t="s">
        <v>71</v>
      </c>
      <c r="LHK868" s="295" t="s">
        <v>71</v>
      </c>
      <c r="LHL868" s="295" t="s">
        <v>71</v>
      </c>
      <c r="LHM868" s="295" t="s">
        <v>71</v>
      </c>
      <c r="LHN868" s="295" t="s">
        <v>71</v>
      </c>
      <c r="LHO868" s="295" t="s">
        <v>71</v>
      </c>
      <c r="LHP868" s="295" t="s">
        <v>71</v>
      </c>
      <c r="LHQ868" s="295" t="s">
        <v>71</v>
      </c>
      <c r="LHR868" s="295" t="s">
        <v>71</v>
      </c>
      <c r="LHS868" s="295" t="s">
        <v>71</v>
      </c>
      <c r="LHT868" s="295" t="s">
        <v>71</v>
      </c>
      <c r="LHU868" s="295" t="s">
        <v>71</v>
      </c>
      <c r="LHV868" s="295" t="s">
        <v>71</v>
      </c>
      <c r="LHW868" s="295" t="s">
        <v>71</v>
      </c>
      <c r="LHX868" s="295" t="s">
        <v>71</v>
      </c>
      <c r="LHY868" s="295" t="s">
        <v>71</v>
      </c>
      <c r="LHZ868" s="295" t="s">
        <v>71</v>
      </c>
      <c r="LIA868" s="295" t="s">
        <v>71</v>
      </c>
      <c r="LIB868" s="295" t="s">
        <v>71</v>
      </c>
      <c r="LIC868" s="295" t="s">
        <v>71</v>
      </c>
      <c r="LID868" s="295" t="s">
        <v>71</v>
      </c>
      <c r="LIE868" s="295" t="s">
        <v>71</v>
      </c>
      <c r="LIF868" s="295" t="s">
        <v>71</v>
      </c>
      <c r="LIG868" s="295" t="s">
        <v>71</v>
      </c>
      <c r="LIH868" s="295" t="s">
        <v>71</v>
      </c>
      <c r="LII868" s="295" t="s">
        <v>71</v>
      </c>
      <c r="LIJ868" s="295" t="s">
        <v>71</v>
      </c>
      <c r="LIK868" s="295" t="s">
        <v>71</v>
      </c>
      <c r="LIL868" s="295" t="s">
        <v>71</v>
      </c>
      <c r="LIM868" s="295" t="s">
        <v>71</v>
      </c>
      <c r="LIN868" s="295" t="s">
        <v>71</v>
      </c>
      <c r="LIO868" s="295" t="s">
        <v>71</v>
      </c>
      <c r="LIP868" s="295" t="s">
        <v>71</v>
      </c>
      <c r="LIQ868" s="295" t="s">
        <v>71</v>
      </c>
      <c r="LIR868" s="295" t="s">
        <v>71</v>
      </c>
      <c r="LIS868" s="295" t="s">
        <v>71</v>
      </c>
      <c r="LIT868" s="295" t="s">
        <v>71</v>
      </c>
      <c r="LIU868" s="295" t="s">
        <v>71</v>
      </c>
      <c r="LIV868" s="295" t="s">
        <v>71</v>
      </c>
      <c r="LIW868" s="295" t="s">
        <v>71</v>
      </c>
      <c r="LIX868" s="295" t="s">
        <v>71</v>
      </c>
      <c r="LIY868" s="295" t="s">
        <v>71</v>
      </c>
      <c r="LIZ868" s="295" t="s">
        <v>71</v>
      </c>
      <c r="LJA868" s="295" t="s">
        <v>71</v>
      </c>
      <c r="LJB868" s="295" t="s">
        <v>71</v>
      </c>
      <c r="LJC868" s="295" t="s">
        <v>71</v>
      </c>
      <c r="LJD868" s="295" t="s">
        <v>71</v>
      </c>
      <c r="LJE868" s="295" t="s">
        <v>71</v>
      </c>
      <c r="LJF868" s="295" t="s">
        <v>71</v>
      </c>
      <c r="LJG868" s="295" t="s">
        <v>71</v>
      </c>
      <c r="LJH868" s="295" t="s">
        <v>71</v>
      </c>
      <c r="LJI868" s="295" t="s">
        <v>71</v>
      </c>
      <c r="LJJ868" s="295" t="s">
        <v>71</v>
      </c>
      <c r="LJK868" s="295" t="s">
        <v>71</v>
      </c>
      <c r="LJL868" s="295" t="s">
        <v>71</v>
      </c>
      <c r="LJM868" s="295" t="s">
        <v>71</v>
      </c>
      <c r="LJN868" s="295" t="s">
        <v>71</v>
      </c>
      <c r="LJO868" s="295" t="s">
        <v>71</v>
      </c>
      <c r="LJP868" s="295" t="s">
        <v>71</v>
      </c>
      <c r="LJQ868" s="295" t="s">
        <v>71</v>
      </c>
      <c r="LJR868" s="295" t="s">
        <v>71</v>
      </c>
      <c r="LJS868" s="295" t="s">
        <v>71</v>
      </c>
      <c r="LJT868" s="295" t="s">
        <v>71</v>
      </c>
      <c r="LJU868" s="295" t="s">
        <v>71</v>
      </c>
      <c r="LJV868" s="295" t="s">
        <v>71</v>
      </c>
      <c r="LJW868" s="295" t="s">
        <v>71</v>
      </c>
      <c r="LJX868" s="295" t="s">
        <v>71</v>
      </c>
      <c r="LJY868" s="295" t="s">
        <v>71</v>
      </c>
      <c r="LJZ868" s="295" t="s">
        <v>71</v>
      </c>
      <c r="LKA868" s="295" t="s">
        <v>71</v>
      </c>
      <c r="LKB868" s="295" t="s">
        <v>71</v>
      </c>
      <c r="LKC868" s="295" t="s">
        <v>71</v>
      </c>
      <c r="LKD868" s="295" t="s">
        <v>71</v>
      </c>
      <c r="LKE868" s="295" t="s">
        <v>71</v>
      </c>
      <c r="LKF868" s="295" t="s">
        <v>71</v>
      </c>
      <c r="LKG868" s="295" t="s">
        <v>71</v>
      </c>
      <c r="LKH868" s="295" t="s">
        <v>71</v>
      </c>
      <c r="LKI868" s="295" t="s">
        <v>71</v>
      </c>
      <c r="LKJ868" s="295" t="s">
        <v>71</v>
      </c>
      <c r="LKK868" s="295" t="s">
        <v>71</v>
      </c>
      <c r="LKL868" s="295" t="s">
        <v>71</v>
      </c>
      <c r="LKM868" s="295" t="s">
        <v>71</v>
      </c>
      <c r="LKN868" s="295" t="s">
        <v>71</v>
      </c>
      <c r="LKO868" s="295" t="s">
        <v>71</v>
      </c>
      <c r="LKP868" s="295" t="s">
        <v>71</v>
      </c>
      <c r="LKQ868" s="295" t="s">
        <v>71</v>
      </c>
      <c r="LKR868" s="295" t="s">
        <v>71</v>
      </c>
      <c r="LKS868" s="295" t="s">
        <v>71</v>
      </c>
      <c r="LKT868" s="295" t="s">
        <v>71</v>
      </c>
      <c r="LKU868" s="295" t="s">
        <v>71</v>
      </c>
      <c r="LKV868" s="295" t="s">
        <v>71</v>
      </c>
      <c r="LKW868" s="295" t="s">
        <v>71</v>
      </c>
      <c r="LKX868" s="295" t="s">
        <v>71</v>
      </c>
      <c r="LKY868" s="295" t="s">
        <v>71</v>
      </c>
      <c r="LKZ868" s="295" t="s">
        <v>71</v>
      </c>
      <c r="LLA868" s="295" t="s">
        <v>71</v>
      </c>
      <c r="LLB868" s="295" t="s">
        <v>71</v>
      </c>
      <c r="LLC868" s="295" t="s">
        <v>71</v>
      </c>
      <c r="LLD868" s="295" t="s">
        <v>71</v>
      </c>
      <c r="LLE868" s="295" t="s">
        <v>71</v>
      </c>
      <c r="LLF868" s="295" t="s">
        <v>71</v>
      </c>
      <c r="LLG868" s="295" t="s">
        <v>71</v>
      </c>
      <c r="LLH868" s="295" t="s">
        <v>71</v>
      </c>
      <c r="LLI868" s="295" t="s">
        <v>71</v>
      </c>
      <c r="LLJ868" s="295" t="s">
        <v>71</v>
      </c>
      <c r="LLK868" s="295" t="s">
        <v>71</v>
      </c>
      <c r="LLL868" s="295" t="s">
        <v>71</v>
      </c>
      <c r="LLM868" s="295" t="s">
        <v>71</v>
      </c>
      <c r="LLN868" s="295" t="s">
        <v>71</v>
      </c>
      <c r="LLO868" s="295" t="s">
        <v>71</v>
      </c>
      <c r="LLP868" s="295" t="s">
        <v>71</v>
      </c>
      <c r="LLQ868" s="295" t="s">
        <v>71</v>
      </c>
      <c r="LLR868" s="295" t="s">
        <v>71</v>
      </c>
      <c r="LLS868" s="295" t="s">
        <v>71</v>
      </c>
      <c r="LLT868" s="295" t="s">
        <v>71</v>
      </c>
      <c r="LLU868" s="295" t="s">
        <v>71</v>
      </c>
      <c r="LLV868" s="295" t="s">
        <v>71</v>
      </c>
      <c r="LLW868" s="295" t="s">
        <v>71</v>
      </c>
      <c r="LLX868" s="295" t="s">
        <v>71</v>
      </c>
      <c r="LLY868" s="295" t="s">
        <v>71</v>
      </c>
      <c r="LLZ868" s="295" t="s">
        <v>71</v>
      </c>
      <c r="LMA868" s="295" t="s">
        <v>71</v>
      </c>
      <c r="LMB868" s="295" t="s">
        <v>71</v>
      </c>
      <c r="LMC868" s="295" t="s">
        <v>71</v>
      </c>
      <c r="LMD868" s="295" t="s">
        <v>71</v>
      </c>
      <c r="LME868" s="295" t="s">
        <v>71</v>
      </c>
      <c r="LMF868" s="295" t="s">
        <v>71</v>
      </c>
      <c r="LMG868" s="295" t="s">
        <v>71</v>
      </c>
      <c r="LMH868" s="295" t="s">
        <v>71</v>
      </c>
      <c r="LMI868" s="295" t="s">
        <v>71</v>
      </c>
      <c r="LMJ868" s="295" t="s">
        <v>71</v>
      </c>
      <c r="LMK868" s="295" t="s">
        <v>71</v>
      </c>
      <c r="LML868" s="295" t="s">
        <v>71</v>
      </c>
      <c r="LMM868" s="295" t="s">
        <v>71</v>
      </c>
      <c r="LMN868" s="295" t="s">
        <v>71</v>
      </c>
      <c r="LMO868" s="295" t="s">
        <v>71</v>
      </c>
      <c r="LMP868" s="295" t="s">
        <v>71</v>
      </c>
      <c r="LMQ868" s="295" t="s">
        <v>71</v>
      </c>
      <c r="LMR868" s="295" t="s">
        <v>71</v>
      </c>
      <c r="LMS868" s="295" t="s">
        <v>71</v>
      </c>
      <c r="LMT868" s="295" t="s">
        <v>71</v>
      </c>
      <c r="LMU868" s="295" t="s">
        <v>71</v>
      </c>
      <c r="LMV868" s="295" t="s">
        <v>71</v>
      </c>
      <c r="LMW868" s="295" t="s">
        <v>71</v>
      </c>
      <c r="LMX868" s="295" t="s">
        <v>71</v>
      </c>
      <c r="LMY868" s="295" t="s">
        <v>71</v>
      </c>
      <c r="LMZ868" s="295" t="s">
        <v>71</v>
      </c>
      <c r="LNA868" s="295" t="s">
        <v>71</v>
      </c>
      <c r="LNB868" s="295" t="s">
        <v>71</v>
      </c>
      <c r="LNC868" s="295" t="s">
        <v>71</v>
      </c>
      <c r="LND868" s="295" t="s">
        <v>71</v>
      </c>
      <c r="LNE868" s="295" t="s">
        <v>71</v>
      </c>
      <c r="LNF868" s="295" t="s">
        <v>71</v>
      </c>
      <c r="LNG868" s="295" t="s">
        <v>71</v>
      </c>
      <c r="LNH868" s="295" t="s">
        <v>71</v>
      </c>
      <c r="LNI868" s="295" t="s">
        <v>71</v>
      </c>
      <c r="LNJ868" s="295" t="s">
        <v>71</v>
      </c>
      <c r="LNK868" s="295" t="s">
        <v>71</v>
      </c>
      <c r="LNL868" s="295" t="s">
        <v>71</v>
      </c>
      <c r="LNM868" s="295" t="s">
        <v>71</v>
      </c>
      <c r="LNN868" s="295" t="s">
        <v>71</v>
      </c>
      <c r="LNO868" s="295" t="s">
        <v>71</v>
      </c>
      <c r="LNP868" s="295" t="s">
        <v>71</v>
      </c>
      <c r="LNQ868" s="295" t="s">
        <v>71</v>
      </c>
      <c r="LNR868" s="295" t="s">
        <v>71</v>
      </c>
      <c r="LNS868" s="295" t="s">
        <v>71</v>
      </c>
      <c r="LNT868" s="295" t="s">
        <v>71</v>
      </c>
      <c r="LNU868" s="295" t="s">
        <v>71</v>
      </c>
      <c r="LNV868" s="295" t="s">
        <v>71</v>
      </c>
      <c r="LNW868" s="295" t="s">
        <v>71</v>
      </c>
      <c r="LNX868" s="295" t="s">
        <v>71</v>
      </c>
      <c r="LNY868" s="295" t="s">
        <v>71</v>
      </c>
      <c r="LNZ868" s="295" t="s">
        <v>71</v>
      </c>
      <c r="LOA868" s="295" t="s">
        <v>71</v>
      </c>
      <c r="LOB868" s="295" t="s">
        <v>71</v>
      </c>
      <c r="LOC868" s="295" t="s">
        <v>71</v>
      </c>
      <c r="LOD868" s="295" t="s">
        <v>71</v>
      </c>
      <c r="LOE868" s="295" t="s">
        <v>71</v>
      </c>
      <c r="LOF868" s="295" t="s">
        <v>71</v>
      </c>
      <c r="LOG868" s="295" t="s">
        <v>71</v>
      </c>
      <c r="LOH868" s="295" t="s">
        <v>71</v>
      </c>
      <c r="LOI868" s="295" t="s">
        <v>71</v>
      </c>
      <c r="LOJ868" s="295" t="s">
        <v>71</v>
      </c>
      <c r="LOK868" s="295" t="s">
        <v>71</v>
      </c>
      <c r="LOL868" s="295" t="s">
        <v>71</v>
      </c>
      <c r="LOM868" s="295" t="s">
        <v>71</v>
      </c>
      <c r="LON868" s="295" t="s">
        <v>71</v>
      </c>
      <c r="LOO868" s="295" t="s">
        <v>71</v>
      </c>
      <c r="LOP868" s="295" t="s">
        <v>71</v>
      </c>
      <c r="LOQ868" s="295" t="s">
        <v>71</v>
      </c>
      <c r="LOR868" s="295" t="s">
        <v>71</v>
      </c>
      <c r="LOS868" s="295" t="s">
        <v>71</v>
      </c>
      <c r="LOT868" s="295" t="s">
        <v>71</v>
      </c>
      <c r="LOU868" s="295" t="s">
        <v>71</v>
      </c>
      <c r="LOV868" s="295" t="s">
        <v>71</v>
      </c>
      <c r="LOW868" s="295" t="s">
        <v>71</v>
      </c>
      <c r="LOX868" s="295" t="s">
        <v>71</v>
      </c>
      <c r="LOY868" s="295" t="s">
        <v>71</v>
      </c>
      <c r="LOZ868" s="295" t="s">
        <v>71</v>
      </c>
      <c r="LPA868" s="295" t="s">
        <v>71</v>
      </c>
      <c r="LPB868" s="295" t="s">
        <v>71</v>
      </c>
      <c r="LPC868" s="295" t="s">
        <v>71</v>
      </c>
      <c r="LPD868" s="295" t="s">
        <v>71</v>
      </c>
      <c r="LPE868" s="295" t="s">
        <v>71</v>
      </c>
      <c r="LPF868" s="295" t="s">
        <v>71</v>
      </c>
      <c r="LPG868" s="295" t="s">
        <v>71</v>
      </c>
      <c r="LPH868" s="295" t="s">
        <v>71</v>
      </c>
      <c r="LPI868" s="295" t="s">
        <v>71</v>
      </c>
      <c r="LPJ868" s="295" t="s">
        <v>71</v>
      </c>
      <c r="LPK868" s="295" t="s">
        <v>71</v>
      </c>
      <c r="LPL868" s="295" t="s">
        <v>71</v>
      </c>
      <c r="LPM868" s="295" t="s">
        <v>71</v>
      </c>
      <c r="LPN868" s="295" t="s">
        <v>71</v>
      </c>
      <c r="LPO868" s="295" t="s">
        <v>71</v>
      </c>
      <c r="LPP868" s="295" t="s">
        <v>71</v>
      </c>
      <c r="LPQ868" s="295" t="s">
        <v>71</v>
      </c>
      <c r="LPR868" s="295" t="s">
        <v>71</v>
      </c>
      <c r="LPS868" s="295" t="s">
        <v>71</v>
      </c>
      <c r="LPT868" s="295" t="s">
        <v>71</v>
      </c>
      <c r="LPU868" s="295" t="s">
        <v>71</v>
      </c>
      <c r="LPV868" s="295" t="s">
        <v>71</v>
      </c>
      <c r="LPW868" s="295" t="s">
        <v>71</v>
      </c>
      <c r="LPX868" s="295" t="s">
        <v>71</v>
      </c>
      <c r="LPY868" s="295" t="s">
        <v>71</v>
      </c>
      <c r="LPZ868" s="295" t="s">
        <v>71</v>
      </c>
      <c r="LQA868" s="295" t="s">
        <v>71</v>
      </c>
      <c r="LQB868" s="295" t="s">
        <v>71</v>
      </c>
      <c r="LQC868" s="295" t="s">
        <v>71</v>
      </c>
      <c r="LQD868" s="295" t="s">
        <v>71</v>
      </c>
      <c r="LQE868" s="295" t="s">
        <v>71</v>
      </c>
      <c r="LQF868" s="295" t="s">
        <v>71</v>
      </c>
      <c r="LQG868" s="295" t="s">
        <v>71</v>
      </c>
      <c r="LQH868" s="295" t="s">
        <v>71</v>
      </c>
      <c r="LQI868" s="295" t="s">
        <v>71</v>
      </c>
      <c r="LQJ868" s="295" t="s">
        <v>71</v>
      </c>
      <c r="LQK868" s="295" t="s">
        <v>71</v>
      </c>
      <c r="LQL868" s="295" t="s">
        <v>71</v>
      </c>
      <c r="LQM868" s="295" t="s">
        <v>71</v>
      </c>
      <c r="LQN868" s="295" t="s">
        <v>71</v>
      </c>
      <c r="LQO868" s="295" t="s">
        <v>71</v>
      </c>
      <c r="LQP868" s="295" t="s">
        <v>71</v>
      </c>
      <c r="LQQ868" s="295" t="s">
        <v>71</v>
      </c>
      <c r="LQR868" s="295" t="s">
        <v>71</v>
      </c>
      <c r="LQS868" s="295" t="s">
        <v>71</v>
      </c>
      <c r="LQT868" s="295" t="s">
        <v>71</v>
      </c>
      <c r="LQU868" s="295" t="s">
        <v>71</v>
      </c>
      <c r="LQV868" s="295" t="s">
        <v>71</v>
      </c>
      <c r="LQW868" s="295" t="s">
        <v>71</v>
      </c>
      <c r="LQX868" s="295" t="s">
        <v>71</v>
      </c>
      <c r="LQY868" s="295" t="s">
        <v>71</v>
      </c>
      <c r="LQZ868" s="295" t="s">
        <v>71</v>
      </c>
      <c r="LRA868" s="295" t="s">
        <v>71</v>
      </c>
      <c r="LRB868" s="295" t="s">
        <v>71</v>
      </c>
      <c r="LRC868" s="295" t="s">
        <v>71</v>
      </c>
      <c r="LRD868" s="295" t="s">
        <v>71</v>
      </c>
      <c r="LRE868" s="295" t="s">
        <v>71</v>
      </c>
      <c r="LRF868" s="295" t="s">
        <v>71</v>
      </c>
      <c r="LRG868" s="295" t="s">
        <v>71</v>
      </c>
      <c r="LRH868" s="295" t="s">
        <v>71</v>
      </c>
      <c r="LRI868" s="295" t="s">
        <v>71</v>
      </c>
      <c r="LRJ868" s="295" t="s">
        <v>71</v>
      </c>
      <c r="LRK868" s="295" t="s">
        <v>71</v>
      </c>
      <c r="LRL868" s="295" t="s">
        <v>71</v>
      </c>
      <c r="LRM868" s="295" t="s">
        <v>71</v>
      </c>
      <c r="LRN868" s="295" t="s">
        <v>71</v>
      </c>
      <c r="LRO868" s="295" t="s">
        <v>71</v>
      </c>
      <c r="LRP868" s="295" t="s">
        <v>71</v>
      </c>
      <c r="LRQ868" s="295" t="s">
        <v>71</v>
      </c>
      <c r="LRR868" s="295" t="s">
        <v>71</v>
      </c>
      <c r="LRS868" s="295" t="s">
        <v>71</v>
      </c>
      <c r="LRT868" s="295" t="s">
        <v>71</v>
      </c>
      <c r="LRU868" s="295" t="s">
        <v>71</v>
      </c>
      <c r="LRV868" s="295" t="s">
        <v>71</v>
      </c>
      <c r="LRW868" s="295" t="s">
        <v>71</v>
      </c>
      <c r="LRX868" s="295" t="s">
        <v>71</v>
      </c>
      <c r="LRY868" s="295" t="s">
        <v>71</v>
      </c>
      <c r="LRZ868" s="295" t="s">
        <v>71</v>
      </c>
      <c r="LSA868" s="295" t="s">
        <v>71</v>
      </c>
      <c r="LSB868" s="295" t="s">
        <v>71</v>
      </c>
      <c r="LSC868" s="295" t="s">
        <v>71</v>
      </c>
      <c r="LSD868" s="295" t="s">
        <v>71</v>
      </c>
      <c r="LSE868" s="295" t="s">
        <v>71</v>
      </c>
      <c r="LSF868" s="295" t="s">
        <v>71</v>
      </c>
      <c r="LSG868" s="295" t="s">
        <v>71</v>
      </c>
      <c r="LSH868" s="295" t="s">
        <v>71</v>
      </c>
      <c r="LSI868" s="295" t="s">
        <v>71</v>
      </c>
      <c r="LSJ868" s="295" t="s">
        <v>71</v>
      </c>
      <c r="LSK868" s="295" t="s">
        <v>71</v>
      </c>
      <c r="LSL868" s="295" t="s">
        <v>71</v>
      </c>
      <c r="LSM868" s="295" t="s">
        <v>71</v>
      </c>
      <c r="LSN868" s="295" t="s">
        <v>71</v>
      </c>
      <c r="LSO868" s="295" t="s">
        <v>71</v>
      </c>
      <c r="LSP868" s="295" t="s">
        <v>71</v>
      </c>
      <c r="LSQ868" s="295" t="s">
        <v>71</v>
      </c>
      <c r="LSR868" s="295" t="s">
        <v>71</v>
      </c>
      <c r="LSS868" s="295" t="s">
        <v>71</v>
      </c>
      <c r="LST868" s="295" t="s">
        <v>71</v>
      </c>
      <c r="LSU868" s="295" t="s">
        <v>71</v>
      </c>
      <c r="LSV868" s="295" t="s">
        <v>71</v>
      </c>
      <c r="LSW868" s="295" t="s">
        <v>71</v>
      </c>
      <c r="LSX868" s="295" t="s">
        <v>71</v>
      </c>
      <c r="LSY868" s="295" t="s">
        <v>71</v>
      </c>
      <c r="LSZ868" s="295" t="s">
        <v>71</v>
      </c>
      <c r="LTA868" s="295" t="s">
        <v>71</v>
      </c>
      <c r="LTB868" s="295" t="s">
        <v>71</v>
      </c>
      <c r="LTC868" s="295" t="s">
        <v>71</v>
      </c>
      <c r="LTD868" s="295" t="s">
        <v>71</v>
      </c>
      <c r="LTE868" s="295" t="s">
        <v>71</v>
      </c>
      <c r="LTF868" s="295" t="s">
        <v>71</v>
      </c>
      <c r="LTG868" s="295" t="s">
        <v>71</v>
      </c>
      <c r="LTH868" s="295" t="s">
        <v>71</v>
      </c>
      <c r="LTI868" s="295" t="s">
        <v>71</v>
      </c>
      <c r="LTJ868" s="295" t="s">
        <v>71</v>
      </c>
      <c r="LTK868" s="295" t="s">
        <v>71</v>
      </c>
      <c r="LTL868" s="295" t="s">
        <v>71</v>
      </c>
      <c r="LTM868" s="295" t="s">
        <v>71</v>
      </c>
      <c r="LTN868" s="295" t="s">
        <v>71</v>
      </c>
      <c r="LTO868" s="295" t="s">
        <v>71</v>
      </c>
      <c r="LTP868" s="295" t="s">
        <v>71</v>
      </c>
      <c r="LTQ868" s="295" t="s">
        <v>71</v>
      </c>
      <c r="LTR868" s="295" t="s">
        <v>71</v>
      </c>
      <c r="LTS868" s="295" t="s">
        <v>71</v>
      </c>
      <c r="LTT868" s="295" t="s">
        <v>71</v>
      </c>
      <c r="LTU868" s="295" t="s">
        <v>71</v>
      </c>
      <c r="LTV868" s="295" t="s">
        <v>71</v>
      </c>
      <c r="LTW868" s="295" t="s">
        <v>71</v>
      </c>
      <c r="LTX868" s="295" t="s">
        <v>71</v>
      </c>
      <c r="LTY868" s="295" t="s">
        <v>71</v>
      </c>
      <c r="LTZ868" s="295" t="s">
        <v>71</v>
      </c>
      <c r="LUA868" s="295" t="s">
        <v>71</v>
      </c>
      <c r="LUB868" s="295" t="s">
        <v>71</v>
      </c>
      <c r="LUC868" s="295" t="s">
        <v>71</v>
      </c>
      <c r="LUD868" s="295" t="s">
        <v>71</v>
      </c>
      <c r="LUE868" s="295" t="s">
        <v>71</v>
      </c>
      <c r="LUF868" s="295" t="s">
        <v>71</v>
      </c>
      <c r="LUG868" s="295" t="s">
        <v>71</v>
      </c>
      <c r="LUH868" s="295" t="s">
        <v>71</v>
      </c>
      <c r="LUI868" s="295" t="s">
        <v>71</v>
      </c>
      <c r="LUJ868" s="295" t="s">
        <v>71</v>
      </c>
      <c r="LUK868" s="295" t="s">
        <v>71</v>
      </c>
      <c r="LUL868" s="295" t="s">
        <v>71</v>
      </c>
      <c r="LUM868" s="295" t="s">
        <v>71</v>
      </c>
      <c r="LUN868" s="295" t="s">
        <v>71</v>
      </c>
      <c r="LUO868" s="295" t="s">
        <v>71</v>
      </c>
      <c r="LUP868" s="295" t="s">
        <v>71</v>
      </c>
      <c r="LUQ868" s="295" t="s">
        <v>71</v>
      </c>
      <c r="LUR868" s="295" t="s">
        <v>71</v>
      </c>
      <c r="LUS868" s="295" t="s">
        <v>71</v>
      </c>
      <c r="LUT868" s="295" t="s">
        <v>71</v>
      </c>
      <c r="LUU868" s="295" t="s">
        <v>71</v>
      </c>
      <c r="LUV868" s="295" t="s">
        <v>71</v>
      </c>
      <c r="LUW868" s="295" t="s">
        <v>71</v>
      </c>
      <c r="LUX868" s="295" t="s">
        <v>71</v>
      </c>
      <c r="LUY868" s="295" t="s">
        <v>71</v>
      </c>
      <c r="LUZ868" s="295" t="s">
        <v>71</v>
      </c>
      <c r="LVA868" s="295" t="s">
        <v>71</v>
      </c>
      <c r="LVB868" s="295" t="s">
        <v>71</v>
      </c>
      <c r="LVC868" s="295" t="s">
        <v>71</v>
      </c>
      <c r="LVD868" s="295" t="s">
        <v>71</v>
      </c>
      <c r="LVE868" s="295" t="s">
        <v>71</v>
      </c>
      <c r="LVF868" s="295" t="s">
        <v>71</v>
      </c>
      <c r="LVG868" s="295" t="s">
        <v>71</v>
      </c>
      <c r="LVH868" s="295" t="s">
        <v>71</v>
      </c>
      <c r="LVI868" s="295" t="s">
        <v>71</v>
      </c>
      <c r="LVJ868" s="295" t="s">
        <v>71</v>
      </c>
      <c r="LVK868" s="295" t="s">
        <v>71</v>
      </c>
      <c r="LVL868" s="295" t="s">
        <v>71</v>
      </c>
      <c r="LVM868" s="295" t="s">
        <v>71</v>
      </c>
      <c r="LVN868" s="295" t="s">
        <v>71</v>
      </c>
      <c r="LVO868" s="295" t="s">
        <v>71</v>
      </c>
      <c r="LVP868" s="295" t="s">
        <v>71</v>
      </c>
      <c r="LVQ868" s="295" t="s">
        <v>71</v>
      </c>
      <c r="LVR868" s="295" t="s">
        <v>71</v>
      </c>
      <c r="LVS868" s="295" t="s">
        <v>71</v>
      </c>
      <c r="LVT868" s="295" t="s">
        <v>71</v>
      </c>
      <c r="LVU868" s="295" t="s">
        <v>71</v>
      </c>
      <c r="LVV868" s="295" t="s">
        <v>71</v>
      </c>
      <c r="LVW868" s="295" t="s">
        <v>71</v>
      </c>
      <c r="LVX868" s="295" t="s">
        <v>71</v>
      </c>
      <c r="LVY868" s="295" t="s">
        <v>71</v>
      </c>
      <c r="LVZ868" s="295" t="s">
        <v>71</v>
      </c>
      <c r="LWA868" s="295" t="s">
        <v>71</v>
      </c>
      <c r="LWB868" s="295" t="s">
        <v>71</v>
      </c>
      <c r="LWC868" s="295" t="s">
        <v>71</v>
      </c>
      <c r="LWD868" s="295" t="s">
        <v>71</v>
      </c>
      <c r="LWE868" s="295" t="s">
        <v>71</v>
      </c>
      <c r="LWF868" s="295" t="s">
        <v>71</v>
      </c>
      <c r="LWG868" s="295" t="s">
        <v>71</v>
      </c>
      <c r="LWH868" s="295" t="s">
        <v>71</v>
      </c>
      <c r="LWI868" s="295" t="s">
        <v>71</v>
      </c>
      <c r="LWJ868" s="295" t="s">
        <v>71</v>
      </c>
      <c r="LWK868" s="295" t="s">
        <v>71</v>
      </c>
      <c r="LWL868" s="295" t="s">
        <v>71</v>
      </c>
      <c r="LWM868" s="295" t="s">
        <v>71</v>
      </c>
      <c r="LWN868" s="295" t="s">
        <v>71</v>
      </c>
      <c r="LWO868" s="295" t="s">
        <v>71</v>
      </c>
      <c r="LWP868" s="295" t="s">
        <v>71</v>
      </c>
      <c r="LWQ868" s="295" t="s">
        <v>71</v>
      </c>
      <c r="LWR868" s="295" t="s">
        <v>71</v>
      </c>
      <c r="LWS868" s="295" t="s">
        <v>71</v>
      </c>
      <c r="LWT868" s="295" t="s">
        <v>71</v>
      </c>
      <c r="LWU868" s="295" t="s">
        <v>71</v>
      </c>
      <c r="LWV868" s="295" t="s">
        <v>71</v>
      </c>
      <c r="LWW868" s="295" t="s">
        <v>71</v>
      </c>
      <c r="LWX868" s="295" t="s">
        <v>71</v>
      </c>
      <c r="LWY868" s="295" t="s">
        <v>71</v>
      </c>
      <c r="LWZ868" s="295" t="s">
        <v>71</v>
      </c>
      <c r="LXA868" s="295" t="s">
        <v>71</v>
      </c>
      <c r="LXB868" s="295" t="s">
        <v>71</v>
      </c>
      <c r="LXC868" s="295" t="s">
        <v>71</v>
      </c>
      <c r="LXD868" s="295" t="s">
        <v>71</v>
      </c>
      <c r="LXE868" s="295" t="s">
        <v>71</v>
      </c>
      <c r="LXF868" s="295" t="s">
        <v>71</v>
      </c>
      <c r="LXG868" s="295" t="s">
        <v>71</v>
      </c>
      <c r="LXH868" s="295" t="s">
        <v>71</v>
      </c>
      <c r="LXI868" s="295" t="s">
        <v>71</v>
      </c>
      <c r="LXJ868" s="295" t="s">
        <v>71</v>
      </c>
      <c r="LXK868" s="295" t="s">
        <v>71</v>
      </c>
      <c r="LXL868" s="295" t="s">
        <v>71</v>
      </c>
      <c r="LXM868" s="295" t="s">
        <v>71</v>
      </c>
      <c r="LXN868" s="295" t="s">
        <v>71</v>
      </c>
      <c r="LXO868" s="295" t="s">
        <v>71</v>
      </c>
      <c r="LXP868" s="295" t="s">
        <v>71</v>
      </c>
      <c r="LXQ868" s="295" t="s">
        <v>71</v>
      </c>
      <c r="LXR868" s="295" t="s">
        <v>71</v>
      </c>
      <c r="LXS868" s="295" t="s">
        <v>71</v>
      </c>
      <c r="LXT868" s="295" t="s">
        <v>71</v>
      </c>
      <c r="LXU868" s="295" t="s">
        <v>71</v>
      </c>
      <c r="LXV868" s="295" t="s">
        <v>71</v>
      </c>
      <c r="LXW868" s="295" t="s">
        <v>71</v>
      </c>
      <c r="LXX868" s="295" t="s">
        <v>71</v>
      </c>
      <c r="LXY868" s="295" t="s">
        <v>71</v>
      </c>
      <c r="LXZ868" s="295" t="s">
        <v>71</v>
      </c>
      <c r="LYA868" s="295" t="s">
        <v>71</v>
      </c>
      <c r="LYB868" s="295" t="s">
        <v>71</v>
      </c>
      <c r="LYC868" s="295" t="s">
        <v>71</v>
      </c>
      <c r="LYD868" s="295" t="s">
        <v>71</v>
      </c>
      <c r="LYE868" s="295" t="s">
        <v>71</v>
      </c>
      <c r="LYF868" s="295" t="s">
        <v>71</v>
      </c>
      <c r="LYG868" s="295" t="s">
        <v>71</v>
      </c>
      <c r="LYH868" s="295" t="s">
        <v>71</v>
      </c>
      <c r="LYI868" s="295" t="s">
        <v>71</v>
      </c>
      <c r="LYJ868" s="295" t="s">
        <v>71</v>
      </c>
      <c r="LYK868" s="295" t="s">
        <v>71</v>
      </c>
      <c r="LYL868" s="295" t="s">
        <v>71</v>
      </c>
      <c r="LYM868" s="295" t="s">
        <v>71</v>
      </c>
      <c r="LYN868" s="295" t="s">
        <v>71</v>
      </c>
      <c r="LYO868" s="295" t="s">
        <v>71</v>
      </c>
      <c r="LYP868" s="295" t="s">
        <v>71</v>
      </c>
      <c r="LYQ868" s="295" t="s">
        <v>71</v>
      </c>
      <c r="LYR868" s="295" t="s">
        <v>71</v>
      </c>
      <c r="LYS868" s="295" t="s">
        <v>71</v>
      </c>
      <c r="LYT868" s="295" t="s">
        <v>71</v>
      </c>
      <c r="LYU868" s="295" t="s">
        <v>71</v>
      </c>
      <c r="LYV868" s="295" t="s">
        <v>71</v>
      </c>
      <c r="LYW868" s="295" t="s">
        <v>71</v>
      </c>
      <c r="LYX868" s="295" t="s">
        <v>71</v>
      </c>
      <c r="LYY868" s="295" t="s">
        <v>71</v>
      </c>
      <c r="LYZ868" s="295" t="s">
        <v>71</v>
      </c>
      <c r="LZA868" s="295" t="s">
        <v>71</v>
      </c>
      <c r="LZB868" s="295" t="s">
        <v>71</v>
      </c>
      <c r="LZC868" s="295" t="s">
        <v>71</v>
      </c>
      <c r="LZD868" s="295" t="s">
        <v>71</v>
      </c>
      <c r="LZE868" s="295" t="s">
        <v>71</v>
      </c>
      <c r="LZF868" s="295" t="s">
        <v>71</v>
      </c>
      <c r="LZG868" s="295" t="s">
        <v>71</v>
      </c>
      <c r="LZH868" s="295" t="s">
        <v>71</v>
      </c>
      <c r="LZI868" s="295" t="s">
        <v>71</v>
      </c>
      <c r="LZJ868" s="295" t="s">
        <v>71</v>
      </c>
      <c r="LZK868" s="295" t="s">
        <v>71</v>
      </c>
      <c r="LZL868" s="295" t="s">
        <v>71</v>
      </c>
      <c r="LZM868" s="295" t="s">
        <v>71</v>
      </c>
      <c r="LZN868" s="295" t="s">
        <v>71</v>
      </c>
      <c r="LZO868" s="295" t="s">
        <v>71</v>
      </c>
      <c r="LZP868" s="295" t="s">
        <v>71</v>
      </c>
      <c r="LZQ868" s="295" t="s">
        <v>71</v>
      </c>
      <c r="LZR868" s="295" t="s">
        <v>71</v>
      </c>
      <c r="LZS868" s="295" t="s">
        <v>71</v>
      </c>
      <c r="LZT868" s="295" t="s">
        <v>71</v>
      </c>
      <c r="LZU868" s="295" t="s">
        <v>71</v>
      </c>
      <c r="LZV868" s="295" t="s">
        <v>71</v>
      </c>
      <c r="LZW868" s="295" t="s">
        <v>71</v>
      </c>
      <c r="LZX868" s="295" t="s">
        <v>71</v>
      </c>
      <c r="LZY868" s="295" t="s">
        <v>71</v>
      </c>
      <c r="LZZ868" s="295" t="s">
        <v>71</v>
      </c>
      <c r="MAA868" s="295" t="s">
        <v>71</v>
      </c>
      <c r="MAB868" s="295" t="s">
        <v>71</v>
      </c>
      <c r="MAC868" s="295" t="s">
        <v>71</v>
      </c>
      <c r="MAD868" s="295" t="s">
        <v>71</v>
      </c>
      <c r="MAE868" s="295" t="s">
        <v>71</v>
      </c>
      <c r="MAF868" s="295" t="s">
        <v>71</v>
      </c>
      <c r="MAG868" s="295" t="s">
        <v>71</v>
      </c>
      <c r="MAH868" s="295" t="s">
        <v>71</v>
      </c>
      <c r="MAI868" s="295" t="s">
        <v>71</v>
      </c>
      <c r="MAJ868" s="295" t="s">
        <v>71</v>
      </c>
      <c r="MAK868" s="295" t="s">
        <v>71</v>
      </c>
      <c r="MAL868" s="295" t="s">
        <v>71</v>
      </c>
      <c r="MAM868" s="295" t="s">
        <v>71</v>
      </c>
      <c r="MAN868" s="295" t="s">
        <v>71</v>
      </c>
      <c r="MAO868" s="295" t="s">
        <v>71</v>
      </c>
      <c r="MAP868" s="295" t="s">
        <v>71</v>
      </c>
      <c r="MAQ868" s="295" t="s">
        <v>71</v>
      </c>
      <c r="MAR868" s="295" t="s">
        <v>71</v>
      </c>
      <c r="MAS868" s="295" t="s">
        <v>71</v>
      </c>
      <c r="MAT868" s="295" t="s">
        <v>71</v>
      </c>
      <c r="MAU868" s="295" t="s">
        <v>71</v>
      </c>
      <c r="MAV868" s="295" t="s">
        <v>71</v>
      </c>
      <c r="MAW868" s="295" t="s">
        <v>71</v>
      </c>
      <c r="MAX868" s="295" t="s">
        <v>71</v>
      </c>
      <c r="MAY868" s="295" t="s">
        <v>71</v>
      </c>
      <c r="MAZ868" s="295" t="s">
        <v>71</v>
      </c>
      <c r="MBA868" s="295" t="s">
        <v>71</v>
      </c>
      <c r="MBB868" s="295" t="s">
        <v>71</v>
      </c>
      <c r="MBC868" s="295" t="s">
        <v>71</v>
      </c>
      <c r="MBD868" s="295" t="s">
        <v>71</v>
      </c>
      <c r="MBE868" s="295" t="s">
        <v>71</v>
      </c>
      <c r="MBF868" s="295" t="s">
        <v>71</v>
      </c>
      <c r="MBG868" s="295" t="s">
        <v>71</v>
      </c>
      <c r="MBH868" s="295" t="s">
        <v>71</v>
      </c>
      <c r="MBI868" s="295" t="s">
        <v>71</v>
      </c>
      <c r="MBJ868" s="295" t="s">
        <v>71</v>
      </c>
      <c r="MBK868" s="295" t="s">
        <v>71</v>
      </c>
      <c r="MBL868" s="295" t="s">
        <v>71</v>
      </c>
      <c r="MBM868" s="295" t="s">
        <v>71</v>
      </c>
      <c r="MBN868" s="295" t="s">
        <v>71</v>
      </c>
      <c r="MBO868" s="295" t="s">
        <v>71</v>
      </c>
      <c r="MBP868" s="295" t="s">
        <v>71</v>
      </c>
      <c r="MBQ868" s="295" t="s">
        <v>71</v>
      </c>
      <c r="MBR868" s="295" t="s">
        <v>71</v>
      </c>
      <c r="MBS868" s="295" t="s">
        <v>71</v>
      </c>
      <c r="MBT868" s="295" t="s">
        <v>71</v>
      </c>
      <c r="MBU868" s="295" t="s">
        <v>71</v>
      </c>
      <c r="MBV868" s="295" t="s">
        <v>71</v>
      </c>
      <c r="MBW868" s="295" t="s">
        <v>71</v>
      </c>
      <c r="MBX868" s="295" t="s">
        <v>71</v>
      </c>
      <c r="MBY868" s="295" t="s">
        <v>71</v>
      </c>
      <c r="MBZ868" s="295" t="s">
        <v>71</v>
      </c>
      <c r="MCA868" s="295" t="s">
        <v>71</v>
      </c>
      <c r="MCB868" s="295" t="s">
        <v>71</v>
      </c>
      <c r="MCC868" s="295" t="s">
        <v>71</v>
      </c>
      <c r="MCD868" s="295" t="s">
        <v>71</v>
      </c>
      <c r="MCE868" s="295" t="s">
        <v>71</v>
      </c>
      <c r="MCF868" s="295" t="s">
        <v>71</v>
      </c>
      <c r="MCG868" s="295" t="s">
        <v>71</v>
      </c>
      <c r="MCH868" s="295" t="s">
        <v>71</v>
      </c>
      <c r="MCI868" s="295" t="s">
        <v>71</v>
      </c>
      <c r="MCJ868" s="295" t="s">
        <v>71</v>
      </c>
      <c r="MCK868" s="295" t="s">
        <v>71</v>
      </c>
      <c r="MCL868" s="295" t="s">
        <v>71</v>
      </c>
      <c r="MCM868" s="295" t="s">
        <v>71</v>
      </c>
      <c r="MCN868" s="295" t="s">
        <v>71</v>
      </c>
      <c r="MCO868" s="295" t="s">
        <v>71</v>
      </c>
      <c r="MCP868" s="295" t="s">
        <v>71</v>
      </c>
      <c r="MCQ868" s="295" t="s">
        <v>71</v>
      </c>
      <c r="MCR868" s="295" t="s">
        <v>71</v>
      </c>
      <c r="MCS868" s="295" t="s">
        <v>71</v>
      </c>
      <c r="MCT868" s="295" t="s">
        <v>71</v>
      </c>
      <c r="MCU868" s="295" t="s">
        <v>71</v>
      </c>
      <c r="MCV868" s="295" t="s">
        <v>71</v>
      </c>
      <c r="MCW868" s="295" t="s">
        <v>71</v>
      </c>
      <c r="MCX868" s="295" t="s">
        <v>71</v>
      </c>
      <c r="MCY868" s="295" t="s">
        <v>71</v>
      </c>
      <c r="MCZ868" s="295" t="s">
        <v>71</v>
      </c>
      <c r="MDA868" s="295" t="s">
        <v>71</v>
      </c>
      <c r="MDB868" s="295" t="s">
        <v>71</v>
      </c>
      <c r="MDC868" s="295" t="s">
        <v>71</v>
      </c>
      <c r="MDD868" s="295" t="s">
        <v>71</v>
      </c>
      <c r="MDE868" s="295" t="s">
        <v>71</v>
      </c>
      <c r="MDF868" s="295" t="s">
        <v>71</v>
      </c>
      <c r="MDG868" s="295" t="s">
        <v>71</v>
      </c>
      <c r="MDH868" s="295" t="s">
        <v>71</v>
      </c>
      <c r="MDI868" s="295" t="s">
        <v>71</v>
      </c>
      <c r="MDJ868" s="295" t="s">
        <v>71</v>
      </c>
      <c r="MDK868" s="295" t="s">
        <v>71</v>
      </c>
      <c r="MDL868" s="295" t="s">
        <v>71</v>
      </c>
      <c r="MDM868" s="295" t="s">
        <v>71</v>
      </c>
      <c r="MDN868" s="295" t="s">
        <v>71</v>
      </c>
      <c r="MDO868" s="295" t="s">
        <v>71</v>
      </c>
      <c r="MDP868" s="295" t="s">
        <v>71</v>
      </c>
      <c r="MDQ868" s="295" t="s">
        <v>71</v>
      </c>
      <c r="MDR868" s="295" t="s">
        <v>71</v>
      </c>
      <c r="MDS868" s="295" t="s">
        <v>71</v>
      </c>
      <c r="MDT868" s="295" t="s">
        <v>71</v>
      </c>
      <c r="MDU868" s="295" t="s">
        <v>71</v>
      </c>
      <c r="MDV868" s="295" t="s">
        <v>71</v>
      </c>
      <c r="MDW868" s="295" t="s">
        <v>71</v>
      </c>
      <c r="MDX868" s="295" t="s">
        <v>71</v>
      </c>
      <c r="MDY868" s="295" t="s">
        <v>71</v>
      </c>
      <c r="MDZ868" s="295" t="s">
        <v>71</v>
      </c>
      <c r="MEA868" s="295" t="s">
        <v>71</v>
      </c>
      <c r="MEB868" s="295" t="s">
        <v>71</v>
      </c>
      <c r="MEC868" s="295" t="s">
        <v>71</v>
      </c>
      <c r="MED868" s="295" t="s">
        <v>71</v>
      </c>
      <c r="MEE868" s="295" t="s">
        <v>71</v>
      </c>
      <c r="MEF868" s="295" t="s">
        <v>71</v>
      </c>
      <c r="MEG868" s="295" t="s">
        <v>71</v>
      </c>
      <c r="MEH868" s="295" t="s">
        <v>71</v>
      </c>
      <c r="MEI868" s="295" t="s">
        <v>71</v>
      </c>
      <c r="MEJ868" s="295" t="s">
        <v>71</v>
      </c>
      <c r="MEK868" s="295" t="s">
        <v>71</v>
      </c>
      <c r="MEL868" s="295" t="s">
        <v>71</v>
      </c>
      <c r="MEM868" s="295" t="s">
        <v>71</v>
      </c>
      <c r="MEN868" s="295" t="s">
        <v>71</v>
      </c>
      <c r="MEO868" s="295" t="s">
        <v>71</v>
      </c>
      <c r="MEP868" s="295" t="s">
        <v>71</v>
      </c>
      <c r="MEQ868" s="295" t="s">
        <v>71</v>
      </c>
      <c r="MER868" s="295" t="s">
        <v>71</v>
      </c>
      <c r="MES868" s="295" t="s">
        <v>71</v>
      </c>
      <c r="MET868" s="295" t="s">
        <v>71</v>
      </c>
      <c r="MEU868" s="295" t="s">
        <v>71</v>
      </c>
      <c r="MEV868" s="295" t="s">
        <v>71</v>
      </c>
      <c r="MEW868" s="295" t="s">
        <v>71</v>
      </c>
      <c r="MEX868" s="295" t="s">
        <v>71</v>
      </c>
      <c r="MEY868" s="295" t="s">
        <v>71</v>
      </c>
      <c r="MEZ868" s="295" t="s">
        <v>71</v>
      </c>
      <c r="MFA868" s="295" t="s">
        <v>71</v>
      </c>
      <c r="MFB868" s="295" t="s">
        <v>71</v>
      </c>
      <c r="MFC868" s="295" t="s">
        <v>71</v>
      </c>
      <c r="MFD868" s="295" t="s">
        <v>71</v>
      </c>
      <c r="MFE868" s="295" t="s">
        <v>71</v>
      </c>
      <c r="MFF868" s="295" t="s">
        <v>71</v>
      </c>
      <c r="MFG868" s="295" t="s">
        <v>71</v>
      </c>
      <c r="MFH868" s="295" t="s">
        <v>71</v>
      </c>
      <c r="MFI868" s="295" t="s">
        <v>71</v>
      </c>
      <c r="MFJ868" s="295" t="s">
        <v>71</v>
      </c>
      <c r="MFK868" s="295" t="s">
        <v>71</v>
      </c>
      <c r="MFL868" s="295" t="s">
        <v>71</v>
      </c>
      <c r="MFM868" s="295" t="s">
        <v>71</v>
      </c>
      <c r="MFN868" s="295" t="s">
        <v>71</v>
      </c>
      <c r="MFO868" s="295" t="s">
        <v>71</v>
      </c>
      <c r="MFP868" s="295" t="s">
        <v>71</v>
      </c>
      <c r="MFQ868" s="295" t="s">
        <v>71</v>
      </c>
      <c r="MFR868" s="295" t="s">
        <v>71</v>
      </c>
      <c r="MFS868" s="295" t="s">
        <v>71</v>
      </c>
      <c r="MFT868" s="295" t="s">
        <v>71</v>
      </c>
      <c r="MFU868" s="295" t="s">
        <v>71</v>
      </c>
      <c r="MFV868" s="295" t="s">
        <v>71</v>
      </c>
      <c r="MFW868" s="295" t="s">
        <v>71</v>
      </c>
      <c r="MFX868" s="295" t="s">
        <v>71</v>
      </c>
      <c r="MFY868" s="295" t="s">
        <v>71</v>
      </c>
      <c r="MFZ868" s="295" t="s">
        <v>71</v>
      </c>
      <c r="MGA868" s="295" t="s">
        <v>71</v>
      </c>
      <c r="MGB868" s="295" t="s">
        <v>71</v>
      </c>
      <c r="MGC868" s="295" t="s">
        <v>71</v>
      </c>
      <c r="MGD868" s="295" t="s">
        <v>71</v>
      </c>
      <c r="MGE868" s="295" t="s">
        <v>71</v>
      </c>
      <c r="MGF868" s="295" t="s">
        <v>71</v>
      </c>
      <c r="MGG868" s="295" t="s">
        <v>71</v>
      </c>
      <c r="MGH868" s="295" t="s">
        <v>71</v>
      </c>
      <c r="MGI868" s="295" t="s">
        <v>71</v>
      </c>
      <c r="MGJ868" s="295" t="s">
        <v>71</v>
      </c>
      <c r="MGK868" s="295" t="s">
        <v>71</v>
      </c>
      <c r="MGL868" s="295" t="s">
        <v>71</v>
      </c>
      <c r="MGM868" s="295" t="s">
        <v>71</v>
      </c>
      <c r="MGN868" s="295" t="s">
        <v>71</v>
      </c>
      <c r="MGO868" s="295" t="s">
        <v>71</v>
      </c>
      <c r="MGP868" s="295" t="s">
        <v>71</v>
      </c>
      <c r="MGQ868" s="295" t="s">
        <v>71</v>
      </c>
      <c r="MGR868" s="295" t="s">
        <v>71</v>
      </c>
      <c r="MGS868" s="295" t="s">
        <v>71</v>
      </c>
      <c r="MGT868" s="295" t="s">
        <v>71</v>
      </c>
      <c r="MGU868" s="295" t="s">
        <v>71</v>
      </c>
      <c r="MGV868" s="295" t="s">
        <v>71</v>
      </c>
      <c r="MGW868" s="295" t="s">
        <v>71</v>
      </c>
      <c r="MGX868" s="295" t="s">
        <v>71</v>
      </c>
      <c r="MGY868" s="295" t="s">
        <v>71</v>
      </c>
      <c r="MGZ868" s="295" t="s">
        <v>71</v>
      </c>
      <c r="MHA868" s="295" t="s">
        <v>71</v>
      </c>
      <c r="MHB868" s="295" t="s">
        <v>71</v>
      </c>
      <c r="MHC868" s="295" t="s">
        <v>71</v>
      </c>
      <c r="MHD868" s="295" t="s">
        <v>71</v>
      </c>
      <c r="MHE868" s="295" t="s">
        <v>71</v>
      </c>
      <c r="MHF868" s="295" t="s">
        <v>71</v>
      </c>
      <c r="MHG868" s="295" t="s">
        <v>71</v>
      </c>
      <c r="MHH868" s="295" t="s">
        <v>71</v>
      </c>
      <c r="MHI868" s="295" t="s">
        <v>71</v>
      </c>
      <c r="MHJ868" s="295" t="s">
        <v>71</v>
      </c>
      <c r="MHK868" s="295" t="s">
        <v>71</v>
      </c>
      <c r="MHL868" s="295" t="s">
        <v>71</v>
      </c>
      <c r="MHM868" s="295" t="s">
        <v>71</v>
      </c>
      <c r="MHN868" s="295" t="s">
        <v>71</v>
      </c>
      <c r="MHO868" s="295" t="s">
        <v>71</v>
      </c>
      <c r="MHP868" s="295" t="s">
        <v>71</v>
      </c>
      <c r="MHQ868" s="295" t="s">
        <v>71</v>
      </c>
      <c r="MHR868" s="295" t="s">
        <v>71</v>
      </c>
      <c r="MHS868" s="295" t="s">
        <v>71</v>
      </c>
      <c r="MHT868" s="295" t="s">
        <v>71</v>
      </c>
      <c r="MHU868" s="295" t="s">
        <v>71</v>
      </c>
      <c r="MHV868" s="295" t="s">
        <v>71</v>
      </c>
      <c r="MHW868" s="295" t="s">
        <v>71</v>
      </c>
      <c r="MHX868" s="295" t="s">
        <v>71</v>
      </c>
      <c r="MHY868" s="295" t="s">
        <v>71</v>
      </c>
      <c r="MHZ868" s="295" t="s">
        <v>71</v>
      </c>
      <c r="MIA868" s="295" t="s">
        <v>71</v>
      </c>
      <c r="MIB868" s="295" t="s">
        <v>71</v>
      </c>
      <c r="MIC868" s="295" t="s">
        <v>71</v>
      </c>
      <c r="MID868" s="295" t="s">
        <v>71</v>
      </c>
      <c r="MIE868" s="295" t="s">
        <v>71</v>
      </c>
      <c r="MIF868" s="295" t="s">
        <v>71</v>
      </c>
      <c r="MIG868" s="295" t="s">
        <v>71</v>
      </c>
      <c r="MIH868" s="295" t="s">
        <v>71</v>
      </c>
      <c r="MII868" s="295" t="s">
        <v>71</v>
      </c>
      <c r="MIJ868" s="295" t="s">
        <v>71</v>
      </c>
      <c r="MIK868" s="295" t="s">
        <v>71</v>
      </c>
      <c r="MIL868" s="295" t="s">
        <v>71</v>
      </c>
      <c r="MIM868" s="295" t="s">
        <v>71</v>
      </c>
      <c r="MIN868" s="295" t="s">
        <v>71</v>
      </c>
      <c r="MIO868" s="295" t="s">
        <v>71</v>
      </c>
      <c r="MIP868" s="295" t="s">
        <v>71</v>
      </c>
      <c r="MIQ868" s="295" t="s">
        <v>71</v>
      </c>
      <c r="MIR868" s="295" t="s">
        <v>71</v>
      </c>
      <c r="MIS868" s="295" t="s">
        <v>71</v>
      </c>
      <c r="MIT868" s="295" t="s">
        <v>71</v>
      </c>
      <c r="MIU868" s="295" t="s">
        <v>71</v>
      </c>
      <c r="MIV868" s="295" t="s">
        <v>71</v>
      </c>
      <c r="MIW868" s="295" t="s">
        <v>71</v>
      </c>
      <c r="MIX868" s="295" t="s">
        <v>71</v>
      </c>
      <c r="MIY868" s="295" t="s">
        <v>71</v>
      </c>
      <c r="MIZ868" s="295" t="s">
        <v>71</v>
      </c>
      <c r="MJA868" s="295" t="s">
        <v>71</v>
      </c>
      <c r="MJB868" s="295" t="s">
        <v>71</v>
      </c>
      <c r="MJC868" s="295" t="s">
        <v>71</v>
      </c>
      <c r="MJD868" s="295" t="s">
        <v>71</v>
      </c>
      <c r="MJE868" s="295" t="s">
        <v>71</v>
      </c>
      <c r="MJF868" s="295" t="s">
        <v>71</v>
      </c>
      <c r="MJG868" s="295" t="s">
        <v>71</v>
      </c>
      <c r="MJH868" s="295" t="s">
        <v>71</v>
      </c>
      <c r="MJI868" s="295" t="s">
        <v>71</v>
      </c>
      <c r="MJJ868" s="295" t="s">
        <v>71</v>
      </c>
      <c r="MJK868" s="295" t="s">
        <v>71</v>
      </c>
      <c r="MJL868" s="295" t="s">
        <v>71</v>
      </c>
      <c r="MJM868" s="295" t="s">
        <v>71</v>
      </c>
      <c r="MJN868" s="295" t="s">
        <v>71</v>
      </c>
      <c r="MJO868" s="295" t="s">
        <v>71</v>
      </c>
      <c r="MJP868" s="295" t="s">
        <v>71</v>
      </c>
      <c r="MJQ868" s="295" t="s">
        <v>71</v>
      </c>
      <c r="MJR868" s="295" t="s">
        <v>71</v>
      </c>
      <c r="MJS868" s="295" t="s">
        <v>71</v>
      </c>
      <c r="MJT868" s="295" t="s">
        <v>71</v>
      </c>
      <c r="MJU868" s="295" t="s">
        <v>71</v>
      </c>
      <c r="MJV868" s="295" t="s">
        <v>71</v>
      </c>
      <c r="MJW868" s="295" t="s">
        <v>71</v>
      </c>
      <c r="MJX868" s="295" t="s">
        <v>71</v>
      </c>
      <c r="MJY868" s="295" t="s">
        <v>71</v>
      </c>
      <c r="MJZ868" s="295" t="s">
        <v>71</v>
      </c>
      <c r="MKA868" s="295" t="s">
        <v>71</v>
      </c>
      <c r="MKB868" s="295" t="s">
        <v>71</v>
      </c>
      <c r="MKC868" s="295" t="s">
        <v>71</v>
      </c>
      <c r="MKD868" s="295" t="s">
        <v>71</v>
      </c>
      <c r="MKE868" s="295" t="s">
        <v>71</v>
      </c>
      <c r="MKF868" s="295" t="s">
        <v>71</v>
      </c>
      <c r="MKG868" s="295" t="s">
        <v>71</v>
      </c>
      <c r="MKH868" s="295" t="s">
        <v>71</v>
      </c>
      <c r="MKI868" s="295" t="s">
        <v>71</v>
      </c>
      <c r="MKJ868" s="295" t="s">
        <v>71</v>
      </c>
      <c r="MKK868" s="295" t="s">
        <v>71</v>
      </c>
      <c r="MKL868" s="295" t="s">
        <v>71</v>
      </c>
      <c r="MKM868" s="295" t="s">
        <v>71</v>
      </c>
      <c r="MKN868" s="295" t="s">
        <v>71</v>
      </c>
      <c r="MKO868" s="295" t="s">
        <v>71</v>
      </c>
      <c r="MKP868" s="295" t="s">
        <v>71</v>
      </c>
      <c r="MKQ868" s="295" t="s">
        <v>71</v>
      </c>
      <c r="MKR868" s="295" t="s">
        <v>71</v>
      </c>
      <c r="MKS868" s="295" t="s">
        <v>71</v>
      </c>
      <c r="MKT868" s="295" t="s">
        <v>71</v>
      </c>
      <c r="MKU868" s="295" t="s">
        <v>71</v>
      </c>
      <c r="MKV868" s="295" t="s">
        <v>71</v>
      </c>
      <c r="MKW868" s="295" t="s">
        <v>71</v>
      </c>
      <c r="MKX868" s="295" t="s">
        <v>71</v>
      </c>
      <c r="MKY868" s="295" t="s">
        <v>71</v>
      </c>
      <c r="MKZ868" s="295" t="s">
        <v>71</v>
      </c>
      <c r="MLA868" s="295" t="s">
        <v>71</v>
      </c>
      <c r="MLB868" s="295" t="s">
        <v>71</v>
      </c>
      <c r="MLC868" s="295" t="s">
        <v>71</v>
      </c>
      <c r="MLD868" s="295" t="s">
        <v>71</v>
      </c>
      <c r="MLE868" s="295" t="s">
        <v>71</v>
      </c>
      <c r="MLF868" s="295" t="s">
        <v>71</v>
      </c>
      <c r="MLG868" s="295" t="s">
        <v>71</v>
      </c>
      <c r="MLH868" s="295" t="s">
        <v>71</v>
      </c>
      <c r="MLI868" s="295" t="s">
        <v>71</v>
      </c>
      <c r="MLJ868" s="295" t="s">
        <v>71</v>
      </c>
      <c r="MLK868" s="295" t="s">
        <v>71</v>
      </c>
      <c r="MLL868" s="295" t="s">
        <v>71</v>
      </c>
      <c r="MLM868" s="295" t="s">
        <v>71</v>
      </c>
      <c r="MLN868" s="295" t="s">
        <v>71</v>
      </c>
      <c r="MLO868" s="295" t="s">
        <v>71</v>
      </c>
      <c r="MLP868" s="295" t="s">
        <v>71</v>
      </c>
      <c r="MLQ868" s="295" t="s">
        <v>71</v>
      </c>
      <c r="MLR868" s="295" t="s">
        <v>71</v>
      </c>
      <c r="MLS868" s="295" t="s">
        <v>71</v>
      </c>
      <c r="MLT868" s="295" t="s">
        <v>71</v>
      </c>
      <c r="MLU868" s="295" t="s">
        <v>71</v>
      </c>
      <c r="MLV868" s="295" t="s">
        <v>71</v>
      </c>
      <c r="MLW868" s="295" t="s">
        <v>71</v>
      </c>
      <c r="MLX868" s="295" t="s">
        <v>71</v>
      </c>
      <c r="MLY868" s="295" t="s">
        <v>71</v>
      </c>
      <c r="MLZ868" s="295" t="s">
        <v>71</v>
      </c>
      <c r="MMA868" s="295" t="s">
        <v>71</v>
      </c>
      <c r="MMB868" s="295" t="s">
        <v>71</v>
      </c>
      <c r="MMC868" s="295" t="s">
        <v>71</v>
      </c>
      <c r="MMD868" s="295" t="s">
        <v>71</v>
      </c>
      <c r="MME868" s="295" t="s">
        <v>71</v>
      </c>
      <c r="MMF868" s="295" t="s">
        <v>71</v>
      </c>
      <c r="MMG868" s="295" t="s">
        <v>71</v>
      </c>
      <c r="MMH868" s="295" t="s">
        <v>71</v>
      </c>
      <c r="MMI868" s="295" t="s">
        <v>71</v>
      </c>
      <c r="MMJ868" s="295" t="s">
        <v>71</v>
      </c>
      <c r="MMK868" s="295" t="s">
        <v>71</v>
      </c>
      <c r="MML868" s="295" t="s">
        <v>71</v>
      </c>
      <c r="MMM868" s="295" t="s">
        <v>71</v>
      </c>
      <c r="MMN868" s="295" t="s">
        <v>71</v>
      </c>
      <c r="MMO868" s="295" t="s">
        <v>71</v>
      </c>
      <c r="MMP868" s="295" t="s">
        <v>71</v>
      </c>
      <c r="MMQ868" s="295" t="s">
        <v>71</v>
      </c>
      <c r="MMR868" s="295" t="s">
        <v>71</v>
      </c>
      <c r="MMS868" s="295" t="s">
        <v>71</v>
      </c>
      <c r="MMT868" s="295" t="s">
        <v>71</v>
      </c>
      <c r="MMU868" s="295" t="s">
        <v>71</v>
      </c>
      <c r="MMV868" s="295" t="s">
        <v>71</v>
      </c>
      <c r="MMW868" s="295" t="s">
        <v>71</v>
      </c>
      <c r="MMX868" s="295" t="s">
        <v>71</v>
      </c>
      <c r="MMY868" s="295" t="s">
        <v>71</v>
      </c>
      <c r="MMZ868" s="295" t="s">
        <v>71</v>
      </c>
      <c r="MNA868" s="295" t="s">
        <v>71</v>
      </c>
      <c r="MNB868" s="295" t="s">
        <v>71</v>
      </c>
      <c r="MNC868" s="295" t="s">
        <v>71</v>
      </c>
      <c r="MND868" s="295" t="s">
        <v>71</v>
      </c>
      <c r="MNE868" s="295" t="s">
        <v>71</v>
      </c>
      <c r="MNF868" s="295" t="s">
        <v>71</v>
      </c>
      <c r="MNG868" s="295" t="s">
        <v>71</v>
      </c>
      <c r="MNH868" s="295" t="s">
        <v>71</v>
      </c>
      <c r="MNI868" s="295" t="s">
        <v>71</v>
      </c>
      <c r="MNJ868" s="295" t="s">
        <v>71</v>
      </c>
      <c r="MNK868" s="295" t="s">
        <v>71</v>
      </c>
      <c r="MNL868" s="295" t="s">
        <v>71</v>
      </c>
      <c r="MNM868" s="295" t="s">
        <v>71</v>
      </c>
      <c r="MNN868" s="295" t="s">
        <v>71</v>
      </c>
      <c r="MNO868" s="295" t="s">
        <v>71</v>
      </c>
      <c r="MNP868" s="295" t="s">
        <v>71</v>
      </c>
      <c r="MNQ868" s="295" t="s">
        <v>71</v>
      </c>
      <c r="MNR868" s="295" t="s">
        <v>71</v>
      </c>
      <c r="MNS868" s="295" t="s">
        <v>71</v>
      </c>
      <c r="MNT868" s="295" t="s">
        <v>71</v>
      </c>
      <c r="MNU868" s="295" t="s">
        <v>71</v>
      </c>
      <c r="MNV868" s="295" t="s">
        <v>71</v>
      </c>
      <c r="MNW868" s="295" t="s">
        <v>71</v>
      </c>
      <c r="MNX868" s="295" t="s">
        <v>71</v>
      </c>
      <c r="MNY868" s="295" t="s">
        <v>71</v>
      </c>
      <c r="MNZ868" s="295" t="s">
        <v>71</v>
      </c>
      <c r="MOA868" s="295" t="s">
        <v>71</v>
      </c>
      <c r="MOB868" s="295" t="s">
        <v>71</v>
      </c>
      <c r="MOC868" s="295" t="s">
        <v>71</v>
      </c>
      <c r="MOD868" s="295" t="s">
        <v>71</v>
      </c>
      <c r="MOE868" s="295" t="s">
        <v>71</v>
      </c>
      <c r="MOF868" s="295" t="s">
        <v>71</v>
      </c>
      <c r="MOG868" s="295" t="s">
        <v>71</v>
      </c>
      <c r="MOH868" s="295" t="s">
        <v>71</v>
      </c>
      <c r="MOI868" s="295" t="s">
        <v>71</v>
      </c>
      <c r="MOJ868" s="295" t="s">
        <v>71</v>
      </c>
      <c r="MOK868" s="295" t="s">
        <v>71</v>
      </c>
      <c r="MOL868" s="295" t="s">
        <v>71</v>
      </c>
      <c r="MOM868" s="295" t="s">
        <v>71</v>
      </c>
      <c r="MON868" s="295" t="s">
        <v>71</v>
      </c>
      <c r="MOO868" s="295" t="s">
        <v>71</v>
      </c>
      <c r="MOP868" s="295" t="s">
        <v>71</v>
      </c>
      <c r="MOQ868" s="295" t="s">
        <v>71</v>
      </c>
      <c r="MOR868" s="295" t="s">
        <v>71</v>
      </c>
      <c r="MOS868" s="295" t="s">
        <v>71</v>
      </c>
      <c r="MOT868" s="295" t="s">
        <v>71</v>
      </c>
      <c r="MOU868" s="295" t="s">
        <v>71</v>
      </c>
      <c r="MOV868" s="295" t="s">
        <v>71</v>
      </c>
      <c r="MOW868" s="295" t="s">
        <v>71</v>
      </c>
      <c r="MOX868" s="295" t="s">
        <v>71</v>
      </c>
      <c r="MOY868" s="295" t="s">
        <v>71</v>
      </c>
      <c r="MOZ868" s="295" t="s">
        <v>71</v>
      </c>
      <c r="MPA868" s="295" t="s">
        <v>71</v>
      </c>
      <c r="MPB868" s="295" t="s">
        <v>71</v>
      </c>
      <c r="MPC868" s="295" t="s">
        <v>71</v>
      </c>
      <c r="MPD868" s="295" t="s">
        <v>71</v>
      </c>
      <c r="MPE868" s="295" t="s">
        <v>71</v>
      </c>
      <c r="MPF868" s="295" t="s">
        <v>71</v>
      </c>
      <c r="MPG868" s="295" t="s">
        <v>71</v>
      </c>
      <c r="MPH868" s="295" t="s">
        <v>71</v>
      </c>
      <c r="MPI868" s="295" t="s">
        <v>71</v>
      </c>
      <c r="MPJ868" s="295" t="s">
        <v>71</v>
      </c>
      <c r="MPK868" s="295" t="s">
        <v>71</v>
      </c>
      <c r="MPL868" s="295" t="s">
        <v>71</v>
      </c>
      <c r="MPM868" s="295" t="s">
        <v>71</v>
      </c>
      <c r="MPN868" s="295" t="s">
        <v>71</v>
      </c>
      <c r="MPO868" s="295" t="s">
        <v>71</v>
      </c>
      <c r="MPP868" s="295" t="s">
        <v>71</v>
      </c>
      <c r="MPQ868" s="295" t="s">
        <v>71</v>
      </c>
      <c r="MPR868" s="295" t="s">
        <v>71</v>
      </c>
      <c r="MPS868" s="295" t="s">
        <v>71</v>
      </c>
      <c r="MPT868" s="295" t="s">
        <v>71</v>
      </c>
      <c r="MPU868" s="295" t="s">
        <v>71</v>
      </c>
      <c r="MPV868" s="295" t="s">
        <v>71</v>
      </c>
      <c r="MPW868" s="295" t="s">
        <v>71</v>
      </c>
      <c r="MPX868" s="295" t="s">
        <v>71</v>
      </c>
      <c r="MPY868" s="295" t="s">
        <v>71</v>
      </c>
      <c r="MPZ868" s="295" t="s">
        <v>71</v>
      </c>
      <c r="MQA868" s="295" t="s">
        <v>71</v>
      </c>
      <c r="MQB868" s="295" t="s">
        <v>71</v>
      </c>
      <c r="MQC868" s="295" t="s">
        <v>71</v>
      </c>
      <c r="MQD868" s="295" t="s">
        <v>71</v>
      </c>
      <c r="MQE868" s="295" t="s">
        <v>71</v>
      </c>
      <c r="MQF868" s="295" t="s">
        <v>71</v>
      </c>
      <c r="MQG868" s="295" t="s">
        <v>71</v>
      </c>
      <c r="MQH868" s="295" t="s">
        <v>71</v>
      </c>
      <c r="MQI868" s="295" t="s">
        <v>71</v>
      </c>
      <c r="MQJ868" s="295" t="s">
        <v>71</v>
      </c>
      <c r="MQK868" s="295" t="s">
        <v>71</v>
      </c>
      <c r="MQL868" s="295" t="s">
        <v>71</v>
      </c>
      <c r="MQM868" s="295" t="s">
        <v>71</v>
      </c>
      <c r="MQN868" s="295" t="s">
        <v>71</v>
      </c>
      <c r="MQO868" s="295" t="s">
        <v>71</v>
      </c>
      <c r="MQP868" s="295" t="s">
        <v>71</v>
      </c>
      <c r="MQQ868" s="295" t="s">
        <v>71</v>
      </c>
      <c r="MQR868" s="295" t="s">
        <v>71</v>
      </c>
      <c r="MQS868" s="295" t="s">
        <v>71</v>
      </c>
      <c r="MQT868" s="295" t="s">
        <v>71</v>
      </c>
      <c r="MQU868" s="295" t="s">
        <v>71</v>
      </c>
      <c r="MQV868" s="295" t="s">
        <v>71</v>
      </c>
      <c r="MQW868" s="295" t="s">
        <v>71</v>
      </c>
      <c r="MQX868" s="295" t="s">
        <v>71</v>
      </c>
      <c r="MQY868" s="295" t="s">
        <v>71</v>
      </c>
      <c r="MQZ868" s="295" t="s">
        <v>71</v>
      </c>
      <c r="MRA868" s="295" t="s">
        <v>71</v>
      </c>
      <c r="MRB868" s="295" t="s">
        <v>71</v>
      </c>
      <c r="MRC868" s="295" t="s">
        <v>71</v>
      </c>
      <c r="MRD868" s="295" t="s">
        <v>71</v>
      </c>
      <c r="MRE868" s="295" t="s">
        <v>71</v>
      </c>
      <c r="MRF868" s="295" t="s">
        <v>71</v>
      </c>
      <c r="MRG868" s="295" t="s">
        <v>71</v>
      </c>
      <c r="MRH868" s="295" t="s">
        <v>71</v>
      </c>
      <c r="MRI868" s="295" t="s">
        <v>71</v>
      </c>
      <c r="MRJ868" s="295" t="s">
        <v>71</v>
      </c>
      <c r="MRK868" s="295" t="s">
        <v>71</v>
      </c>
      <c r="MRL868" s="295" t="s">
        <v>71</v>
      </c>
      <c r="MRM868" s="295" t="s">
        <v>71</v>
      </c>
      <c r="MRN868" s="295" t="s">
        <v>71</v>
      </c>
      <c r="MRO868" s="295" t="s">
        <v>71</v>
      </c>
      <c r="MRP868" s="295" t="s">
        <v>71</v>
      </c>
      <c r="MRQ868" s="295" t="s">
        <v>71</v>
      </c>
      <c r="MRR868" s="295" t="s">
        <v>71</v>
      </c>
      <c r="MRS868" s="295" t="s">
        <v>71</v>
      </c>
      <c r="MRT868" s="295" t="s">
        <v>71</v>
      </c>
      <c r="MRU868" s="295" t="s">
        <v>71</v>
      </c>
      <c r="MRV868" s="295" t="s">
        <v>71</v>
      </c>
      <c r="MRW868" s="295" t="s">
        <v>71</v>
      </c>
      <c r="MRX868" s="295" t="s">
        <v>71</v>
      </c>
      <c r="MRY868" s="295" t="s">
        <v>71</v>
      </c>
      <c r="MRZ868" s="295" t="s">
        <v>71</v>
      </c>
      <c r="MSA868" s="295" t="s">
        <v>71</v>
      </c>
      <c r="MSB868" s="295" t="s">
        <v>71</v>
      </c>
      <c r="MSC868" s="295" t="s">
        <v>71</v>
      </c>
      <c r="MSD868" s="295" t="s">
        <v>71</v>
      </c>
      <c r="MSE868" s="295" t="s">
        <v>71</v>
      </c>
      <c r="MSF868" s="295" t="s">
        <v>71</v>
      </c>
      <c r="MSG868" s="295" t="s">
        <v>71</v>
      </c>
      <c r="MSH868" s="295" t="s">
        <v>71</v>
      </c>
      <c r="MSI868" s="295" t="s">
        <v>71</v>
      </c>
      <c r="MSJ868" s="295" t="s">
        <v>71</v>
      </c>
      <c r="MSK868" s="295" t="s">
        <v>71</v>
      </c>
      <c r="MSL868" s="295" t="s">
        <v>71</v>
      </c>
      <c r="MSM868" s="295" t="s">
        <v>71</v>
      </c>
      <c r="MSN868" s="295" t="s">
        <v>71</v>
      </c>
      <c r="MSO868" s="295" t="s">
        <v>71</v>
      </c>
      <c r="MSP868" s="295" t="s">
        <v>71</v>
      </c>
      <c r="MSQ868" s="295" t="s">
        <v>71</v>
      </c>
      <c r="MSR868" s="295" t="s">
        <v>71</v>
      </c>
      <c r="MSS868" s="295" t="s">
        <v>71</v>
      </c>
      <c r="MST868" s="295" t="s">
        <v>71</v>
      </c>
      <c r="MSU868" s="295" t="s">
        <v>71</v>
      </c>
      <c r="MSV868" s="295" t="s">
        <v>71</v>
      </c>
      <c r="MSW868" s="295" t="s">
        <v>71</v>
      </c>
      <c r="MSX868" s="295" t="s">
        <v>71</v>
      </c>
      <c r="MSY868" s="295" t="s">
        <v>71</v>
      </c>
      <c r="MSZ868" s="295" t="s">
        <v>71</v>
      </c>
      <c r="MTA868" s="295" t="s">
        <v>71</v>
      </c>
      <c r="MTB868" s="295" t="s">
        <v>71</v>
      </c>
      <c r="MTC868" s="295" t="s">
        <v>71</v>
      </c>
      <c r="MTD868" s="295" t="s">
        <v>71</v>
      </c>
      <c r="MTE868" s="295" t="s">
        <v>71</v>
      </c>
      <c r="MTF868" s="295" t="s">
        <v>71</v>
      </c>
      <c r="MTG868" s="295" t="s">
        <v>71</v>
      </c>
      <c r="MTH868" s="295" t="s">
        <v>71</v>
      </c>
      <c r="MTI868" s="295" t="s">
        <v>71</v>
      </c>
      <c r="MTJ868" s="295" t="s">
        <v>71</v>
      </c>
      <c r="MTK868" s="295" t="s">
        <v>71</v>
      </c>
      <c r="MTL868" s="295" t="s">
        <v>71</v>
      </c>
      <c r="MTM868" s="295" t="s">
        <v>71</v>
      </c>
      <c r="MTN868" s="295" t="s">
        <v>71</v>
      </c>
      <c r="MTO868" s="295" t="s">
        <v>71</v>
      </c>
      <c r="MTP868" s="295" t="s">
        <v>71</v>
      </c>
      <c r="MTQ868" s="295" t="s">
        <v>71</v>
      </c>
      <c r="MTR868" s="295" t="s">
        <v>71</v>
      </c>
      <c r="MTS868" s="295" t="s">
        <v>71</v>
      </c>
      <c r="MTT868" s="295" t="s">
        <v>71</v>
      </c>
      <c r="MTU868" s="295" t="s">
        <v>71</v>
      </c>
      <c r="MTV868" s="295" t="s">
        <v>71</v>
      </c>
      <c r="MTW868" s="295" t="s">
        <v>71</v>
      </c>
      <c r="MTX868" s="295" t="s">
        <v>71</v>
      </c>
      <c r="MTY868" s="295" t="s">
        <v>71</v>
      </c>
      <c r="MTZ868" s="295" t="s">
        <v>71</v>
      </c>
      <c r="MUA868" s="295" t="s">
        <v>71</v>
      </c>
      <c r="MUB868" s="295" t="s">
        <v>71</v>
      </c>
      <c r="MUC868" s="295" t="s">
        <v>71</v>
      </c>
      <c r="MUD868" s="295" t="s">
        <v>71</v>
      </c>
      <c r="MUE868" s="295" t="s">
        <v>71</v>
      </c>
      <c r="MUF868" s="295" t="s">
        <v>71</v>
      </c>
      <c r="MUG868" s="295" t="s">
        <v>71</v>
      </c>
      <c r="MUH868" s="295" t="s">
        <v>71</v>
      </c>
      <c r="MUI868" s="295" t="s">
        <v>71</v>
      </c>
      <c r="MUJ868" s="295" t="s">
        <v>71</v>
      </c>
      <c r="MUK868" s="295" t="s">
        <v>71</v>
      </c>
      <c r="MUL868" s="295" t="s">
        <v>71</v>
      </c>
      <c r="MUM868" s="295" t="s">
        <v>71</v>
      </c>
      <c r="MUN868" s="295" t="s">
        <v>71</v>
      </c>
      <c r="MUO868" s="295" t="s">
        <v>71</v>
      </c>
      <c r="MUP868" s="295" t="s">
        <v>71</v>
      </c>
      <c r="MUQ868" s="295" t="s">
        <v>71</v>
      </c>
      <c r="MUR868" s="295" t="s">
        <v>71</v>
      </c>
      <c r="MUS868" s="295" t="s">
        <v>71</v>
      </c>
      <c r="MUT868" s="295" t="s">
        <v>71</v>
      </c>
      <c r="MUU868" s="295" t="s">
        <v>71</v>
      </c>
      <c r="MUV868" s="295" t="s">
        <v>71</v>
      </c>
      <c r="MUW868" s="295" t="s">
        <v>71</v>
      </c>
      <c r="MUX868" s="295" t="s">
        <v>71</v>
      </c>
      <c r="MUY868" s="295" t="s">
        <v>71</v>
      </c>
      <c r="MUZ868" s="295" t="s">
        <v>71</v>
      </c>
      <c r="MVA868" s="295" t="s">
        <v>71</v>
      </c>
      <c r="MVB868" s="295" t="s">
        <v>71</v>
      </c>
      <c r="MVC868" s="295" t="s">
        <v>71</v>
      </c>
      <c r="MVD868" s="295" t="s">
        <v>71</v>
      </c>
      <c r="MVE868" s="295" t="s">
        <v>71</v>
      </c>
      <c r="MVF868" s="295" t="s">
        <v>71</v>
      </c>
      <c r="MVG868" s="295" t="s">
        <v>71</v>
      </c>
      <c r="MVH868" s="295" t="s">
        <v>71</v>
      </c>
      <c r="MVI868" s="295" t="s">
        <v>71</v>
      </c>
      <c r="MVJ868" s="295" t="s">
        <v>71</v>
      </c>
      <c r="MVK868" s="295" t="s">
        <v>71</v>
      </c>
      <c r="MVL868" s="295" t="s">
        <v>71</v>
      </c>
      <c r="MVM868" s="295" t="s">
        <v>71</v>
      </c>
      <c r="MVN868" s="295" t="s">
        <v>71</v>
      </c>
      <c r="MVO868" s="295" t="s">
        <v>71</v>
      </c>
      <c r="MVP868" s="295" t="s">
        <v>71</v>
      </c>
      <c r="MVQ868" s="295" t="s">
        <v>71</v>
      </c>
      <c r="MVR868" s="295" t="s">
        <v>71</v>
      </c>
      <c r="MVS868" s="295" t="s">
        <v>71</v>
      </c>
      <c r="MVT868" s="295" t="s">
        <v>71</v>
      </c>
      <c r="MVU868" s="295" t="s">
        <v>71</v>
      </c>
      <c r="MVV868" s="295" t="s">
        <v>71</v>
      </c>
      <c r="MVW868" s="295" t="s">
        <v>71</v>
      </c>
      <c r="MVX868" s="295" t="s">
        <v>71</v>
      </c>
      <c r="MVY868" s="295" t="s">
        <v>71</v>
      </c>
      <c r="MVZ868" s="295" t="s">
        <v>71</v>
      </c>
      <c r="MWA868" s="295" t="s">
        <v>71</v>
      </c>
      <c r="MWB868" s="295" t="s">
        <v>71</v>
      </c>
      <c r="MWC868" s="295" t="s">
        <v>71</v>
      </c>
      <c r="MWD868" s="295" t="s">
        <v>71</v>
      </c>
      <c r="MWE868" s="295" t="s">
        <v>71</v>
      </c>
      <c r="MWF868" s="295" t="s">
        <v>71</v>
      </c>
      <c r="MWG868" s="295" t="s">
        <v>71</v>
      </c>
      <c r="MWH868" s="295" t="s">
        <v>71</v>
      </c>
      <c r="MWI868" s="295" t="s">
        <v>71</v>
      </c>
      <c r="MWJ868" s="295" t="s">
        <v>71</v>
      </c>
      <c r="MWK868" s="295" t="s">
        <v>71</v>
      </c>
      <c r="MWL868" s="295" t="s">
        <v>71</v>
      </c>
      <c r="MWM868" s="295" t="s">
        <v>71</v>
      </c>
      <c r="MWN868" s="295" t="s">
        <v>71</v>
      </c>
      <c r="MWO868" s="295" t="s">
        <v>71</v>
      </c>
      <c r="MWP868" s="295" t="s">
        <v>71</v>
      </c>
      <c r="MWQ868" s="295" t="s">
        <v>71</v>
      </c>
      <c r="MWR868" s="295" t="s">
        <v>71</v>
      </c>
      <c r="MWS868" s="295" t="s">
        <v>71</v>
      </c>
      <c r="MWT868" s="295" t="s">
        <v>71</v>
      </c>
      <c r="MWU868" s="295" t="s">
        <v>71</v>
      </c>
      <c r="MWV868" s="295" t="s">
        <v>71</v>
      </c>
      <c r="MWW868" s="295" t="s">
        <v>71</v>
      </c>
      <c r="MWX868" s="295" t="s">
        <v>71</v>
      </c>
      <c r="MWY868" s="295" t="s">
        <v>71</v>
      </c>
      <c r="MWZ868" s="295" t="s">
        <v>71</v>
      </c>
      <c r="MXA868" s="295" t="s">
        <v>71</v>
      </c>
      <c r="MXB868" s="295" t="s">
        <v>71</v>
      </c>
      <c r="MXC868" s="295" t="s">
        <v>71</v>
      </c>
      <c r="MXD868" s="295" t="s">
        <v>71</v>
      </c>
      <c r="MXE868" s="295" t="s">
        <v>71</v>
      </c>
      <c r="MXF868" s="295" t="s">
        <v>71</v>
      </c>
      <c r="MXG868" s="295" t="s">
        <v>71</v>
      </c>
      <c r="MXH868" s="295" t="s">
        <v>71</v>
      </c>
      <c r="MXI868" s="295" t="s">
        <v>71</v>
      </c>
      <c r="MXJ868" s="295" t="s">
        <v>71</v>
      </c>
      <c r="MXK868" s="295" t="s">
        <v>71</v>
      </c>
      <c r="MXL868" s="295" t="s">
        <v>71</v>
      </c>
      <c r="MXM868" s="295" t="s">
        <v>71</v>
      </c>
      <c r="MXN868" s="295" t="s">
        <v>71</v>
      </c>
      <c r="MXO868" s="295" t="s">
        <v>71</v>
      </c>
      <c r="MXP868" s="295" t="s">
        <v>71</v>
      </c>
      <c r="MXQ868" s="295" t="s">
        <v>71</v>
      </c>
      <c r="MXR868" s="295" t="s">
        <v>71</v>
      </c>
      <c r="MXS868" s="295" t="s">
        <v>71</v>
      </c>
      <c r="MXT868" s="295" t="s">
        <v>71</v>
      </c>
      <c r="MXU868" s="295" t="s">
        <v>71</v>
      </c>
      <c r="MXV868" s="295" t="s">
        <v>71</v>
      </c>
      <c r="MXW868" s="295" t="s">
        <v>71</v>
      </c>
      <c r="MXX868" s="295" t="s">
        <v>71</v>
      </c>
      <c r="MXY868" s="295" t="s">
        <v>71</v>
      </c>
      <c r="MXZ868" s="295" t="s">
        <v>71</v>
      </c>
      <c r="MYA868" s="295" t="s">
        <v>71</v>
      </c>
      <c r="MYB868" s="295" t="s">
        <v>71</v>
      </c>
      <c r="MYC868" s="295" t="s">
        <v>71</v>
      </c>
      <c r="MYD868" s="295" t="s">
        <v>71</v>
      </c>
      <c r="MYE868" s="295" t="s">
        <v>71</v>
      </c>
      <c r="MYF868" s="295" t="s">
        <v>71</v>
      </c>
      <c r="MYG868" s="295" t="s">
        <v>71</v>
      </c>
      <c r="MYH868" s="295" t="s">
        <v>71</v>
      </c>
      <c r="MYI868" s="295" t="s">
        <v>71</v>
      </c>
      <c r="MYJ868" s="295" t="s">
        <v>71</v>
      </c>
      <c r="MYK868" s="295" t="s">
        <v>71</v>
      </c>
      <c r="MYL868" s="295" t="s">
        <v>71</v>
      </c>
      <c r="MYM868" s="295" t="s">
        <v>71</v>
      </c>
      <c r="MYN868" s="295" t="s">
        <v>71</v>
      </c>
      <c r="MYO868" s="295" t="s">
        <v>71</v>
      </c>
      <c r="MYP868" s="295" t="s">
        <v>71</v>
      </c>
      <c r="MYQ868" s="295" t="s">
        <v>71</v>
      </c>
      <c r="MYR868" s="295" t="s">
        <v>71</v>
      </c>
      <c r="MYS868" s="295" t="s">
        <v>71</v>
      </c>
      <c r="MYT868" s="295" t="s">
        <v>71</v>
      </c>
      <c r="MYU868" s="295" t="s">
        <v>71</v>
      </c>
      <c r="MYV868" s="295" t="s">
        <v>71</v>
      </c>
      <c r="MYW868" s="295" t="s">
        <v>71</v>
      </c>
      <c r="MYX868" s="295" t="s">
        <v>71</v>
      </c>
      <c r="MYY868" s="295" t="s">
        <v>71</v>
      </c>
      <c r="MYZ868" s="295" t="s">
        <v>71</v>
      </c>
      <c r="MZA868" s="295" t="s">
        <v>71</v>
      </c>
      <c r="MZB868" s="295" t="s">
        <v>71</v>
      </c>
      <c r="MZC868" s="295" t="s">
        <v>71</v>
      </c>
      <c r="MZD868" s="295" t="s">
        <v>71</v>
      </c>
      <c r="MZE868" s="295" t="s">
        <v>71</v>
      </c>
      <c r="MZF868" s="295" t="s">
        <v>71</v>
      </c>
      <c r="MZG868" s="295" t="s">
        <v>71</v>
      </c>
      <c r="MZH868" s="295" t="s">
        <v>71</v>
      </c>
      <c r="MZI868" s="295" t="s">
        <v>71</v>
      </c>
      <c r="MZJ868" s="295" t="s">
        <v>71</v>
      </c>
      <c r="MZK868" s="295" t="s">
        <v>71</v>
      </c>
      <c r="MZL868" s="295" t="s">
        <v>71</v>
      </c>
      <c r="MZM868" s="295" t="s">
        <v>71</v>
      </c>
      <c r="MZN868" s="295" t="s">
        <v>71</v>
      </c>
      <c r="MZO868" s="295" t="s">
        <v>71</v>
      </c>
      <c r="MZP868" s="295" t="s">
        <v>71</v>
      </c>
      <c r="MZQ868" s="295" t="s">
        <v>71</v>
      </c>
      <c r="MZR868" s="295" t="s">
        <v>71</v>
      </c>
      <c r="MZS868" s="295" t="s">
        <v>71</v>
      </c>
      <c r="MZT868" s="295" t="s">
        <v>71</v>
      </c>
      <c r="MZU868" s="295" t="s">
        <v>71</v>
      </c>
      <c r="MZV868" s="295" t="s">
        <v>71</v>
      </c>
      <c r="MZW868" s="295" t="s">
        <v>71</v>
      </c>
      <c r="MZX868" s="295" t="s">
        <v>71</v>
      </c>
      <c r="MZY868" s="295" t="s">
        <v>71</v>
      </c>
      <c r="MZZ868" s="295" t="s">
        <v>71</v>
      </c>
      <c r="NAA868" s="295" t="s">
        <v>71</v>
      </c>
      <c r="NAB868" s="295" t="s">
        <v>71</v>
      </c>
      <c r="NAC868" s="295" t="s">
        <v>71</v>
      </c>
      <c r="NAD868" s="295" t="s">
        <v>71</v>
      </c>
      <c r="NAE868" s="295" t="s">
        <v>71</v>
      </c>
      <c r="NAF868" s="295" t="s">
        <v>71</v>
      </c>
      <c r="NAG868" s="295" t="s">
        <v>71</v>
      </c>
      <c r="NAH868" s="295" t="s">
        <v>71</v>
      </c>
      <c r="NAI868" s="295" t="s">
        <v>71</v>
      </c>
      <c r="NAJ868" s="295" t="s">
        <v>71</v>
      </c>
      <c r="NAK868" s="295" t="s">
        <v>71</v>
      </c>
      <c r="NAL868" s="295" t="s">
        <v>71</v>
      </c>
      <c r="NAM868" s="295" t="s">
        <v>71</v>
      </c>
      <c r="NAN868" s="295" t="s">
        <v>71</v>
      </c>
      <c r="NAO868" s="295" t="s">
        <v>71</v>
      </c>
      <c r="NAP868" s="295" t="s">
        <v>71</v>
      </c>
      <c r="NAQ868" s="295" t="s">
        <v>71</v>
      </c>
      <c r="NAR868" s="295" t="s">
        <v>71</v>
      </c>
      <c r="NAS868" s="295" t="s">
        <v>71</v>
      </c>
      <c r="NAT868" s="295" t="s">
        <v>71</v>
      </c>
      <c r="NAU868" s="295" t="s">
        <v>71</v>
      </c>
      <c r="NAV868" s="295" t="s">
        <v>71</v>
      </c>
      <c r="NAW868" s="295" t="s">
        <v>71</v>
      </c>
      <c r="NAX868" s="295" t="s">
        <v>71</v>
      </c>
      <c r="NAY868" s="295" t="s">
        <v>71</v>
      </c>
      <c r="NAZ868" s="295" t="s">
        <v>71</v>
      </c>
      <c r="NBA868" s="295" t="s">
        <v>71</v>
      </c>
      <c r="NBB868" s="295" t="s">
        <v>71</v>
      </c>
      <c r="NBC868" s="295" t="s">
        <v>71</v>
      </c>
      <c r="NBD868" s="295" t="s">
        <v>71</v>
      </c>
      <c r="NBE868" s="295" t="s">
        <v>71</v>
      </c>
      <c r="NBF868" s="295" t="s">
        <v>71</v>
      </c>
      <c r="NBG868" s="295" t="s">
        <v>71</v>
      </c>
      <c r="NBH868" s="295" t="s">
        <v>71</v>
      </c>
      <c r="NBI868" s="295" t="s">
        <v>71</v>
      </c>
      <c r="NBJ868" s="295" t="s">
        <v>71</v>
      </c>
      <c r="NBK868" s="295" t="s">
        <v>71</v>
      </c>
      <c r="NBL868" s="295" t="s">
        <v>71</v>
      </c>
      <c r="NBM868" s="295" t="s">
        <v>71</v>
      </c>
      <c r="NBN868" s="295" t="s">
        <v>71</v>
      </c>
      <c r="NBO868" s="295" t="s">
        <v>71</v>
      </c>
      <c r="NBP868" s="295" t="s">
        <v>71</v>
      </c>
      <c r="NBQ868" s="295" t="s">
        <v>71</v>
      </c>
      <c r="NBR868" s="295" t="s">
        <v>71</v>
      </c>
      <c r="NBS868" s="295" t="s">
        <v>71</v>
      </c>
      <c r="NBT868" s="295" t="s">
        <v>71</v>
      </c>
      <c r="NBU868" s="295" t="s">
        <v>71</v>
      </c>
      <c r="NBV868" s="295" t="s">
        <v>71</v>
      </c>
      <c r="NBW868" s="295" t="s">
        <v>71</v>
      </c>
      <c r="NBX868" s="295" t="s">
        <v>71</v>
      </c>
      <c r="NBY868" s="295" t="s">
        <v>71</v>
      </c>
      <c r="NBZ868" s="295" t="s">
        <v>71</v>
      </c>
      <c r="NCA868" s="295" t="s">
        <v>71</v>
      </c>
      <c r="NCB868" s="295" t="s">
        <v>71</v>
      </c>
      <c r="NCC868" s="295" t="s">
        <v>71</v>
      </c>
      <c r="NCD868" s="295" t="s">
        <v>71</v>
      </c>
      <c r="NCE868" s="295" t="s">
        <v>71</v>
      </c>
      <c r="NCF868" s="295" t="s">
        <v>71</v>
      </c>
      <c r="NCG868" s="295" t="s">
        <v>71</v>
      </c>
      <c r="NCH868" s="295" t="s">
        <v>71</v>
      </c>
      <c r="NCI868" s="295" t="s">
        <v>71</v>
      </c>
      <c r="NCJ868" s="295" t="s">
        <v>71</v>
      </c>
      <c r="NCK868" s="295" t="s">
        <v>71</v>
      </c>
      <c r="NCL868" s="295" t="s">
        <v>71</v>
      </c>
      <c r="NCM868" s="295" t="s">
        <v>71</v>
      </c>
      <c r="NCN868" s="295" t="s">
        <v>71</v>
      </c>
      <c r="NCO868" s="295" t="s">
        <v>71</v>
      </c>
      <c r="NCP868" s="295" t="s">
        <v>71</v>
      </c>
      <c r="NCQ868" s="295" t="s">
        <v>71</v>
      </c>
      <c r="NCR868" s="295" t="s">
        <v>71</v>
      </c>
      <c r="NCS868" s="295" t="s">
        <v>71</v>
      </c>
      <c r="NCT868" s="295" t="s">
        <v>71</v>
      </c>
      <c r="NCU868" s="295" t="s">
        <v>71</v>
      </c>
      <c r="NCV868" s="295" t="s">
        <v>71</v>
      </c>
      <c r="NCW868" s="295" t="s">
        <v>71</v>
      </c>
      <c r="NCX868" s="295" t="s">
        <v>71</v>
      </c>
      <c r="NCY868" s="295" t="s">
        <v>71</v>
      </c>
      <c r="NCZ868" s="295" t="s">
        <v>71</v>
      </c>
      <c r="NDA868" s="295" t="s">
        <v>71</v>
      </c>
      <c r="NDB868" s="295" t="s">
        <v>71</v>
      </c>
      <c r="NDC868" s="295" t="s">
        <v>71</v>
      </c>
      <c r="NDD868" s="295" t="s">
        <v>71</v>
      </c>
      <c r="NDE868" s="295" t="s">
        <v>71</v>
      </c>
      <c r="NDF868" s="295" t="s">
        <v>71</v>
      </c>
      <c r="NDG868" s="295" t="s">
        <v>71</v>
      </c>
      <c r="NDH868" s="295" t="s">
        <v>71</v>
      </c>
      <c r="NDI868" s="295" t="s">
        <v>71</v>
      </c>
      <c r="NDJ868" s="295" t="s">
        <v>71</v>
      </c>
      <c r="NDK868" s="295" t="s">
        <v>71</v>
      </c>
      <c r="NDL868" s="295" t="s">
        <v>71</v>
      </c>
      <c r="NDM868" s="295" t="s">
        <v>71</v>
      </c>
      <c r="NDN868" s="295" t="s">
        <v>71</v>
      </c>
      <c r="NDO868" s="295" t="s">
        <v>71</v>
      </c>
      <c r="NDP868" s="295" t="s">
        <v>71</v>
      </c>
      <c r="NDQ868" s="295" t="s">
        <v>71</v>
      </c>
      <c r="NDR868" s="295" t="s">
        <v>71</v>
      </c>
      <c r="NDS868" s="295" t="s">
        <v>71</v>
      </c>
      <c r="NDT868" s="295" t="s">
        <v>71</v>
      </c>
      <c r="NDU868" s="295" t="s">
        <v>71</v>
      </c>
      <c r="NDV868" s="295" t="s">
        <v>71</v>
      </c>
      <c r="NDW868" s="295" t="s">
        <v>71</v>
      </c>
      <c r="NDX868" s="295" t="s">
        <v>71</v>
      </c>
      <c r="NDY868" s="295" t="s">
        <v>71</v>
      </c>
      <c r="NDZ868" s="295" t="s">
        <v>71</v>
      </c>
      <c r="NEA868" s="295" t="s">
        <v>71</v>
      </c>
      <c r="NEB868" s="295" t="s">
        <v>71</v>
      </c>
      <c r="NEC868" s="295" t="s">
        <v>71</v>
      </c>
      <c r="NED868" s="295" t="s">
        <v>71</v>
      </c>
      <c r="NEE868" s="295" t="s">
        <v>71</v>
      </c>
      <c r="NEF868" s="295" t="s">
        <v>71</v>
      </c>
      <c r="NEG868" s="295" t="s">
        <v>71</v>
      </c>
      <c r="NEH868" s="295" t="s">
        <v>71</v>
      </c>
      <c r="NEI868" s="295" t="s">
        <v>71</v>
      </c>
      <c r="NEJ868" s="295" t="s">
        <v>71</v>
      </c>
      <c r="NEK868" s="295" t="s">
        <v>71</v>
      </c>
      <c r="NEL868" s="295" t="s">
        <v>71</v>
      </c>
      <c r="NEM868" s="295" t="s">
        <v>71</v>
      </c>
      <c r="NEN868" s="295" t="s">
        <v>71</v>
      </c>
      <c r="NEO868" s="295" t="s">
        <v>71</v>
      </c>
      <c r="NEP868" s="295" t="s">
        <v>71</v>
      </c>
      <c r="NEQ868" s="295" t="s">
        <v>71</v>
      </c>
      <c r="NER868" s="295" t="s">
        <v>71</v>
      </c>
      <c r="NES868" s="295" t="s">
        <v>71</v>
      </c>
      <c r="NET868" s="295" t="s">
        <v>71</v>
      </c>
      <c r="NEU868" s="295" t="s">
        <v>71</v>
      </c>
      <c r="NEV868" s="295" t="s">
        <v>71</v>
      </c>
      <c r="NEW868" s="295" t="s">
        <v>71</v>
      </c>
      <c r="NEX868" s="295" t="s">
        <v>71</v>
      </c>
      <c r="NEY868" s="295" t="s">
        <v>71</v>
      </c>
      <c r="NEZ868" s="295" t="s">
        <v>71</v>
      </c>
      <c r="NFA868" s="295" t="s">
        <v>71</v>
      </c>
      <c r="NFB868" s="295" t="s">
        <v>71</v>
      </c>
      <c r="NFC868" s="295" t="s">
        <v>71</v>
      </c>
      <c r="NFD868" s="295" t="s">
        <v>71</v>
      </c>
      <c r="NFE868" s="295" t="s">
        <v>71</v>
      </c>
      <c r="NFF868" s="295" t="s">
        <v>71</v>
      </c>
      <c r="NFG868" s="295" t="s">
        <v>71</v>
      </c>
      <c r="NFH868" s="295" t="s">
        <v>71</v>
      </c>
      <c r="NFI868" s="295" t="s">
        <v>71</v>
      </c>
      <c r="NFJ868" s="295" t="s">
        <v>71</v>
      </c>
      <c r="NFK868" s="295" t="s">
        <v>71</v>
      </c>
      <c r="NFL868" s="295" t="s">
        <v>71</v>
      </c>
      <c r="NFM868" s="295" t="s">
        <v>71</v>
      </c>
      <c r="NFN868" s="295" t="s">
        <v>71</v>
      </c>
      <c r="NFO868" s="295" t="s">
        <v>71</v>
      </c>
      <c r="NFP868" s="295" t="s">
        <v>71</v>
      </c>
      <c r="NFQ868" s="295" t="s">
        <v>71</v>
      </c>
      <c r="NFR868" s="295" t="s">
        <v>71</v>
      </c>
      <c r="NFS868" s="295" t="s">
        <v>71</v>
      </c>
      <c r="NFT868" s="295" t="s">
        <v>71</v>
      </c>
      <c r="NFU868" s="295" t="s">
        <v>71</v>
      </c>
      <c r="NFV868" s="295" t="s">
        <v>71</v>
      </c>
      <c r="NFW868" s="295" t="s">
        <v>71</v>
      </c>
      <c r="NFX868" s="295" t="s">
        <v>71</v>
      </c>
      <c r="NFY868" s="295" t="s">
        <v>71</v>
      </c>
      <c r="NFZ868" s="295" t="s">
        <v>71</v>
      </c>
      <c r="NGA868" s="295" t="s">
        <v>71</v>
      </c>
      <c r="NGB868" s="295" t="s">
        <v>71</v>
      </c>
      <c r="NGC868" s="295" t="s">
        <v>71</v>
      </c>
      <c r="NGD868" s="295" t="s">
        <v>71</v>
      </c>
      <c r="NGE868" s="295" t="s">
        <v>71</v>
      </c>
      <c r="NGF868" s="295" t="s">
        <v>71</v>
      </c>
      <c r="NGG868" s="295" t="s">
        <v>71</v>
      </c>
      <c r="NGH868" s="295" t="s">
        <v>71</v>
      </c>
      <c r="NGI868" s="295" t="s">
        <v>71</v>
      </c>
      <c r="NGJ868" s="295" t="s">
        <v>71</v>
      </c>
      <c r="NGK868" s="295" t="s">
        <v>71</v>
      </c>
      <c r="NGL868" s="295" t="s">
        <v>71</v>
      </c>
      <c r="NGM868" s="295" t="s">
        <v>71</v>
      </c>
      <c r="NGN868" s="295" t="s">
        <v>71</v>
      </c>
      <c r="NGO868" s="295" t="s">
        <v>71</v>
      </c>
      <c r="NGP868" s="295" t="s">
        <v>71</v>
      </c>
      <c r="NGQ868" s="295" t="s">
        <v>71</v>
      </c>
      <c r="NGR868" s="295" t="s">
        <v>71</v>
      </c>
      <c r="NGS868" s="295" t="s">
        <v>71</v>
      </c>
      <c r="NGT868" s="295" t="s">
        <v>71</v>
      </c>
      <c r="NGU868" s="295" t="s">
        <v>71</v>
      </c>
      <c r="NGV868" s="295" t="s">
        <v>71</v>
      </c>
      <c r="NGW868" s="295" t="s">
        <v>71</v>
      </c>
      <c r="NGX868" s="295" t="s">
        <v>71</v>
      </c>
      <c r="NGY868" s="295" t="s">
        <v>71</v>
      </c>
      <c r="NGZ868" s="295" t="s">
        <v>71</v>
      </c>
      <c r="NHA868" s="295" t="s">
        <v>71</v>
      </c>
      <c r="NHB868" s="295" t="s">
        <v>71</v>
      </c>
      <c r="NHC868" s="295" t="s">
        <v>71</v>
      </c>
      <c r="NHD868" s="295" t="s">
        <v>71</v>
      </c>
      <c r="NHE868" s="295" t="s">
        <v>71</v>
      </c>
      <c r="NHF868" s="295" t="s">
        <v>71</v>
      </c>
      <c r="NHG868" s="295" t="s">
        <v>71</v>
      </c>
      <c r="NHH868" s="295" t="s">
        <v>71</v>
      </c>
      <c r="NHI868" s="295" t="s">
        <v>71</v>
      </c>
      <c r="NHJ868" s="295" t="s">
        <v>71</v>
      </c>
      <c r="NHK868" s="295" t="s">
        <v>71</v>
      </c>
      <c r="NHL868" s="295" t="s">
        <v>71</v>
      </c>
      <c r="NHM868" s="295" t="s">
        <v>71</v>
      </c>
      <c r="NHN868" s="295" t="s">
        <v>71</v>
      </c>
      <c r="NHO868" s="295" t="s">
        <v>71</v>
      </c>
      <c r="NHP868" s="295" t="s">
        <v>71</v>
      </c>
      <c r="NHQ868" s="295" t="s">
        <v>71</v>
      </c>
      <c r="NHR868" s="295" t="s">
        <v>71</v>
      </c>
      <c r="NHS868" s="295" t="s">
        <v>71</v>
      </c>
      <c r="NHT868" s="295" t="s">
        <v>71</v>
      </c>
      <c r="NHU868" s="295" t="s">
        <v>71</v>
      </c>
      <c r="NHV868" s="295" t="s">
        <v>71</v>
      </c>
      <c r="NHW868" s="295" t="s">
        <v>71</v>
      </c>
      <c r="NHX868" s="295" t="s">
        <v>71</v>
      </c>
      <c r="NHY868" s="295" t="s">
        <v>71</v>
      </c>
      <c r="NHZ868" s="295" t="s">
        <v>71</v>
      </c>
      <c r="NIA868" s="295" t="s">
        <v>71</v>
      </c>
      <c r="NIB868" s="295" t="s">
        <v>71</v>
      </c>
      <c r="NIC868" s="295" t="s">
        <v>71</v>
      </c>
      <c r="NID868" s="295" t="s">
        <v>71</v>
      </c>
      <c r="NIE868" s="295" t="s">
        <v>71</v>
      </c>
      <c r="NIF868" s="295" t="s">
        <v>71</v>
      </c>
      <c r="NIG868" s="295" t="s">
        <v>71</v>
      </c>
      <c r="NIH868" s="295" t="s">
        <v>71</v>
      </c>
      <c r="NII868" s="295" t="s">
        <v>71</v>
      </c>
      <c r="NIJ868" s="295" t="s">
        <v>71</v>
      </c>
      <c r="NIK868" s="295" t="s">
        <v>71</v>
      </c>
      <c r="NIL868" s="295" t="s">
        <v>71</v>
      </c>
      <c r="NIM868" s="295" t="s">
        <v>71</v>
      </c>
      <c r="NIN868" s="295" t="s">
        <v>71</v>
      </c>
      <c r="NIO868" s="295" t="s">
        <v>71</v>
      </c>
      <c r="NIP868" s="295" t="s">
        <v>71</v>
      </c>
      <c r="NIQ868" s="295" t="s">
        <v>71</v>
      </c>
      <c r="NIR868" s="295" t="s">
        <v>71</v>
      </c>
      <c r="NIS868" s="295" t="s">
        <v>71</v>
      </c>
      <c r="NIT868" s="295" t="s">
        <v>71</v>
      </c>
      <c r="NIU868" s="295" t="s">
        <v>71</v>
      </c>
      <c r="NIV868" s="295" t="s">
        <v>71</v>
      </c>
      <c r="NIW868" s="295" t="s">
        <v>71</v>
      </c>
      <c r="NIX868" s="295" t="s">
        <v>71</v>
      </c>
      <c r="NIY868" s="295" t="s">
        <v>71</v>
      </c>
      <c r="NIZ868" s="295" t="s">
        <v>71</v>
      </c>
      <c r="NJA868" s="295" t="s">
        <v>71</v>
      </c>
      <c r="NJB868" s="295" t="s">
        <v>71</v>
      </c>
      <c r="NJC868" s="295" t="s">
        <v>71</v>
      </c>
      <c r="NJD868" s="295" t="s">
        <v>71</v>
      </c>
      <c r="NJE868" s="295" t="s">
        <v>71</v>
      </c>
      <c r="NJF868" s="295" t="s">
        <v>71</v>
      </c>
      <c r="NJG868" s="295" t="s">
        <v>71</v>
      </c>
      <c r="NJH868" s="295" t="s">
        <v>71</v>
      </c>
      <c r="NJI868" s="295" t="s">
        <v>71</v>
      </c>
      <c r="NJJ868" s="295" t="s">
        <v>71</v>
      </c>
      <c r="NJK868" s="295" t="s">
        <v>71</v>
      </c>
      <c r="NJL868" s="295" t="s">
        <v>71</v>
      </c>
      <c r="NJM868" s="295" t="s">
        <v>71</v>
      </c>
      <c r="NJN868" s="295" t="s">
        <v>71</v>
      </c>
      <c r="NJO868" s="295" t="s">
        <v>71</v>
      </c>
      <c r="NJP868" s="295" t="s">
        <v>71</v>
      </c>
      <c r="NJQ868" s="295" t="s">
        <v>71</v>
      </c>
      <c r="NJR868" s="295" t="s">
        <v>71</v>
      </c>
      <c r="NJS868" s="295" t="s">
        <v>71</v>
      </c>
      <c r="NJT868" s="295" t="s">
        <v>71</v>
      </c>
      <c r="NJU868" s="295" t="s">
        <v>71</v>
      </c>
      <c r="NJV868" s="295" t="s">
        <v>71</v>
      </c>
      <c r="NJW868" s="295" t="s">
        <v>71</v>
      </c>
      <c r="NJX868" s="295" t="s">
        <v>71</v>
      </c>
      <c r="NJY868" s="295" t="s">
        <v>71</v>
      </c>
      <c r="NJZ868" s="295" t="s">
        <v>71</v>
      </c>
      <c r="NKA868" s="295" t="s">
        <v>71</v>
      </c>
      <c r="NKB868" s="295" t="s">
        <v>71</v>
      </c>
      <c r="NKC868" s="295" t="s">
        <v>71</v>
      </c>
      <c r="NKD868" s="295" t="s">
        <v>71</v>
      </c>
      <c r="NKE868" s="295" t="s">
        <v>71</v>
      </c>
      <c r="NKF868" s="295" t="s">
        <v>71</v>
      </c>
      <c r="NKG868" s="295" t="s">
        <v>71</v>
      </c>
      <c r="NKH868" s="295" t="s">
        <v>71</v>
      </c>
      <c r="NKI868" s="295" t="s">
        <v>71</v>
      </c>
      <c r="NKJ868" s="295" t="s">
        <v>71</v>
      </c>
      <c r="NKK868" s="295" t="s">
        <v>71</v>
      </c>
      <c r="NKL868" s="295" t="s">
        <v>71</v>
      </c>
      <c r="NKM868" s="295" t="s">
        <v>71</v>
      </c>
      <c r="NKN868" s="295" t="s">
        <v>71</v>
      </c>
      <c r="NKO868" s="295" t="s">
        <v>71</v>
      </c>
      <c r="NKP868" s="295" t="s">
        <v>71</v>
      </c>
      <c r="NKQ868" s="295" t="s">
        <v>71</v>
      </c>
      <c r="NKR868" s="295" t="s">
        <v>71</v>
      </c>
      <c r="NKS868" s="295" t="s">
        <v>71</v>
      </c>
      <c r="NKT868" s="295" t="s">
        <v>71</v>
      </c>
      <c r="NKU868" s="295" t="s">
        <v>71</v>
      </c>
      <c r="NKV868" s="295" t="s">
        <v>71</v>
      </c>
      <c r="NKW868" s="295" t="s">
        <v>71</v>
      </c>
      <c r="NKX868" s="295" t="s">
        <v>71</v>
      </c>
      <c r="NKY868" s="295" t="s">
        <v>71</v>
      </c>
      <c r="NKZ868" s="295" t="s">
        <v>71</v>
      </c>
      <c r="NLA868" s="295" t="s">
        <v>71</v>
      </c>
      <c r="NLB868" s="295" t="s">
        <v>71</v>
      </c>
      <c r="NLC868" s="295" t="s">
        <v>71</v>
      </c>
      <c r="NLD868" s="295" t="s">
        <v>71</v>
      </c>
      <c r="NLE868" s="295" t="s">
        <v>71</v>
      </c>
      <c r="NLF868" s="295" t="s">
        <v>71</v>
      </c>
      <c r="NLG868" s="295" t="s">
        <v>71</v>
      </c>
      <c r="NLH868" s="295" t="s">
        <v>71</v>
      </c>
      <c r="NLI868" s="295" t="s">
        <v>71</v>
      </c>
      <c r="NLJ868" s="295" t="s">
        <v>71</v>
      </c>
      <c r="NLK868" s="295" t="s">
        <v>71</v>
      </c>
      <c r="NLL868" s="295" t="s">
        <v>71</v>
      </c>
      <c r="NLM868" s="295" t="s">
        <v>71</v>
      </c>
      <c r="NLN868" s="295" t="s">
        <v>71</v>
      </c>
      <c r="NLO868" s="295" t="s">
        <v>71</v>
      </c>
      <c r="NLP868" s="295" t="s">
        <v>71</v>
      </c>
      <c r="NLQ868" s="295" t="s">
        <v>71</v>
      </c>
      <c r="NLR868" s="295" t="s">
        <v>71</v>
      </c>
      <c r="NLS868" s="295" t="s">
        <v>71</v>
      </c>
      <c r="NLT868" s="295" t="s">
        <v>71</v>
      </c>
      <c r="NLU868" s="295" t="s">
        <v>71</v>
      </c>
      <c r="NLV868" s="295" t="s">
        <v>71</v>
      </c>
      <c r="NLW868" s="295" t="s">
        <v>71</v>
      </c>
      <c r="NLX868" s="295" t="s">
        <v>71</v>
      </c>
      <c r="NLY868" s="295" t="s">
        <v>71</v>
      </c>
      <c r="NLZ868" s="295" t="s">
        <v>71</v>
      </c>
      <c r="NMA868" s="295" t="s">
        <v>71</v>
      </c>
      <c r="NMB868" s="295" t="s">
        <v>71</v>
      </c>
      <c r="NMC868" s="295" t="s">
        <v>71</v>
      </c>
      <c r="NMD868" s="295" t="s">
        <v>71</v>
      </c>
      <c r="NME868" s="295" t="s">
        <v>71</v>
      </c>
      <c r="NMF868" s="295" t="s">
        <v>71</v>
      </c>
      <c r="NMG868" s="295" t="s">
        <v>71</v>
      </c>
      <c r="NMH868" s="295" t="s">
        <v>71</v>
      </c>
      <c r="NMI868" s="295" t="s">
        <v>71</v>
      </c>
      <c r="NMJ868" s="295" t="s">
        <v>71</v>
      </c>
      <c r="NMK868" s="295" t="s">
        <v>71</v>
      </c>
      <c r="NML868" s="295" t="s">
        <v>71</v>
      </c>
      <c r="NMM868" s="295" t="s">
        <v>71</v>
      </c>
      <c r="NMN868" s="295" t="s">
        <v>71</v>
      </c>
      <c r="NMO868" s="295" t="s">
        <v>71</v>
      </c>
      <c r="NMP868" s="295" t="s">
        <v>71</v>
      </c>
      <c r="NMQ868" s="295" t="s">
        <v>71</v>
      </c>
      <c r="NMR868" s="295" t="s">
        <v>71</v>
      </c>
      <c r="NMS868" s="295" t="s">
        <v>71</v>
      </c>
      <c r="NMT868" s="295" t="s">
        <v>71</v>
      </c>
      <c r="NMU868" s="295" t="s">
        <v>71</v>
      </c>
      <c r="NMV868" s="295" t="s">
        <v>71</v>
      </c>
      <c r="NMW868" s="295" t="s">
        <v>71</v>
      </c>
      <c r="NMX868" s="295" t="s">
        <v>71</v>
      </c>
      <c r="NMY868" s="295" t="s">
        <v>71</v>
      </c>
      <c r="NMZ868" s="295" t="s">
        <v>71</v>
      </c>
      <c r="NNA868" s="295" t="s">
        <v>71</v>
      </c>
      <c r="NNB868" s="295" t="s">
        <v>71</v>
      </c>
      <c r="NNC868" s="295" t="s">
        <v>71</v>
      </c>
      <c r="NND868" s="295" t="s">
        <v>71</v>
      </c>
      <c r="NNE868" s="295" t="s">
        <v>71</v>
      </c>
      <c r="NNF868" s="295" t="s">
        <v>71</v>
      </c>
      <c r="NNG868" s="295" t="s">
        <v>71</v>
      </c>
      <c r="NNH868" s="295" t="s">
        <v>71</v>
      </c>
      <c r="NNI868" s="295" t="s">
        <v>71</v>
      </c>
      <c r="NNJ868" s="295" t="s">
        <v>71</v>
      </c>
      <c r="NNK868" s="295" t="s">
        <v>71</v>
      </c>
      <c r="NNL868" s="295" t="s">
        <v>71</v>
      </c>
      <c r="NNM868" s="295" t="s">
        <v>71</v>
      </c>
      <c r="NNN868" s="295" t="s">
        <v>71</v>
      </c>
      <c r="NNO868" s="295" t="s">
        <v>71</v>
      </c>
      <c r="NNP868" s="295" t="s">
        <v>71</v>
      </c>
      <c r="NNQ868" s="295" t="s">
        <v>71</v>
      </c>
      <c r="NNR868" s="295" t="s">
        <v>71</v>
      </c>
      <c r="NNS868" s="295" t="s">
        <v>71</v>
      </c>
      <c r="NNT868" s="295" t="s">
        <v>71</v>
      </c>
      <c r="NNU868" s="295" t="s">
        <v>71</v>
      </c>
      <c r="NNV868" s="295" t="s">
        <v>71</v>
      </c>
      <c r="NNW868" s="295" t="s">
        <v>71</v>
      </c>
      <c r="NNX868" s="295" t="s">
        <v>71</v>
      </c>
      <c r="NNY868" s="295" t="s">
        <v>71</v>
      </c>
      <c r="NNZ868" s="295" t="s">
        <v>71</v>
      </c>
      <c r="NOA868" s="295" t="s">
        <v>71</v>
      </c>
      <c r="NOB868" s="295" t="s">
        <v>71</v>
      </c>
      <c r="NOC868" s="295" t="s">
        <v>71</v>
      </c>
      <c r="NOD868" s="295" t="s">
        <v>71</v>
      </c>
      <c r="NOE868" s="295" t="s">
        <v>71</v>
      </c>
      <c r="NOF868" s="295" t="s">
        <v>71</v>
      </c>
      <c r="NOG868" s="295" t="s">
        <v>71</v>
      </c>
      <c r="NOH868" s="295" t="s">
        <v>71</v>
      </c>
      <c r="NOI868" s="295" t="s">
        <v>71</v>
      </c>
      <c r="NOJ868" s="295" t="s">
        <v>71</v>
      </c>
      <c r="NOK868" s="295" t="s">
        <v>71</v>
      </c>
      <c r="NOL868" s="295" t="s">
        <v>71</v>
      </c>
      <c r="NOM868" s="295" t="s">
        <v>71</v>
      </c>
      <c r="NON868" s="295" t="s">
        <v>71</v>
      </c>
      <c r="NOO868" s="295" t="s">
        <v>71</v>
      </c>
      <c r="NOP868" s="295" t="s">
        <v>71</v>
      </c>
      <c r="NOQ868" s="295" t="s">
        <v>71</v>
      </c>
      <c r="NOR868" s="295" t="s">
        <v>71</v>
      </c>
      <c r="NOS868" s="295" t="s">
        <v>71</v>
      </c>
      <c r="NOT868" s="295" t="s">
        <v>71</v>
      </c>
      <c r="NOU868" s="295" t="s">
        <v>71</v>
      </c>
      <c r="NOV868" s="295" t="s">
        <v>71</v>
      </c>
      <c r="NOW868" s="295" t="s">
        <v>71</v>
      </c>
      <c r="NOX868" s="295" t="s">
        <v>71</v>
      </c>
      <c r="NOY868" s="295" t="s">
        <v>71</v>
      </c>
      <c r="NOZ868" s="295" t="s">
        <v>71</v>
      </c>
      <c r="NPA868" s="295" t="s">
        <v>71</v>
      </c>
      <c r="NPB868" s="295" t="s">
        <v>71</v>
      </c>
      <c r="NPC868" s="295" t="s">
        <v>71</v>
      </c>
      <c r="NPD868" s="295" t="s">
        <v>71</v>
      </c>
      <c r="NPE868" s="295" t="s">
        <v>71</v>
      </c>
      <c r="NPF868" s="295" t="s">
        <v>71</v>
      </c>
      <c r="NPG868" s="295" t="s">
        <v>71</v>
      </c>
      <c r="NPH868" s="295" t="s">
        <v>71</v>
      </c>
      <c r="NPI868" s="295" t="s">
        <v>71</v>
      </c>
      <c r="NPJ868" s="295" t="s">
        <v>71</v>
      </c>
      <c r="NPK868" s="295" t="s">
        <v>71</v>
      </c>
      <c r="NPL868" s="295" t="s">
        <v>71</v>
      </c>
      <c r="NPM868" s="295" t="s">
        <v>71</v>
      </c>
      <c r="NPN868" s="295" t="s">
        <v>71</v>
      </c>
      <c r="NPO868" s="295" t="s">
        <v>71</v>
      </c>
      <c r="NPP868" s="295" t="s">
        <v>71</v>
      </c>
      <c r="NPQ868" s="295" t="s">
        <v>71</v>
      </c>
      <c r="NPR868" s="295" t="s">
        <v>71</v>
      </c>
      <c r="NPS868" s="295" t="s">
        <v>71</v>
      </c>
      <c r="NPT868" s="295" t="s">
        <v>71</v>
      </c>
      <c r="NPU868" s="295" t="s">
        <v>71</v>
      </c>
      <c r="NPV868" s="295" t="s">
        <v>71</v>
      </c>
      <c r="NPW868" s="295" t="s">
        <v>71</v>
      </c>
      <c r="NPX868" s="295" t="s">
        <v>71</v>
      </c>
      <c r="NPY868" s="295" t="s">
        <v>71</v>
      </c>
      <c r="NPZ868" s="295" t="s">
        <v>71</v>
      </c>
      <c r="NQA868" s="295" t="s">
        <v>71</v>
      </c>
      <c r="NQB868" s="295" t="s">
        <v>71</v>
      </c>
      <c r="NQC868" s="295" t="s">
        <v>71</v>
      </c>
      <c r="NQD868" s="295" t="s">
        <v>71</v>
      </c>
      <c r="NQE868" s="295" t="s">
        <v>71</v>
      </c>
      <c r="NQF868" s="295" t="s">
        <v>71</v>
      </c>
      <c r="NQG868" s="295" t="s">
        <v>71</v>
      </c>
      <c r="NQH868" s="295" t="s">
        <v>71</v>
      </c>
      <c r="NQI868" s="295" t="s">
        <v>71</v>
      </c>
      <c r="NQJ868" s="295" t="s">
        <v>71</v>
      </c>
      <c r="NQK868" s="295" t="s">
        <v>71</v>
      </c>
      <c r="NQL868" s="295" t="s">
        <v>71</v>
      </c>
      <c r="NQM868" s="295" t="s">
        <v>71</v>
      </c>
      <c r="NQN868" s="295" t="s">
        <v>71</v>
      </c>
      <c r="NQO868" s="295" t="s">
        <v>71</v>
      </c>
      <c r="NQP868" s="295" t="s">
        <v>71</v>
      </c>
      <c r="NQQ868" s="295" t="s">
        <v>71</v>
      </c>
      <c r="NQR868" s="295" t="s">
        <v>71</v>
      </c>
      <c r="NQS868" s="295" t="s">
        <v>71</v>
      </c>
      <c r="NQT868" s="295" t="s">
        <v>71</v>
      </c>
      <c r="NQU868" s="295" t="s">
        <v>71</v>
      </c>
      <c r="NQV868" s="295" t="s">
        <v>71</v>
      </c>
      <c r="NQW868" s="295" t="s">
        <v>71</v>
      </c>
      <c r="NQX868" s="295" t="s">
        <v>71</v>
      </c>
      <c r="NQY868" s="295" t="s">
        <v>71</v>
      </c>
      <c r="NQZ868" s="295" t="s">
        <v>71</v>
      </c>
      <c r="NRA868" s="295" t="s">
        <v>71</v>
      </c>
      <c r="NRB868" s="295" t="s">
        <v>71</v>
      </c>
      <c r="NRC868" s="295" t="s">
        <v>71</v>
      </c>
      <c r="NRD868" s="295" t="s">
        <v>71</v>
      </c>
      <c r="NRE868" s="295" t="s">
        <v>71</v>
      </c>
      <c r="NRF868" s="295" t="s">
        <v>71</v>
      </c>
      <c r="NRG868" s="295" t="s">
        <v>71</v>
      </c>
      <c r="NRH868" s="295" t="s">
        <v>71</v>
      </c>
      <c r="NRI868" s="295" t="s">
        <v>71</v>
      </c>
      <c r="NRJ868" s="295" t="s">
        <v>71</v>
      </c>
      <c r="NRK868" s="295" t="s">
        <v>71</v>
      </c>
      <c r="NRL868" s="295" t="s">
        <v>71</v>
      </c>
      <c r="NRM868" s="295" t="s">
        <v>71</v>
      </c>
      <c r="NRN868" s="295" t="s">
        <v>71</v>
      </c>
      <c r="NRO868" s="295" t="s">
        <v>71</v>
      </c>
      <c r="NRP868" s="295" t="s">
        <v>71</v>
      </c>
      <c r="NRQ868" s="295" t="s">
        <v>71</v>
      </c>
      <c r="NRR868" s="295" t="s">
        <v>71</v>
      </c>
      <c r="NRS868" s="295" t="s">
        <v>71</v>
      </c>
      <c r="NRT868" s="295" t="s">
        <v>71</v>
      </c>
      <c r="NRU868" s="295" t="s">
        <v>71</v>
      </c>
      <c r="NRV868" s="295" t="s">
        <v>71</v>
      </c>
      <c r="NRW868" s="295" t="s">
        <v>71</v>
      </c>
      <c r="NRX868" s="295" t="s">
        <v>71</v>
      </c>
      <c r="NRY868" s="295" t="s">
        <v>71</v>
      </c>
      <c r="NRZ868" s="295" t="s">
        <v>71</v>
      </c>
      <c r="NSA868" s="295" t="s">
        <v>71</v>
      </c>
      <c r="NSB868" s="295" t="s">
        <v>71</v>
      </c>
      <c r="NSC868" s="295" t="s">
        <v>71</v>
      </c>
      <c r="NSD868" s="295" t="s">
        <v>71</v>
      </c>
      <c r="NSE868" s="295" t="s">
        <v>71</v>
      </c>
      <c r="NSF868" s="295" t="s">
        <v>71</v>
      </c>
      <c r="NSG868" s="295" t="s">
        <v>71</v>
      </c>
      <c r="NSH868" s="295" t="s">
        <v>71</v>
      </c>
      <c r="NSI868" s="295" t="s">
        <v>71</v>
      </c>
      <c r="NSJ868" s="295" t="s">
        <v>71</v>
      </c>
      <c r="NSK868" s="295" t="s">
        <v>71</v>
      </c>
      <c r="NSL868" s="295" t="s">
        <v>71</v>
      </c>
      <c r="NSM868" s="295" t="s">
        <v>71</v>
      </c>
      <c r="NSN868" s="295" t="s">
        <v>71</v>
      </c>
      <c r="NSO868" s="295" t="s">
        <v>71</v>
      </c>
      <c r="NSP868" s="295" t="s">
        <v>71</v>
      </c>
      <c r="NSQ868" s="295" t="s">
        <v>71</v>
      </c>
      <c r="NSR868" s="295" t="s">
        <v>71</v>
      </c>
      <c r="NSS868" s="295" t="s">
        <v>71</v>
      </c>
      <c r="NST868" s="295" t="s">
        <v>71</v>
      </c>
      <c r="NSU868" s="295" t="s">
        <v>71</v>
      </c>
      <c r="NSV868" s="295" t="s">
        <v>71</v>
      </c>
      <c r="NSW868" s="295" t="s">
        <v>71</v>
      </c>
      <c r="NSX868" s="295" t="s">
        <v>71</v>
      </c>
      <c r="NSY868" s="295" t="s">
        <v>71</v>
      </c>
      <c r="NSZ868" s="295" t="s">
        <v>71</v>
      </c>
      <c r="NTA868" s="295" t="s">
        <v>71</v>
      </c>
      <c r="NTB868" s="295" t="s">
        <v>71</v>
      </c>
      <c r="NTC868" s="295" t="s">
        <v>71</v>
      </c>
      <c r="NTD868" s="295" t="s">
        <v>71</v>
      </c>
      <c r="NTE868" s="295" t="s">
        <v>71</v>
      </c>
      <c r="NTF868" s="295" t="s">
        <v>71</v>
      </c>
      <c r="NTG868" s="295" t="s">
        <v>71</v>
      </c>
      <c r="NTH868" s="295" t="s">
        <v>71</v>
      </c>
      <c r="NTI868" s="295" t="s">
        <v>71</v>
      </c>
      <c r="NTJ868" s="295" t="s">
        <v>71</v>
      </c>
      <c r="NTK868" s="295" t="s">
        <v>71</v>
      </c>
      <c r="NTL868" s="295" t="s">
        <v>71</v>
      </c>
      <c r="NTM868" s="295" t="s">
        <v>71</v>
      </c>
      <c r="NTN868" s="295" t="s">
        <v>71</v>
      </c>
      <c r="NTO868" s="295" t="s">
        <v>71</v>
      </c>
      <c r="NTP868" s="295" t="s">
        <v>71</v>
      </c>
      <c r="NTQ868" s="295" t="s">
        <v>71</v>
      </c>
      <c r="NTR868" s="295" t="s">
        <v>71</v>
      </c>
      <c r="NTS868" s="295" t="s">
        <v>71</v>
      </c>
      <c r="NTT868" s="295" t="s">
        <v>71</v>
      </c>
      <c r="NTU868" s="295" t="s">
        <v>71</v>
      </c>
      <c r="NTV868" s="295" t="s">
        <v>71</v>
      </c>
      <c r="NTW868" s="295" t="s">
        <v>71</v>
      </c>
      <c r="NTX868" s="295" t="s">
        <v>71</v>
      </c>
      <c r="NTY868" s="295" t="s">
        <v>71</v>
      </c>
      <c r="NTZ868" s="295" t="s">
        <v>71</v>
      </c>
      <c r="NUA868" s="295" t="s">
        <v>71</v>
      </c>
      <c r="NUB868" s="295" t="s">
        <v>71</v>
      </c>
      <c r="NUC868" s="295" t="s">
        <v>71</v>
      </c>
      <c r="NUD868" s="295" t="s">
        <v>71</v>
      </c>
      <c r="NUE868" s="295" t="s">
        <v>71</v>
      </c>
      <c r="NUF868" s="295" t="s">
        <v>71</v>
      </c>
      <c r="NUG868" s="295" t="s">
        <v>71</v>
      </c>
      <c r="NUH868" s="295" t="s">
        <v>71</v>
      </c>
      <c r="NUI868" s="295" t="s">
        <v>71</v>
      </c>
      <c r="NUJ868" s="295" t="s">
        <v>71</v>
      </c>
      <c r="NUK868" s="295" t="s">
        <v>71</v>
      </c>
      <c r="NUL868" s="295" t="s">
        <v>71</v>
      </c>
      <c r="NUM868" s="295" t="s">
        <v>71</v>
      </c>
      <c r="NUN868" s="295" t="s">
        <v>71</v>
      </c>
      <c r="NUO868" s="295" t="s">
        <v>71</v>
      </c>
      <c r="NUP868" s="295" t="s">
        <v>71</v>
      </c>
      <c r="NUQ868" s="295" t="s">
        <v>71</v>
      </c>
      <c r="NUR868" s="295" t="s">
        <v>71</v>
      </c>
      <c r="NUS868" s="295" t="s">
        <v>71</v>
      </c>
      <c r="NUT868" s="295" t="s">
        <v>71</v>
      </c>
      <c r="NUU868" s="295" t="s">
        <v>71</v>
      </c>
      <c r="NUV868" s="295" t="s">
        <v>71</v>
      </c>
      <c r="NUW868" s="295" t="s">
        <v>71</v>
      </c>
      <c r="NUX868" s="295" t="s">
        <v>71</v>
      </c>
      <c r="NUY868" s="295" t="s">
        <v>71</v>
      </c>
      <c r="NUZ868" s="295" t="s">
        <v>71</v>
      </c>
      <c r="NVA868" s="295" t="s">
        <v>71</v>
      </c>
      <c r="NVB868" s="295" t="s">
        <v>71</v>
      </c>
      <c r="NVC868" s="295" t="s">
        <v>71</v>
      </c>
      <c r="NVD868" s="295" t="s">
        <v>71</v>
      </c>
      <c r="NVE868" s="295" t="s">
        <v>71</v>
      </c>
      <c r="NVF868" s="295" t="s">
        <v>71</v>
      </c>
      <c r="NVG868" s="295" t="s">
        <v>71</v>
      </c>
      <c r="NVH868" s="295" t="s">
        <v>71</v>
      </c>
      <c r="NVI868" s="295" t="s">
        <v>71</v>
      </c>
      <c r="NVJ868" s="295" t="s">
        <v>71</v>
      </c>
      <c r="NVK868" s="295" t="s">
        <v>71</v>
      </c>
      <c r="NVL868" s="295" t="s">
        <v>71</v>
      </c>
      <c r="NVM868" s="295" t="s">
        <v>71</v>
      </c>
      <c r="NVN868" s="295" t="s">
        <v>71</v>
      </c>
      <c r="NVO868" s="295" t="s">
        <v>71</v>
      </c>
      <c r="NVP868" s="295" t="s">
        <v>71</v>
      </c>
      <c r="NVQ868" s="295" t="s">
        <v>71</v>
      </c>
      <c r="NVR868" s="295" t="s">
        <v>71</v>
      </c>
      <c r="NVS868" s="295" t="s">
        <v>71</v>
      </c>
      <c r="NVT868" s="295" t="s">
        <v>71</v>
      </c>
      <c r="NVU868" s="295" t="s">
        <v>71</v>
      </c>
      <c r="NVV868" s="295" t="s">
        <v>71</v>
      </c>
      <c r="NVW868" s="295" t="s">
        <v>71</v>
      </c>
      <c r="NVX868" s="295" t="s">
        <v>71</v>
      </c>
      <c r="NVY868" s="295" t="s">
        <v>71</v>
      </c>
      <c r="NVZ868" s="295" t="s">
        <v>71</v>
      </c>
      <c r="NWA868" s="295" t="s">
        <v>71</v>
      </c>
      <c r="NWB868" s="295" t="s">
        <v>71</v>
      </c>
      <c r="NWC868" s="295" t="s">
        <v>71</v>
      </c>
      <c r="NWD868" s="295" t="s">
        <v>71</v>
      </c>
      <c r="NWE868" s="295" t="s">
        <v>71</v>
      </c>
      <c r="NWF868" s="295" t="s">
        <v>71</v>
      </c>
      <c r="NWG868" s="295" t="s">
        <v>71</v>
      </c>
      <c r="NWH868" s="295" t="s">
        <v>71</v>
      </c>
      <c r="NWI868" s="295" t="s">
        <v>71</v>
      </c>
      <c r="NWJ868" s="295" t="s">
        <v>71</v>
      </c>
      <c r="NWK868" s="295" t="s">
        <v>71</v>
      </c>
      <c r="NWL868" s="295" t="s">
        <v>71</v>
      </c>
      <c r="NWM868" s="295" t="s">
        <v>71</v>
      </c>
      <c r="NWN868" s="295" t="s">
        <v>71</v>
      </c>
      <c r="NWO868" s="295" t="s">
        <v>71</v>
      </c>
      <c r="NWP868" s="295" t="s">
        <v>71</v>
      </c>
      <c r="NWQ868" s="295" t="s">
        <v>71</v>
      </c>
      <c r="NWR868" s="295" t="s">
        <v>71</v>
      </c>
      <c r="NWS868" s="295" t="s">
        <v>71</v>
      </c>
      <c r="NWT868" s="295" t="s">
        <v>71</v>
      </c>
      <c r="NWU868" s="295" t="s">
        <v>71</v>
      </c>
      <c r="NWV868" s="295" t="s">
        <v>71</v>
      </c>
      <c r="NWW868" s="295" t="s">
        <v>71</v>
      </c>
      <c r="NWX868" s="295" t="s">
        <v>71</v>
      </c>
      <c r="NWY868" s="295" t="s">
        <v>71</v>
      </c>
      <c r="NWZ868" s="295" t="s">
        <v>71</v>
      </c>
      <c r="NXA868" s="295" t="s">
        <v>71</v>
      </c>
      <c r="NXB868" s="295" t="s">
        <v>71</v>
      </c>
      <c r="NXC868" s="295" t="s">
        <v>71</v>
      </c>
      <c r="NXD868" s="295" t="s">
        <v>71</v>
      </c>
      <c r="NXE868" s="295" t="s">
        <v>71</v>
      </c>
      <c r="NXF868" s="295" t="s">
        <v>71</v>
      </c>
      <c r="NXG868" s="295" t="s">
        <v>71</v>
      </c>
      <c r="NXH868" s="295" t="s">
        <v>71</v>
      </c>
      <c r="NXI868" s="295" t="s">
        <v>71</v>
      </c>
      <c r="NXJ868" s="295" t="s">
        <v>71</v>
      </c>
      <c r="NXK868" s="295" t="s">
        <v>71</v>
      </c>
      <c r="NXL868" s="295" t="s">
        <v>71</v>
      </c>
      <c r="NXM868" s="295" t="s">
        <v>71</v>
      </c>
      <c r="NXN868" s="295" t="s">
        <v>71</v>
      </c>
      <c r="NXO868" s="295" t="s">
        <v>71</v>
      </c>
      <c r="NXP868" s="295" t="s">
        <v>71</v>
      </c>
      <c r="NXQ868" s="295" t="s">
        <v>71</v>
      </c>
      <c r="NXR868" s="295" t="s">
        <v>71</v>
      </c>
      <c r="NXS868" s="295" t="s">
        <v>71</v>
      </c>
      <c r="NXT868" s="295" t="s">
        <v>71</v>
      </c>
      <c r="NXU868" s="295" t="s">
        <v>71</v>
      </c>
      <c r="NXV868" s="295" t="s">
        <v>71</v>
      </c>
      <c r="NXW868" s="295" t="s">
        <v>71</v>
      </c>
      <c r="NXX868" s="295" t="s">
        <v>71</v>
      </c>
      <c r="NXY868" s="295" t="s">
        <v>71</v>
      </c>
      <c r="NXZ868" s="295" t="s">
        <v>71</v>
      </c>
      <c r="NYA868" s="295" t="s">
        <v>71</v>
      </c>
      <c r="NYB868" s="295" t="s">
        <v>71</v>
      </c>
      <c r="NYC868" s="295" t="s">
        <v>71</v>
      </c>
      <c r="NYD868" s="295" t="s">
        <v>71</v>
      </c>
      <c r="NYE868" s="295" t="s">
        <v>71</v>
      </c>
      <c r="NYF868" s="295" t="s">
        <v>71</v>
      </c>
      <c r="NYG868" s="295" t="s">
        <v>71</v>
      </c>
      <c r="NYH868" s="295" t="s">
        <v>71</v>
      </c>
      <c r="NYI868" s="295" t="s">
        <v>71</v>
      </c>
      <c r="NYJ868" s="295" t="s">
        <v>71</v>
      </c>
      <c r="NYK868" s="295" t="s">
        <v>71</v>
      </c>
      <c r="NYL868" s="295" t="s">
        <v>71</v>
      </c>
      <c r="NYM868" s="295" t="s">
        <v>71</v>
      </c>
      <c r="NYN868" s="295" t="s">
        <v>71</v>
      </c>
      <c r="NYO868" s="295" t="s">
        <v>71</v>
      </c>
      <c r="NYP868" s="295" t="s">
        <v>71</v>
      </c>
      <c r="NYQ868" s="295" t="s">
        <v>71</v>
      </c>
      <c r="NYR868" s="295" t="s">
        <v>71</v>
      </c>
      <c r="NYS868" s="295" t="s">
        <v>71</v>
      </c>
      <c r="NYT868" s="295" t="s">
        <v>71</v>
      </c>
      <c r="NYU868" s="295" t="s">
        <v>71</v>
      </c>
      <c r="NYV868" s="295" t="s">
        <v>71</v>
      </c>
      <c r="NYW868" s="295" t="s">
        <v>71</v>
      </c>
      <c r="NYX868" s="295" t="s">
        <v>71</v>
      </c>
      <c r="NYY868" s="295" t="s">
        <v>71</v>
      </c>
      <c r="NYZ868" s="295" t="s">
        <v>71</v>
      </c>
      <c r="NZA868" s="295" t="s">
        <v>71</v>
      </c>
      <c r="NZB868" s="295" t="s">
        <v>71</v>
      </c>
      <c r="NZC868" s="295" t="s">
        <v>71</v>
      </c>
      <c r="NZD868" s="295" t="s">
        <v>71</v>
      </c>
      <c r="NZE868" s="295" t="s">
        <v>71</v>
      </c>
      <c r="NZF868" s="295" t="s">
        <v>71</v>
      </c>
      <c r="NZG868" s="295" t="s">
        <v>71</v>
      </c>
      <c r="NZH868" s="295" t="s">
        <v>71</v>
      </c>
      <c r="NZI868" s="295" t="s">
        <v>71</v>
      </c>
      <c r="NZJ868" s="295" t="s">
        <v>71</v>
      </c>
      <c r="NZK868" s="295" t="s">
        <v>71</v>
      </c>
      <c r="NZL868" s="295" t="s">
        <v>71</v>
      </c>
      <c r="NZM868" s="295" t="s">
        <v>71</v>
      </c>
      <c r="NZN868" s="295" t="s">
        <v>71</v>
      </c>
      <c r="NZO868" s="295" t="s">
        <v>71</v>
      </c>
      <c r="NZP868" s="295" t="s">
        <v>71</v>
      </c>
      <c r="NZQ868" s="295" t="s">
        <v>71</v>
      </c>
      <c r="NZR868" s="295" t="s">
        <v>71</v>
      </c>
      <c r="NZS868" s="295" t="s">
        <v>71</v>
      </c>
      <c r="NZT868" s="295" t="s">
        <v>71</v>
      </c>
      <c r="NZU868" s="295" t="s">
        <v>71</v>
      </c>
      <c r="NZV868" s="295" t="s">
        <v>71</v>
      </c>
      <c r="NZW868" s="295" t="s">
        <v>71</v>
      </c>
      <c r="NZX868" s="295" t="s">
        <v>71</v>
      </c>
      <c r="NZY868" s="295" t="s">
        <v>71</v>
      </c>
      <c r="NZZ868" s="295" t="s">
        <v>71</v>
      </c>
      <c r="OAA868" s="295" t="s">
        <v>71</v>
      </c>
      <c r="OAB868" s="295" t="s">
        <v>71</v>
      </c>
      <c r="OAC868" s="295" t="s">
        <v>71</v>
      </c>
      <c r="OAD868" s="295" t="s">
        <v>71</v>
      </c>
      <c r="OAE868" s="295" t="s">
        <v>71</v>
      </c>
      <c r="OAF868" s="295" t="s">
        <v>71</v>
      </c>
      <c r="OAG868" s="295" t="s">
        <v>71</v>
      </c>
      <c r="OAH868" s="295" t="s">
        <v>71</v>
      </c>
      <c r="OAI868" s="295" t="s">
        <v>71</v>
      </c>
      <c r="OAJ868" s="295" t="s">
        <v>71</v>
      </c>
      <c r="OAK868" s="295" t="s">
        <v>71</v>
      </c>
      <c r="OAL868" s="295" t="s">
        <v>71</v>
      </c>
      <c r="OAM868" s="295" t="s">
        <v>71</v>
      </c>
      <c r="OAN868" s="295" t="s">
        <v>71</v>
      </c>
      <c r="OAO868" s="295" t="s">
        <v>71</v>
      </c>
      <c r="OAP868" s="295" t="s">
        <v>71</v>
      </c>
      <c r="OAQ868" s="295" t="s">
        <v>71</v>
      </c>
      <c r="OAR868" s="295" t="s">
        <v>71</v>
      </c>
      <c r="OAS868" s="295" t="s">
        <v>71</v>
      </c>
      <c r="OAT868" s="295" t="s">
        <v>71</v>
      </c>
      <c r="OAU868" s="295" t="s">
        <v>71</v>
      </c>
      <c r="OAV868" s="295" t="s">
        <v>71</v>
      </c>
      <c r="OAW868" s="295" t="s">
        <v>71</v>
      </c>
      <c r="OAX868" s="295" t="s">
        <v>71</v>
      </c>
      <c r="OAY868" s="295" t="s">
        <v>71</v>
      </c>
      <c r="OAZ868" s="295" t="s">
        <v>71</v>
      </c>
      <c r="OBA868" s="295" t="s">
        <v>71</v>
      </c>
      <c r="OBB868" s="295" t="s">
        <v>71</v>
      </c>
      <c r="OBC868" s="295" t="s">
        <v>71</v>
      </c>
      <c r="OBD868" s="295" t="s">
        <v>71</v>
      </c>
      <c r="OBE868" s="295" t="s">
        <v>71</v>
      </c>
      <c r="OBF868" s="295" t="s">
        <v>71</v>
      </c>
      <c r="OBG868" s="295" t="s">
        <v>71</v>
      </c>
      <c r="OBH868" s="295" t="s">
        <v>71</v>
      </c>
      <c r="OBI868" s="295" t="s">
        <v>71</v>
      </c>
      <c r="OBJ868" s="295" t="s">
        <v>71</v>
      </c>
      <c r="OBK868" s="295" t="s">
        <v>71</v>
      </c>
      <c r="OBL868" s="295" t="s">
        <v>71</v>
      </c>
      <c r="OBM868" s="295" t="s">
        <v>71</v>
      </c>
      <c r="OBN868" s="295" t="s">
        <v>71</v>
      </c>
      <c r="OBO868" s="295" t="s">
        <v>71</v>
      </c>
      <c r="OBP868" s="295" t="s">
        <v>71</v>
      </c>
      <c r="OBQ868" s="295" t="s">
        <v>71</v>
      </c>
      <c r="OBR868" s="295" t="s">
        <v>71</v>
      </c>
      <c r="OBS868" s="295" t="s">
        <v>71</v>
      </c>
      <c r="OBT868" s="295" t="s">
        <v>71</v>
      </c>
      <c r="OBU868" s="295" t="s">
        <v>71</v>
      </c>
      <c r="OBV868" s="295" t="s">
        <v>71</v>
      </c>
      <c r="OBW868" s="295" t="s">
        <v>71</v>
      </c>
      <c r="OBX868" s="295" t="s">
        <v>71</v>
      </c>
      <c r="OBY868" s="295" t="s">
        <v>71</v>
      </c>
      <c r="OBZ868" s="295" t="s">
        <v>71</v>
      </c>
      <c r="OCA868" s="295" t="s">
        <v>71</v>
      </c>
      <c r="OCB868" s="295" t="s">
        <v>71</v>
      </c>
      <c r="OCC868" s="295" t="s">
        <v>71</v>
      </c>
      <c r="OCD868" s="295" t="s">
        <v>71</v>
      </c>
      <c r="OCE868" s="295" t="s">
        <v>71</v>
      </c>
      <c r="OCF868" s="295" t="s">
        <v>71</v>
      </c>
      <c r="OCG868" s="295" t="s">
        <v>71</v>
      </c>
      <c r="OCH868" s="295" t="s">
        <v>71</v>
      </c>
      <c r="OCI868" s="295" t="s">
        <v>71</v>
      </c>
      <c r="OCJ868" s="295" t="s">
        <v>71</v>
      </c>
      <c r="OCK868" s="295" t="s">
        <v>71</v>
      </c>
      <c r="OCL868" s="295" t="s">
        <v>71</v>
      </c>
      <c r="OCM868" s="295" t="s">
        <v>71</v>
      </c>
      <c r="OCN868" s="295" t="s">
        <v>71</v>
      </c>
      <c r="OCO868" s="295" t="s">
        <v>71</v>
      </c>
      <c r="OCP868" s="295" t="s">
        <v>71</v>
      </c>
      <c r="OCQ868" s="295" t="s">
        <v>71</v>
      </c>
      <c r="OCR868" s="295" t="s">
        <v>71</v>
      </c>
      <c r="OCS868" s="295" t="s">
        <v>71</v>
      </c>
      <c r="OCT868" s="295" t="s">
        <v>71</v>
      </c>
      <c r="OCU868" s="295" t="s">
        <v>71</v>
      </c>
      <c r="OCV868" s="295" t="s">
        <v>71</v>
      </c>
      <c r="OCW868" s="295" t="s">
        <v>71</v>
      </c>
      <c r="OCX868" s="295" t="s">
        <v>71</v>
      </c>
      <c r="OCY868" s="295" t="s">
        <v>71</v>
      </c>
      <c r="OCZ868" s="295" t="s">
        <v>71</v>
      </c>
      <c r="ODA868" s="295" t="s">
        <v>71</v>
      </c>
      <c r="ODB868" s="295" t="s">
        <v>71</v>
      </c>
      <c r="ODC868" s="295" t="s">
        <v>71</v>
      </c>
      <c r="ODD868" s="295" t="s">
        <v>71</v>
      </c>
      <c r="ODE868" s="295" t="s">
        <v>71</v>
      </c>
      <c r="ODF868" s="295" t="s">
        <v>71</v>
      </c>
      <c r="ODG868" s="295" t="s">
        <v>71</v>
      </c>
      <c r="ODH868" s="295" t="s">
        <v>71</v>
      </c>
      <c r="ODI868" s="295" t="s">
        <v>71</v>
      </c>
      <c r="ODJ868" s="295" t="s">
        <v>71</v>
      </c>
      <c r="ODK868" s="295" t="s">
        <v>71</v>
      </c>
      <c r="ODL868" s="295" t="s">
        <v>71</v>
      </c>
      <c r="ODM868" s="295" t="s">
        <v>71</v>
      </c>
      <c r="ODN868" s="295" t="s">
        <v>71</v>
      </c>
      <c r="ODO868" s="295" t="s">
        <v>71</v>
      </c>
      <c r="ODP868" s="295" t="s">
        <v>71</v>
      </c>
      <c r="ODQ868" s="295" t="s">
        <v>71</v>
      </c>
      <c r="ODR868" s="295" t="s">
        <v>71</v>
      </c>
      <c r="ODS868" s="295" t="s">
        <v>71</v>
      </c>
      <c r="ODT868" s="295" t="s">
        <v>71</v>
      </c>
      <c r="ODU868" s="295" t="s">
        <v>71</v>
      </c>
      <c r="ODV868" s="295" t="s">
        <v>71</v>
      </c>
      <c r="ODW868" s="295" t="s">
        <v>71</v>
      </c>
      <c r="ODX868" s="295" t="s">
        <v>71</v>
      </c>
      <c r="ODY868" s="295" t="s">
        <v>71</v>
      </c>
      <c r="ODZ868" s="295" t="s">
        <v>71</v>
      </c>
      <c r="OEA868" s="295" t="s">
        <v>71</v>
      </c>
      <c r="OEB868" s="295" t="s">
        <v>71</v>
      </c>
      <c r="OEC868" s="295" t="s">
        <v>71</v>
      </c>
      <c r="OED868" s="295" t="s">
        <v>71</v>
      </c>
      <c r="OEE868" s="295" t="s">
        <v>71</v>
      </c>
      <c r="OEF868" s="295" t="s">
        <v>71</v>
      </c>
      <c r="OEG868" s="295" t="s">
        <v>71</v>
      </c>
      <c r="OEH868" s="295" t="s">
        <v>71</v>
      </c>
      <c r="OEI868" s="295" t="s">
        <v>71</v>
      </c>
      <c r="OEJ868" s="295" t="s">
        <v>71</v>
      </c>
      <c r="OEK868" s="295" t="s">
        <v>71</v>
      </c>
      <c r="OEL868" s="295" t="s">
        <v>71</v>
      </c>
      <c r="OEM868" s="295" t="s">
        <v>71</v>
      </c>
      <c r="OEN868" s="295" t="s">
        <v>71</v>
      </c>
      <c r="OEO868" s="295" t="s">
        <v>71</v>
      </c>
      <c r="OEP868" s="295" t="s">
        <v>71</v>
      </c>
      <c r="OEQ868" s="295" t="s">
        <v>71</v>
      </c>
      <c r="OER868" s="295" t="s">
        <v>71</v>
      </c>
      <c r="OES868" s="295" t="s">
        <v>71</v>
      </c>
      <c r="OET868" s="295" t="s">
        <v>71</v>
      </c>
      <c r="OEU868" s="295" t="s">
        <v>71</v>
      </c>
      <c r="OEV868" s="295" t="s">
        <v>71</v>
      </c>
      <c r="OEW868" s="295" t="s">
        <v>71</v>
      </c>
      <c r="OEX868" s="295" t="s">
        <v>71</v>
      </c>
      <c r="OEY868" s="295" t="s">
        <v>71</v>
      </c>
      <c r="OEZ868" s="295" t="s">
        <v>71</v>
      </c>
      <c r="OFA868" s="295" t="s">
        <v>71</v>
      </c>
      <c r="OFB868" s="295" t="s">
        <v>71</v>
      </c>
      <c r="OFC868" s="295" t="s">
        <v>71</v>
      </c>
      <c r="OFD868" s="295" t="s">
        <v>71</v>
      </c>
      <c r="OFE868" s="295" t="s">
        <v>71</v>
      </c>
      <c r="OFF868" s="295" t="s">
        <v>71</v>
      </c>
      <c r="OFG868" s="295" t="s">
        <v>71</v>
      </c>
      <c r="OFH868" s="295" t="s">
        <v>71</v>
      </c>
      <c r="OFI868" s="295" t="s">
        <v>71</v>
      </c>
      <c r="OFJ868" s="295" t="s">
        <v>71</v>
      </c>
      <c r="OFK868" s="295" t="s">
        <v>71</v>
      </c>
      <c r="OFL868" s="295" t="s">
        <v>71</v>
      </c>
      <c r="OFM868" s="295" t="s">
        <v>71</v>
      </c>
      <c r="OFN868" s="295" t="s">
        <v>71</v>
      </c>
      <c r="OFO868" s="295" t="s">
        <v>71</v>
      </c>
      <c r="OFP868" s="295" t="s">
        <v>71</v>
      </c>
      <c r="OFQ868" s="295" t="s">
        <v>71</v>
      </c>
      <c r="OFR868" s="295" t="s">
        <v>71</v>
      </c>
      <c r="OFS868" s="295" t="s">
        <v>71</v>
      </c>
      <c r="OFT868" s="295" t="s">
        <v>71</v>
      </c>
      <c r="OFU868" s="295" t="s">
        <v>71</v>
      </c>
      <c r="OFV868" s="295" t="s">
        <v>71</v>
      </c>
      <c r="OFW868" s="295" t="s">
        <v>71</v>
      </c>
      <c r="OFX868" s="295" t="s">
        <v>71</v>
      </c>
      <c r="OFY868" s="295" t="s">
        <v>71</v>
      </c>
      <c r="OFZ868" s="295" t="s">
        <v>71</v>
      </c>
      <c r="OGA868" s="295" t="s">
        <v>71</v>
      </c>
      <c r="OGB868" s="295" t="s">
        <v>71</v>
      </c>
      <c r="OGC868" s="295" t="s">
        <v>71</v>
      </c>
      <c r="OGD868" s="295" t="s">
        <v>71</v>
      </c>
      <c r="OGE868" s="295" t="s">
        <v>71</v>
      </c>
      <c r="OGF868" s="295" t="s">
        <v>71</v>
      </c>
      <c r="OGG868" s="295" t="s">
        <v>71</v>
      </c>
      <c r="OGH868" s="295" t="s">
        <v>71</v>
      </c>
      <c r="OGI868" s="295" t="s">
        <v>71</v>
      </c>
      <c r="OGJ868" s="295" t="s">
        <v>71</v>
      </c>
      <c r="OGK868" s="295" t="s">
        <v>71</v>
      </c>
      <c r="OGL868" s="295" t="s">
        <v>71</v>
      </c>
      <c r="OGM868" s="295" t="s">
        <v>71</v>
      </c>
      <c r="OGN868" s="295" t="s">
        <v>71</v>
      </c>
      <c r="OGO868" s="295" t="s">
        <v>71</v>
      </c>
      <c r="OGP868" s="295" t="s">
        <v>71</v>
      </c>
      <c r="OGQ868" s="295" t="s">
        <v>71</v>
      </c>
      <c r="OGR868" s="295" t="s">
        <v>71</v>
      </c>
      <c r="OGS868" s="295" t="s">
        <v>71</v>
      </c>
      <c r="OGT868" s="295" t="s">
        <v>71</v>
      </c>
      <c r="OGU868" s="295" t="s">
        <v>71</v>
      </c>
      <c r="OGV868" s="295" t="s">
        <v>71</v>
      </c>
      <c r="OGW868" s="295" t="s">
        <v>71</v>
      </c>
      <c r="OGX868" s="295" t="s">
        <v>71</v>
      </c>
      <c r="OGY868" s="295" t="s">
        <v>71</v>
      </c>
      <c r="OGZ868" s="295" t="s">
        <v>71</v>
      </c>
      <c r="OHA868" s="295" t="s">
        <v>71</v>
      </c>
      <c r="OHB868" s="295" t="s">
        <v>71</v>
      </c>
      <c r="OHC868" s="295" t="s">
        <v>71</v>
      </c>
      <c r="OHD868" s="295" t="s">
        <v>71</v>
      </c>
      <c r="OHE868" s="295" t="s">
        <v>71</v>
      </c>
      <c r="OHF868" s="295" t="s">
        <v>71</v>
      </c>
      <c r="OHG868" s="295" t="s">
        <v>71</v>
      </c>
      <c r="OHH868" s="295" t="s">
        <v>71</v>
      </c>
      <c r="OHI868" s="295" t="s">
        <v>71</v>
      </c>
      <c r="OHJ868" s="295" t="s">
        <v>71</v>
      </c>
      <c r="OHK868" s="295" t="s">
        <v>71</v>
      </c>
      <c r="OHL868" s="295" t="s">
        <v>71</v>
      </c>
      <c r="OHM868" s="295" t="s">
        <v>71</v>
      </c>
      <c r="OHN868" s="295" t="s">
        <v>71</v>
      </c>
      <c r="OHO868" s="295" t="s">
        <v>71</v>
      </c>
      <c r="OHP868" s="295" t="s">
        <v>71</v>
      </c>
      <c r="OHQ868" s="295" t="s">
        <v>71</v>
      </c>
      <c r="OHR868" s="295" t="s">
        <v>71</v>
      </c>
      <c r="OHS868" s="295" t="s">
        <v>71</v>
      </c>
      <c r="OHT868" s="295" t="s">
        <v>71</v>
      </c>
      <c r="OHU868" s="295" t="s">
        <v>71</v>
      </c>
      <c r="OHV868" s="295" t="s">
        <v>71</v>
      </c>
      <c r="OHW868" s="295" t="s">
        <v>71</v>
      </c>
      <c r="OHX868" s="295" t="s">
        <v>71</v>
      </c>
      <c r="OHY868" s="295" t="s">
        <v>71</v>
      </c>
      <c r="OHZ868" s="295" t="s">
        <v>71</v>
      </c>
      <c r="OIA868" s="295" t="s">
        <v>71</v>
      </c>
      <c r="OIB868" s="295" t="s">
        <v>71</v>
      </c>
      <c r="OIC868" s="295" t="s">
        <v>71</v>
      </c>
      <c r="OID868" s="295" t="s">
        <v>71</v>
      </c>
      <c r="OIE868" s="295" t="s">
        <v>71</v>
      </c>
      <c r="OIF868" s="295" t="s">
        <v>71</v>
      </c>
      <c r="OIG868" s="295" t="s">
        <v>71</v>
      </c>
      <c r="OIH868" s="295" t="s">
        <v>71</v>
      </c>
      <c r="OII868" s="295" t="s">
        <v>71</v>
      </c>
      <c r="OIJ868" s="295" t="s">
        <v>71</v>
      </c>
      <c r="OIK868" s="295" t="s">
        <v>71</v>
      </c>
      <c r="OIL868" s="295" t="s">
        <v>71</v>
      </c>
      <c r="OIM868" s="295" t="s">
        <v>71</v>
      </c>
      <c r="OIN868" s="295" t="s">
        <v>71</v>
      </c>
      <c r="OIO868" s="295" t="s">
        <v>71</v>
      </c>
      <c r="OIP868" s="295" t="s">
        <v>71</v>
      </c>
      <c r="OIQ868" s="295" t="s">
        <v>71</v>
      </c>
      <c r="OIR868" s="295" t="s">
        <v>71</v>
      </c>
      <c r="OIS868" s="295" t="s">
        <v>71</v>
      </c>
      <c r="OIT868" s="295" t="s">
        <v>71</v>
      </c>
      <c r="OIU868" s="295" t="s">
        <v>71</v>
      </c>
      <c r="OIV868" s="295" t="s">
        <v>71</v>
      </c>
      <c r="OIW868" s="295" t="s">
        <v>71</v>
      </c>
      <c r="OIX868" s="295" t="s">
        <v>71</v>
      </c>
      <c r="OIY868" s="295" t="s">
        <v>71</v>
      </c>
      <c r="OIZ868" s="295" t="s">
        <v>71</v>
      </c>
      <c r="OJA868" s="295" t="s">
        <v>71</v>
      </c>
      <c r="OJB868" s="295" t="s">
        <v>71</v>
      </c>
      <c r="OJC868" s="295" t="s">
        <v>71</v>
      </c>
      <c r="OJD868" s="295" t="s">
        <v>71</v>
      </c>
      <c r="OJE868" s="295" t="s">
        <v>71</v>
      </c>
      <c r="OJF868" s="295" t="s">
        <v>71</v>
      </c>
      <c r="OJG868" s="295" t="s">
        <v>71</v>
      </c>
      <c r="OJH868" s="295" t="s">
        <v>71</v>
      </c>
      <c r="OJI868" s="295" t="s">
        <v>71</v>
      </c>
      <c r="OJJ868" s="295" t="s">
        <v>71</v>
      </c>
      <c r="OJK868" s="295" t="s">
        <v>71</v>
      </c>
      <c r="OJL868" s="295" t="s">
        <v>71</v>
      </c>
      <c r="OJM868" s="295" t="s">
        <v>71</v>
      </c>
      <c r="OJN868" s="295" t="s">
        <v>71</v>
      </c>
      <c r="OJO868" s="295" t="s">
        <v>71</v>
      </c>
      <c r="OJP868" s="295" t="s">
        <v>71</v>
      </c>
      <c r="OJQ868" s="295" t="s">
        <v>71</v>
      </c>
      <c r="OJR868" s="295" t="s">
        <v>71</v>
      </c>
      <c r="OJS868" s="295" t="s">
        <v>71</v>
      </c>
      <c r="OJT868" s="295" t="s">
        <v>71</v>
      </c>
      <c r="OJU868" s="295" t="s">
        <v>71</v>
      </c>
      <c r="OJV868" s="295" t="s">
        <v>71</v>
      </c>
      <c r="OJW868" s="295" t="s">
        <v>71</v>
      </c>
      <c r="OJX868" s="295" t="s">
        <v>71</v>
      </c>
      <c r="OJY868" s="295" t="s">
        <v>71</v>
      </c>
      <c r="OJZ868" s="295" t="s">
        <v>71</v>
      </c>
      <c r="OKA868" s="295" t="s">
        <v>71</v>
      </c>
      <c r="OKB868" s="295" t="s">
        <v>71</v>
      </c>
      <c r="OKC868" s="295" t="s">
        <v>71</v>
      </c>
      <c r="OKD868" s="295" t="s">
        <v>71</v>
      </c>
      <c r="OKE868" s="295" t="s">
        <v>71</v>
      </c>
      <c r="OKF868" s="295" t="s">
        <v>71</v>
      </c>
      <c r="OKG868" s="295" t="s">
        <v>71</v>
      </c>
      <c r="OKH868" s="295" t="s">
        <v>71</v>
      </c>
      <c r="OKI868" s="295" t="s">
        <v>71</v>
      </c>
      <c r="OKJ868" s="295" t="s">
        <v>71</v>
      </c>
      <c r="OKK868" s="295" t="s">
        <v>71</v>
      </c>
      <c r="OKL868" s="295" t="s">
        <v>71</v>
      </c>
      <c r="OKM868" s="295" t="s">
        <v>71</v>
      </c>
      <c r="OKN868" s="295" t="s">
        <v>71</v>
      </c>
      <c r="OKO868" s="295" t="s">
        <v>71</v>
      </c>
      <c r="OKP868" s="295" t="s">
        <v>71</v>
      </c>
      <c r="OKQ868" s="295" t="s">
        <v>71</v>
      </c>
      <c r="OKR868" s="295" t="s">
        <v>71</v>
      </c>
      <c r="OKS868" s="295" t="s">
        <v>71</v>
      </c>
      <c r="OKT868" s="295" t="s">
        <v>71</v>
      </c>
      <c r="OKU868" s="295" t="s">
        <v>71</v>
      </c>
      <c r="OKV868" s="295" t="s">
        <v>71</v>
      </c>
      <c r="OKW868" s="295" t="s">
        <v>71</v>
      </c>
      <c r="OKX868" s="295" t="s">
        <v>71</v>
      </c>
      <c r="OKY868" s="295" t="s">
        <v>71</v>
      </c>
      <c r="OKZ868" s="295" t="s">
        <v>71</v>
      </c>
      <c r="OLA868" s="295" t="s">
        <v>71</v>
      </c>
      <c r="OLB868" s="295" t="s">
        <v>71</v>
      </c>
      <c r="OLC868" s="295" t="s">
        <v>71</v>
      </c>
      <c r="OLD868" s="295" t="s">
        <v>71</v>
      </c>
      <c r="OLE868" s="295" t="s">
        <v>71</v>
      </c>
      <c r="OLF868" s="295" t="s">
        <v>71</v>
      </c>
      <c r="OLG868" s="295" t="s">
        <v>71</v>
      </c>
      <c r="OLH868" s="295" t="s">
        <v>71</v>
      </c>
      <c r="OLI868" s="295" t="s">
        <v>71</v>
      </c>
      <c r="OLJ868" s="295" t="s">
        <v>71</v>
      </c>
      <c r="OLK868" s="295" t="s">
        <v>71</v>
      </c>
      <c r="OLL868" s="295" t="s">
        <v>71</v>
      </c>
      <c r="OLM868" s="295" t="s">
        <v>71</v>
      </c>
      <c r="OLN868" s="295" t="s">
        <v>71</v>
      </c>
      <c r="OLO868" s="295" t="s">
        <v>71</v>
      </c>
      <c r="OLP868" s="295" t="s">
        <v>71</v>
      </c>
      <c r="OLQ868" s="295" t="s">
        <v>71</v>
      </c>
      <c r="OLR868" s="295" t="s">
        <v>71</v>
      </c>
      <c r="OLS868" s="295" t="s">
        <v>71</v>
      </c>
      <c r="OLT868" s="295" t="s">
        <v>71</v>
      </c>
      <c r="OLU868" s="295" t="s">
        <v>71</v>
      </c>
      <c r="OLV868" s="295" t="s">
        <v>71</v>
      </c>
      <c r="OLW868" s="295" t="s">
        <v>71</v>
      </c>
      <c r="OLX868" s="295" t="s">
        <v>71</v>
      </c>
      <c r="OLY868" s="295" t="s">
        <v>71</v>
      </c>
      <c r="OLZ868" s="295" t="s">
        <v>71</v>
      </c>
      <c r="OMA868" s="295" t="s">
        <v>71</v>
      </c>
      <c r="OMB868" s="295" t="s">
        <v>71</v>
      </c>
      <c r="OMC868" s="295" t="s">
        <v>71</v>
      </c>
      <c r="OMD868" s="295" t="s">
        <v>71</v>
      </c>
      <c r="OME868" s="295" t="s">
        <v>71</v>
      </c>
      <c r="OMF868" s="295" t="s">
        <v>71</v>
      </c>
      <c r="OMG868" s="295" t="s">
        <v>71</v>
      </c>
      <c r="OMH868" s="295" t="s">
        <v>71</v>
      </c>
      <c r="OMI868" s="295" t="s">
        <v>71</v>
      </c>
      <c r="OMJ868" s="295" t="s">
        <v>71</v>
      </c>
      <c r="OMK868" s="295" t="s">
        <v>71</v>
      </c>
      <c r="OML868" s="295" t="s">
        <v>71</v>
      </c>
      <c r="OMM868" s="295" t="s">
        <v>71</v>
      </c>
      <c r="OMN868" s="295" t="s">
        <v>71</v>
      </c>
      <c r="OMO868" s="295" t="s">
        <v>71</v>
      </c>
      <c r="OMP868" s="295" t="s">
        <v>71</v>
      </c>
      <c r="OMQ868" s="295" t="s">
        <v>71</v>
      </c>
      <c r="OMR868" s="295" t="s">
        <v>71</v>
      </c>
      <c r="OMS868" s="295" t="s">
        <v>71</v>
      </c>
      <c r="OMT868" s="295" t="s">
        <v>71</v>
      </c>
      <c r="OMU868" s="295" t="s">
        <v>71</v>
      </c>
      <c r="OMV868" s="295" t="s">
        <v>71</v>
      </c>
      <c r="OMW868" s="295" t="s">
        <v>71</v>
      </c>
      <c r="OMX868" s="295" t="s">
        <v>71</v>
      </c>
      <c r="OMY868" s="295" t="s">
        <v>71</v>
      </c>
      <c r="OMZ868" s="295" t="s">
        <v>71</v>
      </c>
      <c r="ONA868" s="295" t="s">
        <v>71</v>
      </c>
      <c r="ONB868" s="295" t="s">
        <v>71</v>
      </c>
      <c r="ONC868" s="295" t="s">
        <v>71</v>
      </c>
      <c r="OND868" s="295" t="s">
        <v>71</v>
      </c>
      <c r="ONE868" s="295" t="s">
        <v>71</v>
      </c>
      <c r="ONF868" s="295" t="s">
        <v>71</v>
      </c>
      <c r="ONG868" s="295" t="s">
        <v>71</v>
      </c>
      <c r="ONH868" s="295" t="s">
        <v>71</v>
      </c>
      <c r="ONI868" s="295" t="s">
        <v>71</v>
      </c>
      <c r="ONJ868" s="295" t="s">
        <v>71</v>
      </c>
      <c r="ONK868" s="295" t="s">
        <v>71</v>
      </c>
      <c r="ONL868" s="295" t="s">
        <v>71</v>
      </c>
      <c r="ONM868" s="295" t="s">
        <v>71</v>
      </c>
      <c r="ONN868" s="295" t="s">
        <v>71</v>
      </c>
      <c r="ONO868" s="295" t="s">
        <v>71</v>
      </c>
      <c r="ONP868" s="295" t="s">
        <v>71</v>
      </c>
      <c r="ONQ868" s="295" t="s">
        <v>71</v>
      </c>
      <c r="ONR868" s="295" t="s">
        <v>71</v>
      </c>
      <c r="ONS868" s="295" t="s">
        <v>71</v>
      </c>
      <c r="ONT868" s="295" t="s">
        <v>71</v>
      </c>
      <c r="ONU868" s="295" t="s">
        <v>71</v>
      </c>
      <c r="ONV868" s="295" t="s">
        <v>71</v>
      </c>
      <c r="ONW868" s="295" t="s">
        <v>71</v>
      </c>
      <c r="ONX868" s="295" t="s">
        <v>71</v>
      </c>
      <c r="ONY868" s="295" t="s">
        <v>71</v>
      </c>
      <c r="ONZ868" s="295" t="s">
        <v>71</v>
      </c>
      <c r="OOA868" s="295" t="s">
        <v>71</v>
      </c>
      <c r="OOB868" s="295" t="s">
        <v>71</v>
      </c>
      <c r="OOC868" s="295" t="s">
        <v>71</v>
      </c>
      <c r="OOD868" s="295" t="s">
        <v>71</v>
      </c>
      <c r="OOE868" s="295" t="s">
        <v>71</v>
      </c>
      <c r="OOF868" s="295" t="s">
        <v>71</v>
      </c>
      <c r="OOG868" s="295" t="s">
        <v>71</v>
      </c>
      <c r="OOH868" s="295" t="s">
        <v>71</v>
      </c>
      <c r="OOI868" s="295" t="s">
        <v>71</v>
      </c>
      <c r="OOJ868" s="295" t="s">
        <v>71</v>
      </c>
      <c r="OOK868" s="295" t="s">
        <v>71</v>
      </c>
      <c r="OOL868" s="295" t="s">
        <v>71</v>
      </c>
      <c r="OOM868" s="295" t="s">
        <v>71</v>
      </c>
      <c r="OON868" s="295" t="s">
        <v>71</v>
      </c>
      <c r="OOO868" s="295" t="s">
        <v>71</v>
      </c>
      <c r="OOP868" s="295" t="s">
        <v>71</v>
      </c>
      <c r="OOQ868" s="295" t="s">
        <v>71</v>
      </c>
      <c r="OOR868" s="295" t="s">
        <v>71</v>
      </c>
      <c r="OOS868" s="295" t="s">
        <v>71</v>
      </c>
      <c r="OOT868" s="295" t="s">
        <v>71</v>
      </c>
      <c r="OOU868" s="295" t="s">
        <v>71</v>
      </c>
      <c r="OOV868" s="295" t="s">
        <v>71</v>
      </c>
      <c r="OOW868" s="295" t="s">
        <v>71</v>
      </c>
      <c r="OOX868" s="295" t="s">
        <v>71</v>
      </c>
      <c r="OOY868" s="295" t="s">
        <v>71</v>
      </c>
      <c r="OOZ868" s="295" t="s">
        <v>71</v>
      </c>
      <c r="OPA868" s="295" t="s">
        <v>71</v>
      </c>
      <c r="OPB868" s="295" t="s">
        <v>71</v>
      </c>
      <c r="OPC868" s="295" t="s">
        <v>71</v>
      </c>
      <c r="OPD868" s="295" t="s">
        <v>71</v>
      </c>
      <c r="OPE868" s="295" t="s">
        <v>71</v>
      </c>
      <c r="OPF868" s="295" t="s">
        <v>71</v>
      </c>
      <c r="OPG868" s="295" t="s">
        <v>71</v>
      </c>
      <c r="OPH868" s="295" t="s">
        <v>71</v>
      </c>
      <c r="OPI868" s="295" t="s">
        <v>71</v>
      </c>
      <c r="OPJ868" s="295" t="s">
        <v>71</v>
      </c>
      <c r="OPK868" s="295" t="s">
        <v>71</v>
      </c>
      <c r="OPL868" s="295" t="s">
        <v>71</v>
      </c>
      <c r="OPM868" s="295" t="s">
        <v>71</v>
      </c>
      <c r="OPN868" s="295" t="s">
        <v>71</v>
      </c>
      <c r="OPO868" s="295" t="s">
        <v>71</v>
      </c>
      <c r="OPP868" s="295" t="s">
        <v>71</v>
      </c>
      <c r="OPQ868" s="295" t="s">
        <v>71</v>
      </c>
      <c r="OPR868" s="295" t="s">
        <v>71</v>
      </c>
      <c r="OPS868" s="295" t="s">
        <v>71</v>
      </c>
      <c r="OPT868" s="295" t="s">
        <v>71</v>
      </c>
      <c r="OPU868" s="295" t="s">
        <v>71</v>
      </c>
      <c r="OPV868" s="295" t="s">
        <v>71</v>
      </c>
      <c r="OPW868" s="295" t="s">
        <v>71</v>
      </c>
      <c r="OPX868" s="295" t="s">
        <v>71</v>
      </c>
      <c r="OPY868" s="295" t="s">
        <v>71</v>
      </c>
      <c r="OPZ868" s="295" t="s">
        <v>71</v>
      </c>
      <c r="OQA868" s="295" t="s">
        <v>71</v>
      </c>
      <c r="OQB868" s="295" t="s">
        <v>71</v>
      </c>
      <c r="OQC868" s="295" t="s">
        <v>71</v>
      </c>
      <c r="OQD868" s="295" t="s">
        <v>71</v>
      </c>
      <c r="OQE868" s="295" t="s">
        <v>71</v>
      </c>
      <c r="OQF868" s="295" t="s">
        <v>71</v>
      </c>
      <c r="OQG868" s="295" t="s">
        <v>71</v>
      </c>
      <c r="OQH868" s="295" t="s">
        <v>71</v>
      </c>
      <c r="OQI868" s="295" t="s">
        <v>71</v>
      </c>
      <c r="OQJ868" s="295" t="s">
        <v>71</v>
      </c>
      <c r="OQK868" s="295" t="s">
        <v>71</v>
      </c>
      <c r="OQL868" s="295" t="s">
        <v>71</v>
      </c>
      <c r="OQM868" s="295" t="s">
        <v>71</v>
      </c>
      <c r="OQN868" s="295" t="s">
        <v>71</v>
      </c>
      <c r="OQO868" s="295" t="s">
        <v>71</v>
      </c>
      <c r="OQP868" s="295" t="s">
        <v>71</v>
      </c>
      <c r="OQQ868" s="295" t="s">
        <v>71</v>
      </c>
      <c r="OQR868" s="295" t="s">
        <v>71</v>
      </c>
      <c r="OQS868" s="295" t="s">
        <v>71</v>
      </c>
      <c r="OQT868" s="295" t="s">
        <v>71</v>
      </c>
      <c r="OQU868" s="295" t="s">
        <v>71</v>
      </c>
      <c r="OQV868" s="295" t="s">
        <v>71</v>
      </c>
      <c r="OQW868" s="295" t="s">
        <v>71</v>
      </c>
      <c r="OQX868" s="295" t="s">
        <v>71</v>
      </c>
      <c r="OQY868" s="295" t="s">
        <v>71</v>
      </c>
      <c r="OQZ868" s="295" t="s">
        <v>71</v>
      </c>
      <c r="ORA868" s="295" t="s">
        <v>71</v>
      </c>
      <c r="ORB868" s="295" t="s">
        <v>71</v>
      </c>
      <c r="ORC868" s="295" t="s">
        <v>71</v>
      </c>
      <c r="ORD868" s="295" t="s">
        <v>71</v>
      </c>
      <c r="ORE868" s="295" t="s">
        <v>71</v>
      </c>
      <c r="ORF868" s="295" t="s">
        <v>71</v>
      </c>
      <c r="ORG868" s="295" t="s">
        <v>71</v>
      </c>
      <c r="ORH868" s="295" t="s">
        <v>71</v>
      </c>
      <c r="ORI868" s="295" t="s">
        <v>71</v>
      </c>
      <c r="ORJ868" s="295" t="s">
        <v>71</v>
      </c>
      <c r="ORK868" s="295" t="s">
        <v>71</v>
      </c>
      <c r="ORL868" s="295" t="s">
        <v>71</v>
      </c>
      <c r="ORM868" s="295" t="s">
        <v>71</v>
      </c>
      <c r="ORN868" s="295" t="s">
        <v>71</v>
      </c>
      <c r="ORO868" s="295" t="s">
        <v>71</v>
      </c>
      <c r="ORP868" s="295" t="s">
        <v>71</v>
      </c>
      <c r="ORQ868" s="295" t="s">
        <v>71</v>
      </c>
      <c r="ORR868" s="295" t="s">
        <v>71</v>
      </c>
      <c r="ORS868" s="295" t="s">
        <v>71</v>
      </c>
      <c r="ORT868" s="295" t="s">
        <v>71</v>
      </c>
      <c r="ORU868" s="295" t="s">
        <v>71</v>
      </c>
      <c r="ORV868" s="295" t="s">
        <v>71</v>
      </c>
      <c r="ORW868" s="295" t="s">
        <v>71</v>
      </c>
      <c r="ORX868" s="295" t="s">
        <v>71</v>
      </c>
      <c r="ORY868" s="295" t="s">
        <v>71</v>
      </c>
      <c r="ORZ868" s="295" t="s">
        <v>71</v>
      </c>
      <c r="OSA868" s="295" t="s">
        <v>71</v>
      </c>
      <c r="OSB868" s="295" t="s">
        <v>71</v>
      </c>
      <c r="OSC868" s="295" t="s">
        <v>71</v>
      </c>
      <c r="OSD868" s="295" t="s">
        <v>71</v>
      </c>
      <c r="OSE868" s="295" t="s">
        <v>71</v>
      </c>
      <c r="OSF868" s="295" t="s">
        <v>71</v>
      </c>
      <c r="OSG868" s="295" t="s">
        <v>71</v>
      </c>
      <c r="OSH868" s="295" t="s">
        <v>71</v>
      </c>
      <c r="OSI868" s="295" t="s">
        <v>71</v>
      </c>
      <c r="OSJ868" s="295" t="s">
        <v>71</v>
      </c>
      <c r="OSK868" s="295" t="s">
        <v>71</v>
      </c>
      <c r="OSL868" s="295" t="s">
        <v>71</v>
      </c>
      <c r="OSM868" s="295" t="s">
        <v>71</v>
      </c>
      <c r="OSN868" s="295" t="s">
        <v>71</v>
      </c>
      <c r="OSO868" s="295" t="s">
        <v>71</v>
      </c>
      <c r="OSP868" s="295" t="s">
        <v>71</v>
      </c>
      <c r="OSQ868" s="295" t="s">
        <v>71</v>
      </c>
      <c r="OSR868" s="295" t="s">
        <v>71</v>
      </c>
      <c r="OSS868" s="295" t="s">
        <v>71</v>
      </c>
      <c r="OST868" s="295" t="s">
        <v>71</v>
      </c>
      <c r="OSU868" s="295" t="s">
        <v>71</v>
      </c>
      <c r="OSV868" s="295" t="s">
        <v>71</v>
      </c>
      <c r="OSW868" s="295" t="s">
        <v>71</v>
      </c>
      <c r="OSX868" s="295" t="s">
        <v>71</v>
      </c>
      <c r="OSY868" s="295" t="s">
        <v>71</v>
      </c>
      <c r="OSZ868" s="295" t="s">
        <v>71</v>
      </c>
      <c r="OTA868" s="295" t="s">
        <v>71</v>
      </c>
      <c r="OTB868" s="295" t="s">
        <v>71</v>
      </c>
      <c r="OTC868" s="295" t="s">
        <v>71</v>
      </c>
      <c r="OTD868" s="295" t="s">
        <v>71</v>
      </c>
      <c r="OTE868" s="295" t="s">
        <v>71</v>
      </c>
      <c r="OTF868" s="295" t="s">
        <v>71</v>
      </c>
      <c r="OTG868" s="295" t="s">
        <v>71</v>
      </c>
      <c r="OTH868" s="295" t="s">
        <v>71</v>
      </c>
      <c r="OTI868" s="295" t="s">
        <v>71</v>
      </c>
      <c r="OTJ868" s="295" t="s">
        <v>71</v>
      </c>
      <c r="OTK868" s="295" t="s">
        <v>71</v>
      </c>
      <c r="OTL868" s="295" t="s">
        <v>71</v>
      </c>
      <c r="OTM868" s="295" t="s">
        <v>71</v>
      </c>
      <c r="OTN868" s="295" t="s">
        <v>71</v>
      </c>
      <c r="OTO868" s="295" t="s">
        <v>71</v>
      </c>
      <c r="OTP868" s="295" t="s">
        <v>71</v>
      </c>
      <c r="OTQ868" s="295" t="s">
        <v>71</v>
      </c>
      <c r="OTR868" s="295" t="s">
        <v>71</v>
      </c>
      <c r="OTS868" s="295" t="s">
        <v>71</v>
      </c>
      <c r="OTT868" s="295" t="s">
        <v>71</v>
      </c>
      <c r="OTU868" s="295" t="s">
        <v>71</v>
      </c>
      <c r="OTV868" s="295" t="s">
        <v>71</v>
      </c>
      <c r="OTW868" s="295" t="s">
        <v>71</v>
      </c>
      <c r="OTX868" s="295" t="s">
        <v>71</v>
      </c>
      <c r="OTY868" s="295" t="s">
        <v>71</v>
      </c>
      <c r="OTZ868" s="295" t="s">
        <v>71</v>
      </c>
      <c r="OUA868" s="295" t="s">
        <v>71</v>
      </c>
      <c r="OUB868" s="295" t="s">
        <v>71</v>
      </c>
      <c r="OUC868" s="295" t="s">
        <v>71</v>
      </c>
      <c r="OUD868" s="295" t="s">
        <v>71</v>
      </c>
      <c r="OUE868" s="295" t="s">
        <v>71</v>
      </c>
      <c r="OUF868" s="295" t="s">
        <v>71</v>
      </c>
      <c r="OUG868" s="295" t="s">
        <v>71</v>
      </c>
      <c r="OUH868" s="295" t="s">
        <v>71</v>
      </c>
      <c r="OUI868" s="295" t="s">
        <v>71</v>
      </c>
      <c r="OUJ868" s="295" t="s">
        <v>71</v>
      </c>
      <c r="OUK868" s="295" t="s">
        <v>71</v>
      </c>
      <c r="OUL868" s="295" t="s">
        <v>71</v>
      </c>
      <c r="OUM868" s="295" t="s">
        <v>71</v>
      </c>
      <c r="OUN868" s="295" t="s">
        <v>71</v>
      </c>
      <c r="OUO868" s="295" t="s">
        <v>71</v>
      </c>
      <c r="OUP868" s="295" t="s">
        <v>71</v>
      </c>
      <c r="OUQ868" s="295" t="s">
        <v>71</v>
      </c>
      <c r="OUR868" s="295" t="s">
        <v>71</v>
      </c>
      <c r="OUS868" s="295" t="s">
        <v>71</v>
      </c>
      <c r="OUT868" s="295" t="s">
        <v>71</v>
      </c>
      <c r="OUU868" s="295" t="s">
        <v>71</v>
      </c>
      <c r="OUV868" s="295" t="s">
        <v>71</v>
      </c>
      <c r="OUW868" s="295" t="s">
        <v>71</v>
      </c>
      <c r="OUX868" s="295" t="s">
        <v>71</v>
      </c>
      <c r="OUY868" s="295" t="s">
        <v>71</v>
      </c>
      <c r="OUZ868" s="295" t="s">
        <v>71</v>
      </c>
      <c r="OVA868" s="295" t="s">
        <v>71</v>
      </c>
      <c r="OVB868" s="295" t="s">
        <v>71</v>
      </c>
      <c r="OVC868" s="295" t="s">
        <v>71</v>
      </c>
      <c r="OVD868" s="295" t="s">
        <v>71</v>
      </c>
      <c r="OVE868" s="295" t="s">
        <v>71</v>
      </c>
      <c r="OVF868" s="295" t="s">
        <v>71</v>
      </c>
      <c r="OVG868" s="295" t="s">
        <v>71</v>
      </c>
      <c r="OVH868" s="295" t="s">
        <v>71</v>
      </c>
      <c r="OVI868" s="295" t="s">
        <v>71</v>
      </c>
      <c r="OVJ868" s="295" t="s">
        <v>71</v>
      </c>
      <c r="OVK868" s="295" t="s">
        <v>71</v>
      </c>
      <c r="OVL868" s="295" t="s">
        <v>71</v>
      </c>
      <c r="OVM868" s="295" t="s">
        <v>71</v>
      </c>
      <c r="OVN868" s="295" t="s">
        <v>71</v>
      </c>
      <c r="OVO868" s="295" t="s">
        <v>71</v>
      </c>
      <c r="OVP868" s="295" t="s">
        <v>71</v>
      </c>
      <c r="OVQ868" s="295" t="s">
        <v>71</v>
      </c>
      <c r="OVR868" s="295" t="s">
        <v>71</v>
      </c>
      <c r="OVS868" s="295" t="s">
        <v>71</v>
      </c>
      <c r="OVT868" s="295" t="s">
        <v>71</v>
      </c>
      <c r="OVU868" s="295" t="s">
        <v>71</v>
      </c>
      <c r="OVV868" s="295" t="s">
        <v>71</v>
      </c>
      <c r="OVW868" s="295" t="s">
        <v>71</v>
      </c>
      <c r="OVX868" s="295" t="s">
        <v>71</v>
      </c>
      <c r="OVY868" s="295" t="s">
        <v>71</v>
      </c>
      <c r="OVZ868" s="295" t="s">
        <v>71</v>
      </c>
      <c r="OWA868" s="295" t="s">
        <v>71</v>
      </c>
      <c r="OWB868" s="295" t="s">
        <v>71</v>
      </c>
      <c r="OWC868" s="295" t="s">
        <v>71</v>
      </c>
      <c r="OWD868" s="295" t="s">
        <v>71</v>
      </c>
      <c r="OWE868" s="295" t="s">
        <v>71</v>
      </c>
      <c r="OWF868" s="295" t="s">
        <v>71</v>
      </c>
      <c r="OWG868" s="295" t="s">
        <v>71</v>
      </c>
      <c r="OWH868" s="295" t="s">
        <v>71</v>
      </c>
      <c r="OWI868" s="295" t="s">
        <v>71</v>
      </c>
      <c r="OWJ868" s="295" t="s">
        <v>71</v>
      </c>
      <c r="OWK868" s="295" t="s">
        <v>71</v>
      </c>
      <c r="OWL868" s="295" t="s">
        <v>71</v>
      </c>
      <c r="OWM868" s="295" t="s">
        <v>71</v>
      </c>
      <c r="OWN868" s="295" t="s">
        <v>71</v>
      </c>
      <c r="OWO868" s="295" t="s">
        <v>71</v>
      </c>
      <c r="OWP868" s="295" t="s">
        <v>71</v>
      </c>
      <c r="OWQ868" s="295" t="s">
        <v>71</v>
      </c>
      <c r="OWR868" s="295" t="s">
        <v>71</v>
      </c>
      <c r="OWS868" s="295" t="s">
        <v>71</v>
      </c>
      <c r="OWT868" s="295" t="s">
        <v>71</v>
      </c>
      <c r="OWU868" s="295" t="s">
        <v>71</v>
      </c>
      <c r="OWV868" s="295" t="s">
        <v>71</v>
      </c>
      <c r="OWW868" s="295" t="s">
        <v>71</v>
      </c>
      <c r="OWX868" s="295" t="s">
        <v>71</v>
      </c>
      <c r="OWY868" s="295" t="s">
        <v>71</v>
      </c>
      <c r="OWZ868" s="295" t="s">
        <v>71</v>
      </c>
      <c r="OXA868" s="295" t="s">
        <v>71</v>
      </c>
      <c r="OXB868" s="295" t="s">
        <v>71</v>
      </c>
      <c r="OXC868" s="295" t="s">
        <v>71</v>
      </c>
      <c r="OXD868" s="295" t="s">
        <v>71</v>
      </c>
      <c r="OXE868" s="295" t="s">
        <v>71</v>
      </c>
      <c r="OXF868" s="295" t="s">
        <v>71</v>
      </c>
      <c r="OXG868" s="295" t="s">
        <v>71</v>
      </c>
      <c r="OXH868" s="295" t="s">
        <v>71</v>
      </c>
      <c r="OXI868" s="295" t="s">
        <v>71</v>
      </c>
      <c r="OXJ868" s="295" t="s">
        <v>71</v>
      </c>
      <c r="OXK868" s="295" t="s">
        <v>71</v>
      </c>
      <c r="OXL868" s="295" t="s">
        <v>71</v>
      </c>
      <c r="OXM868" s="295" t="s">
        <v>71</v>
      </c>
      <c r="OXN868" s="295" t="s">
        <v>71</v>
      </c>
      <c r="OXO868" s="295" t="s">
        <v>71</v>
      </c>
      <c r="OXP868" s="295" t="s">
        <v>71</v>
      </c>
      <c r="OXQ868" s="295" t="s">
        <v>71</v>
      </c>
      <c r="OXR868" s="295" t="s">
        <v>71</v>
      </c>
      <c r="OXS868" s="295" t="s">
        <v>71</v>
      </c>
      <c r="OXT868" s="295" t="s">
        <v>71</v>
      </c>
      <c r="OXU868" s="295" t="s">
        <v>71</v>
      </c>
      <c r="OXV868" s="295" t="s">
        <v>71</v>
      </c>
      <c r="OXW868" s="295" t="s">
        <v>71</v>
      </c>
      <c r="OXX868" s="295" t="s">
        <v>71</v>
      </c>
      <c r="OXY868" s="295" t="s">
        <v>71</v>
      </c>
      <c r="OXZ868" s="295" t="s">
        <v>71</v>
      </c>
      <c r="OYA868" s="295" t="s">
        <v>71</v>
      </c>
      <c r="OYB868" s="295" t="s">
        <v>71</v>
      </c>
      <c r="OYC868" s="295" t="s">
        <v>71</v>
      </c>
      <c r="OYD868" s="295" t="s">
        <v>71</v>
      </c>
      <c r="OYE868" s="295" t="s">
        <v>71</v>
      </c>
      <c r="OYF868" s="295" t="s">
        <v>71</v>
      </c>
      <c r="OYG868" s="295" t="s">
        <v>71</v>
      </c>
      <c r="OYH868" s="295" t="s">
        <v>71</v>
      </c>
      <c r="OYI868" s="295" t="s">
        <v>71</v>
      </c>
      <c r="OYJ868" s="295" t="s">
        <v>71</v>
      </c>
      <c r="OYK868" s="295" t="s">
        <v>71</v>
      </c>
      <c r="OYL868" s="295" t="s">
        <v>71</v>
      </c>
      <c r="OYM868" s="295" t="s">
        <v>71</v>
      </c>
      <c r="OYN868" s="295" t="s">
        <v>71</v>
      </c>
      <c r="OYO868" s="295" t="s">
        <v>71</v>
      </c>
      <c r="OYP868" s="295" t="s">
        <v>71</v>
      </c>
      <c r="OYQ868" s="295" t="s">
        <v>71</v>
      </c>
      <c r="OYR868" s="295" t="s">
        <v>71</v>
      </c>
      <c r="OYS868" s="295" t="s">
        <v>71</v>
      </c>
      <c r="OYT868" s="295" t="s">
        <v>71</v>
      </c>
      <c r="OYU868" s="295" t="s">
        <v>71</v>
      </c>
      <c r="OYV868" s="295" t="s">
        <v>71</v>
      </c>
      <c r="OYW868" s="295" t="s">
        <v>71</v>
      </c>
      <c r="OYX868" s="295" t="s">
        <v>71</v>
      </c>
      <c r="OYY868" s="295" t="s">
        <v>71</v>
      </c>
      <c r="OYZ868" s="295" t="s">
        <v>71</v>
      </c>
      <c r="OZA868" s="295" t="s">
        <v>71</v>
      </c>
      <c r="OZB868" s="295" t="s">
        <v>71</v>
      </c>
      <c r="OZC868" s="295" t="s">
        <v>71</v>
      </c>
      <c r="OZD868" s="295" t="s">
        <v>71</v>
      </c>
      <c r="OZE868" s="295" t="s">
        <v>71</v>
      </c>
      <c r="OZF868" s="295" t="s">
        <v>71</v>
      </c>
      <c r="OZG868" s="295" t="s">
        <v>71</v>
      </c>
      <c r="OZH868" s="295" t="s">
        <v>71</v>
      </c>
      <c r="OZI868" s="295" t="s">
        <v>71</v>
      </c>
      <c r="OZJ868" s="295" t="s">
        <v>71</v>
      </c>
      <c r="OZK868" s="295" t="s">
        <v>71</v>
      </c>
      <c r="OZL868" s="295" t="s">
        <v>71</v>
      </c>
      <c r="OZM868" s="295" t="s">
        <v>71</v>
      </c>
      <c r="OZN868" s="295" t="s">
        <v>71</v>
      </c>
      <c r="OZO868" s="295" t="s">
        <v>71</v>
      </c>
      <c r="OZP868" s="295" t="s">
        <v>71</v>
      </c>
      <c r="OZQ868" s="295" t="s">
        <v>71</v>
      </c>
      <c r="OZR868" s="295" t="s">
        <v>71</v>
      </c>
      <c r="OZS868" s="295" t="s">
        <v>71</v>
      </c>
      <c r="OZT868" s="295" t="s">
        <v>71</v>
      </c>
      <c r="OZU868" s="295" t="s">
        <v>71</v>
      </c>
      <c r="OZV868" s="295" t="s">
        <v>71</v>
      </c>
      <c r="OZW868" s="295" t="s">
        <v>71</v>
      </c>
      <c r="OZX868" s="295" t="s">
        <v>71</v>
      </c>
      <c r="OZY868" s="295" t="s">
        <v>71</v>
      </c>
      <c r="OZZ868" s="295" t="s">
        <v>71</v>
      </c>
      <c r="PAA868" s="295" t="s">
        <v>71</v>
      </c>
      <c r="PAB868" s="295" t="s">
        <v>71</v>
      </c>
      <c r="PAC868" s="295" t="s">
        <v>71</v>
      </c>
      <c r="PAD868" s="295" t="s">
        <v>71</v>
      </c>
      <c r="PAE868" s="295" t="s">
        <v>71</v>
      </c>
      <c r="PAF868" s="295" t="s">
        <v>71</v>
      </c>
      <c r="PAG868" s="295" t="s">
        <v>71</v>
      </c>
      <c r="PAH868" s="295" t="s">
        <v>71</v>
      </c>
      <c r="PAI868" s="295" t="s">
        <v>71</v>
      </c>
      <c r="PAJ868" s="295" t="s">
        <v>71</v>
      </c>
      <c r="PAK868" s="295" t="s">
        <v>71</v>
      </c>
      <c r="PAL868" s="295" t="s">
        <v>71</v>
      </c>
      <c r="PAM868" s="295" t="s">
        <v>71</v>
      </c>
      <c r="PAN868" s="295" t="s">
        <v>71</v>
      </c>
      <c r="PAO868" s="295" t="s">
        <v>71</v>
      </c>
      <c r="PAP868" s="295" t="s">
        <v>71</v>
      </c>
      <c r="PAQ868" s="295" t="s">
        <v>71</v>
      </c>
      <c r="PAR868" s="295" t="s">
        <v>71</v>
      </c>
      <c r="PAS868" s="295" t="s">
        <v>71</v>
      </c>
      <c r="PAT868" s="295" t="s">
        <v>71</v>
      </c>
      <c r="PAU868" s="295" t="s">
        <v>71</v>
      </c>
      <c r="PAV868" s="295" t="s">
        <v>71</v>
      </c>
      <c r="PAW868" s="295" t="s">
        <v>71</v>
      </c>
      <c r="PAX868" s="295" t="s">
        <v>71</v>
      </c>
      <c r="PAY868" s="295" t="s">
        <v>71</v>
      </c>
      <c r="PAZ868" s="295" t="s">
        <v>71</v>
      </c>
      <c r="PBA868" s="295" t="s">
        <v>71</v>
      </c>
      <c r="PBB868" s="295" t="s">
        <v>71</v>
      </c>
      <c r="PBC868" s="295" t="s">
        <v>71</v>
      </c>
      <c r="PBD868" s="295" t="s">
        <v>71</v>
      </c>
      <c r="PBE868" s="295" t="s">
        <v>71</v>
      </c>
      <c r="PBF868" s="295" t="s">
        <v>71</v>
      </c>
      <c r="PBG868" s="295" t="s">
        <v>71</v>
      </c>
      <c r="PBH868" s="295" t="s">
        <v>71</v>
      </c>
      <c r="PBI868" s="295" t="s">
        <v>71</v>
      </c>
      <c r="PBJ868" s="295" t="s">
        <v>71</v>
      </c>
      <c r="PBK868" s="295" t="s">
        <v>71</v>
      </c>
      <c r="PBL868" s="295" t="s">
        <v>71</v>
      </c>
      <c r="PBM868" s="295" t="s">
        <v>71</v>
      </c>
      <c r="PBN868" s="295" t="s">
        <v>71</v>
      </c>
      <c r="PBO868" s="295" t="s">
        <v>71</v>
      </c>
      <c r="PBP868" s="295" t="s">
        <v>71</v>
      </c>
      <c r="PBQ868" s="295" t="s">
        <v>71</v>
      </c>
      <c r="PBR868" s="295" t="s">
        <v>71</v>
      </c>
      <c r="PBS868" s="295" t="s">
        <v>71</v>
      </c>
      <c r="PBT868" s="295" t="s">
        <v>71</v>
      </c>
      <c r="PBU868" s="295" t="s">
        <v>71</v>
      </c>
      <c r="PBV868" s="295" t="s">
        <v>71</v>
      </c>
      <c r="PBW868" s="295" t="s">
        <v>71</v>
      </c>
      <c r="PBX868" s="295" t="s">
        <v>71</v>
      </c>
      <c r="PBY868" s="295" t="s">
        <v>71</v>
      </c>
      <c r="PBZ868" s="295" t="s">
        <v>71</v>
      </c>
      <c r="PCA868" s="295" t="s">
        <v>71</v>
      </c>
      <c r="PCB868" s="295" t="s">
        <v>71</v>
      </c>
      <c r="PCC868" s="295" t="s">
        <v>71</v>
      </c>
      <c r="PCD868" s="295" t="s">
        <v>71</v>
      </c>
      <c r="PCE868" s="295" t="s">
        <v>71</v>
      </c>
      <c r="PCF868" s="295" t="s">
        <v>71</v>
      </c>
      <c r="PCG868" s="295" t="s">
        <v>71</v>
      </c>
      <c r="PCH868" s="295" t="s">
        <v>71</v>
      </c>
      <c r="PCI868" s="295" t="s">
        <v>71</v>
      </c>
      <c r="PCJ868" s="295" t="s">
        <v>71</v>
      </c>
      <c r="PCK868" s="295" t="s">
        <v>71</v>
      </c>
      <c r="PCL868" s="295" t="s">
        <v>71</v>
      </c>
      <c r="PCM868" s="295" t="s">
        <v>71</v>
      </c>
      <c r="PCN868" s="295" t="s">
        <v>71</v>
      </c>
      <c r="PCO868" s="295" t="s">
        <v>71</v>
      </c>
      <c r="PCP868" s="295" t="s">
        <v>71</v>
      </c>
      <c r="PCQ868" s="295" t="s">
        <v>71</v>
      </c>
      <c r="PCR868" s="295" t="s">
        <v>71</v>
      </c>
      <c r="PCS868" s="295" t="s">
        <v>71</v>
      </c>
      <c r="PCT868" s="295" t="s">
        <v>71</v>
      </c>
      <c r="PCU868" s="295" t="s">
        <v>71</v>
      </c>
      <c r="PCV868" s="295" t="s">
        <v>71</v>
      </c>
      <c r="PCW868" s="295" t="s">
        <v>71</v>
      </c>
      <c r="PCX868" s="295" t="s">
        <v>71</v>
      </c>
      <c r="PCY868" s="295" t="s">
        <v>71</v>
      </c>
      <c r="PCZ868" s="295" t="s">
        <v>71</v>
      </c>
      <c r="PDA868" s="295" t="s">
        <v>71</v>
      </c>
      <c r="PDB868" s="295" t="s">
        <v>71</v>
      </c>
      <c r="PDC868" s="295" t="s">
        <v>71</v>
      </c>
      <c r="PDD868" s="295" t="s">
        <v>71</v>
      </c>
      <c r="PDE868" s="295" t="s">
        <v>71</v>
      </c>
      <c r="PDF868" s="295" t="s">
        <v>71</v>
      </c>
      <c r="PDG868" s="295" t="s">
        <v>71</v>
      </c>
      <c r="PDH868" s="295" t="s">
        <v>71</v>
      </c>
      <c r="PDI868" s="295" t="s">
        <v>71</v>
      </c>
      <c r="PDJ868" s="295" t="s">
        <v>71</v>
      </c>
      <c r="PDK868" s="295" t="s">
        <v>71</v>
      </c>
      <c r="PDL868" s="295" t="s">
        <v>71</v>
      </c>
      <c r="PDM868" s="295" t="s">
        <v>71</v>
      </c>
      <c r="PDN868" s="295" t="s">
        <v>71</v>
      </c>
      <c r="PDO868" s="295" t="s">
        <v>71</v>
      </c>
      <c r="PDP868" s="295" t="s">
        <v>71</v>
      </c>
      <c r="PDQ868" s="295" t="s">
        <v>71</v>
      </c>
      <c r="PDR868" s="295" t="s">
        <v>71</v>
      </c>
      <c r="PDS868" s="295" t="s">
        <v>71</v>
      </c>
      <c r="PDT868" s="295" t="s">
        <v>71</v>
      </c>
      <c r="PDU868" s="295" t="s">
        <v>71</v>
      </c>
      <c r="PDV868" s="295" t="s">
        <v>71</v>
      </c>
      <c r="PDW868" s="295" t="s">
        <v>71</v>
      </c>
      <c r="PDX868" s="295" t="s">
        <v>71</v>
      </c>
      <c r="PDY868" s="295" t="s">
        <v>71</v>
      </c>
      <c r="PDZ868" s="295" t="s">
        <v>71</v>
      </c>
      <c r="PEA868" s="295" t="s">
        <v>71</v>
      </c>
      <c r="PEB868" s="295" t="s">
        <v>71</v>
      </c>
      <c r="PEC868" s="295" t="s">
        <v>71</v>
      </c>
      <c r="PED868" s="295" t="s">
        <v>71</v>
      </c>
      <c r="PEE868" s="295" t="s">
        <v>71</v>
      </c>
      <c r="PEF868" s="295" t="s">
        <v>71</v>
      </c>
      <c r="PEG868" s="295" t="s">
        <v>71</v>
      </c>
      <c r="PEH868" s="295" t="s">
        <v>71</v>
      </c>
      <c r="PEI868" s="295" t="s">
        <v>71</v>
      </c>
      <c r="PEJ868" s="295" t="s">
        <v>71</v>
      </c>
      <c r="PEK868" s="295" t="s">
        <v>71</v>
      </c>
      <c r="PEL868" s="295" t="s">
        <v>71</v>
      </c>
      <c r="PEM868" s="295" t="s">
        <v>71</v>
      </c>
      <c r="PEN868" s="295" t="s">
        <v>71</v>
      </c>
      <c r="PEO868" s="295" t="s">
        <v>71</v>
      </c>
      <c r="PEP868" s="295" t="s">
        <v>71</v>
      </c>
      <c r="PEQ868" s="295" t="s">
        <v>71</v>
      </c>
      <c r="PER868" s="295" t="s">
        <v>71</v>
      </c>
      <c r="PES868" s="295" t="s">
        <v>71</v>
      </c>
      <c r="PET868" s="295" t="s">
        <v>71</v>
      </c>
      <c r="PEU868" s="295" t="s">
        <v>71</v>
      </c>
      <c r="PEV868" s="295" t="s">
        <v>71</v>
      </c>
      <c r="PEW868" s="295" t="s">
        <v>71</v>
      </c>
      <c r="PEX868" s="295" t="s">
        <v>71</v>
      </c>
      <c r="PEY868" s="295" t="s">
        <v>71</v>
      </c>
      <c r="PEZ868" s="295" t="s">
        <v>71</v>
      </c>
      <c r="PFA868" s="295" t="s">
        <v>71</v>
      </c>
      <c r="PFB868" s="295" t="s">
        <v>71</v>
      </c>
      <c r="PFC868" s="295" t="s">
        <v>71</v>
      </c>
      <c r="PFD868" s="295" t="s">
        <v>71</v>
      </c>
      <c r="PFE868" s="295" t="s">
        <v>71</v>
      </c>
      <c r="PFF868" s="295" t="s">
        <v>71</v>
      </c>
      <c r="PFG868" s="295" t="s">
        <v>71</v>
      </c>
      <c r="PFH868" s="295" t="s">
        <v>71</v>
      </c>
      <c r="PFI868" s="295" t="s">
        <v>71</v>
      </c>
      <c r="PFJ868" s="295" t="s">
        <v>71</v>
      </c>
      <c r="PFK868" s="295" t="s">
        <v>71</v>
      </c>
      <c r="PFL868" s="295" t="s">
        <v>71</v>
      </c>
      <c r="PFM868" s="295" t="s">
        <v>71</v>
      </c>
      <c r="PFN868" s="295" t="s">
        <v>71</v>
      </c>
      <c r="PFO868" s="295" t="s">
        <v>71</v>
      </c>
      <c r="PFP868" s="295" t="s">
        <v>71</v>
      </c>
      <c r="PFQ868" s="295" t="s">
        <v>71</v>
      </c>
      <c r="PFR868" s="295" t="s">
        <v>71</v>
      </c>
      <c r="PFS868" s="295" t="s">
        <v>71</v>
      </c>
      <c r="PFT868" s="295" t="s">
        <v>71</v>
      </c>
      <c r="PFU868" s="295" t="s">
        <v>71</v>
      </c>
      <c r="PFV868" s="295" t="s">
        <v>71</v>
      </c>
      <c r="PFW868" s="295" t="s">
        <v>71</v>
      </c>
      <c r="PFX868" s="295" t="s">
        <v>71</v>
      </c>
      <c r="PFY868" s="295" t="s">
        <v>71</v>
      </c>
      <c r="PFZ868" s="295" t="s">
        <v>71</v>
      </c>
      <c r="PGA868" s="295" t="s">
        <v>71</v>
      </c>
      <c r="PGB868" s="295" t="s">
        <v>71</v>
      </c>
      <c r="PGC868" s="295" t="s">
        <v>71</v>
      </c>
      <c r="PGD868" s="295" t="s">
        <v>71</v>
      </c>
      <c r="PGE868" s="295" t="s">
        <v>71</v>
      </c>
      <c r="PGF868" s="295" t="s">
        <v>71</v>
      </c>
      <c r="PGG868" s="295" t="s">
        <v>71</v>
      </c>
      <c r="PGH868" s="295" t="s">
        <v>71</v>
      </c>
      <c r="PGI868" s="295" t="s">
        <v>71</v>
      </c>
      <c r="PGJ868" s="295" t="s">
        <v>71</v>
      </c>
      <c r="PGK868" s="295" t="s">
        <v>71</v>
      </c>
      <c r="PGL868" s="295" t="s">
        <v>71</v>
      </c>
      <c r="PGM868" s="295" t="s">
        <v>71</v>
      </c>
      <c r="PGN868" s="295" t="s">
        <v>71</v>
      </c>
      <c r="PGO868" s="295" t="s">
        <v>71</v>
      </c>
      <c r="PGP868" s="295" t="s">
        <v>71</v>
      </c>
      <c r="PGQ868" s="295" t="s">
        <v>71</v>
      </c>
      <c r="PGR868" s="295" t="s">
        <v>71</v>
      </c>
      <c r="PGS868" s="295" t="s">
        <v>71</v>
      </c>
      <c r="PGT868" s="295" t="s">
        <v>71</v>
      </c>
      <c r="PGU868" s="295" t="s">
        <v>71</v>
      </c>
      <c r="PGV868" s="295" t="s">
        <v>71</v>
      </c>
      <c r="PGW868" s="295" t="s">
        <v>71</v>
      </c>
      <c r="PGX868" s="295" t="s">
        <v>71</v>
      </c>
      <c r="PGY868" s="295" t="s">
        <v>71</v>
      </c>
      <c r="PGZ868" s="295" t="s">
        <v>71</v>
      </c>
      <c r="PHA868" s="295" t="s">
        <v>71</v>
      </c>
      <c r="PHB868" s="295" t="s">
        <v>71</v>
      </c>
      <c r="PHC868" s="295" t="s">
        <v>71</v>
      </c>
      <c r="PHD868" s="295" t="s">
        <v>71</v>
      </c>
      <c r="PHE868" s="295" t="s">
        <v>71</v>
      </c>
      <c r="PHF868" s="295" t="s">
        <v>71</v>
      </c>
      <c r="PHG868" s="295" t="s">
        <v>71</v>
      </c>
      <c r="PHH868" s="295" t="s">
        <v>71</v>
      </c>
      <c r="PHI868" s="295" t="s">
        <v>71</v>
      </c>
      <c r="PHJ868" s="295" t="s">
        <v>71</v>
      </c>
      <c r="PHK868" s="295" t="s">
        <v>71</v>
      </c>
      <c r="PHL868" s="295" t="s">
        <v>71</v>
      </c>
      <c r="PHM868" s="295" t="s">
        <v>71</v>
      </c>
      <c r="PHN868" s="295" t="s">
        <v>71</v>
      </c>
      <c r="PHO868" s="295" t="s">
        <v>71</v>
      </c>
      <c r="PHP868" s="295" t="s">
        <v>71</v>
      </c>
      <c r="PHQ868" s="295" t="s">
        <v>71</v>
      </c>
      <c r="PHR868" s="295" t="s">
        <v>71</v>
      </c>
      <c r="PHS868" s="295" t="s">
        <v>71</v>
      </c>
      <c r="PHT868" s="295" t="s">
        <v>71</v>
      </c>
      <c r="PHU868" s="295" t="s">
        <v>71</v>
      </c>
      <c r="PHV868" s="295" t="s">
        <v>71</v>
      </c>
      <c r="PHW868" s="295" t="s">
        <v>71</v>
      </c>
      <c r="PHX868" s="295" t="s">
        <v>71</v>
      </c>
      <c r="PHY868" s="295" t="s">
        <v>71</v>
      </c>
      <c r="PHZ868" s="295" t="s">
        <v>71</v>
      </c>
      <c r="PIA868" s="295" t="s">
        <v>71</v>
      </c>
      <c r="PIB868" s="295" t="s">
        <v>71</v>
      </c>
      <c r="PIC868" s="295" t="s">
        <v>71</v>
      </c>
      <c r="PID868" s="295" t="s">
        <v>71</v>
      </c>
      <c r="PIE868" s="295" t="s">
        <v>71</v>
      </c>
      <c r="PIF868" s="295" t="s">
        <v>71</v>
      </c>
      <c r="PIG868" s="295" t="s">
        <v>71</v>
      </c>
      <c r="PIH868" s="295" t="s">
        <v>71</v>
      </c>
      <c r="PII868" s="295" t="s">
        <v>71</v>
      </c>
      <c r="PIJ868" s="295" t="s">
        <v>71</v>
      </c>
      <c r="PIK868" s="295" t="s">
        <v>71</v>
      </c>
      <c r="PIL868" s="295" t="s">
        <v>71</v>
      </c>
      <c r="PIM868" s="295" t="s">
        <v>71</v>
      </c>
      <c r="PIN868" s="295" t="s">
        <v>71</v>
      </c>
      <c r="PIO868" s="295" t="s">
        <v>71</v>
      </c>
      <c r="PIP868" s="295" t="s">
        <v>71</v>
      </c>
      <c r="PIQ868" s="295" t="s">
        <v>71</v>
      </c>
      <c r="PIR868" s="295" t="s">
        <v>71</v>
      </c>
      <c r="PIS868" s="295" t="s">
        <v>71</v>
      </c>
      <c r="PIT868" s="295" t="s">
        <v>71</v>
      </c>
      <c r="PIU868" s="295" t="s">
        <v>71</v>
      </c>
      <c r="PIV868" s="295" t="s">
        <v>71</v>
      </c>
      <c r="PIW868" s="295" t="s">
        <v>71</v>
      </c>
      <c r="PIX868" s="295" t="s">
        <v>71</v>
      </c>
      <c r="PIY868" s="295" t="s">
        <v>71</v>
      </c>
      <c r="PIZ868" s="295" t="s">
        <v>71</v>
      </c>
      <c r="PJA868" s="295" t="s">
        <v>71</v>
      </c>
      <c r="PJB868" s="295" t="s">
        <v>71</v>
      </c>
      <c r="PJC868" s="295" t="s">
        <v>71</v>
      </c>
      <c r="PJD868" s="295" t="s">
        <v>71</v>
      </c>
      <c r="PJE868" s="295" t="s">
        <v>71</v>
      </c>
      <c r="PJF868" s="295" t="s">
        <v>71</v>
      </c>
      <c r="PJG868" s="295" t="s">
        <v>71</v>
      </c>
      <c r="PJH868" s="295" t="s">
        <v>71</v>
      </c>
      <c r="PJI868" s="295" t="s">
        <v>71</v>
      </c>
      <c r="PJJ868" s="295" t="s">
        <v>71</v>
      </c>
      <c r="PJK868" s="295" t="s">
        <v>71</v>
      </c>
      <c r="PJL868" s="295" t="s">
        <v>71</v>
      </c>
      <c r="PJM868" s="295" t="s">
        <v>71</v>
      </c>
      <c r="PJN868" s="295" t="s">
        <v>71</v>
      </c>
      <c r="PJO868" s="295" t="s">
        <v>71</v>
      </c>
      <c r="PJP868" s="295" t="s">
        <v>71</v>
      </c>
      <c r="PJQ868" s="295" t="s">
        <v>71</v>
      </c>
      <c r="PJR868" s="295" t="s">
        <v>71</v>
      </c>
      <c r="PJS868" s="295" t="s">
        <v>71</v>
      </c>
      <c r="PJT868" s="295" t="s">
        <v>71</v>
      </c>
      <c r="PJU868" s="295" t="s">
        <v>71</v>
      </c>
      <c r="PJV868" s="295" t="s">
        <v>71</v>
      </c>
      <c r="PJW868" s="295" t="s">
        <v>71</v>
      </c>
      <c r="PJX868" s="295" t="s">
        <v>71</v>
      </c>
      <c r="PJY868" s="295" t="s">
        <v>71</v>
      </c>
      <c r="PJZ868" s="295" t="s">
        <v>71</v>
      </c>
      <c r="PKA868" s="295" t="s">
        <v>71</v>
      </c>
      <c r="PKB868" s="295" t="s">
        <v>71</v>
      </c>
      <c r="PKC868" s="295" t="s">
        <v>71</v>
      </c>
      <c r="PKD868" s="295" t="s">
        <v>71</v>
      </c>
      <c r="PKE868" s="295" t="s">
        <v>71</v>
      </c>
      <c r="PKF868" s="295" t="s">
        <v>71</v>
      </c>
      <c r="PKG868" s="295" t="s">
        <v>71</v>
      </c>
      <c r="PKH868" s="295" t="s">
        <v>71</v>
      </c>
      <c r="PKI868" s="295" t="s">
        <v>71</v>
      </c>
      <c r="PKJ868" s="295" t="s">
        <v>71</v>
      </c>
      <c r="PKK868" s="295" t="s">
        <v>71</v>
      </c>
      <c r="PKL868" s="295" t="s">
        <v>71</v>
      </c>
      <c r="PKM868" s="295" t="s">
        <v>71</v>
      </c>
      <c r="PKN868" s="295" t="s">
        <v>71</v>
      </c>
      <c r="PKO868" s="295" t="s">
        <v>71</v>
      </c>
      <c r="PKP868" s="295" t="s">
        <v>71</v>
      </c>
      <c r="PKQ868" s="295" t="s">
        <v>71</v>
      </c>
      <c r="PKR868" s="295" t="s">
        <v>71</v>
      </c>
      <c r="PKS868" s="295" t="s">
        <v>71</v>
      </c>
      <c r="PKT868" s="295" t="s">
        <v>71</v>
      </c>
      <c r="PKU868" s="295" t="s">
        <v>71</v>
      </c>
      <c r="PKV868" s="295" t="s">
        <v>71</v>
      </c>
      <c r="PKW868" s="295" t="s">
        <v>71</v>
      </c>
      <c r="PKX868" s="295" t="s">
        <v>71</v>
      </c>
      <c r="PKY868" s="295" t="s">
        <v>71</v>
      </c>
      <c r="PKZ868" s="295" t="s">
        <v>71</v>
      </c>
      <c r="PLA868" s="295" t="s">
        <v>71</v>
      </c>
      <c r="PLB868" s="295" t="s">
        <v>71</v>
      </c>
      <c r="PLC868" s="295" t="s">
        <v>71</v>
      </c>
      <c r="PLD868" s="295" t="s">
        <v>71</v>
      </c>
      <c r="PLE868" s="295" t="s">
        <v>71</v>
      </c>
      <c r="PLF868" s="295" t="s">
        <v>71</v>
      </c>
      <c r="PLG868" s="295" t="s">
        <v>71</v>
      </c>
      <c r="PLH868" s="295" t="s">
        <v>71</v>
      </c>
      <c r="PLI868" s="295" t="s">
        <v>71</v>
      </c>
      <c r="PLJ868" s="295" t="s">
        <v>71</v>
      </c>
      <c r="PLK868" s="295" t="s">
        <v>71</v>
      </c>
      <c r="PLL868" s="295" t="s">
        <v>71</v>
      </c>
      <c r="PLM868" s="295" t="s">
        <v>71</v>
      </c>
      <c r="PLN868" s="295" t="s">
        <v>71</v>
      </c>
      <c r="PLO868" s="295" t="s">
        <v>71</v>
      </c>
      <c r="PLP868" s="295" t="s">
        <v>71</v>
      </c>
      <c r="PLQ868" s="295" t="s">
        <v>71</v>
      </c>
      <c r="PLR868" s="295" t="s">
        <v>71</v>
      </c>
      <c r="PLS868" s="295" t="s">
        <v>71</v>
      </c>
      <c r="PLT868" s="295" t="s">
        <v>71</v>
      </c>
      <c r="PLU868" s="295" t="s">
        <v>71</v>
      </c>
      <c r="PLV868" s="295" t="s">
        <v>71</v>
      </c>
      <c r="PLW868" s="295" t="s">
        <v>71</v>
      </c>
      <c r="PLX868" s="295" t="s">
        <v>71</v>
      </c>
      <c r="PLY868" s="295" t="s">
        <v>71</v>
      </c>
      <c r="PLZ868" s="295" t="s">
        <v>71</v>
      </c>
      <c r="PMA868" s="295" t="s">
        <v>71</v>
      </c>
      <c r="PMB868" s="295" t="s">
        <v>71</v>
      </c>
      <c r="PMC868" s="295" t="s">
        <v>71</v>
      </c>
      <c r="PMD868" s="295" t="s">
        <v>71</v>
      </c>
      <c r="PME868" s="295" t="s">
        <v>71</v>
      </c>
      <c r="PMF868" s="295" t="s">
        <v>71</v>
      </c>
      <c r="PMG868" s="295" t="s">
        <v>71</v>
      </c>
      <c r="PMH868" s="295" t="s">
        <v>71</v>
      </c>
      <c r="PMI868" s="295" t="s">
        <v>71</v>
      </c>
      <c r="PMJ868" s="295" t="s">
        <v>71</v>
      </c>
      <c r="PMK868" s="295" t="s">
        <v>71</v>
      </c>
      <c r="PML868" s="295" t="s">
        <v>71</v>
      </c>
      <c r="PMM868" s="295" t="s">
        <v>71</v>
      </c>
      <c r="PMN868" s="295" t="s">
        <v>71</v>
      </c>
      <c r="PMO868" s="295" t="s">
        <v>71</v>
      </c>
      <c r="PMP868" s="295" t="s">
        <v>71</v>
      </c>
      <c r="PMQ868" s="295" t="s">
        <v>71</v>
      </c>
      <c r="PMR868" s="295" t="s">
        <v>71</v>
      </c>
      <c r="PMS868" s="295" t="s">
        <v>71</v>
      </c>
      <c r="PMT868" s="295" t="s">
        <v>71</v>
      </c>
      <c r="PMU868" s="295" t="s">
        <v>71</v>
      </c>
      <c r="PMV868" s="295" t="s">
        <v>71</v>
      </c>
      <c r="PMW868" s="295" t="s">
        <v>71</v>
      </c>
      <c r="PMX868" s="295" t="s">
        <v>71</v>
      </c>
      <c r="PMY868" s="295" t="s">
        <v>71</v>
      </c>
      <c r="PMZ868" s="295" t="s">
        <v>71</v>
      </c>
      <c r="PNA868" s="295" t="s">
        <v>71</v>
      </c>
      <c r="PNB868" s="295" t="s">
        <v>71</v>
      </c>
      <c r="PNC868" s="295" t="s">
        <v>71</v>
      </c>
      <c r="PND868" s="295" t="s">
        <v>71</v>
      </c>
      <c r="PNE868" s="295" t="s">
        <v>71</v>
      </c>
      <c r="PNF868" s="295" t="s">
        <v>71</v>
      </c>
      <c r="PNG868" s="295" t="s">
        <v>71</v>
      </c>
      <c r="PNH868" s="295" t="s">
        <v>71</v>
      </c>
      <c r="PNI868" s="295" t="s">
        <v>71</v>
      </c>
      <c r="PNJ868" s="295" t="s">
        <v>71</v>
      </c>
      <c r="PNK868" s="295" t="s">
        <v>71</v>
      </c>
      <c r="PNL868" s="295" t="s">
        <v>71</v>
      </c>
      <c r="PNM868" s="295" t="s">
        <v>71</v>
      </c>
      <c r="PNN868" s="295" t="s">
        <v>71</v>
      </c>
      <c r="PNO868" s="295" t="s">
        <v>71</v>
      </c>
      <c r="PNP868" s="295" t="s">
        <v>71</v>
      </c>
      <c r="PNQ868" s="295" t="s">
        <v>71</v>
      </c>
      <c r="PNR868" s="295" t="s">
        <v>71</v>
      </c>
      <c r="PNS868" s="295" t="s">
        <v>71</v>
      </c>
      <c r="PNT868" s="295" t="s">
        <v>71</v>
      </c>
      <c r="PNU868" s="295" t="s">
        <v>71</v>
      </c>
      <c r="PNV868" s="295" t="s">
        <v>71</v>
      </c>
      <c r="PNW868" s="295" t="s">
        <v>71</v>
      </c>
      <c r="PNX868" s="295" t="s">
        <v>71</v>
      </c>
      <c r="PNY868" s="295" t="s">
        <v>71</v>
      </c>
      <c r="PNZ868" s="295" t="s">
        <v>71</v>
      </c>
      <c r="POA868" s="295" t="s">
        <v>71</v>
      </c>
      <c r="POB868" s="295" t="s">
        <v>71</v>
      </c>
      <c r="POC868" s="295" t="s">
        <v>71</v>
      </c>
      <c r="POD868" s="295" t="s">
        <v>71</v>
      </c>
      <c r="POE868" s="295" t="s">
        <v>71</v>
      </c>
      <c r="POF868" s="295" t="s">
        <v>71</v>
      </c>
      <c r="POG868" s="295" t="s">
        <v>71</v>
      </c>
      <c r="POH868" s="295" t="s">
        <v>71</v>
      </c>
      <c r="POI868" s="295" t="s">
        <v>71</v>
      </c>
      <c r="POJ868" s="295" t="s">
        <v>71</v>
      </c>
      <c r="POK868" s="295" t="s">
        <v>71</v>
      </c>
      <c r="POL868" s="295" t="s">
        <v>71</v>
      </c>
      <c r="POM868" s="295" t="s">
        <v>71</v>
      </c>
      <c r="PON868" s="295" t="s">
        <v>71</v>
      </c>
      <c r="POO868" s="295" t="s">
        <v>71</v>
      </c>
      <c r="POP868" s="295" t="s">
        <v>71</v>
      </c>
      <c r="POQ868" s="295" t="s">
        <v>71</v>
      </c>
      <c r="POR868" s="295" t="s">
        <v>71</v>
      </c>
      <c r="POS868" s="295" t="s">
        <v>71</v>
      </c>
      <c r="POT868" s="295" t="s">
        <v>71</v>
      </c>
      <c r="POU868" s="295" t="s">
        <v>71</v>
      </c>
      <c r="POV868" s="295" t="s">
        <v>71</v>
      </c>
      <c r="POW868" s="295" t="s">
        <v>71</v>
      </c>
      <c r="POX868" s="295" t="s">
        <v>71</v>
      </c>
      <c r="POY868" s="295" t="s">
        <v>71</v>
      </c>
      <c r="POZ868" s="295" t="s">
        <v>71</v>
      </c>
      <c r="PPA868" s="295" t="s">
        <v>71</v>
      </c>
      <c r="PPB868" s="295" t="s">
        <v>71</v>
      </c>
      <c r="PPC868" s="295" t="s">
        <v>71</v>
      </c>
      <c r="PPD868" s="295" t="s">
        <v>71</v>
      </c>
      <c r="PPE868" s="295" t="s">
        <v>71</v>
      </c>
      <c r="PPF868" s="295" t="s">
        <v>71</v>
      </c>
      <c r="PPG868" s="295" t="s">
        <v>71</v>
      </c>
      <c r="PPH868" s="295" t="s">
        <v>71</v>
      </c>
      <c r="PPI868" s="295" t="s">
        <v>71</v>
      </c>
      <c r="PPJ868" s="295" t="s">
        <v>71</v>
      </c>
      <c r="PPK868" s="295" t="s">
        <v>71</v>
      </c>
      <c r="PPL868" s="295" t="s">
        <v>71</v>
      </c>
      <c r="PPM868" s="295" t="s">
        <v>71</v>
      </c>
      <c r="PPN868" s="295" t="s">
        <v>71</v>
      </c>
      <c r="PPO868" s="295" t="s">
        <v>71</v>
      </c>
      <c r="PPP868" s="295" t="s">
        <v>71</v>
      </c>
      <c r="PPQ868" s="295" t="s">
        <v>71</v>
      </c>
      <c r="PPR868" s="295" t="s">
        <v>71</v>
      </c>
      <c r="PPS868" s="295" t="s">
        <v>71</v>
      </c>
      <c r="PPT868" s="295" t="s">
        <v>71</v>
      </c>
      <c r="PPU868" s="295" t="s">
        <v>71</v>
      </c>
      <c r="PPV868" s="295" t="s">
        <v>71</v>
      </c>
      <c r="PPW868" s="295" t="s">
        <v>71</v>
      </c>
      <c r="PPX868" s="295" t="s">
        <v>71</v>
      </c>
      <c r="PPY868" s="295" t="s">
        <v>71</v>
      </c>
      <c r="PPZ868" s="295" t="s">
        <v>71</v>
      </c>
      <c r="PQA868" s="295" t="s">
        <v>71</v>
      </c>
      <c r="PQB868" s="295" t="s">
        <v>71</v>
      </c>
      <c r="PQC868" s="295" t="s">
        <v>71</v>
      </c>
      <c r="PQD868" s="295" t="s">
        <v>71</v>
      </c>
      <c r="PQE868" s="295" t="s">
        <v>71</v>
      </c>
      <c r="PQF868" s="295" t="s">
        <v>71</v>
      </c>
      <c r="PQG868" s="295" t="s">
        <v>71</v>
      </c>
      <c r="PQH868" s="295" t="s">
        <v>71</v>
      </c>
      <c r="PQI868" s="295" t="s">
        <v>71</v>
      </c>
      <c r="PQJ868" s="295" t="s">
        <v>71</v>
      </c>
      <c r="PQK868" s="295" t="s">
        <v>71</v>
      </c>
      <c r="PQL868" s="295" t="s">
        <v>71</v>
      </c>
      <c r="PQM868" s="295" t="s">
        <v>71</v>
      </c>
      <c r="PQN868" s="295" t="s">
        <v>71</v>
      </c>
      <c r="PQO868" s="295" t="s">
        <v>71</v>
      </c>
      <c r="PQP868" s="295" t="s">
        <v>71</v>
      </c>
      <c r="PQQ868" s="295" t="s">
        <v>71</v>
      </c>
      <c r="PQR868" s="295" t="s">
        <v>71</v>
      </c>
      <c r="PQS868" s="295" t="s">
        <v>71</v>
      </c>
      <c r="PQT868" s="295" t="s">
        <v>71</v>
      </c>
      <c r="PQU868" s="295" t="s">
        <v>71</v>
      </c>
      <c r="PQV868" s="295" t="s">
        <v>71</v>
      </c>
      <c r="PQW868" s="295" t="s">
        <v>71</v>
      </c>
      <c r="PQX868" s="295" t="s">
        <v>71</v>
      </c>
      <c r="PQY868" s="295" t="s">
        <v>71</v>
      </c>
      <c r="PQZ868" s="295" t="s">
        <v>71</v>
      </c>
      <c r="PRA868" s="295" t="s">
        <v>71</v>
      </c>
      <c r="PRB868" s="295" t="s">
        <v>71</v>
      </c>
      <c r="PRC868" s="295" t="s">
        <v>71</v>
      </c>
      <c r="PRD868" s="295" t="s">
        <v>71</v>
      </c>
      <c r="PRE868" s="295" t="s">
        <v>71</v>
      </c>
      <c r="PRF868" s="295" t="s">
        <v>71</v>
      </c>
      <c r="PRG868" s="295" t="s">
        <v>71</v>
      </c>
      <c r="PRH868" s="295" t="s">
        <v>71</v>
      </c>
      <c r="PRI868" s="295" t="s">
        <v>71</v>
      </c>
      <c r="PRJ868" s="295" t="s">
        <v>71</v>
      </c>
      <c r="PRK868" s="295" t="s">
        <v>71</v>
      </c>
      <c r="PRL868" s="295" t="s">
        <v>71</v>
      </c>
      <c r="PRM868" s="295" t="s">
        <v>71</v>
      </c>
      <c r="PRN868" s="295" t="s">
        <v>71</v>
      </c>
      <c r="PRO868" s="295" t="s">
        <v>71</v>
      </c>
      <c r="PRP868" s="295" t="s">
        <v>71</v>
      </c>
      <c r="PRQ868" s="295" t="s">
        <v>71</v>
      </c>
      <c r="PRR868" s="295" t="s">
        <v>71</v>
      </c>
      <c r="PRS868" s="295" t="s">
        <v>71</v>
      </c>
      <c r="PRT868" s="295" t="s">
        <v>71</v>
      </c>
      <c r="PRU868" s="295" t="s">
        <v>71</v>
      </c>
      <c r="PRV868" s="295" t="s">
        <v>71</v>
      </c>
      <c r="PRW868" s="295" t="s">
        <v>71</v>
      </c>
      <c r="PRX868" s="295" t="s">
        <v>71</v>
      </c>
      <c r="PRY868" s="295" t="s">
        <v>71</v>
      </c>
      <c r="PRZ868" s="295" t="s">
        <v>71</v>
      </c>
      <c r="PSA868" s="295" t="s">
        <v>71</v>
      </c>
      <c r="PSB868" s="295" t="s">
        <v>71</v>
      </c>
      <c r="PSC868" s="295" t="s">
        <v>71</v>
      </c>
      <c r="PSD868" s="295" t="s">
        <v>71</v>
      </c>
      <c r="PSE868" s="295" t="s">
        <v>71</v>
      </c>
      <c r="PSF868" s="295" t="s">
        <v>71</v>
      </c>
      <c r="PSG868" s="295" t="s">
        <v>71</v>
      </c>
      <c r="PSH868" s="295" t="s">
        <v>71</v>
      </c>
      <c r="PSI868" s="295" t="s">
        <v>71</v>
      </c>
      <c r="PSJ868" s="295" t="s">
        <v>71</v>
      </c>
      <c r="PSK868" s="295" t="s">
        <v>71</v>
      </c>
      <c r="PSL868" s="295" t="s">
        <v>71</v>
      </c>
      <c r="PSM868" s="295" t="s">
        <v>71</v>
      </c>
      <c r="PSN868" s="295" t="s">
        <v>71</v>
      </c>
      <c r="PSO868" s="295" t="s">
        <v>71</v>
      </c>
      <c r="PSP868" s="295" t="s">
        <v>71</v>
      </c>
      <c r="PSQ868" s="295" t="s">
        <v>71</v>
      </c>
      <c r="PSR868" s="295" t="s">
        <v>71</v>
      </c>
      <c r="PSS868" s="295" t="s">
        <v>71</v>
      </c>
      <c r="PST868" s="295" t="s">
        <v>71</v>
      </c>
      <c r="PSU868" s="295" t="s">
        <v>71</v>
      </c>
      <c r="PSV868" s="295" t="s">
        <v>71</v>
      </c>
      <c r="PSW868" s="295" t="s">
        <v>71</v>
      </c>
      <c r="PSX868" s="295" t="s">
        <v>71</v>
      </c>
      <c r="PSY868" s="295" t="s">
        <v>71</v>
      </c>
      <c r="PSZ868" s="295" t="s">
        <v>71</v>
      </c>
      <c r="PTA868" s="295" t="s">
        <v>71</v>
      </c>
      <c r="PTB868" s="295" t="s">
        <v>71</v>
      </c>
      <c r="PTC868" s="295" t="s">
        <v>71</v>
      </c>
      <c r="PTD868" s="295" t="s">
        <v>71</v>
      </c>
      <c r="PTE868" s="295" t="s">
        <v>71</v>
      </c>
      <c r="PTF868" s="295" t="s">
        <v>71</v>
      </c>
      <c r="PTG868" s="295" t="s">
        <v>71</v>
      </c>
      <c r="PTH868" s="295" t="s">
        <v>71</v>
      </c>
      <c r="PTI868" s="295" t="s">
        <v>71</v>
      </c>
      <c r="PTJ868" s="295" t="s">
        <v>71</v>
      </c>
      <c r="PTK868" s="295" t="s">
        <v>71</v>
      </c>
      <c r="PTL868" s="295" t="s">
        <v>71</v>
      </c>
      <c r="PTM868" s="295" t="s">
        <v>71</v>
      </c>
      <c r="PTN868" s="295" t="s">
        <v>71</v>
      </c>
      <c r="PTO868" s="295" t="s">
        <v>71</v>
      </c>
      <c r="PTP868" s="295" t="s">
        <v>71</v>
      </c>
      <c r="PTQ868" s="295" t="s">
        <v>71</v>
      </c>
      <c r="PTR868" s="295" t="s">
        <v>71</v>
      </c>
      <c r="PTS868" s="295" t="s">
        <v>71</v>
      </c>
      <c r="PTT868" s="295" t="s">
        <v>71</v>
      </c>
      <c r="PTU868" s="295" t="s">
        <v>71</v>
      </c>
      <c r="PTV868" s="295" t="s">
        <v>71</v>
      </c>
      <c r="PTW868" s="295" t="s">
        <v>71</v>
      </c>
      <c r="PTX868" s="295" t="s">
        <v>71</v>
      </c>
      <c r="PTY868" s="295" t="s">
        <v>71</v>
      </c>
      <c r="PTZ868" s="295" t="s">
        <v>71</v>
      </c>
      <c r="PUA868" s="295" t="s">
        <v>71</v>
      </c>
      <c r="PUB868" s="295" t="s">
        <v>71</v>
      </c>
      <c r="PUC868" s="295" t="s">
        <v>71</v>
      </c>
      <c r="PUD868" s="295" t="s">
        <v>71</v>
      </c>
      <c r="PUE868" s="295" t="s">
        <v>71</v>
      </c>
      <c r="PUF868" s="295" t="s">
        <v>71</v>
      </c>
      <c r="PUG868" s="295" t="s">
        <v>71</v>
      </c>
      <c r="PUH868" s="295" t="s">
        <v>71</v>
      </c>
      <c r="PUI868" s="295" t="s">
        <v>71</v>
      </c>
      <c r="PUJ868" s="295" t="s">
        <v>71</v>
      </c>
      <c r="PUK868" s="295" t="s">
        <v>71</v>
      </c>
      <c r="PUL868" s="295" t="s">
        <v>71</v>
      </c>
      <c r="PUM868" s="295" t="s">
        <v>71</v>
      </c>
      <c r="PUN868" s="295" t="s">
        <v>71</v>
      </c>
      <c r="PUO868" s="295" t="s">
        <v>71</v>
      </c>
      <c r="PUP868" s="295" t="s">
        <v>71</v>
      </c>
      <c r="PUQ868" s="295" t="s">
        <v>71</v>
      </c>
      <c r="PUR868" s="295" t="s">
        <v>71</v>
      </c>
      <c r="PUS868" s="295" t="s">
        <v>71</v>
      </c>
      <c r="PUT868" s="295" t="s">
        <v>71</v>
      </c>
      <c r="PUU868" s="295" t="s">
        <v>71</v>
      </c>
      <c r="PUV868" s="295" t="s">
        <v>71</v>
      </c>
      <c r="PUW868" s="295" t="s">
        <v>71</v>
      </c>
      <c r="PUX868" s="295" t="s">
        <v>71</v>
      </c>
      <c r="PUY868" s="295" t="s">
        <v>71</v>
      </c>
      <c r="PUZ868" s="295" t="s">
        <v>71</v>
      </c>
      <c r="PVA868" s="295" t="s">
        <v>71</v>
      </c>
      <c r="PVB868" s="295" t="s">
        <v>71</v>
      </c>
      <c r="PVC868" s="295" t="s">
        <v>71</v>
      </c>
      <c r="PVD868" s="295" t="s">
        <v>71</v>
      </c>
      <c r="PVE868" s="295" t="s">
        <v>71</v>
      </c>
      <c r="PVF868" s="295" t="s">
        <v>71</v>
      </c>
      <c r="PVG868" s="295" t="s">
        <v>71</v>
      </c>
      <c r="PVH868" s="295" t="s">
        <v>71</v>
      </c>
      <c r="PVI868" s="295" t="s">
        <v>71</v>
      </c>
      <c r="PVJ868" s="295" t="s">
        <v>71</v>
      </c>
      <c r="PVK868" s="295" t="s">
        <v>71</v>
      </c>
      <c r="PVL868" s="295" t="s">
        <v>71</v>
      </c>
      <c r="PVM868" s="295" t="s">
        <v>71</v>
      </c>
      <c r="PVN868" s="295" t="s">
        <v>71</v>
      </c>
      <c r="PVO868" s="295" t="s">
        <v>71</v>
      </c>
      <c r="PVP868" s="295" t="s">
        <v>71</v>
      </c>
      <c r="PVQ868" s="295" t="s">
        <v>71</v>
      </c>
      <c r="PVR868" s="295" t="s">
        <v>71</v>
      </c>
      <c r="PVS868" s="295" t="s">
        <v>71</v>
      </c>
      <c r="PVT868" s="295" t="s">
        <v>71</v>
      </c>
      <c r="PVU868" s="295" t="s">
        <v>71</v>
      </c>
      <c r="PVV868" s="295" t="s">
        <v>71</v>
      </c>
      <c r="PVW868" s="295" t="s">
        <v>71</v>
      </c>
      <c r="PVX868" s="295" t="s">
        <v>71</v>
      </c>
      <c r="PVY868" s="295" t="s">
        <v>71</v>
      </c>
      <c r="PVZ868" s="295" t="s">
        <v>71</v>
      </c>
      <c r="PWA868" s="295" t="s">
        <v>71</v>
      </c>
      <c r="PWB868" s="295" t="s">
        <v>71</v>
      </c>
      <c r="PWC868" s="295" t="s">
        <v>71</v>
      </c>
      <c r="PWD868" s="295" t="s">
        <v>71</v>
      </c>
      <c r="PWE868" s="295" t="s">
        <v>71</v>
      </c>
      <c r="PWF868" s="295" t="s">
        <v>71</v>
      </c>
      <c r="PWG868" s="295" t="s">
        <v>71</v>
      </c>
      <c r="PWH868" s="295" t="s">
        <v>71</v>
      </c>
      <c r="PWI868" s="295" t="s">
        <v>71</v>
      </c>
      <c r="PWJ868" s="295" t="s">
        <v>71</v>
      </c>
      <c r="PWK868" s="295" t="s">
        <v>71</v>
      </c>
      <c r="PWL868" s="295" t="s">
        <v>71</v>
      </c>
      <c r="PWM868" s="295" t="s">
        <v>71</v>
      </c>
      <c r="PWN868" s="295" t="s">
        <v>71</v>
      </c>
      <c r="PWO868" s="295" t="s">
        <v>71</v>
      </c>
      <c r="PWP868" s="295" t="s">
        <v>71</v>
      </c>
      <c r="PWQ868" s="295" t="s">
        <v>71</v>
      </c>
      <c r="PWR868" s="295" t="s">
        <v>71</v>
      </c>
      <c r="PWS868" s="295" t="s">
        <v>71</v>
      </c>
      <c r="PWT868" s="295" t="s">
        <v>71</v>
      </c>
      <c r="PWU868" s="295" t="s">
        <v>71</v>
      </c>
      <c r="PWV868" s="295" t="s">
        <v>71</v>
      </c>
      <c r="PWW868" s="295" t="s">
        <v>71</v>
      </c>
      <c r="PWX868" s="295" t="s">
        <v>71</v>
      </c>
      <c r="PWY868" s="295" t="s">
        <v>71</v>
      </c>
      <c r="PWZ868" s="295" t="s">
        <v>71</v>
      </c>
      <c r="PXA868" s="295" t="s">
        <v>71</v>
      </c>
      <c r="PXB868" s="295" t="s">
        <v>71</v>
      </c>
      <c r="PXC868" s="295" t="s">
        <v>71</v>
      </c>
      <c r="PXD868" s="295" t="s">
        <v>71</v>
      </c>
      <c r="PXE868" s="295" t="s">
        <v>71</v>
      </c>
      <c r="PXF868" s="295" t="s">
        <v>71</v>
      </c>
      <c r="PXG868" s="295" t="s">
        <v>71</v>
      </c>
      <c r="PXH868" s="295" t="s">
        <v>71</v>
      </c>
      <c r="PXI868" s="295" t="s">
        <v>71</v>
      </c>
      <c r="PXJ868" s="295" t="s">
        <v>71</v>
      </c>
      <c r="PXK868" s="295" t="s">
        <v>71</v>
      </c>
      <c r="PXL868" s="295" t="s">
        <v>71</v>
      </c>
      <c r="PXM868" s="295" t="s">
        <v>71</v>
      </c>
      <c r="PXN868" s="295" t="s">
        <v>71</v>
      </c>
      <c r="PXO868" s="295" t="s">
        <v>71</v>
      </c>
      <c r="PXP868" s="295" t="s">
        <v>71</v>
      </c>
      <c r="PXQ868" s="295" t="s">
        <v>71</v>
      </c>
      <c r="PXR868" s="295" t="s">
        <v>71</v>
      </c>
      <c r="PXS868" s="295" t="s">
        <v>71</v>
      </c>
      <c r="PXT868" s="295" t="s">
        <v>71</v>
      </c>
      <c r="PXU868" s="295" t="s">
        <v>71</v>
      </c>
      <c r="PXV868" s="295" t="s">
        <v>71</v>
      </c>
      <c r="PXW868" s="295" t="s">
        <v>71</v>
      </c>
      <c r="PXX868" s="295" t="s">
        <v>71</v>
      </c>
      <c r="PXY868" s="295" t="s">
        <v>71</v>
      </c>
      <c r="PXZ868" s="295" t="s">
        <v>71</v>
      </c>
      <c r="PYA868" s="295" t="s">
        <v>71</v>
      </c>
      <c r="PYB868" s="295" t="s">
        <v>71</v>
      </c>
      <c r="PYC868" s="295" t="s">
        <v>71</v>
      </c>
      <c r="PYD868" s="295" t="s">
        <v>71</v>
      </c>
      <c r="PYE868" s="295" t="s">
        <v>71</v>
      </c>
      <c r="PYF868" s="295" t="s">
        <v>71</v>
      </c>
      <c r="PYG868" s="295" t="s">
        <v>71</v>
      </c>
      <c r="PYH868" s="295" t="s">
        <v>71</v>
      </c>
      <c r="PYI868" s="295" t="s">
        <v>71</v>
      </c>
      <c r="PYJ868" s="295" t="s">
        <v>71</v>
      </c>
      <c r="PYK868" s="295" t="s">
        <v>71</v>
      </c>
      <c r="PYL868" s="295" t="s">
        <v>71</v>
      </c>
      <c r="PYM868" s="295" t="s">
        <v>71</v>
      </c>
      <c r="PYN868" s="295" t="s">
        <v>71</v>
      </c>
      <c r="PYO868" s="295" t="s">
        <v>71</v>
      </c>
      <c r="PYP868" s="295" t="s">
        <v>71</v>
      </c>
      <c r="PYQ868" s="295" t="s">
        <v>71</v>
      </c>
      <c r="PYR868" s="295" t="s">
        <v>71</v>
      </c>
      <c r="PYS868" s="295" t="s">
        <v>71</v>
      </c>
      <c r="PYT868" s="295" t="s">
        <v>71</v>
      </c>
      <c r="PYU868" s="295" t="s">
        <v>71</v>
      </c>
      <c r="PYV868" s="295" t="s">
        <v>71</v>
      </c>
      <c r="PYW868" s="295" t="s">
        <v>71</v>
      </c>
      <c r="PYX868" s="295" t="s">
        <v>71</v>
      </c>
      <c r="PYY868" s="295" t="s">
        <v>71</v>
      </c>
      <c r="PYZ868" s="295" t="s">
        <v>71</v>
      </c>
      <c r="PZA868" s="295" t="s">
        <v>71</v>
      </c>
      <c r="PZB868" s="295" t="s">
        <v>71</v>
      </c>
      <c r="PZC868" s="295" t="s">
        <v>71</v>
      </c>
      <c r="PZD868" s="295" t="s">
        <v>71</v>
      </c>
      <c r="PZE868" s="295" t="s">
        <v>71</v>
      </c>
      <c r="PZF868" s="295" t="s">
        <v>71</v>
      </c>
      <c r="PZG868" s="295" t="s">
        <v>71</v>
      </c>
      <c r="PZH868" s="295" t="s">
        <v>71</v>
      </c>
      <c r="PZI868" s="295" t="s">
        <v>71</v>
      </c>
      <c r="PZJ868" s="295" t="s">
        <v>71</v>
      </c>
      <c r="PZK868" s="295" t="s">
        <v>71</v>
      </c>
      <c r="PZL868" s="295" t="s">
        <v>71</v>
      </c>
      <c r="PZM868" s="295" t="s">
        <v>71</v>
      </c>
      <c r="PZN868" s="295" t="s">
        <v>71</v>
      </c>
      <c r="PZO868" s="295" t="s">
        <v>71</v>
      </c>
      <c r="PZP868" s="295" t="s">
        <v>71</v>
      </c>
      <c r="PZQ868" s="295" t="s">
        <v>71</v>
      </c>
      <c r="PZR868" s="295" t="s">
        <v>71</v>
      </c>
      <c r="PZS868" s="295" t="s">
        <v>71</v>
      </c>
      <c r="PZT868" s="295" t="s">
        <v>71</v>
      </c>
      <c r="PZU868" s="295" t="s">
        <v>71</v>
      </c>
      <c r="PZV868" s="295" t="s">
        <v>71</v>
      </c>
      <c r="PZW868" s="295" t="s">
        <v>71</v>
      </c>
      <c r="PZX868" s="295" t="s">
        <v>71</v>
      </c>
      <c r="PZY868" s="295" t="s">
        <v>71</v>
      </c>
      <c r="PZZ868" s="295" t="s">
        <v>71</v>
      </c>
      <c r="QAA868" s="295" t="s">
        <v>71</v>
      </c>
      <c r="QAB868" s="295" t="s">
        <v>71</v>
      </c>
      <c r="QAC868" s="295" t="s">
        <v>71</v>
      </c>
      <c r="QAD868" s="295" t="s">
        <v>71</v>
      </c>
      <c r="QAE868" s="295" t="s">
        <v>71</v>
      </c>
      <c r="QAF868" s="295" t="s">
        <v>71</v>
      </c>
      <c r="QAG868" s="295" t="s">
        <v>71</v>
      </c>
      <c r="QAH868" s="295" t="s">
        <v>71</v>
      </c>
      <c r="QAI868" s="295" t="s">
        <v>71</v>
      </c>
      <c r="QAJ868" s="295" t="s">
        <v>71</v>
      </c>
      <c r="QAK868" s="295" t="s">
        <v>71</v>
      </c>
      <c r="QAL868" s="295" t="s">
        <v>71</v>
      </c>
      <c r="QAM868" s="295" t="s">
        <v>71</v>
      </c>
      <c r="QAN868" s="295" t="s">
        <v>71</v>
      </c>
      <c r="QAO868" s="295" t="s">
        <v>71</v>
      </c>
      <c r="QAP868" s="295" t="s">
        <v>71</v>
      </c>
      <c r="QAQ868" s="295" t="s">
        <v>71</v>
      </c>
      <c r="QAR868" s="295" t="s">
        <v>71</v>
      </c>
      <c r="QAS868" s="295" t="s">
        <v>71</v>
      </c>
      <c r="QAT868" s="295" t="s">
        <v>71</v>
      </c>
      <c r="QAU868" s="295" t="s">
        <v>71</v>
      </c>
      <c r="QAV868" s="295" t="s">
        <v>71</v>
      </c>
      <c r="QAW868" s="295" t="s">
        <v>71</v>
      </c>
      <c r="QAX868" s="295" t="s">
        <v>71</v>
      </c>
      <c r="QAY868" s="295" t="s">
        <v>71</v>
      </c>
      <c r="QAZ868" s="295" t="s">
        <v>71</v>
      </c>
      <c r="QBA868" s="295" t="s">
        <v>71</v>
      </c>
      <c r="QBB868" s="295" t="s">
        <v>71</v>
      </c>
      <c r="QBC868" s="295" t="s">
        <v>71</v>
      </c>
      <c r="QBD868" s="295" t="s">
        <v>71</v>
      </c>
      <c r="QBE868" s="295" t="s">
        <v>71</v>
      </c>
      <c r="QBF868" s="295" t="s">
        <v>71</v>
      </c>
      <c r="QBG868" s="295" t="s">
        <v>71</v>
      </c>
      <c r="QBH868" s="295" t="s">
        <v>71</v>
      </c>
      <c r="QBI868" s="295" t="s">
        <v>71</v>
      </c>
      <c r="QBJ868" s="295" t="s">
        <v>71</v>
      </c>
      <c r="QBK868" s="295" t="s">
        <v>71</v>
      </c>
      <c r="QBL868" s="295" t="s">
        <v>71</v>
      </c>
      <c r="QBM868" s="295" t="s">
        <v>71</v>
      </c>
      <c r="QBN868" s="295" t="s">
        <v>71</v>
      </c>
      <c r="QBO868" s="295" t="s">
        <v>71</v>
      </c>
      <c r="QBP868" s="295" t="s">
        <v>71</v>
      </c>
      <c r="QBQ868" s="295" t="s">
        <v>71</v>
      </c>
      <c r="QBR868" s="295" t="s">
        <v>71</v>
      </c>
      <c r="QBS868" s="295" t="s">
        <v>71</v>
      </c>
      <c r="QBT868" s="295" t="s">
        <v>71</v>
      </c>
      <c r="QBU868" s="295" t="s">
        <v>71</v>
      </c>
      <c r="QBV868" s="295" t="s">
        <v>71</v>
      </c>
      <c r="QBW868" s="295" t="s">
        <v>71</v>
      </c>
      <c r="QBX868" s="295" t="s">
        <v>71</v>
      </c>
      <c r="QBY868" s="295" t="s">
        <v>71</v>
      </c>
      <c r="QBZ868" s="295" t="s">
        <v>71</v>
      </c>
      <c r="QCA868" s="295" t="s">
        <v>71</v>
      </c>
      <c r="QCB868" s="295" t="s">
        <v>71</v>
      </c>
      <c r="QCC868" s="295" t="s">
        <v>71</v>
      </c>
      <c r="QCD868" s="295" t="s">
        <v>71</v>
      </c>
      <c r="QCE868" s="295" t="s">
        <v>71</v>
      </c>
      <c r="QCF868" s="295" t="s">
        <v>71</v>
      </c>
      <c r="QCG868" s="295" t="s">
        <v>71</v>
      </c>
      <c r="QCH868" s="295" t="s">
        <v>71</v>
      </c>
      <c r="QCI868" s="295" t="s">
        <v>71</v>
      </c>
      <c r="QCJ868" s="295" t="s">
        <v>71</v>
      </c>
      <c r="QCK868" s="295" t="s">
        <v>71</v>
      </c>
      <c r="QCL868" s="295" t="s">
        <v>71</v>
      </c>
      <c r="QCM868" s="295" t="s">
        <v>71</v>
      </c>
      <c r="QCN868" s="295" t="s">
        <v>71</v>
      </c>
      <c r="QCO868" s="295" t="s">
        <v>71</v>
      </c>
      <c r="QCP868" s="295" t="s">
        <v>71</v>
      </c>
      <c r="QCQ868" s="295" t="s">
        <v>71</v>
      </c>
      <c r="QCR868" s="295" t="s">
        <v>71</v>
      </c>
      <c r="QCS868" s="295" t="s">
        <v>71</v>
      </c>
      <c r="QCT868" s="295" t="s">
        <v>71</v>
      </c>
      <c r="QCU868" s="295" t="s">
        <v>71</v>
      </c>
      <c r="QCV868" s="295" t="s">
        <v>71</v>
      </c>
      <c r="QCW868" s="295" t="s">
        <v>71</v>
      </c>
      <c r="QCX868" s="295" t="s">
        <v>71</v>
      </c>
      <c r="QCY868" s="295" t="s">
        <v>71</v>
      </c>
      <c r="QCZ868" s="295" t="s">
        <v>71</v>
      </c>
      <c r="QDA868" s="295" t="s">
        <v>71</v>
      </c>
      <c r="QDB868" s="295" t="s">
        <v>71</v>
      </c>
      <c r="QDC868" s="295" t="s">
        <v>71</v>
      </c>
      <c r="QDD868" s="295" t="s">
        <v>71</v>
      </c>
      <c r="QDE868" s="295" t="s">
        <v>71</v>
      </c>
      <c r="QDF868" s="295" t="s">
        <v>71</v>
      </c>
      <c r="QDG868" s="295" t="s">
        <v>71</v>
      </c>
      <c r="QDH868" s="295" t="s">
        <v>71</v>
      </c>
      <c r="QDI868" s="295" t="s">
        <v>71</v>
      </c>
      <c r="QDJ868" s="295" t="s">
        <v>71</v>
      </c>
      <c r="QDK868" s="295" t="s">
        <v>71</v>
      </c>
      <c r="QDL868" s="295" t="s">
        <v>71</v>
      </c>
      <c r="QDM868" s="295" t="s">
        <v>71</v>
      </c>
      <c r="QDN868" s="295" t="s">
        <v>71</v>
      </c>
      <c r="QDO868" s="295" t="s">
        <v>71</v>
      </c>
      <c r="QDP868" s="295" t="s">
        <v>71</v>
      </c>
      <c r="QDQ868" s="295" t="s">
        <v>71</v>
      </c>
      <c r="QDR868" s="295" t="s">
        <v>71</v>
      </c>
      <c r="QDS868" s="295" t="s">
        <v>71</v>
      </c>
      <c r="QDT868" s="295" t="s">
        <v>71</v>
      </c>
      <c r="QDU868" s="295" t="s">
        <v>71</v>
      </c>
      <c r="QDV868" s="295" t="s">
        <v>71</v>
      </c>
      <c r="QDW868" s="295" t="s">
        <v>71</v>
      </c>
      <c r="QDX868" s="295" t="s">
        <v>71</v>
      </c>
      <c r="QDY868" s="295" t="s">
        <v>71</v>
      </c>
      <c r="QDZ868" s="295" t="s">
        <v>71</v>
      </c>
      <c r="QEA868" s="295" t="s">
        <v>71</v>
      </c>
      <c r="QEB868" s="295" t="s">
        <v>71</v>
      </c>
      <c r="QEC868" s="295" t="s">
        <v>71</v>
      </c>
      <c r="QED868" s="295" t="s">
        <v>71</v>
      </c>
      <c r="QEE868" s="295" t="s">
        <v>71</v>
      </c>
      <c r="QEF868" s="295" t="s">
        <v>71</v>
      </c>
      <c r="QEG868" s="295" t="s">
        <v>71</v>
      </c>
      <c r="QEH868" s="295" t="s">
        <v>71</v>
      </c>
      <c r="QEI868" s="295" t="s">
        <v>71</v>
      </c>
      <c r="QEJ868" s="295" t="s">
        <v>71</v>
      </c>
      <c r="QEK868" s="295" t="s">
        <v>71</v>
      </c>
      <c r="QEL868" s="295" t="s">
        <v>71</v>
      </c>
      <c r="QEM868" s="295" t="s">
        <v>71</v>
      </c>
      <c r="QEN868" s="295" t="s">
        <v>71</v>
      </c>
      <c r="QEO868" s="295" t="s">
        <v>71</v>
      </c>
      <c r="QEP868" s="295" t="s">
        <v>71</v>
      </c>
      <c r="QEQ868" s="295" t="s">
        <v>71</v>
      </c>
      <c r="QER868" s="295" t="s">
        <v>71</v>
      </c>
      <c r="QES868" s="295" t="s">
        <v>71</v>
      </c>
      <c r="QET868" s="295" t="s">
        <v>71</v>
      </c>
      <c r="QEU868" s="295" t="s">
        <v>71</v>
      </c>
      <c r="QEV868" s="295" t="s">
        <v>71</v>
      </c>
      <c r="QEW868" s="295" t="s">
        <v>71</v>
      </c>
      <c r="QEX868" s="295" t="s">
        <v>71</v>
      </c>
      <c r="QEY868" s="295" t="s">
        <v>71</v>
      </c>
      <c r="QEZ868" s="295" t="s">
        <v>71</v>
      </c>
      <c r="QFA868" s="295" t="s">
        <v>71</v>
      </c>
      <c r="QFB868" s="295" t="s">
        <v>71</v>
      </c>
      <c r="QFC868" s="295" t="s">
        <v>71</v>
      </c>
      <c r="QFD868" s="295" t="s">
        <v>71</v>
      </c>
      <c r="QFE868" s="295" t="s">
        <v>71</v>
      </c>
      <c r="QFF868" s="295" t="s">
        <v>71</v>
      </c>
      <c r="QFG868" s="295" t="s">
        <v>71</v>
      </c>
      <c r="QFH868" s="295" t="s">
        <v>71</v>
      </c>
      <c r="QFI868" s="295" t="s">
        <v>71</v>
      </c>
      <c r="QFJ868" s="295" t="s">
        <v>71</v>
      </c>
      <c r="QFK868" s="295" t="s">
        <v>71</v>
      </c>
      <c r="QFL868" s="295" t="s">
        <v>71</v>
      </c>
      <c r="QFM868" s="295" t="s">
        <v>71</v>
      </c>
      <c r="QFN868" s="295" t="s">
        <v>71</v>
      </c>
      <c r="QFO868" s="295" t="s">
        <v>71</v>
      </c>
      <c r="QFP868" s="295" t="s">
        <v>71</v>
      </c>
      <c r="QFQ868" s="295" t="s">
        <v>71</v>
      </c>
      <c r="QFR868" s="295" t="s">
        <v>71</v>
      </c>
      <c r="QFS868" s="295" t="s">
        <v>71</v>
      </c>
      <c r="QFT868" s="295" t="s">
        <v>71</v>
      </c>
      <c r="QFU868" s="295" t="s">
        <v>71</v>
      </c>
      <c r="QFV868" s="295" t="s">
        <v>71</v>
      </c>
      <c r="QFW868" s="295" t="s">
        <v>71</v>
      </c>
      <c r="QFX868" s="295" t="s">
        <v>71</v>
      </c>
      <c r="QFY868" s="295" t="s">
        <v>71</v>
      </c>
      <c r="QFZ868" s="295" t="s">
        <v>71</v>
      </c>
      <c r="QGA868" s="295" t="s">
        <v>71</v>
      </c>
      <c r="QGB868" s="295" t="s">
        <v>71</v>
      </c>
      <c r="QGC868" s="295" t="s">
        <v>71</v>
      </c>
      <c r="QGD868" s="295" t="s">
        <v>71</v>
      </c>
      <c r="QGE868" s="295" t="s">
        <v>71</v>
      </c>
      <c r="QGF868" s="295" t="s">
        <v>71</v>
      </c>
      <c r="QGG868" s="295" t="s">
        <v>71</v>
      </c>
      <c r="QGH868" s="295" t="s">
        <v>71</v>
      </c>
      <c r="QGI868" s="295" t="s">
        <v>71</v>
      </c>
      <c r="QGJ868" s="295" t="s">
        <v>71</v>
      </c>
      <c r="QGK868" s="295" t="s">
        <v>71</v>
      </c>
      <c r="QGL868" s="295" t="s">
        <v>71</v>
      </c>
      <c r="QGM868" s="295" t="s">
        <v>71</v>
      </c>
      <c r="QGN868" s="295" t="s">
        <v>71</v>
      </c>
      <c r="QGO868" s="295" t="s">
        <v>71</v>
      </c>
      <c r="QGP868" s="295" t="s">
        <v>71</v>
      </c>
      <c r="QGQ868" s="295" t="s">
        <v>71</v>
      </c>
      <c r="QGR868" s="295" t="s">
        <v>71</v>
      </c>
      <c r="QGS868" s="295" t="s">
        <v>71</v>
      </c>
      <c r="QGT868" s="295" t="s">
        <v>71</v>
      </c>
      <c r="QGU868" s="295" t="s">
        <v>71</v>
      </c>
      <c r="QGV868" s="295" t="s">
        <v>71</v>
      </c>
      <c r="QGW868" s="295" t="s">
        <v>71</v>
      </c>
      <c r="QGX868" s="295" t="s">
        <v>71</v>
      </c>
      <c r="QGY868" s="295" t="s">
        <v>71</v>
      </c>
      <c r="QGZ868" s="295" t="s">
        <v>71</v>
      </c>
      <c r="QHA868" s="295" t="s">
        <v>71</v>
      </c>
      <c r="QHB868" s="295" t="s">
        <v>71</v>
      </c>
      <c r="QHC868" s="295" t="s">
        <v>71</v>
      </c>
      <c r="QHD868" s="295" t="s">
        <v>71</v>
      </c>
      <c r="QHE868" s="295" t="s">
        <v>71</v>
      </c>
      <c r="QHF868" s="295" t="s">
        <v>71</v>
      </c>
      <c r="QHG868" s="295" t="s">
        <v>71</v>
      </c>
      <c r="QHH868" s="295" t="s">
        <v>71</v>
      </c>
      <c r="QHI868" s="295" t="s">
        <v>71</v>
      </c>
      <c r="QHJ868" s="295" t="s">
        <v>71</v>
      </c>
      <c r="QHK868" s="295" t="s">
        <v>71</v>
      </c>
      <c r="QHL868" s="295" t="s">
        <v>71</v>
      </c>
      <c r="QHM868" s="295" t="s">
        <v>71</v>
      </c>
      <c r="QHN868" s="295" t="s">
        <v>71</v>
      </c>
      <c r="QHO868" s="295" t="s">
        <v>71</v>
      </c>
      <c r="QHP868" s="295" t="s">
        <v>71</v>
      </c>
      <c r="QHQ868" s="295" t="s">
        <v>71</v>
      </c>
      <c r="QHR868" s="295" t="s">
        <v>71</v>
      </c>
      <c r="QHS868" s="295" t="s">
        <v>71</v>
      </c>
      <c r="QHT868" s="295" t="s">
        <v>71</v>
      </c>
      <c r="QHU868" s="295" t="s">
        <v>71</v>
      </c>
      <c r="QHV868" s="295" t="s">
        <v>71</v>
      </c>
      <c r="QHW868" s="295" t="s">
        <v>71</v>
      </c>
      <c r="QHX868" s="295" t="s">
        <v>71</v>
      </c>
      <c r="QHY868" s="295" t="s">
        <v>71</v>
      </c>
      <c r="QHZ868" s="295" t="s">
        <v>71</v>
      </c>
      <c r="QIA868" s="295" t="s">
        <v>71</v>
      </c>
      <c r="QIB868" s="295" t="s">
        <v>71</v>
      </c>
      <c r="QIC868" s="295" t="s">
        <v>71</v>
      </c>
      <c r="QID868" s="295" t="s">
        <v>71</v>
      </c>
      <c r="QIE868" s="295" t="s">
        <v>71</v>
      </c>
      <c r="QIF868" s="295" t="s">
        <v>71</v>
      </c>
      <c r="QIG868" s="295" t="s">
        <v>71</v>
      </c>
      <c r="QIH868" s="295" t="s">
        <v>71</v>
      </c>
      <c r="QII868" s="295" t="s">
        <v>71</v>
      </c>
      <c r="QIJ868" s="295" t="s">
        <v>71</v>
      </c>
      <c r="QIK868" s="295" t="s">
        <v>71</v>
      </c>
      <c r="QIL868" s="295" t="s">
        <v>71</v>
      </c>
      <c r="QIM868" s="295" t="s">
        <v>71</v>
      </c>
      <c r="QIN868" s="295" t="s">
        <v>71</v>
      </c>
      <c r="QIO868" s="295" t="s">
        <v>71</v>
      </c>
      <c r="QIP868" s="295" t="s">
        <v>71</v>
      </c>
      <c r="QIQ868" s="295" t="s">
        <v>71</v>
      </c>
      <c r="QIR868" s="295" t="s">
        <v>71</v>
      </c>
      <c r="QIS868" s="295" t="s">
        <v>71</v>
      </c>
      <c r="QIT868" s="295" t="s">
        <v>71</v>
      </c>
      <c r="QIU868" s="295" t="s">
        <v>71</v>
      </c>
      <c r="QIV868" s="295" t="s">
        <v>71</v>
      </c>
      <c r="QIW868" s="295" t="s">
        <v>71</v>
      </c>
      <c r="QIX868" s="295" t="s">
        <v>71</v>
      </c>
      <c r="QIY868" s="295" t="s">
        <v>71</v>
      </c>
      <c r="QIZ868" s="295" t="s">
        <v>71</v>
      </c>
      <c r="QJA868" s="295" t="s">
        <v>71</v>
      </c>
      <c r="QJB868" s="295" t="s">
        <v>71</v>
      </c>
      <c r="QJC868" s="295" t="s">
        <v>71</v>
      </c>
      <c r="QJD868" s="295" t="s">
        <v>71</v>
      </c>
      <c r="QJE868" s="295" t="s">
        <v>71</v>
      </c>
      <c r="QJF868" s="295" t="s">
        <v>71</v>
      </c>
      <c r="QJG868" s="295" t="s">
        <v>71</v>
      </c>
      <c r="QJH868" s="295" t="s">
        <v>71</v>
      </c>
      <c r="QJI868" s="295" t="s">
        <v>71</v>
      </c>
      <c r="QJJ868" s="295" t="s">
        <v>71</v>
      </c>
      <c r="QJK868" s="295" t="s">
        <v>71</v>
      </c>
      <c r="QJL868" s="295" t="s">
        <v>71</v>
      </c>
      <c r="QJM868" s="295" t="s">
        <v>71</v>
      </c>
      <c r="QJN868" s="295" t="s">
        <v>71</v>
      </c>
      <c r="QJO868" s="295" t="s">
        <v>71</v>
      </c>
      <c r="QJP868" s="295" t="s">
        <v>71</v>
      </c>
      <c r="QJQ868" s="295" t="s">
        <v>71</v>
      </c>
      <c r="QJR868" s="295" t="s">
        <v>71</v>
      </c>
      <c r="QJS868" s="295" t="s">
        <v>71</v>
      </c>
      <c r="QJT868" s="295" t="s">
        <v>71</v>
      </c>
      <c r="QJU868" s="295" t="s">
        <v>71</v>
      </c>
      <c r="QJV868" s="295" t="s">
        <v>71</v>
      </c>
      <c r="QJW868" s="295" t="s">
        <v>71</v>
      </c>
      <c r="QJX868" s="295" t="s">
        <v>71</v>
      </c>
      <c r="QJY868" s="295" t="s">
        <v>71</v>
      </c>
      <c r="QJZ868" s="295" t="s">
        <v>71</v>
      </c>
      <c r="QKA868" s="295" t="s">
        <v>71</v>
      </c>
      <c r="QKB868" s="295" t="s">
        <v>71</v>
      </c>
      <c r="QKC868" s="295" t="s">
        <v>71</v>
      </c>
      <c r="QKD868" s="295" t="s">
        <v>71</v>
      </c>
      <c r="QKE868" s="295" t="s">
        <v>71</v>
      </c>
      <c r="QKF868" s="295" t="s">
        <v>71</v>
      </c>
      <c r="QKG868" s="295" t="s">
        <v>71</v>
      </c>
      <c r="QKH868" s="295" t="s">
        <v>71</v>
      </c>
      <c r="QKI868" s="295" t="s">
        <v>71</v>
      </c>
      <c r="QKJ868" s="295" t="s">
        <v>71</v>
      </c>
      <c r="QKK868" s="295" t="s">
        <v>71</v>
      </c>
      <c r="QKL868" s="295" t="s">
        <v>71</v>
      </c>
      <c r="QKM868" s="295" t="s">
        <v>71</v>
      </c>
      <c r="QKN868" s="295" t="s">
        <v>71</v>
      </c>
      <c r="QKO868" s="295" t="s">
        <v>71</v>
      </c>
      <c r="QKP868" s="295" t="s">
        <v>71</v>
      </c>
      <c r="QKQ868" s="295" t="s">
        <v>71</v>
      </c>
      <c r="QKR868" s="295" t="s">
        <v>71</v>
      </c>
      <c r="QKS868" s="295" t="s">
        <v>71</v>
      </c>
      <c r="QKT868" s="295" t="s">
        <v>71</v>
      </c>
      <c r="QKU868" s="295" t="s">
        <v>71</v>
      </c>
      <c r="QKV868" s="295" t="s">
        <v>71</v>
      </c>
      <c r="QKW868" s="295" t="s">
        <v>71</v>
      </c>
      <c r="QKX868" s="295" t="s">
        <v>71</v>
      </c>
      <c r="QKY868" s="295" t="s">
        <v>71</v>
      </c>
      <c r="QKZ868" s="295" t="s">
        <v>71</v>
      </c>
      <c r="QLA868" s="295" t="s">
        <v>71</v>
      </c>
      <c r="QLB868" s="295" t="s">
        <v>71</v>
      </c>
      <c r="QLC868" s="295" t="s">
        <v>71</v>
      </c>
      <c r="QLD868" s="295" t="s">
        <v>71</v>
      </c>
      <c r="QLE868" s="295" t="s">
        <v>71</v>
      </c>
      <c r="QLF868" s="295" t="s">
        <v>71</v>
      </c>
      <c r="QLG868" s="295" t="s">
        <v>71</v>
      </c>
      <c r="QLH868" s="295" t="s">
        <v>71</v>
      </c>
      <c r="QLI868" s="295" t="s">
        <v>71</v>
      </c>
      <c r="QLJ868" s="295" t="s">
        <v>71</v>
      </c>
      <c r="QLK868" s="295" t="s">
        <v>71</v>
      </c>
      <c r="QLL868" s="295" t="s">
        <v>71</v>
      </c>
      <c r="QLM868" s="295" t="s">
        <v>71</v>
      </c>
      <c r="QLN868" s="295" t="s">
        <v>71</v>
      </c>
      <c r="QLO868" s="295" t="s">
        <v>71</v>
      </c>
      <c r="QLP868" s="295" t="s">
        <v>71</v>
      </c>
      <c r="QLQ868" s="295" t="s">
        <v>71</v>
      </c>
      <c r="QLR868" s="295" t="s">
        <v>71</v>
      </c>
      <c r="QLS868" s="295" t="s">
        <v>71</v>
      </c>
      <c r="QLT868" s="295" t="s">
        <v>71</v>
      </c>
      <c r="QLU868" s="295" t="s">
        <v>71</v>
      </c>
      <c r="QLV868" s="295" t="s">
        <v>71</v>
      </c>
      <c r="QLW868" s="295" t="s">
        <v>71</v>
      </c>
      <c r="QLX868" s="295" t="s">
        <v>71</v>
      </c>
      <c r="QLY868" s="295" t="s">
        <v>71</v>
      </c>
      <c r="QLZ868" s="295" t="s">
        <v>71</v>
      </c>
      <c r="QMA868" s="295" t="s">
        <v>71</v>
      </c>
      <c r="QMB868" s="295" t="s">
        <v>71</v>
      </c>
      <c r="QMC868" s="295" t="s">
        <v>71</v>
      </c>
      <c r="QMD868" s="295" t="s">
        <v>71</v>
      </c>
      <c r="QME868" s="295" t="s">
        <v>71</v>
      </c>
      <c r="QMF868" s="295" t="s">
        <v>71</v>
      </c>
      <c r="QMG868" s="295" t="s">
        <v>71</v>
      </c>
      <c r="QMH868" s="295" t="s">
        <v>71</v>
      </c>
      <c r="QMI868" s="295" t="s">
        <v>71</v>
      </c>
      <c r="QMJ868" s="295" t="s">
        <v>71</v>
      </c>
      <c r="QMK868" s="295" t="s">
        <v>71</v>
      </c>
      <c r="QML868" s="295" t="s">
        <v>71</v>
      </c>
      <c r="QMM868" s="295" t="s">
        <v>71</v>
      </c>
      <c r="QMN868" s="295" t="s">
        <v>71</v>
      </c>
      <c r="QMO868" s="295" t="s">
        <v>71</v>
      </c>
      <c r="QMP868" s="295" t="s">
        <v>71</v>
      </c>
      <c r="QMQ868" s="295" t="s">
        <v>71</v>
      </c>
      <c r="QMR868" s="295" t="s">
        <v>71</v>
      </c>
      <c r="QMS868" s="295" t="s">
        <v>71</v>
      </c>
      <c r="QMT868" s="295" t="s">
        <v>71</v>
      </c>
      <c r="QMU868" s="295" t="s">
        <v>71</v>
      </c>
      <c r="QMV868" s="295" t="s">
        <v>71</v>
      </c>
      <c r="QMW868" s="295" t="s">
        <v>71</v>
      </c>
      <c r="QMX868" s="295" t="s">
        <v>71</v>
      </c>
      <c r="QMY868" s="295" t="s">
        <v>71</v>
      </c>
      <c r="QMZ868" s="295" t="s">
        <v>71</v>
      </c>
      <c r="QNA868" s="295" t="s">
        <v>71</v>
      </c>
      <c r="QNB868" s="295" t="s">
        <v>71</v>
      </c>
      <c r="QNC868" s="295" t="s">
        <v>71</v>
      </c>
      <c r="QND868" s="295" t="s">
        <v>71</v>
      </c>
      <c r="QNE868" s="295" t="s">
        <v>71</v>
      </c>
      <c r="QNF868" s="295" t="s">
        <v>71</v>
      </c>
      <c r="QNG868" s="295" t="s">
        <v>71</v>
      </c>
      <c r="QNH868" s="295" t="s">
        <v>71</v>
      </c>
      <c r="QNI868" s="295" t="s">
        <v>71</v>
      </c>
      <c r="QNJ868" s="295" t="s">
        <v>71</v>
      </c>
      <c r="QNK868" s="295" t="s">
        <v>71</v>
      </c>
      <c r="QNL868" s="295" t="s">
        <v>71</v>
      </c>
      <c r="QNM868" s="295" t="s">
        <v>71</v>
      </c>
      <c r="QNN868" s="295" t="s">
        <v>71</v>
      </c>
      <c r="QNO868" s="295" t="s">
        <v>71</v>
      </c>
      <c r="QNP868" s="295" t="s">
        <v>71</v>
      </c>
      <c r="QNQ868" s="295" t="s">
        <v>71</v>
      </c>
      <c r="QNR868" s="295" t="s">
        <v>71</v>
      </c>
      <c r="QNS868" s="295" t="s">
        <v>71</v>
      </c>
      <c r="QNT868" s="295" t="s">
        <v>71</v>
      </c>
      <c r="QNU868" s="295" t="s">
        <v>71</v>
      </c>
      <c r="QNV868" s="295" t="s">
        <v>71</v>
      </c>
      <c r="QNW868" s="295" t="s">
        <v>71</v>
      </c>
      <c r="QNX868" s="295" t="s">
        <v>71</v>
      </c>
      <c r="QNY868" s="295" t="s">
        <v>71</v>
      </c>
      <c r="QNZ868" s="295" t="s">
        <v>71</v>
      </c>
      <c r="QOA868" s="295" t="s">
        <v>71</v>
      </c>
      <c r="QOB868" s="295" t="s">
        <v>71</v>
      </c>
      <c r="QOC868" s="295" t="s">
        <v>71</v>
      </c>
      <c r="QOD868" s="295" t="s">
        <v>71</v>
      </c>
      <c r="QOE868" s="295" t="s">
        <v>71</v>
      </c>
      <c r="QOF868" s="295" t="s">
        <v>71</v>
      </c>
      <c r="QOG868" s="295" t="s">
        <v>71</v>
      </c>
      <c r="QOH868" s="295" t="s">
        <v>71</v>
      </c>
      <c r="QOI868" s="295" t="s">
        <v>71</v>
      </c>
      <c r="QOJ868" s="295" t="s">
        <v>71</v>
      </c>
      <c r="QOK868" s="295" t="s">
        <v>71</v>
      </c>
      <c r="QOL868" s="295" t="s">
        <v>71</v>
      </c>
      <c r="QOM868" s="295" t="s">
        <v>71</v>
      </c>
      <c r="QON868" s="295" t="s">
        <v>71</v>
      </c>
      <c r="QOO868" s="295" t="s">
        <v>71</v>
      </c>
      <c r="QOP868" s="295" t="s">
        <v>71</v>
      </c>
      <c r="QOQ868" s="295" t="s">
        <v>71</v>
      </c>
      <c r="QOR868" s="295" t="s">
        <v>71</v>
      </c>
      <c r="QOS868" s="295" t="s">
        <v>71</v>
      </c>
      <c r="QOT868" s="295" t="s">
        <v>71</v>
      </c>
      <c r="QOU868" s="295" t="s">
        <v>71</v>
      </c>
      <c r="QOV868" s="295" t="s">
        <v>71</v>
      </c>
      <c r="QOW868" s="295" t="s">
        <v>71</v>
      </c>
      <c r="QOX868" s="295" t="s">
        <v>71</v>
      </c>
      <c r="QOY868" s="295" t="s">
        <v>71</v>
      </c>
      <c r="QOZ868" s="295" t="s">
        <v>71</v>
      </c>
      <c r="QPA868" s="295" t="s">
        <v>71</v>
      </c>
      <c r="QPB868" s="295" t="s">
        <v>71</v>
      </c>
      <c r="QPC868" s="295" t="s">
        <v>71</v>
      </c>
      <c r="QPD868" s="295" t="s">
        <v>71</v>
      </c>
      <c r="QPE868" s="295" t="s">
        <v>71</v>
      </c>
      <c r="QPF868" s="295" t="s">
        <v>71</v>
      </c>
      <c r="QPG868" s="295" t="s">
        <v>71</v>
      </c>
      <c r="QPH868" s="295" t="s">
        <v>71</v>
      </c>
      <c r="QPI868" s="295" t="s">
        <v>71</v>
      </c>
      <c r="QPJ868" s="295" t="s">
        <v>71</v>
      </c>
      <c r="QPK868" s="295" t="s">
        <v>71</v>
      </c>
      <c r="QPL868" s="295" t="s">
        <v>71</v>
      </c>
      <c r="QPM868" s="295" t="s">
        <v>71</v>
      </c>
      <c r="QPN868" s="295" t="s">
        <v>71</v>
      </c>
      <c r="QPO868" s="295" t="s">
        <v>71</v>
      </c>
      <c r="QPP868" s="295" t="s">
        <v>71</v>
      </c>
      <c r="QPQ868" s="295" t="s">
        <v>71</v>
      </c>
      <c r="QPR868" s="295" t="s">
        <v>71</v>
      </c>
      <c r="QPS868" s="295" t="s">
        <v>71</v>
      </c>
      <c r="QPT868" s="295" t="s">
        <v>71</v>
      </c>
      <c r="QPU868" s="295" t="s">
        <v>71</v>
      </c>
      <c r="QPV868" s="295" t="s">
        <v>71</v>
      </c>
      <c r="QPW868" s="295" t="s">
        <v>71</v>
      </c>
      <c r="QPX868" s="295" t="s">
        <v>71</v>
      </c>
      <c r="QPY868" s="295" t="s">
        <v>71</v>
      </c>
      <c r="QPZ868" s="295" t="s">
        <v>71</v>
      </c>
      <c r="QQA868" s="295" t="s">
        <v>71</v>
      </c>
      <c r="QQB868" s="295" t="s">
        <v>71</v>
      </c>
      <c r="QQC868" s="295" t="s">
        <v>71</v>
      </c>
      <c r="QQD868" s="295" t="s">
        <v>71</v>
      </c>
      <c r="QQE868" s="295" t="s">
        <v>71</v>
      </c>
      <c r="QQF868" s="295" t="s">
        <v>71</v>
      </c>
      <c r="QQG868" s="295" t="s">
        <v>71</v>
      </c>
      <c r="QQH868" s="295" t="s">
        <v>71</v>
      </c>
      <c r="QQI868" s="295" t="s">
        <v>71</v>
      </c>
      <c r="QQJ868" s="295" t="s">
        <v>71</v>
      </c>
      <c r="QQK868" s="295" t="s">
        <v>71</v>
      </c>
      <c r="QQL868" s="295" t="s">
        <v>71</v>
      </c>
      <c r="QQM868" s="295" t="s">
        <v>71</v>
      </c>
      <c r="QQN868" s="295" t="s">
        <v>71</v>
      </c>
      <c r="QQO868" s="295" t="s">
        <v>71</v>
      </c>
      <c r="QQP868" s="295" t="s">
        <v>71</v>
      </c>
      <c r="QQQ868" s="295" t="s">
        <v>71</v>
      </c>
      <c r="QQR868" s="295" t="s">
        <v>71</v>
      </c>
      <c r="QQS868" s="295" t="s">
        <v>71</v>
      </c>
      <c r="QQT868" s="295" t="s">
        <v>71</v>
      </c>
      <c r="QQU868" s="295" t="s">
        <v>71</v>
      </c>
      <c r="QQV868" s="295" t="s">
        <v>71</v>
      </c>
      <c r="QQW868" s="295" t="s">
        <v>71</v>
      </c>
      <c r="QQX868" s="295" t="s">
        <v>71</v>
      </c>
      <c r="QQY868" s="295" t="s">
        <v>71</v>
      </c>
      <c r="QQZ868" s="295" t="s">
        <v>71</v>
      </c>
      <c r="QRA868" s="295" t="s">
        <v>71</v>
      </c>
      <c r="QRB868" s="295" t="s">
        <v>71</v>
      </c>
      <c r="QRC868" s="295" t="s">
        <v>71</v>
      </c>
      <c r="QRD868" s="295" t="s">
        <v>71</v>
      </c>
      <c r="QRE868" s="295" t="s">
        <v>71</v>
      </c>
      <c r="QRF868" s="295" t="s">
        <v>71</v>
      </c>
      <c r="QRG868" s="295" t="s">
        <v>71</v>
      </c>
      <c r="QRH868" s="295" t="s">
        <v>71</v>
      </c>
      <c r="QRI868" s="295" t="s">
        <v>71</v>
      </c>
      <c r="QRJ868" s="295" t="s">
        <v>71</v>
      </c>
      <c r="QRK868" s="295" t="s">
        <v>71</v>
      </c>
      <c r="QRL868" s="295" t="s">
        <v>71</v>
      </c>
      <c r="QRM868" s="295" t="s">
        <v>71</v>
      </c>
      <c r="QRN868" s="295" t="s">
        <v>71</v>
      </c>
      <c r="QRO868" s="295" t="s">
        <v>71</v>
      </c>
      <c r="QRP868" s="295" t="s">
        <v>71</v>
      </c>
      <c r="QRQ868" s="295" t="s">
        <v>71</v>
      </c>
      <c r="QRR868" s="295" t="s">
        <v>71</v>
      </c>
      <c r="QRS868" s="295" t="s">
        <v>71</v>
      </c>
      <c r="QRT868" s="295" t="s">
        <v>71</v>
      </c>
      <c r="QRU868" s="295" t="s">
        <v>71</v>
      </c>
      <c r="QRV868" s="295" t="s">
        <v>71</v>
      </c>
      <c r="QRW868" s="295" t="s">
        <v>71</v>
      </c>
      <c r="QRX868" s="295" t="s">
        <v>71</v>
      </c>
      <c r="QRY868" s="295" t="s">
        <v>71</v>
      </c>
      <c r="QRZ868" s="295" t="s">
        <v>71</v>
      </c>
      <c r="QSA868" s="295" t="s">
        <v>71</v>
      </c>
      <c r="QSB868" s="295" t="s">
        <v>71</v>
      </c>
      <c r="QSC868" s="295" t="s">
        <v>71</v>
      </c>
      <c r="QSD868" s="295" t="s">
        <v>71</v>
      </c>
      <c r="QSE868" s="295" t="s">
        <v>71</v>
      </c>
      <c r="QSF868" s="295" t="s">
        <v>71</v>
      </c>
      <c r="QSG868" s="295" t="s">
        <v>71</v>
      </c>
      <c r="QSH868" s="295" t="s">
        <v>71</v>
      </c>
      <c r="QSI868" s="295" t="s">
        <v>71</v>
      </c>
      <c r="QSJ868" s="295" t="s">
        <v>71</v>
      </c>
      <c r="QSK868" s="295" t="s">
        <v>71</v>
      </c>
      <c r="QSL868" s="295" t="s">
        <v>71</v>
      </c>
      <c r="QSM868" s="295" t="s">
        <v>71</v>
      </c>
      <c r="QSN868" s="295" t="s">
        <v>71</v>
      </c>
      <c r="QSO868" s="295" t="s">
        <v>71</v>
      </c>
      <c r="QSP868" s="295" t="s">
        <v>71</v>
      </c>
      <c r="QSQ868" s="295" t="s">
        <v>71</v>
      </c>
      <c r="QSR868" s="295" t="s">
        <v>71</v>
      </c>
      <c r="QSS868" s="295" t="s">
        <v>71</v>
      </c>
      <c r="QST868" s="295" t="s">
        <v>71</v>
      </c>
      <c r="QSU868" s="295" t="s">
        <v>71</v>
      </c>
      <c r="QSV868" s="295" t="s">
        <v>71</v>
      </c>
      <c r="QSW868" s="295" t="s">
        <v>71</v>
      </c>
      <c r="QSX868" s="295" t="s">
        <v>71</v>
      </c>
      <c r="QSY868" s="295" t="s">
        <v>71</v>
      </c>
      <c r="QSZ868" s="295" t="s">
        <v>71</v>
      </c>
      <c r="QTA868" s="295" t="s">
        <v>71</v>
      </c>
      <c r="QTB868" s="295" t="s">
        <v>71</v>
      </c>
      <c r="QTC868" s="295" t="s">
        <v>71</v>
      </c>
      <c r="QTD868" s="295" t="s">
        <v>71</v>
      </c>
      <c r="QTE868" s="295" t="s">
        <v>71</v>
      </c>
      <c r="QTF868" s="295" t="s">
        <v>71</v>
      </c>
      <c r="QTG868" s="295" t="s">
        <v>71</v>
      </c>
      <c r="QTH868" s="295" t="s">
        <v>71</v>
      </c>
      <c r="QTI868" s="295" t="s">
        <v>71</v>
      </c>
      <c r="QTJ868" s="295" t="s">
        <v>71</v>
      </c>
      <c r="QTK868" s="295" t="s">
        <v>71</v>
      </c>
      <c r="QTL868" s="295" t="s">
        <v>71</v>
      </c>
      <c r="QTM868" s="295" t="s">
        <v>71</v>
      </c>
      <c r="QTN868" s="295" t="s">
        <v>71</v>
      </c>
      <c r="QTO868" s="295" t="s">
        <v>71</v>
      </c>
      <c r="QTP868" s="295" t="s">
        <v>71</v>
      </c>
      <c r="QTQ868" s="295" t="s">
        <v>71</v>
      </c>
      <c r="QTR868" s="295" t="s">
        <v>71</v>
      </c>
      <c r="QTS868" s="295" t="s">
        <v>71</v>
      </c>
      <c r="QTT868" s="295" t="s">
        <v>71</v>
      </c>
      <c r="QTU868" s="295" t="s">
        <v>71</v>
      </c>
      <c r="QTV868" s="295" t="s">
        <v>71</v>
      </c>
      <c r="QTW868" s="295" t="s">
        <v>71</v>
      </c>
      <c r="QTX868" s="295" t="s">
        <v>71</v>
      </c>
      <c r="QTY868" s="295" t="s">
        <v>71</v>
      </c>
      <c r="QTZ868" s="295" t="s">
        <v>71</v>
      </c>
      <c r="QUA868" s="295" t="s">
        <v>71</v>
      </c>
      <c r="QUB868" s="295" t="s">
        <v>71</v>
      </c>
      <c r="QUC868" s="295" t="s">
        <v>71</v>
      </c>
      <c r="QUD868" s="295" t="s">
        <v>71</v>
      </c>
      <c r="QUE868" s="295" t="s">
        <v>71</v>
      </c>
      <c r="QUF868" s="295" t="s">
        <v>71</v>
      </c>
      <c r="QUG868" s="295" t="s">
        <v>71</v>
      </c>
      <c r="QUH868" s="295" t="s">
        <v>71</v>
      </c>
      <c r="QUI868" s="295" t="s">
        <v>71</v>
      </c>
      <c r="QUJ868" s="295" t="s">
        <v>71</v>
      </c>
      <c r="QUK868" s="295" t="s">
        <v>71</v>
      </c>
      <c r="QUL868" s="295" t="s">
        <v>71</v>
      </c>
      <c r="QUM868" s="295" t="s">
        <v>71</v>
      </c>
      <c r="QUN868" s="295" t="s">
        <v>71</v>
      </c>
      <c r="QUO868" s="295" t="s">
        <v>71</v>
      </c>
      <c r="QUP868" s="295" t="s">
        <v>71</v>
      </c>
      <c r="QUQ868" s="295" t="s">
        <v>71</v>
      </c>
      <c r="QUR868" s="295" t="s">
        <v>71</v>
      </c>
      <c r="QUS868" s="295" t="s">
        <v>71</v>
      </c>
      <c r="QUT868" s="295" t="s">
        <v>71</v>
      </c>
      <c r="QUU868" s="295" t="s">
        <v>71</v>
      </c>
      <c r="QUV868" s="295" t="s">
        <v>71</v>
      </c>
      <c r="QUW868" s="295" t="s">
        <v>71</v>
      </c>
      <c r="QUX868" s="295" t="s">
        <v>71</v>
      </c>
      <c r="QUY868" s="295" t="s">
        <v>71</v>
      </c>
      <c r="QUZ868" s="295" t="s">
        <v>71</v>
      </c>
      <c r="QVA868" s="295" t="s">
        <v>71</v>
      </c>
      <c r="QVB868" s="295" t="s">
        <v>71</v>
      </c>
      <c r="QVC868" s="295" t="s">
        <v>71</v>
      </c>
      <c r="QVD868" s="295" t="s">
        <v>71</v>
      </c>
      <c r="QVE868" s="295" t="s">
        <v>71</v>
      </c>
      <c r="QVF868" s="295" t="s">
        <v>71</v>
      </c>
      <c r="QVG868" s="295" t="s">
        <v>71</v>
      </c>
      <c r="QVH868" s="295" t="s">
        <v>71</v>
      </c>
      <c r="QVI868" s="295" t="s">
        <v>71</v>
      </c>
      <c r="QVJ868" s="295" t="s">
        <v>71</v>
      </c>
      <c r="QVK868" s="295" t="s">
        <v>71</v>
      </c>
      <c r="QVL868" s="295" t="s">
        <v>71</v>
      </c>
      <c r="QVM868" s="295" t="s">
        <v>71</v>
      </c>
      <c r="QVN868" s="295" t="s">
        <v>71</v>
      </c>
      <c r="QVO868" s="295" t="s">
        <v>71</v>
      </c>
      <c r="QVP868" s="295" t="s">
        <v>71</v>
      </c>
      <c r="QVQ868" s="295" t="s">
        <v>71</v>
      </c>
      <c r="QVR868" s="295" t="s">
        <v>71</v>
      </c>
      <c r="QVS868" s="295" t="s">
        <v>71</v>
      </c>
      <c r="QVT868" s="295" t="s">
        <v>71</v>
      </c>
      <c r="QVU868" s="295" t="s">
        <v>71</v>
      </c>
      <c r="QVV868" s="295" t="s">
        <v>71</v>
      </c>
      <c r="QVW868" s="295" t="s">
        <v>71</v>
      </c>
      <c r="QVX868" s="295" t="s">
        <v>71</v>
      </c>
      <c r="QVY868" s="295" t="s">
        <v>71</v>
      </c>
      <c r="QVZ868" s="295" t="s">
        <v>71</v>
      </c>
      <c r="QWA868" s="295" t="s">
        <v>71</v>
      </c>
      <c r="QWB868" s="295" t="s">
        <v>71</v>
      </c>
      <c r="QWC868" s="295" t="s">
        <v>71</v>
      </c>
      <c r="QWD868" s="295" t="s">
        <v>71</v>
      </c>
      <c r="QWE868" s="295" t="s">
        <v>71</v>
      </c>
      <c r="QWF868" s="295" t="s">
        <v>71</v>
      </c>
      <c r="QWG868" s="295" t="s">
        <v>71</v>
      </c>
      <c r="QWH868" s="295" t="s">
        <v>71</v>
      </c>
      <c r="QWI868" s="295" t="s">
        <v>71</v>
      </c>
      <c r="QWJ868" s="295" t="s">
        <v>71</v>
      </c>
      <c r="QWK868" s="295" t="s">
        <v>71</v>
      </c>
      <c r="QWL868" s="295" t="s">
        <v>71</v>
      </c>
      <c r="QWM868" s="295" t="s">
        <v>71</v>
      </c>
      <c r="QWN868" s="295" t="s">
        <v>71</v>
      </c>
      <c r="QWO868" s="295" t="s">
        <v>71</v>
      </c>
      <c r="QWP868" s="295" t="s">
        <v>71</v>
      </c>
      <c r="QWQ868" s="295" t="s">
        <v>71</v>
      </c>
      <c r="QWR868" s="295" t="s">
        <v>71</v>
      </c>
      <c r="QWS868" s="295" t="s">
        <v>71</v>
      </c>
      <c r="QWT868" s="295" t="s">
        <v>71</v>
      </c>
      <c r="QWU868" s="295" t="s">
        <v>71</v>
      </c>
      <c r="QWV868" s="295" t="s">
        <v>71</v>
      </c>
      <c r="QWW868" s="295" t="s">
        <v>71</v>
      </c>
      <c r="QWX868" s="295" t="s">
        <v>71</v>
      </c>
      <c r="QWY868" s="295" t="s">
        <v>71</v>
      </c>
      <c r="QWZ868" s="295" t="s">
        <v>71</v>
      </c>
      <c r="QXA868" s="295" t="s">
        <v>71</v>
      </c>
      <c r="QXB868" s="295" t="s">
        <v>71</v>
      </c>
      <c r="QXC868" s="295" t="s">
        <v>71</v>
      </c>
      <c r="QXD868" s="295" t="s">
        <v>71</v>
      </c>
      <c r="QXE868" s="295" t="s">
        <v>71</v>
      </c>
      <c r="QXF868" s="295" t="s">
        <v>71</v>
      </c>
      <c r="QXG868" s="295" t="s">
        <v>71</v>
      </c>
      <c r="QXH868" s="295" t="s">
        <v>71</v>
      </c>
      <c r="QXI868" s="295" t="s">
        <v>71</v>
      </c>
      <c r="QXJ868" s="295" t="s">
        <v>71</v>
      </c>
      <c r="QXK868" s="295" t="s">
        <v>71</v>
      </c>
      <c r="QXL868" s="295" t="s">
        <v>71</v>
      </c>
      <c r="QXM868" s="295" t="s">
        <v>71</v>
      </c>
      <c r="QXN868" s="295" t="s">
        <v>71</v>
      </c>
      <c r="QXO868" s="295" t="s">
        <v>71</v>
      </c>
      <c r="QXP868" s="295" t="s">
        <v>71</v>
      </c>
      <c r="QXQ868" s="295" t="s">
        <v>71</v>
      </c>
      <c r="QXR868" s="295" t="s">
        <v>71</v>
      </c>
      <c r="QXS868" s="295" t="s">
        <v>71</v>
      </c>
      <c r="QXT868" s="295" t="s">
        <v>71</v>
      </c>
      <c r="QXU868" s="295" t="s">
        <v>71</v>
      </c>
      <c r="QXV868" s="295" t="s">
        <v>71</v>
      </c>
      <c r="QXW868" s="295" t="s">
        <v>71</v>
      </c>
      <c r="QXX868" s="295" t="s">
        <v>71</v>
      </c>
      <c r="QXY868" s="295" t="s">
        <v>71</v>
      </c>
      <c r="QXZ868" s="295" t="s">
        <v>71</v>
      </c>
      <c r="QYA868" s="295" t="s">
        <v>71</v>
      </c>
      <c r="QYB868" s="295" t="s">
        <v>71</v>
      </c>
      <c r="QYC868" s="295" t="s">
        <v>71</v>
      </c>
      <c r="QYD868" s="295" t="s">
        <v>71</v>
      </c>
      <c r="QYE868" s="295" t="s">
        <v>71</v>
      </c>
      <c r="QYF868" s="295" t="s">
        <v>71</v>
      </c>
      <c r="QYG868" s="295" t="s">
        <v>71</v>
      </c>
      <c r="QYH868" s="295" t="s">
        <v>71</v>
      </c>
      <c r="QYI868" s="295" t="s">
        <v>71</v>
      </c>
      <c r="QYJ868" s="295" t="s">
        <v>71</v>
      </c>
      <c r="QYK868" s="295" t="s">
        <v>71</v>
      </c>
      <c r="QYL868" s="295" t="s">
        <v>71</v>
      </c>
      <c r="QYM868" s="295" t="s">
        <v>71</v>
      </c>
      <c r="QYN868" s="295" t="s">
        <v>71</v>
      </c>
      <c r="QYO868" s="295" t="s">
        <v>71</v>
      </c>
      <c r="QYP868" s="295" t="s">
        <v>71</v>
      </c>
      <c r="QYQ868" s="295" t="s">
        <v>71</v>
      </c>
      <c r="QYR868" s="295" t="s">
        <v>71</v>
      </c>
      <c r="QYS868" s="295" t="s">
        <v>71</v>
      </c>
      <c r="QYT868" s="295" t="s">
        <v>71</v>
      </c>
      <c r="QYU868" s="295" t="s">
        <v>71</v>
      </c>
      <c r="QYV868" s="295" t="s">
        <v>71</v>
      </c>
      <c r="QYW868" s="295" t="s">
        <v>71</v>
      </c>
      <c r="QYX868" s="295" t="s">
        <v>71</v>
      </c>
      <c r="QYY868" s="295" t="s">
        <v>71</v>
      </c>
      <c r="QYZ868" s="295" t="s">
        <v>71</v>
      </c>
      <c r="QZA868" s="295" t="s">
        <v>71</v>
      </c>
      <c r="QZB868" s="295" t="s">
        <v>71</v>
      </c>
      <c r="QZC868" s="295" t="s">
        <v>71</v>
      </c>
      <c r="QZD868" s="295" t="s">
        <v>71</v>
      </c>
      <c r="QZE868" s="295" t="s">
        <v>71</v>
      </c>
      <c r="QZF868" s="295" t="s">
        <v>71</v>
      </c>
      <c r="QZG868" s="295" t="s">
        <v>71</v>
      </c>
      <c r="QZH868" s="295" t="s">
        <v>71</v>
      </c>
      <c r="QZI868" s="295" t="s">
        <v>71</v>
      </c>
      <c r="QZJ868" s="295" t="s">
        <v>71</v>
      </c>
      <c r="QZK868" s="295" t="s">
        <v>71</v>
      </c>
      <c r="QZL868" s="295" t="s">
        <v>71</v>
      </c>
      <c r="QZM868" s="295" t="s">
        <v>71</v>
      </c>
      <c r="QZN868" s="295" t="s">
        <v>71</v>
      </c>
      <c r="QZO868" s="295" t="s">
        <v>71</v>
      </c>
      <c r="QZP868" s="295" t="s">
        <v>71</v>
      </c>
      <c r="QZQ868" s="295" t="s">
        <v>71</v>
      </c>
      <c r="QZR868" s="295" t="s">
        <v>71</v>
      </c>
      <c r="QZS868" s="295" t="s">
        <v>71</v>
      </c>
      <c r="QZT868" s="295" t="s">
        <v>71</v>
      </c>
      <c r="QZU868" s="295" t="s">
        <v>71</v>
      </c>
      <c r="QZV868" s="295" t="s">
        <v>71</v>
      </c>
      <c r="QZW868" s="295" t="s">
        <v>71</v>
      </c>
      <c r="QZX868" s="295" t="s">
        <v>71</v>
      </c>
      <c r="QZY868" s="295" t="s">
        <v>71</v>
      </c>
      <c r="QZZ868" s="295" t="s">
        <v>71</v>
      </c>
      <c r="RAA868" s="295" t="s">
        <v>71</v>
      </c>
      <c r="RAB868" s="295" t="s">
        <v>71</v>
      </c>
      <c r="RAC868" s="295" t="s">
        <v>71</v>
      </c>
      <c r="RAD868" s="295" t="s">
        <v>71</v>
      </c>
      <c r="RAE868" s="295" t="s">
        <v>71</v>
      </c>
      <c r="RAF868" s="295" t="s">
        <v>71</v>
      </c>
      <c r="RAG868" s="295" t="s">
        <v>71</v>
      </c>
      <c r="RAH868" s="295" t="s">
        <v>71</v>
      </c>
      <c r="RAI868" s="295" t="s">
        <v>71</v>
      </c>
      <c r="RAJ868" s="295" t="s">
        <v>71</v>
      </c>
      <c r="RAK868" s="295" t="s">
        <v>71</v>
      </c>
      <c r="RAL868" s="295" t="s">
        <v>71</v>
      </c>
      <c r="RAM868" s="295" t="s">
        <v>71</v>
      </c>
      <c r="RAN868" s="295" t="s">
        <v>71</v>
      </c>
      <c r="RAO868" s="295" t="s">
        <v>71</v>
      </c>
      <c r="RAP868" s="295" t="s">
        <v>71</v>
      </c>
      <c r="RAQ868" s="295" t="s">
        <v>71</v>
      </c>
      <c r="RAR868" s="295" t="s">
        <v>71</v>
      </c>
      <c r="RAS868" s="295" t="s">
        <v>71</v>
      </c>
      <c r="RAT868" s="295" t="s">
        <v>71</v>
      </c>
      <c r="RAU868" s="295" t="s">
        <v>71</v>
      </c>
      <c r="RAV868" s="295" t="s">
        <v>71</v>
      </c>
      <c r="RAW868" s="295" t="s">
        <v>71</v>
      </c>
      <c r="RAX868" s="295" t="s">
        <v>71</v>
      </c>
      <c r="RAY868" s="295" t="s">
        <v>71</v>
      </c>
      <c r="RAZ868" s="295" t="s">
        <v>71</v>
      </c>
      <c r="RBA868" s="295" t="s">
        <v>71</v>
      </c>
      <c r="RBB868" s="295" t="s">
        <v>71</v>
      </c>
      <c r="RBC868" s="295" t="s">
        <v>71</v>
      </c>
      <c r="RBD868" s="295" t="s">
        <v>71</v>
      </c>
      <c r="RBE868" s="295" t="s">
        <v>71</v>
      </c>
      <c r="RBF868" s="295" t="s">
        <v>71</v>
      </c>
      <c r="RBG868" s="295" t="s">
        <v>71</v>
      </c>
      <c r="RBH868" s="295" t="s">
        <v>71</v>
      </c>
      <c r="RBI868" s="295" t="s">
        <v>71</v>
      </c>
      <c r="RBJ868" s="295" t="s">
        <v>71</v>
      </c>
      <c r="RBK868" s="295" t="s">
        <v>71</v>
      </c>
      <c r="RBL868" s="295" t="s">
        <v>71</v>
      </c>
      <c r="RBM868" s="295" t="s">
        <v>71</v>
      </c>
      <c r="RBN868" s="295" t="s">
        <v>71</v>
      </c>
      <c r="RBO868" s="295" t="s">
        <v>71</v>
      </c>
      <c r="RBP868" s="295" t="s">
        <v>71</v>
      </c>
      <c r="RBQ868" s="295" t="s">
        <v>71</v>
      </c>
      <c r="RBR868" s="295" t="s">
        <v>71</v>
      </c>
      <c r="RBS868" s="295" t="s">
        <v>71</v>
      </c>
      <c r="RBT868" s="295" t="s">
        <v>71</v>
      </c>
      <c r="RBU868" s="295" t="s">
        <v>71</v>
      </c>
      <c r="RBV868" s="295" t="s">
        <v>71</v>
      </c>
      <c r="RBW868" s="295" t="s">
        <v>71</v>
      </c>
      <c r="RBX868" s="295" t="s">
        <v>71</v>
      </c>
      <c r="RBY868" s="295" t="s">
        <v>71</v>
      </c>
      <c r="RBZ868" s="295" t="s">
        <v>71</v>
      </c>
      <c r="RCA868" s="295" t="s">
        <v>71</v>
      </c>
      <c r="RCB868" s="295" t="s">
        <v>71</v>
      </c>
      <c r="RCC868" s="295" t="s">
        <v>71</v>
      </c>
      <c r="RCD868" s="295" t="s">
        <v>71</v>
      </c>
      <c r="RCE868" s="295" t="s">
        <v>71</v>
      </c>
      <c r="RCF868" s="295" t="s">
        <v>71</v>
      </c>
      <c r="RCG868" s="295" t="s">
        <v>71</v>
      </c>
      <c r="RCH868" s="295" t="s">
        <v>71</v>
      </c>
      <c r="RCI868" s="295" t="s">
        <v>71</v>
      </c>
      <c r="RCJ868" s="295" t="s">
        <v>71</v>
      </c>
      <c r="RCK868" s="295" t="s">
        <v>71</v>
      </c>
      <c r="RCL868" s="295" t="s">
        <v>71</v>
      </c>
      <c r="RCM868" s="295" t="s">
        <v>71</v>
      </c>
      <c r="RCN868" s="295" t="s">
        <v>71</v>
      </c>
      <c r="RCO868" s="295" t="s">
        <v>71</v>
      </c>
      <c r="RCP868" s="295" t="s">
        <v>71</v>
      </c>
      <c r="RCQ868" s="295" t="s">
        <v>71</v>
      </c>
      <c r="RCR868" s="295" t="s">
        <v>71</v>
      </c>
      <c r="RCS868" s="295" t="s">
        <v>71</v>
      </c>
      <c r="RCT868" s="295" t="s">
        <v>71</v>
      </c>
      <c r="RCU868" s="295" t="s">
        <v>71</v>
      </c>
      <c r="RCV868" s="295" t="s">
        <v>71</v>
      </c>
      <c r="RCW868" s="295" t="s">
        <v>71</v>
      </c>
      <c r="RCX868" s="295" t="s">
        <v>71</v>
      </c>
      <c r="RCY868" s="295" t="s">
        <v>71</v>
      </c>
      <c r="RCZ868" s="295" t="s">
        <v>71</v>
      </c>
      <c r="RDA868" s="295" t="s">
        <v>71</v>
      </c>
      <c r="RDB868" s="295" t="s">
        <v>71</v>
      </c>
      <c r="RDC868" s="295" t="s">
        <v>71</v>
      </c>
      <c r="RDD868" s="295" t="s">
        <v>71</v>
      </c>
      <c r="RDE868" s="295" t="s">
        <v>71</v>
      </c>
      <c r="RDF868" s="295" t="s">
        <v>71</v>
      </c>
      <c r="RDG868" s="295" t="s">
        <v>71</v>
      </c>
      <c r="RDH868" s="295" t="s">
        <v>71</v>
      </c>
      <c r="RDI868" s="295" t="s">
        <v>71</v>
      </c>
      <c r="RDJ868" s="295" t="s">
        <v>71</v>
      </c>
      <c r="RDK868" s="295" t="s">
        <v>71</v>
      </c>
      <c r="RDL868" s="295" t="s">
        <v>71</v>
      </c>
      <c r="RDM868" s="295" t="s">
        <v>71</v>
      </c>
      <c r="RDN868" s="295" t="s">
        <v>71</v>
      </c>
      <c r="RDO868" s="295" t="s">
        <v>71</v>
      </c>
      <c r="RDP868" s="295" t="s">
        <v>71</v>
      </c>
      <c r="RDQ868" s="295" t="s">
        <v>71</v>
      </c>
      <c r="RDR868" s="295" t="s">
        <v>71</v>
      </c>
      <c r="RDS868" s="295" t="s">
        <v>71</v>
      </c>
      <c r="RDT868" s="295" t="s">
        <v>71</v>
      </c>
      <c r="RDU868" s="295" t="s">
        <v>71</v>
      </c>
      <c r="RDV868" s="295" t="s">
        <v>71</v>
      </c>
      <c r="RDW868" s="295" t="s">
        <v>71</v>
      </c>
      <c r="RDX868" s="295" t="s">
        <v>71</v>
      </c>
      <c r="RDY868" s="295" t="s">
        <v>71</v>
      </c>
      <c r="RDZ868" s="295" t="s">
        <v>71</v>
      </c>
      <c r="REA868" s="295" t="s">
        <v>71</v>
      </c>
      <c r="REB868" s="295" t="s">
        <v>71</v>
      </c>
      <c r="REC868" s="295" t="s">
        <v>71</v>
      </c>
      <c r="RED868" s="295" t="s">
        <v>71</v>
      </c>
      <c r="REE868" s="295" t="s">
        <v>71</v>
      </c>
      <c r="REF868" s="295" t="s">
        <v>71</v>
      </c>
      <c r="REG868" s="295" t="s">
        <v>71</v>
      </c>
      <c r="REH868" s="295" t="s">
        <v>71</v>
      </c>
      <c r="REI868" s="295" t="s">
        <v>71</v>
      </c>
      <c r="REJ868" s="295" t="s">
        <v>71</v>
      </c>
      <c r="REK868" s="295" t="s">
        <v>71</v>
      </c>
      <c r="REL868" s="295" t="s">
        <v>71</v>
      </c>
      <c r="REM868" s="295" t="s">
        <v>71</v>
      </c>
      <c r="REN868" s="295" t="s">
        <v>71</v>
      </c>
      <c r="REO868" s="295" t="s">
        <v>71</v>
      </c>
      <c r="REP868" s="295" t="s">
        <v>71</v>
      </c>
      <c r="REQ868" s="295" t="s">
        <v>71</v>
      </c>
      <c r="RER868" s="295" t="s">
        <v>71</v>
      </c>
      <c r="RES868" s="295" t="s">
        <v>71</v>
      </c>
      <c r="RET868" s="295" t="s">
        <v>71</v>
      </c>
      <c r="REU868" s="295" t="s">
        <v>71</v>
      </c>
      <c r="REV868" s="295" t="s">
        <v>71</v>
      </c>
      <c r="REW868" s="295" t="s">
        <v>71</v>
      </c>
      <c r="REX868" s="295" t="s">
        <v>71</v>
      </c>
      <c r="REY868" s="295" t="s">
        <v>71</v>
      </c>
      <c r="REZ868" s="295" t="s">
        <v>71</v>
      </c>
      <c r="RFA868" s="295" t="s">
        <v>71</v>
      </c>
      <c r="RFB868" s="295" t="s">
        <v>71</v>
      </c>
      <c r="RFC868" s="295" t="s">
        <v>71</v>
      </c>
      <c r="RFD868" s="295" t="s">
        <v>71</v>
      </c>
      <c r="RFE868" s="295" t="s">
        <v>71</v>
      </c>
      <c r="RFF868" s="295" t="s">
        <v>71</v>
      </c>
      <c r="RFG868" s="295" t="s">
        <v>71</v>
      </c>
      <c r="RFH868" s="295" t="s">
        <v>71</v>
      </c>
      <c r="RFI868" s="295" t="s">
        <v>71</v>
      </c>
      <c r="RFJ868" s="295" t="s">
        <v>71</v>
      </c>
      <c r="RFK868" s="295" t="s">
        <v>71</v>
      </c>
      <c r="RFL868" s="295" t="s">
        <v>71</v>
      </c>
      <c r="RFM868" s="295" t="s">
        <v>71</v>
      </c>
      <c r="RFN868" s="295" t="s">
        <v>71</v>
      </c>
      <c r="RFO868" s="295" t="s">
        <v>71</v>
      </c>
      <c r="RFP868" s="295" t="s">
        <v>71</v>
      </c>
      <c r="RFQ868" s="295" t="s">
        <v>71</v>
      </c>
      <c r="RFR868" s="295" t="s">
        <v>71</v>
      </c>
      <c r="RFS868" s="295" t="s">
        <v>71</v>
      </c>
      <c r="RFT868" s="295" t="s">
        <v>71</v>
      </c>
      <c r="RFU868" s="295" t="s">
        <v>71</v>
      </c>
      <c r="RFV868" s="295" t="s">
        <v>71</v>
      </c>
      <c r="RFW868" s="295" t="s">
        <v>71</v>
      </c>
      <c r="RFX868" s="295" t="s">
        <v>71</v>
      </c>
      <c r="RFY868" s="295" t="s">
        <v>71</v>
      </c>
      <c r="RFZ868" s="295" t="s">
        <v>71</v>
      </c>
      <c r="RGA868" s="295" t="s">
        <v>71</v>
      </c>
      <c r="RGB868" s="295" t="s">
        <v>71</v>
      </c>
      <c r="RGC868" s="295" t="s">
        <v>71</v>
      </c>
      <c r="RGD868" s="295" t="s">
        <v>71</v>
      </c>
      <c r="RGE868" s="295" t="s">
        <v>71</v>
      </c>
      <c r="RGF868" s="295" t="s">
        <v>71</v>
      </c>
      <c r="RGG868" s="295" t="s">
        <v>71</v>
      </c>
      <c r="RGH868" s="295" t="s">
        <v>71</v>
      </c>
      <c r="RGI868" s="295" t="s">
        <v>71</v>
      </c>
      <c r="RGJ868" s="295" t="s">
        <v>71</v>
      </c>
      <c r="RGK868" s="295" t="s">
        <v>71</v>
      </c>
      <c r="RGL868" s="295" t="s">
        <v>71</v>
      </c>
      <c r="RGM868" s="295" t="s">
        <v>71</v>
      </c>
      <c r="RGN868" s="295" t="s">
        <v>71</v>
      </c>
      <c r="RGO868" s="295" t="s">
        <v>71</v>
      </c>
      <c r="RGP868" s="295" t="s">
        <v>71</v>
      </c>
      <c r="RGQ868" s="295" t="s">
        <v>71</v>
      </c>
      <c r="RGR868" s="295" t="s">
        <v>71</v>
      </c>
      <c r="RGS868" s="295" t="s">
        <v>71</v>
      </c>
      <c r="RGT868" s="295" t="s">
        <v>71</v>
      </c>
      <c r="RGU868" s="295" t="s">
        <v>71</v>
      </c>
      <c r="RGV868" s="295" t="s">
        <v>71</v>
      </c>
      <c r="RGW868" s="295" t="s">
        <v>71</v>
      </c>
      <c r="RGX868" s="295" t="s">
        <v>71</v>
      </c>
      <c r="RGY868" s="295" t="s">
        <v>71</v>
      </c>
      <c r="RGZ868" s="295" t="s">
        <v>71</v>
      </c>
      <c r="RHA868" s="295" t="s">
        <v>71</v>
      </c>
      <c r="RHB868" s="295" t="s">
        <v>71</v>
      </c>
      <c r="RHC868" s="295" t="s">
        <v>71</v>
      </c>
      <c r="RHD868" s="295" t="s">
        <v>71</v>
      </c>
      <c r="RHE868" s="295" t="s">
        <v>71</v>
      </c>
      <c r="RHF868" s="295" t="s">
        <v>71</v>
      </c>
      <c r="RHG868" s="295" t="s">
        <v>71</v>
      </c>
      <c r="RHH868" s="295" t="s">
        <v>71</v>
      </c>
      <c r="RHI868" s="295" t="s">
        <v>71</v>
      </c>
      <c r="RHJ868" s="295" t="s">
        <v>71</v>
      </c>
      <c r="RHK868" s="295" t="s">
        <v>71</v>
      </c>
      <c r="RHL868" s="295" t="s">
        <v>71</v>
      </c>
      <c r="RHM868" s="295" t="s">
        <v>71</v>
      </c>
      <c r="RHN868" s="295" t="s">
        <v>71</v>
      </c>
      <c r="RHO868" s="295" t="s">
        <v>71</v>
      </c>
      <c r="RHP868" s="295" t="s">
        <v>71</v>
      </c>
      <c r="RHQ868" s="295" t="s">
        <v>71</v>
      </c>
      <c r="RHR868" s="295" t="s">
        <v>71</v>
      </c>
      <c r="RHS868" s="295" t="s">
        <v>71</v>
      </c>
      <c r="RHT868" s="295" t="s">
        <v>71</v>
      </c>
      <c r="RHU868" s="295" t="s">
        <v>71</v>
      </c>
      <c r="RHV868" s="295" t="s">
        <v>71</v>
      </c>
      <c r="RHW868" s="295" t="s">
        <v>71</v>
      </c>
      <c r="RHX868" s="295" t="s">
        <v>71</v>
      </c>
      <c r="RHY868" s="295" t="s">
        <v>71</v>
      </c>
      <c r="RHZ868" s="295" t="s">
        <v>71</v>
      </c>
      <c r="RIA868" s="295" t="s">
        <v>71</v>
      </c>
      <c r="RIB868" s="295" t="s">
        <v>71</v>
      </c>
      <c r="RIC868" s="295" t="s">
        <v>71</v>
      </c>
      <c r="RID868" s="295" t="s">
        <v>71</v>
      </c>
      <c r="RIE868" s="295" t="s">
        <v>71</v>
      </c>
      <c r="RIF868" s="295" t="s">
        <v>71</v>
      </c>
      <c r="RIG868" s="295" t="s">
        <v>71</v>
      </c>
      <c r="RIH868" s="295" t="s">
        <v>71</v>
      </c>
      <c r="RII868" s="295" t="s">
        <v>71</v>
      </c>
      <c r="RIJ868" s="295" t="s">
        <v>71</v>
      </c>
      <c r="RIK868" s="295" t="s">
        <v>71</v>
      </c>
      <c r="RIL868" s="295" t="s">
        <v>71</v>
      </c>
      <c r="RIM868" s="295" t="s">
        <v>71</v>
      </c>
      <c r="RIN868" s="295" t="s">
        <v>71</v>
      </c>
      <c r="RIO868" s="295" t="s">
        <v>71</v>
      </c>
      <c r="RIP868" s="295" t="s">
        <v>71</v>
      </c>
      <c r="RIQ868" s="295" t="s">
        <v>71</v>
      </c>
      <c r="RIR868" s="295" t="s">
        <v>71</v>
      </c>
      <c r="RIS868" s="295" t="s">
        <v>71</v>
      </c>
      <c r="RIT868" s="295" t="s">
        <v>71</v>
      </c>
      <c r="RIU868" s="295" t="s">
        <v>71</v>
      </c>
      <c r="RIV868" s="295" t="s">
        <v>71</v>
      </c>
      <c r="RIW868" s="295" t="s">
        <v>71</v>
      </c>
      <c r="RIX868" s="295" t="s">
        <v>71</v>
      </c>
      <c r="RIY868" s="295" t="s">
        <v>71</v>
      </c>
      <c r="RIZ868" s="295" t="s">
        <v>71</v>
      </c>
      <c r="RJA868" s="295" t="s">
        <v>71</v>
      </c>
      <c r="RJB868" s="295" t="s">
        <v>71</v>
      </c>
      <c r="RJC868" s="295" t="s">
        <v>71</v>
      </c>
      <c r="RJD868" s="295" t="s">
        <v>71</v>
      </c>
      <c r="RJE868" s="295" t="s">
        <v>71</v>
      </c>
      <c r="RJF868" s="295" t="s">
        <v>71</v>
      </c>
      <c r="RJG868" s="295" t="s">
        <v>71</v>
      </c>
      <c r="RJH868" s="295" t="s">
        <v>71</v>
      </c>
      <c r="RJI868" s="295" t="s">
        <v>71</v>
      </c>
      <c r="RJJ868" s="295" t="s">
        <v>71</v>
      </c>
      <c r="RJK868" s="295" t="s">
        <v>71</v>
      </c>
      <c r="RJL868" s="295" t="s">
        <v>71</v>
      </c>
      <c r="RJM868" s="295" t="s">
        <v>71</v>
      </c>
      <c r="RJN868" s="295" t="s">
        <v>71</v>
      </c>
      <c r="RJO868" s="295" t="s">
        <v>71</v>
      </c>
      <c r="RJP868" s="295" t="s">
        <v>71</v>
      </c>
      <c r="RJQ868" s="295" t="s">
        <v>71</v>
      </c>
      <c r="RJR868" s="295" t="s">
        <v>71</v>
      </c>
      <c r="RJS868" s="295" t="s">
        <v>71</v>
      </c>
      <c r="RJT868" s="295" t="s">
        <v>71</v>
      </c>
      <c r="RJU868" s="295" t="s">
        <v>71</v>
      </c>
      <c r="RJV868" s="295" t="s">
        <v>71</v>
      </c>
      <c r="RJW868" s="295" t="s">
        <v>71</v>
      </c>
      <c r="RJX868" s="295" t="s">
        <v>71</v>
      </c>
      <c r="RJY868" s="295" t="s">
        <v>71</v>
      </c>
      <c r="RJZ868" s="295" t="s">
        <v>71</v>
      </c>
      <c r="RKA868" s="295" t="s">
        <v>71</v>
      </c>
      <c r="RKB868" s="295" t="s">
        <v>71</v>
      </c>
      <c r="RKC868" s="295" t="s">
        <v>71</v>
      </c>
      <c r="RKD868" s="295" t="s">
        <v>71</v>
      </c>
      <c r="RKE868" s="295" t="s">
        <v>71</v>
      </c>
      <c r="RKF868" s="295" t="s">
        <v>71</v>
      </c>
      <c r="RKG868" s="295" t="s">
        <v>71</v>
      </c>
      <c r="RKH868" s="295" t="s">
        <v>71</v>
      </c>
      <c r="RKI868" s="295" t="s">
        <v>71</v>
      </c>
      <c r="RKJ868" s="295" t="s">
        <v>71</v>
      </c>
      <c r="RKK868" s="295" t="s">
        <v>71</v>
      </c>
      <c r="RKL868" s="295" t="s">
        <v>71</v>
      </c>
      <c r="RKM868" s="295" t="s">
        <v>71</v>
      </c>
      <c r="RKN868" s="295" t="s">
        <v>71</v>
      </c>
      <c r="RKO868" s="295" t="s">
        <v>71</v>
      </c>
      <c r="RKP868" s="295" t="s">
        <v>71</v>
      </c>
      <c r="RKQ868" s="295" t="s">
        <v>71</v>
      </c>
      <c r="RKR868" s="295" t="s">
        <v>71</v>
      </c>
      <c r="RKS868" s="295" t="s">
        <v>71</v>
      </c>
      <c r="RKT868" s="295" t="s">
        <v>71</v>
      </c>
      <c r="RKU868" s="295" t="s">
        <v>71</v>
      </c>
      <c r="RKV868" s="295" t="s">
        <v>71</v>
      </c>
      <c r="RKW868" s="295" t="s">
        <v>71</v>
      </c>
      <c r="RKX868" s="295" t="s">
        <v>71</v>
      </c>
      <c r="RKY868" s="295" t="s">
        <v>71</v>
      </c>
      <c r="RKZ868" s="295" t="s">
        <v>71</v>
      </c>
      <c r="RLA868" s="295" t="s">
        <v>71</v>
      </c>
      <c r="RLB868" s="295" t="s">
        <v>71</v>
      </c>
      <c r="RLC868" s="295" t="s">
        <v>71</v>
      </c>
      <c r="RLD868" s="295" t="s">
        <v>71</v>
      </c>
      <c r="RLE868" s="295" t="s">
        <v>71</v>
      </c>
      <c r="RLF868" s="295" t="s">
        <v>71</v>
      </c>
      <c r="RLG868" s="295" t="s">
        <v>71</v>
      </c>
      <c r="RLH868" s="295" t="s">
        <v>71</v>
      </c>
      <c r="RLI868" s="295" t="s">
        <v>71</v>
      </c>
      <c r="RLJ868" s="295" t="s">
        <v>71</v>
      </c>
      <c r="RLK868" s="295" t="s">
        <v>71</v>
      </c>
      <c r="RLL868" s="295" t="s">
        <v>71</v>
      </c>
      <c r="RLM868" s="295" t="s">
        <v>71</v>
      </c>
      <c r="RLN868" s="295" t="s">
        <v>71</v>
      </c>
      <c r="RLO868" s="295" t="s">
        <v>71</v>
      </c>
      <c r="RLP868" s="295" t="s">
        <v>71</v>
      </c>
      <c r="RLQ868" s="295" t="s">
        <v>71</v>
      </c>
      <c r="RLR868" s="295" t="s">
        <v>71</v>
      </c>
      <c r="RLS868" s="295" t="s">
        <v>71</v>
      </c>
      <c r="RLT868" s="295" t="s">
        <v>71</v>
      </c>
      <c r="RLU868" s="295" t="s">
        <v>71</v>
      </c>
      <c r="RLV868" s="295" t="s">
        <v>71</v>
      </c>
      <c r="RLW868" s="295" t="s">
        <v>71</v>
      </c>
      <c r="RLX868" s="295" t="s">
        <v>71</v>
      </c>
      <c r="RLY868" s="295" t="s">
        <v>71</v>
      </c>
      <c r="RLZ868" s="295" t="s">
        <v>71</v>
      </c>
      <c r="RMA868" s="295" t="s">
        <v>71</v>
      </c>
      <c r="RMB868" s="295" t="s">
        <v>71</v>
      </c>
      <c r="RMC868" s="295" t="s">
        <v>71</v>
      </c>
      <c r="RMD868" s="295" t="s">
        <v>71</v>
      </c>
      <c r="RME868" s="295" t="s">
        <v>71</v>
      </c>
      <c r="RMF868" s="295" t="s">
        <v>71</v>
      </c>
      <c r="RMG868" s="295" t="s">
        <v>71</v>
      </c>
      <c r="RMH868" s="295" t="s">
        <v>71</v>
      </c>
      <c r="RMI868" s="295" t="s">
        <v>71</v>
      </c>
      <c r="RMJ868" s="295" t="s">
        <v>71</v>
      </c>
      <c r="RMK868" s="295" t="s">
        <v>71</v>
      </c>
      <c r="RML868" s="295" t="s">
        <v>71</v>
      </c>
      <c r="RMM868" s="295" t="s">
        <v>71</v>
      </c>
      <c r="RMN868" s="295" t="s">
        <v>71</v>
      </c>
      <c r="RMO868" s="295" t="s">
        <v>71</v>
      </c>
      <c r="RMP868" s="295" t="s">
        <v>71</v>
      </c>
      <c r="RMQ868" s="295" t="s">
        <v>71</v>
      </c>
      <c r="RMR868" s="295" t="s">
        <v>71</v>
      </c>
      <c r="RMS868" s="295" t="s">
        <v>71</v>
      </c>
      <c r="RMT868" s="295" t="s">
        <v>71</v>
      </c>
      <c r="RMU868" s="295" t="s">
        <v>71</v>
      </c>
      <c r="RMV868" s="295" t="s">
        <v>71</v>
      </c>
      <c r="RMW868" s="295" t="s">
        <v>71</v>
      </c>
      <c r="RMX868" s="295" t="s">
        <v>71</v>
      </c>
      <c r="RMY868" s="295" t="s">
        <v>71</v>
      </c>
      <c r="RMZ868" s="295" t="s">
        <v>71</v>
      </c>
      <c r="RNA868" s="295" t="s">
        <v>71</v>
      </c>
      <c r="RNB868" s="295" t="s">
        <v>71</v>
      </c>
      <c r="RNC868" s="295" t="s">
        <v>71</v>
      </c>
      <c r="RND868" s="295" t="s">
        <v>71</v>
      </c>
      <c r="RNE868" s="295" t="s">
        <v>71</v>
      </c>
      <c r="RNF868" s="295" t="s">
        <v>71</v>
      </c>
      <c r="RNG868" s="295" t="s">
        <v>71</v>
      </c>
      <c r="RNH868" s="295" t="s">
        <v>71</v>
      </c>
      <c r="RNI868" s="295" t="s">
        <v>71</v>
      </c>
      <c r="RNJ868" s="295" t="s">
        <v>71</v>
      </c>
      <c r="RNK868" s="295" t="s">
        <v>71</v>
      </c>
      <c r="RNL868" s="295" t="s">
        <v>71</v>
      </c>
      <c r="RNM868" s="295" t="s">
        <v>71</v>
      </c>
      <c r="RNN868" s="295" t="s">
        <v>71</v>
      </c>
      <c r="RNO868" s="295" t="s">
        <v>71</v>
      </c>
      <c r="RNP868" s="295" t="s">
        <v>71</v>
      </c>
      <c r="RNQ868" s="295" t="s">
        <v>71</v>
      </c>
      <c r="RNR868" s="295" t="s">
        <v>71</v>
      </c>
      <c r="RNS868" s="295" t="s">
        <v>71</v>
      </c>
      <c r="RNT868" s="295" t="s">
        <v>71</v>
      </c>
      <c r="RNU868" s="295" t="s">
        <v>71</v>
      </c>
      <c r="RNV868" s="295" t="s">
        <v>71</v>
      </c>
      <c r="RNW868" s="295" t="s">
        <v>71</v>
      </c>
      <c r="RNX868" s="295" t="s">
        <v>71</v>
      </c>
      <c r="RNY868" s="295" t="s">
        <v>71</v>
      </c>
      <c r="RNZ868" s="295" t="s">
        <v>71</v>
      </c>
      <c r="ROA868" s="295" t="s">
        <v>71</v>
      </c>
      <c r="ROB868" s="295" t="s">
        <v>71</v>
      </c>
      <c r="ROC868" s="295" t="s">
        <v>71</v>
      </c>
      <c r="ROD868" s="295" t="s">
        <v>71</v>
      </c>
      <c r="ROE868" s="295" t="s">
        <v>71</v>
      </c>
      <c r="ROF868" s="295" t="s">
        <v>71</v>
      </c>
      <c r="ROG868" s="295" t="s">
        <v>71</v>
      </c>
      <c r="ROH868" s="295" t="s">
        <v>71</v>
      </c>
      <c r="ROI868" s="295" t="s">
        <v>71</v>
      </c>
      <c r="ROJ868" s="295" t="s">
        <v>71</v>
      </c>
      <c r="ROK868" s="295" t="s">
        <v>71</v>
      </c>
      <c r="ROL868" s="295" t="s">
        <v>71</v>
      </c>
      <c r="ROM868" s="295" t="s">
        <v>71</v>
      </c>
      <c r="RON868" s="295" t="s">
        <v>71</v>
      </c>
      <c r="ROO868" s="295" t="s">
        <v>71</v>
      </c>
      <c r="ROP868" s="295" t="s">
        <v>71</v>
      </c>
      <c r="ROQ868" s="295" t="s">
        <v>71</v>
      </c>
      <c r="ROR868" s="295" t="s">
        <v>71</v>
      </c>
      <c r="ROS868" s="295" t="s">
        <v>71</v>
      </c>
      <c r="ROT868" s="295" t="s">
        <v>71</v>
      </c>
      <c r="ROU868" s="295" t="s">
        <v>71</v>
      </c>
      <c r="ROV868" s="295" t="s">
        <v>71</v>
      </c>
      <c r="ROW868" s="295" t="s">
        <v>71</v>
      </c>
      <c r="ROX868" s="295" t="s">
        <v>71</v>
      </c>
      <c r="ROY868" s="295" t="s">
        <v>71</v>
      </c>
      <c r="ROZ868" s="295" t="s">
        <v>71</v>
      </c>
      <c r="RPA868" s="295" t="s">
        <v>71</v>
      </c>
      <c r="RPB868" s="295" t="s">
        <v>71</v>
      </c>
      <c r="RPC868" s="295" t="s">
        <v>71</v>
      </c>
      <c r="RPD868" s="295" t="s">
        <v>71</v>
      </c>
      <c r="RPE868" s="295" t="s">
        <v>71</v>
      </c>
      <c r="RPF868" s="295" t="s">
        <v>71</v>
      </c>
      <c r="RPG868" s="295" t="s">
        <v>71</v>
      </c>
      <c r="RPH868" s="295" t="s">
        <v>71</v>
      </c>
      <c r="RPI868" s="295" t="s">
        <v>71</v>
      </c>
      <c r="RPJ868" s="295" t="s">
        <v>71</v>
      </c>
      <c r="RPK868" s="295" t="s">
        <v>71</v>
      </c>
      <c r="RPL868" s="295" t="s">
        <v>71</v>
      </c>
      <c r="RPM868" s="295" t="s">
        <v>71</v>
      </c>
      <c r="RPN868" s="295" t="s">
        <v>71</v>
      </c>
      <c r="RPO868" s="295" t="s">
        <v>71</v>
      </c>
      <c r="RPP868" s="295" t="s">
        <v>71</v>
      </c>
      <c r="RPQ868" s="295" t="s">
        <v>71</v>
      </c>
      <c r="RPR868" s="295" t="s">
        <v>71</v>
      </c>
      <c r="RPS868" s="295" t="s">
        <v>71</v>
      </c>
      <c r="RPT868" s="295" t="s">
        <v>71</v>
      </c>
      <c r="RPU868" s="295" t="s">
        <v>71</v>
      </c>
      <c r="RPV868" s="295" t="s">
        <v>71</v>
      </c>
      <c r="RPW868" s="295" t="s">
        <v>71</v>
      </c>
      <c r="RPX868" s="295" t="s">
        <v>71</v>
      </c>
      <c r="RPY868" s="295" t="s">
        <v>71</v>
      </c>
      <c r="RPZ868" s="295" t="s">
        <v>71</v>
      </c>
      <c r="RQA868" s="295" t="s">
        <v>71</v>
      </c>
      <c r="RQB868" s="295" t="s">
        <v>71</v>
      </c>
      <c r="RQC868" s="295" t="s">
        <v>71</v>
      </c>
      <c r="RQD868" s="295" t="s">
        <v>71</v>
      </c>
      <c r="RQE868" s="295" t="s">
        <v>71</v>
      </c>
      <c r="RQF868" s="295" t="s">
        <v>71</v>
      </c>
      <c r="RQG868" s="295" t="s">
        <v>71</v>
      </c>
      <c r="RQH868" s="295" t="s">
        <v>71</v>
      </c>
      <c r="RQI868" s="295" t="s">
        <v>71</v>
      </c>
      <c r="RQJ868" s="295" t="s">
        <v>71</v>
      </c>
      <c r="RQK868" s="295" t="s">
        <v>71</v>
      </c>
      <c r="RQL868" s="295" t="s">
        <v>71</v>
      </c>
      <c r="RQM868" s="295" t="s">
        <v>71</v>
      </c>
      <c r="RQN868" s="295" t="s">
        <v>71</v>
      </c>
      <c r="RQO868" s="295" t="s">
        <v>71</v>
      </c>
      <c r="RQP868" s="295" t="s">
        <v>71</v>
      </c>
      <c r="RQQ868" s="295" t="s">
        <v>71</v>
      </c>
      <c r="RQR868" s="295" t="s">
        <v>71</v>
      </c>
      <c r="RQS868" s="295" t="s">
        <v>71</v>
      </c>
      <c r="RQT868" s="295" t="s">
        <v>71</v>
      </c>
      <c r="RQU868" s="295" t="s">
        <v>71</v>
      </c>
      <c r="RQV868" s="295" t="s">
        <v>71</v>
      </c>
      <c r="RQW868" s="295" t="s">
        <v>71</v>
      </c>
      <c r="RQX868" s="295" t="s">
        <v>71</v>
      </c>
      <c r="RQY868" s="295" t="s">
        <v>71</v>
      </c>
      <c r="RQZ868" s="295" t="s">
        <v>71</v>
      </c>
      <c r="RRA868" s="295" t="s">
        <v>71</v>
      </c>
      <c r="RRB868" s="295" t="s">
        <v>71</v>
      </c>
      <c r="RRC868" s="295" t="s">
        <v>71</v>
      </c>
      <c r="RRD868" s="295" t="s">
        <v>71</v>
      </c>
      <c r="RRE868" s="295" t="s">
        <v>71</v>
      </c>
      <c r="RRF868" s="295" t="s">
        <v>71</v>
      </c>
      <c r="RRG868" s="295" t="s">
        <v>71</v>
      </c>
      <c r="RRH868" s="295" t="s">
        <v>71</v>
      </c>
      <c r="RRI868" s="295" t="s">
        <v>71</v>
      </c>
      <c r="RRJ868" s="295" t="s">
        <v>71</v>
      </c>
      <c r="RRK868" s="295" t="s">
        <v>71</v>
      </c>
      <c r="RRL868" s="295" t="s">
        <v>71</v>
      </c>
      <c r="RRM868" s="295" t="s">
        <v>71</v>
      </c>
      <c r="RRN868" s="295" t="s">
        <v>71</v>
      </c>
      <c r="RRO868" s="295" t="s">
        <v>71</v>
      </c>
      <c r="RRP868" s="295" t="s">
        <v>71</v>
      </c>
      <c r="RRQ868" s="295" t="s">
        <v>71</v>
      </c>
      <c r="RRR868" s="295" t="s">
        <v>71</v>
      </c>
      <c r="RRS868" s="295" t="s">
        <v>71</v>
      </c>
      <c r="RRT868" s="295" t="s">
        <v>71</v>
      </c>
      <c r="RRU868" s="295" t="s">
        <v>71</v>
      </c>
      <c r="RRV868" s="295" t="s">
        <v>71</v>
      </c>
      <c r="RRW868" s="295" t="s">
        <v>71</v>
      </c>
      <c r="RRX868" s="295" t="s">
        <v>71</v>
      </c>
      <c r="RRY868" s="295" t="s">
        <v>71</v>
      </c>
      <c r="RRZ868" s="295" t="s">
        <v>71</v>
      </c>
      <c r="RSA868" s="295" t="s">
        <v>71</v>
      </c>
      <c r="RSB868" s="295" t="s">
        <v>71</v>
      </c>
      <c r="RSC868" s="295" t="s">
        <v>71</v>
      </c>
      <c r="RSD868" s="295" t="s">
        <v>71</v>
      </c>
      <c r="RSE868" s="295" t="s">
        <v>71</v>
      </c>
      <c r="RSF868" s="295" t="s">
        <v>71</v>
      </c>
      <c r="RSG868" s="295" t="s">
        <v>71</v>
      </c>
      <c r="RSH868" s="295" t="s">
        <v>71</v>
      </c>
      <c r="RSI868" s="295" t="s">
        <v>71</v>
      </c>
      <c r="RSJ868" s="295" t="s">
        <v>71</v>
      </c>
      <c r="RSK868" s="295" t="s">
        <v>71</v>
      </c>
      <c r="RSL868" s="295" t="s">
        <v>71</v>
      </c>
      <c r="RSM868" s="295" t="s">
        <v>71</v>
      </c>
      <c r="RSN868" s="295" t="s">
        <v>71</v>
      </c>
      <c r="RSO868" s="295" t="s">
        <v>71</v>
      </c>
      <c r="RSP868" s="295" t="s">
        <v>71</v>
      </c>
      <c r="RSQ868" s="295" t="s">
        <v>71</v>
      </c>
      <c r="RSR868" s="295" t="s">
        <v>71</v>
      </c>
      <c r="RSS868" s="295" t="s">
        <v>71</v>
      </c>
      <c r="RST868" s="295" t="s">
        <v>71</v>
      </c>
      <c r="RSU868" s="295" t="s">
        <v>71</v>
      </c>
      <c r="RSV868" s="295" t="s">
        <v>71</v>
      </c>
      <c r="RSW868" s="295" t="s">
        <v>71</v>
      </c>
      <c r="RSX868" s="295" t="s">
        <v>71</v>
      </c>
      <c r="RSY868" s="295" t="s">
        <v>71</v>
      </c>
      <c r="RSZ868" s="295" t="s">
        <v>71</v>
      </c>
      <c r="RTA868" s="295" t="s">
        <v>71</v>
      </c>
      <c r="RTB868" s="295" t="s">
        <v>71</v>
      </c>
      <c r="RTC868" s="295" t="s">
        <v>71</v>
      </c>
      <c r="RTD868" s="295" t="s">
        <v>71</v>
      </c>
      <c r="RTE868" s="295" t="s">
        <v>71</v>
      </c>
      <c r="RTF868" s="295" t="s">
        <v>71</v>
      </c>
      <c r="RTG868" s="295" t="s">
        <v>71</v>
      </c>
      <c r="RTH868" s="295" t="s">
        <v>71</v>
      </c>
      <c r="RTI868" s="295" t="s">
        <v>71</v>
      </c>
      <c r="RTJ868" s="295" t="s">
        <v>71</v>
      </c>
      <c r="RTK868" s="295" t="s">
        <v>71</v>
      </c>
      <c r="RTL868" s="295" t="s">
        <v>71</v>
      </c>
      <c r="RTM868" s="295" t="s">
        <v>71</v>
      </c>
      <c r="RTN868" s="295" t="s">
        <v>71</v>
      </c>
      <c r="RTO868" s="295" t="s">
        <v>71</v>
      </c>
      <c r="RTP868" s="295" t="s">
        <v>71</v>
      </c>
      <c r="RTQ868" s="295" t="s">
        <v>71</v>
      </c>
      <c r="RTR868" s="295" t="s">
        <v>71</v>
      </c>
      <c r="RTS868" s="295" t="s">
        <v>71</v>
      </c>
      <c r="RTT868" s="295" t="s">
        <v>71</v>
      </c>
      <c r="RTU868" s="295" t="s">
        <v>71</v>
      </c>
      <c r="RTV868" s="295" t="s">
        <v>71</v>
      </c>
      <c r="RTW868" s="295" t="s">
        <v>71</v>
      </c>
      <c r="RTX868" s="295" t="s">
        <v>71</v>
      </c>
      <c r="RTY868" s="295" t="s">
        <v>71</v>
      </c>
      <c r="RTZ868" s="295" t="s">
        <v>71</v>
      </c>
      <c r="RUA868" s="295" t="s">
        <v>71</v>
      </c>
      <c r="RUB868" s="295" t="s">
        <v>71</v>
      </c>
      <c r="RUC868" s="295" t="s">
        <v>71</v>
      </c>
      <c r="RUD868" s="295" t="s">
        <v>71</v>
      </c>
      <c r="RUE868" s="295" t="s">
        <v>71</v>
      </c>
      <c r="RUF868" s="295" t="s">
        <v>71</v>
      </c>
      <c r="RUG868" s="295" t="s">
        <v>71</v>
      </c>
      <c r="RUH868" s="295" t="s">
        <v>71</v>
      </c>
      <c r="RUI868" s="295" t="s">
        <v>71</v>
      </c>
      <c r="RUJ868" s="295" t="s">
        <v>71</v>
      </c>
      <c r="RUK868" s="295" t="s">
        <v>71</v>
      </c>
      <c r="RUL868" s="295" t="s">
        <v>71</v>
      </c>
      <c r="RUM868" s="295" t="s">
        <v>71</v>
      </c>
      <c r="RUN868" s="295" t="s">
        <v>71</v>
      </c>
      <c r="RUO868" s="295" t="s">
        <v>71</v>
      </c>
      <c r="RUP868" s="295" t="s">
        <v>71</v>
      </c>
      <c r="RUQ868" s="295" t="s">
        <v>71</v>
      </c>
      <c r="RUR868" s="295" t="s">
        <v>71</v>
      </c>
      <c r="RUS868" s="295" t="s">
        <v>71</v>
      </c>
      <c r="RUT868" s="295" t="s">
        <v>71</v>
      </c>
      <c r="RUU868" s="295" t="s">
        <v>71</v>
      </c>
      <c r="RUV868" s="295" t="s">
        <v>71</v>
      </c>
      <c r="RUW868" s="295" t="s">
        <v>71</v>
      </c>
      <c r="RUX868" s="295" t="s">
        <v>71</v>
      </c>
      <c r="RUY868" s="295" t="s">
        <v>71</v>
      </c>
      <c r="RUZ868" s="295" t="s">
        <v>71</v>
      </c>
      <c r="RVA868" s="295" t="s">
        <v>71</v>
      </c>
      <c r="RVB868" s="295" t="s">
        <v>71</v>
      </c>
      <c r="RVC868" s="295" t="s">
        <v>71</v>
      </c>
      <c r="RVD868" s="295" t="s">
        <v>71</v>
      </c>
      <c r="RVE868" s="295" t="s">
        <v>71</v>
      </c>
      <c r="RVF868" s="295" t="s">
        <v>71</v>
      </c>
      <c r="RVG868" s="295" t="s">
        <v>71</v>
      </c>
      <c r="RVH868" s="295" t="s">
        <v>71</v>
      </c>
      <c r="RVI868" s="295" t="s">
        <v>71</v>
      </c>
      <c r="RVJ868" s="295" t="s">
        <v>71</v>
      </c>
      <c r="RVK868" s="295" t="s">
        <v>71</v>
      </c>
      <c r="RVL868" s="295" t="s">
        <v>71</v>
      </c>
      <c r="RVM868" s="295" t="s">
        <v>71</v>
      </c>
      <c r="RVN868" s="295" t="s">
        <v>71</v>
      </c>
      <c r="RVO868" s="295" t="s">
        <v>71</v>
      </c>
      <c r="RVP868" s="295" t="s">
        <v>71</v>
      </c>
      <c r="RVQ868" s="295" t="s">
        <v>71</v>
      </c>
      <c r="RVR868" s="295" t="s">
        <v>71</v>
      </c>
      <c r="RVS868" s="295" t="s">
        <v>71</v>
      </c>
      <c r="RVT868" s="295" t="s">
        <v>71</v>
      </c>
      <c r="RVU868" s="295" t="s">
        <v>71</v>
      </c>
      <c r="RVV868" s="295" t="s">
        <v>71</v>
      </c>
      <c r="RVW868" s="295" t="s">
        <v>71</v>
      </c>
      <c r="RVX868" s="295" t="s">
        <v>71</v>
      </c>
      <c r="RVY868" s="295" t="s">
        <v>71</v>
      </c>
      <c r="RVZ868" s="295" t="s">
        <v>71</v>
      </c>
      <c r="RWA868" s="295" t="s">
        <v>71</v>
      </c>
      <c r="RWB868" s="295" t="s">
        <v>71</v>
      </c>
      <c r="RWC868" s="295" t="s">
        <v>71</v>
      </c>
      <c r="RWD868" s="295" t="s">
        <v>71</v>
      </c>
      <c r="RWE868" s="295" t="s">
        <v>71</v>
      </c>
      <c r="RWF868" s="295" t="s">
        <v>71</v>
      </c>
      <c r="RWG868" s="295" t="s">
        <v>71</v>
      </c>
      <c r="RWH868" s="295" t="s">
        <v>71</v>
      </c>
      <c r="RWI868" s="295" t="s">
        <v>71</v>
      </c>
      <c r="RWJ868" s="295" t="s">
        <v>71</v>
      </c>
      <c r="RWK868" s="295" t="s">
        <v>71</v>
      </c>
      <c r="RWL868" s="295" t="s">
        <v>71</v>
      </c>
      <c r="RWM868" s="295" t="s">
        <v>71</v>
      </c>
      <c r="RWN868" s="295" t="s">
        <v>71</v>
      </c>
      <c r="RWO868" s="295" t="s">
        <v>71</v>
      </c>
      <c r="RWP868" s="295" t="s">
        <v>71</v>
      </c>
      <c r="RWQ868" s="295" t="s">
        <v>71</v>
      </c>
      <c r="RWR868" s="295" t="s">
        <v>71</v>
      </c>
      <c r="RWS868" s="295" t="s">
        <v>71</v>
      </c>
      <c r="RWT868" s="295" t="s">
        <v>71</v>
      </c>
      <c r="RWU868" s="295" t="s">
        <v>71</v>
      </c>
      <c r="RWV868" s="295" t="s">
        <v>71</v>
      </c>
      <c r="RWW868" s="295" t="s">
        <v>71</v>
      </c>
      <c r="RWX868" s="295" t="s">
        <v>71</v>
      </c>
      <c r="RWY868" s="295" t="s">
        <v>71</v>
      </c>
      <c r="RWZ868" s="295" t="s">
        <v>71</v>
      </c>
      <c r="RXA868" s="295" t="s">
        <v>71</v>
      </c>
      <c r="RXB868" s="295" t="s">
        <v>71</v>
      </c>
      <c r="RXC868" s="295" t="s">
        <v>71</v>
      </c>
      <c r="RXD868" s="295" t="s">
        <v>71</v>
      </c>
      <c r="RXE868" s="295" t="s">
        <v>71</v>
      </c>
      <c r="RXF868" s="295" t="s">
        <v>71</v>
      </c>
      <c r="RXG868" s="295" t="s">
        <v>71</v>
      </c>
      <c r="RXH868" s="295" t="s">
        <v>71</v>
      </c>
      <c r="RXI868" s="295" t="s">
        <v>71</v>
      </c>
      <c r="RXJ868" s="295" t="s">
        <v>71</v>
      </c>
      <c r="RXK868" s="295" t="s">
        <v>71</v>
      </c>
      <c r="RXL868" s="295" t="s">
        <v>71</v>
      </c>
      <c r="RXM868" s="295" t="s">
        <v>71</v>
      </c>
      <c r="RXN868" s="295" t="s">
        <v>71</v>
      </c>
      <c r="RXO868" s="295" t="s">
        <v>71</v>
      </c>
      <c r="RXP868" s="295" t="s">
        <v>71</v>
      </c>
      <c r="RXQ868" s="295" t="s">
        <v>71</v>
      </c>
      <c r="RXR868" s="295" t="s">
        <v>71</v>
      </c>
      <c r="RXS868" s="295" t="s">
        <v>71</v>
      </c>
      <c r="RXT868" s="295" t="s">
        <v>71</v>
      </c>
      <c r="RXU868" s="295" t="s">
        <v>71</v>
      </c>
      <c r="RXV868" s="295" t="s">
        <v>71</v>
      </c>
      <c r="RXW868" s="295" t="s">
        <v>71</v>
      </c>
      <c r="RXX868" s="295" t="s">
        <v>71</v>
      </c>
      <c r="RXY868" s="295" t="s">
        <v>71</v>
      </c>
      <c r="RXZ868" s="295" t="s">
        <v>71</v>
      </c>
      <c r="RYA868" s="295" t="s">
        <v>71</v>
      </c>
      <c r="RYB868" s="295" t="s">
        <v>71</v>
      </c>
      <c r="RYC868" s="295" t="s">
        <v>71</v>
      </c>
      <c r="RYD868" s="295" t="s">
        <v>71</v>
      </c>
      <c r="RYE868" s="295" t="s">
        <v>71</v>
      </c>
      <c r="RYF868" s="295" t="s">
        <v>71</v>
      </c>
      <c r="RYG868" s="295" t="s">
        <v>71</v>
      </c>
      <c r="RYH868" s="295" t="s">
        <v>71</v>
      </c>
      <c r="RYI868" s="295" t="s">
        <v>71</v>
      </c>
      <c r="RYJ868" s="295" t="s">
        <v>71</v>
      </c>
      <c r="RYK868" s="295" t="s">
        <v>71</v>
      </c>
      <c r="RYL868" s="295" t="s">
        <v>71</v>
      </c>
      <c r="RYM868" s="295" t="s">
        <v>71</v>
      </c>
      <c r="RYN868" s="295" t="s">
        <v>71</v>
      </c>
      <c r="RYO868" s="295" t="s">
        <v>71</v>
      </c>
      <c r="RYP868" s="295" t="s">
        <v>71</v>
      </c>
      <c r="RYQ868" s="295" t="s">
        <v>71</v>
      </c>
      <c r="RYR868" s="295" t="s">
        <v>71</v>
      </c>
      <c r="RYS868" s="295" t="s">
        <v>71</v>
      </c>
      <c r="RYT868" s="295" t="s">
        <v>71</v>
      </c>
      <c r="RYU868" s="295" t="s">
        <v>71</v>
      </c>
      <c r="RYV868" s="295" t="s">
        <v>71</v>
      </c>
      <c r="RYW868" s="295" t="s">
        <v>71</v>
      </c>
      <c r="RYX868" s="295" t="s">
        <v>71</v>
      </c>
      <c r="RYY868" s="295" t="s">
        <v>71</v>
      </c>
      <c r="RYZ868" s="295" t="s">
        <v>71</v>
      </c>
      <c r="RZA868" s="295" t="s">
        <v>71</v>
      </c>
      <c r="RZB868" s="295" t="s">
        <v>71</v>
      </c>
      <c r="RZC868" s="295" t="s">
        <v>71</v>
      </c>
      <c r="RZD868" s="295" t="s">
        <v>71</v>
      </c>
      <c r="RZE868" s="295" t="s">
        <v>71</v>
      </c>
      <c r="RZF868" s="295" t="s">
        <v>71</v>
      </c>
      <c r="RZG868" s="295" t="s">
        <v>71</v>
      </c>
      <c r="RZH868" s="295" t="s">
        <v>71</v>
      </c>
      <c r="RZI868" s="295" t="s">
        <v>71</v>
      </c>
      <c r="RZJ868" s="295" t="s">
        <v>71</v>
      </c>
      <c r="RZK868" s="295" t="s">
        <v>71</v>
      </c>
      <c r="RZL868" s="295" t="s">
        <v>71</v>
      </c>
      <c r="RZM868" s="295" t="s">
        <v>71</v>
      </c>
      <c r="RZN868" s="295" t="s">
        <v>71</v>
      </c>
      <c r="RZO868" s="295" t="s">
        <v>71</v>
      </c>
      <c r="RZP868" s="295" t="s">
        <v>71</v>
      </c>
      <c r="RZQ868" s="295" t="s">
        <v>71</v>
      </c>
      <c r="RZR868" s="295" t="s">
        <v>71</v>
      </c>
      <c r="RZS868" s="295" t="s">
        <v>71</v>
      </c>
      <c r="RZT868" s="295" t="s">
        <v>71</v>
      </c>
      <c r="RZU868" s="295" t="s">
        <v>71</v>
      </c>
      <c r="RZV868" s="295" t="s">
        <v>71</v>
      </c>
      <c r="RZW868" s="295" t="s">
        <v>71</v>
      </c>
      <c r="RZX868" s="295" t="s">
        <v>71</v>
      </c>
      <c r="RZY868" s="295" t="s">
        <v>71</v>
      </c>
      <c r="RZZ868" s="295" t="s">
        <v>71</v>
      </c>
      <c r="SAA868" s="295" t="s">
        <v>71</v>
      </c>
      <c r="SAB868" s="295" t="s">
        <v>71</v>
      </c>
      <c r="SAC868" s="295" t="s">
        <v>71</v>
      </c>
      <c r="SAD868" s="295" t="s">
        <v>71</v>
      </c>
      <c r="SAE868" s="295" t="s">
        <v>71</v>
      </c>
      <c r="SAF868" s="295" t="s">
        <v>71</v>
      </c>
      <c r="SAG868" s="295" t="s">
        <v>71</v>
      </c>
      <c r="SAH868" s="295" t="s">
        <v>71</v>
      </c>
      <c r="SAI868" s="295" t="s">
        <v>71</v>
      </c>
      <c r="SAJ868" s="295" t="s">
        <v>71</v>
      </c>
      <c r="SAK868" s="295" t="s">
        <v>71</v>
      </c>
      <c r="SAL868" s="295" t="s">
        <v>71</v>
      </c>
      <c r="SAM868" s="295" t="s">
        <v>71</v>
      </c>
      <c r="SAN868" s="295" t="s">
        <v>71</v>
      </c>
      <c r="SAO868" s="295" t="s">
        <v>71</v>
      </c>
      <c r="SAP868" s="295" t="s">
        <v>71</v>
      </c>
      <c r="SAQ868" s="295" t="s">
        <v>71</v>
      </c>
      <c r="SAR868" s="295" t="s">
        <v>71</v>
      </c>
      <c r="SAS868" s="295" t="s">
        <v>71</v>
      </c>
      <c r="SAT868" s="295" t="s">
        <v>71</v>
      </c>
      <c r="SAU868" s="295" t="s">
        <v>71</v>
      </c>
      <c r="SAV868" s="295" t="s">
        <v>71</v>
      </c>
      <c r="SAW868" s="295" t="s">
        <v>71</v>
      </c>
      <c r="SAX868" s="295" t="s">
        <v>71</v>
      </c>
      <c r="SAY868" s="295" t="s">
        <v>71</v>
      </c>
      <c r="SAZ868" s="295" t="s">
        <v>71</v>
      </c>
      <c r="SBA868" s="295" t="s">
        <v>71</v>
      </c>
      <c r="SBB868" s="295" t="s">
        <v>71</v>
      </c>
      <c r="SBC868" s="295" t="s">
        <v>71</v>
      </c>
      <c r="SBD868" s="295" t="s">
        <v>71</v>
      </c>
      <c r="SBE868" s="295" t="s">
        <v>71</v>
      </c>
      <c r="SBF868" s="295" t="s">
        <v>71</v>
      </c>
      <c r="SBG868" s="295" t="s">
        <v>71</v>
      </c>
      <c r="SBH868" s="295" t="s">
        <v>71</v>
      </c>
      <c r="SBI868" s="295" t="s">
        <v>71</v>
      </c>
      <c r="SBJ868" s="295" t="s">
        <v>71</v>
      </c>
      <c r="SBK868" s="295" t="s">
        <v>71</v>
      </c>
      <c r="SBL868" s="295" t="s">
        <v>71</v>
      </c>
      <c r="SBM868" s="295" t="s">
        <v>71</v>
      </c>
      <c r="SBN868" s="295" t="s">
        <v>71</v>
      </c>
      <c r="SBO868" s="295" t="s">
        <v>71</v>
      </c>
      <c r="SBP868" s="295" t="s">
        <v>71</v>
      </c>
      <c r="SBQ868" s="295" t="s">
        <v>71</v>
      </c>
      <c r="SBR868" s="295" t="s">
        <v>71</v>
      </c>
      <c r="SBS868" s="295" t="s">
        <v>71</v>
      </c>
      <c r="SBT868" s="295" t="s">
        <v>71</v>
      </c>
      <c r="SBU868" s="295" t="s">
        <v>71</v>
      </c>
      <c r="SBV868" s="295" t="s">
        <v>71</v>
      </c>
      <c r="SBW868" s="295" t="s">
        <v>71</v>
      </c>
      <c r="SBX868" s="295" t="s">
        <v>71</v>
      </c>
      <c r="SBY868" s="295" t="s">
        <v>71</v>
      </c>
      <c r="SBZ868" s="295" t="s">
        <v>71</v>
      </c>
      <c r="SCA868" s="295" t="s">
        <v>71</v>
      </c>
      <c r="SCB868" s="295" t="s">
        <v>71</v>
      </c>
      <c r="SCC868" s="295" t="s">
        <v>71</v>
      </c>
      <c r="SCD868" s="295" t="s">
        <v>71</v>
      </c>
      <c r="SCE868" s="295" t="s">
        <v>71</v>
      </c>
      <c r="SCF868" s="295" t="s">
        <v>71</v>
      </c>
      <c r="SCG868" s="295" t="s">
        <v>71</v>
      </c>
      <c r="SCH868" s="295" t="s">
        <v>71</v>
      </c>
      <c r="SCI868" s="295" t="s">
        <v>71</v>
      </c>
      <c r="SCJ868" s="295" t="s">
        <v>71</v>
      </c>
      <c r="SCK868" s="295" t="s">
        <v>71</v>
      </c>
      <c r="SCL868" s="295" t="s">
        <v>71</v>
      </c>
      <c r="SCM868" s="295" t="s">
        <v>71</v>
      </c>
      <c r="SCN868" s="295" t="s">
        <v>71</v>
      </c>
      <c r="SCO868" s="295" t="s">
        <v>71</v>
      </c>
      <c r="SCP868" s="295" t="s">
        <v>71</v>
      </c>
      <c r="SCQ868" s="295" t="s">
        <v>71</v>
      </c>
      <c r="SCR868" s="295" t="s">
        <v>71</v>
      </c>
      <c r="SCS868" s="295" t="s">
        <v>71</v>
      </c>
      <c r="SCT868" s="295" t="s">
        <v>71</v>
      </c>
      <c r="SCU868" s="295" t="s">
        <v>71</v>
      </c>
      <c r="SCV868" s="295" t="s">
        <v>71</v>
      </c>
      <c r="SCW868" s="295" t="s">
        <v>71</v>
      </c>
      <c r="SCX868" s="295" t="s">
        <v>71</v>
      </c>
      <c r="SCY868" s="295" t="s">
        <v>71</v>
      </c>
      <c r="SCZ868" s="295" t="s">
        <v>71</v>
      </c>
      <c r="SDA868" s="295" t="s">
        <v>71</v>
      </c>
      <c r="SDB868" s="295" t="s">
        <v>71</v>
      </c>
      <c r="SDC868" s="295" t="s">
        <v>71</v>
      </c>
      <c r="SDD868" s="295" t="s">
        <v>71</v>
      </c>
      <c r="SDE868" s="295" t="s">
        <v>71</v>
      </c>
      <c r="SDF868" s="295" t="s">
        <v>71</v>
      </c>
      <c r="SDG868" s="295" t="s">
        <v>71</v>
      </c>
      <c r="SDH868" s="295" t="s">
        <v>71</v>
      </c>
      <c r="SDI868" s="295" t="s">
        <v>71</v>
      </c>
      <c r="SDJ868" s="295" t="s">
        <v>71</v>
      </c>
      <c r="SDK868" s="295" t="s">
        <v>71</v>
      </c>
      <c r="SDL868" s="295" t="s">
        <v>71</v>
      </c>
      <c r="SDM868" s="295" t="s">
        <v>71</v>
      </c>
      <c r="SDN868" s="295" t="s">
        <v>71</v>
      </c>
      <c r="SDO868" s="295" t="s">
        <v>71</v>
      </c>
      <c r="SDP868" s="295" t="s">
        <v>71</v>
      </c>
      <c r="SDQ868" s="295" t="s">
        <v>71</v>
      </c>
      <c r="SDR868" s="295" t="s">
        <v>71</v>
      </c>
      <c r="SDS868" s="295" t="s">
        <v>71</v>
      </c>
      <c r="SDT868" s="295" t="s">
        <v>71</v>
      </c>
      <c r="SDU868" s="295" t="s">
        <v>71</v>
      </c>
      <c r="SDV868" s="295" t="s">
        <v>71</v>
      </c>
      <c r="SDW868" s="295" t="s">
        <v>71</v>
      </c>
      <c r="SDX868" s="295" t="s">
        <v>71</v>
      </c>
      <c r="SDY868" s="295" t="s">
        <v>71</v>
      </c>
      <c r="SDZ868" s="295" t="s">
        <v>71</v>
      </c>
      <c r="SEA868" s="295" t="s">
        <v>71</v>
      </c>
      <c r="SEB868" s="295" t="s">
        <v>71</v>
      </c>
      <c r="SEC868" s="295" t="s">
        <v>71</v>
      </c>
      <c r="SED868" s="295" t="s">
        <v>71</v>
      </c>
      <c r="SEE868" s="295" t="s">
        <v>71</v>
      </c>
      <c r="SEF868" s="295" t="s">
        <v>71</v>
      </c>
      <c r="SEG868" s="295" t="s">
        <v>71</v>
      </c>
      <c r="SEH868" s="295" t="s">
        <v>71</v>
      </c>
      <c r="SEI868" s="295" t="s">
        <v>71</v>
      </c>
      <c r="SEJ868" s="295" t="s">
        <v>71</v>
      </c>
      <c r="SEK868" s="295" t="s">
        <v>71</v>
      </c>
      <c r="SEL868" s="295" t="s">
        <v>71</v>
      </c>
      <c r="SEM868" s="295" t="s">
        <v>71</v>
      </c>
      <c r="SEN868" s="295" t="s">
        <v>71</v>
      </c>
      <c r="SEO868" s="295" t="s">
        <v>71</v>
      </c>
      <c r="SEP868" s="295" t="s">
        <v>71</v>
      </c>
      <c r="SEQ868" s="295" t="s">
        <v>71</v>
      </c>
      <c r="SER868" s="295" t="s">
        <v>71</v>
      </c>
      <c r="SES868" s="295" t="s">
        <v>71</v>
      </c>
      <c r="SET868" s="295" t="s">
        <v>71</v>
      </c>
      <c r="SEU868" s="295" t="s">
        <v>71</v>
      </c>
      <c r="SEV868" s="295" t="s">
        <v>71</v>
      </c>
      <c r="SEW868" s="295" t="s">
        <v>71</v>
      </c>
      <c r="SEX868" s="295" t="s">
        <v>71</v>
      </c>
      <c r="SEY868" s="295" t="s">
        <v>71</v>
      </c>
      <c r="SEZ868" s="295" t="s">
        <v>71</v>
      </c>
      <c r="SFA868" s="295" t="s">
        <v>71</v>
      </c>
      <c r="SFB868" s="295" t="s">
        <v>71</v>
      </c>
      <c r="SFC868" s="295" t="s">
        <v>71</v>
      </c>
      <c r="SFD868" s="295" t="s">
        <v>71</v>
      </c>
      <c r="SFE868" s="295" t="s">
        <v>71</v>
      </c>
      <c r="SFF868" s="295" t="s">
        <v>71</v>
      </c>
      <c r="SFG868" s="295" t="s">
        <v>71</v>
      </c>
      <c r="SFH868" s="295" t="s">
        <v>71</v>
      </c>
      <c r="SFI868" s="295" t="s">
        <v>71</v>
      </c>
      <c r="SFJ868" s="295" t="s">
        <v>71</v>
      </c>
      <c r="SFK868" s="295" t="s">
        <v>71</v>
      </c>
      <c r="SFL868" s="295" t="s">
        <v>71</v>
      </c>
      <c r="SFM868" s="295" t="s">
        <v>71</v>
      </c>
      <c r="SFN868" s="295" t="s">
        <v>71</v>
      </c>
      <c r="SFO868" s="295" t="s">
        <v>71</v>
      </c>
      <c r="SFP868" s="295" t="s">
        <v>71</v>
      </c>
      <c r="SFQ868" s="295" t="s">
        <v>71</v>
      </c>
      <c r="SFR868" s="295" t="s">
        <v>71</v>
      </c>
      <c r="SFS868" s="295" t="s">
        <v>71</v>
      </c>
      <c r="SFT868" s="295" t="s">
        <v>71</v>
      </c>
      <c r="SFU868" s="295" t="s">
        <v>71</v>
      </c>
      <c r="SFV868" s="295" t="s">
        <v>71</v>
      </c>
      <c r="SFW868" s="295" t="s">
        <v>71</v>
      </c>
      <c r="SFX868" s="295" t="s">
        <v>71</v>
      </c>
      <c r="SFY868" s="295" t="s">
        <v>71</v>
      </c>
      <c r="SFZ868" s="295" t="s">
        <v>71</v>
      </c>
      <c r="SGA868" s="295" t="s">
        <v>71</v>
      </c>
      <c r="SGB868" s="295" t="s">
        <v>71</v>
      </c>
      <c r="SGC868" s="295" t="s">
        <v>71</v>
      </c>
      <c r="SGD868" s="295" t="s">
        <v>71</v>
      </c>
      <c r="SGE868" s="295" t="s">
        <v>71</v>
      </c>
      <c r="SGF868" s="295" t="s">
        <v>71</v>
      </c>
      <c r="SGG868" s="295" t="s">
        <v>71</v>
      </c>
      <c r="SGH868" s="295" t="s">
        <v>71</v>
      </c>
      <c r="SGI868" s="295" t="s">
        <v>71</v>
      </c>
      <c r="SGJ868" s="295" t="s">
        <v>71</v>
      </c>
      <c r="SGK868" s="295" t="s">
        <v>71</v>
      </c>
      <c r="SGL868" s="295" t="s">
        <v>71</v>
      </c>
      <c r="SGM868" s="295" t="s">
        <v>71</v>
      </c>
      <c r="SGN868" s="295" t="s">
        <v>71</v>
      </c>
      <c r="SGO868" s="295" t="s">
        <v>71</v>
      </c>
      <c r="SGP868" s="295" t="s">
        <v>71</v>
      </c>
      <c r="SGQ868" s="295" t="s">
        <v>71</v>
      </c>
      <c r="SGR868" s="295" t="s">
        <v>71</v>
      </c>
      <c r="SGS868" s="295" t="s">
        <v>71</v>
      </c>
      <c r="SGT868" s="295" t="s">
        <v>71</v>
      </c>
      <c r="SGU868" s="295" t="s">
        <v>71</v>
      </c>
      <c r="SGV868" s="295" t="s">
        <v>71</v>
      </c>
      <c r="SGW868" s="295" t="s">
        <v>71</v>
      </c>
      <c r="SGX868" s="295" t="s">
        <v>71</v>
      </c>
      <c r="SGY868" s="295" t="s">
        <v>71</v>
      </c>
      <c r="SGZ868" s="295" t="s">
        <v>71</v>
      </c>
      <c r="SHA868" s="295" t="s">
        <v>71</v>
      </c>
      <c r="SHB868" s="295" t="s">
        <v>71</v>
      </c>
      <c r="SHC868" s="295" t="s">
        <v>71</v>
      </c>
      <c r="SHD868" s="295" t="s">
        <v>71</v>
      </c>
      <c r="SHE868" s="295" t="s">
        <v>71</v>
      </c>
      <c r="SHF868" s="295" t="s">
        <v>71</v>
      </c>
      <c r="SHG868" s="295" t="s">
        <v>71</v>
      </c>
      <c r="SHH868" s="295" t="s">
        <v>71</v>
      </c>
      <c r="SHI868" s="295" t="s">
        <v>71</v>
      </c>
      <c r="SHJ868" s="295" t="s">
        <v>71</v>
      </c>
      <c r="SHK868" s="295" t="s">
        <v>71</v>
      </c>
      <c r="SHL868" s="295" t="s">
        <v>71</v>
      </c>
      <c r="SHM868" s="295" t="s">
        <v>71</v>
      </c>
      <c r="SHN868" s="295" t="s">
        <v>71</v>
      </c>
      <c r="SHO868" s="295" t="s">
        <v>71</v>
      </c>
      <c r="SHP868" s="295" t="s">
        <v>71</v>
      </c>
      <c r="SHQ868" s="295" t="s">
        <v>71</v>
      </c>
      <c r="SHR868" s="295" t="s">
        <v>71</v>
      </c>
      <c r="SHS868" s="295" t="s">
        <v>71</v>
      </c>
      <c r="SHT868" s="295" t="s">
        <v>71</v>
      </c>
      <c r="SHU868" s="295" t="s">
        <v>71</v>
      </c>
      <c r="SHV868" s="295" t="s">
        <v>71</v>
      </c>
      <c r="SHW868" s="295" t="s">
        <v>71</v>
      </c>
      <c r="SHX868" s="295" t="s">
        <v>71</v>
      </c>
      <c r="SHY868" s="295" t="s">
        <v>71</v>
      </c>
      <c r="SHZ868" s="295" t="s">
        <v>71</v>
      </c>
      <c r="SIA868" s="295" t="s">
        <v>71</v>
      </c>
      <c r="SIB868" s="295" t="s">
        <v>71</v>
      </c>
      <c r="SIC868" s="295" t="s">
        <v>71</v>
      </c>
      <c r="SID868" s="295" t="s">
        <v>71</v>
      </c>
      <c r="SIE868" s="295" t="s">
        <v>71</v>
      </c>
      <c r="SIF868" s="295" t="s">
        <v>71</v>
      </c>
      <c r="SIG868" s="295" t="s">
        <v>71</v>
      </c>
      <c r="SIH868" s="295" t="s">
        <v>71</v>
      </c>
      <c r="SII868" s="295" t="s">
        <v>71</v>
      </c>
      <c r="SIJ868" s="295" t="s">
        <v>71</v>
      </c>
      <c r="SIK868" s="295" t="s">
        <v>71</v>
      </c>
      <c r="SIL868" s="295" t="s">
        <v>71</v>
      </c>
      <c r="SIM868" s="295" t="s">
        <v>71</v>
      </c>
      <c r="SIN868" s="295" t="s">
        <v>71</v>
      </c>
      <c r="SIO868" s="295" t="s">
        <v>71</v>
      </c>
      <c r="SIP868" s="295" t="s">
        <v>71</v>
      </c>
      <c r="SIQ868" s="295" t="s">
        <v>71</v>
      </c>
      <c r="SIR868" s="295" t="s">
        <v>71</v>
      </c>
      <c r="SIS868" s="295" t="s">
        <v>71</v>
      </c>
      <c r="SIT868" s="295" t="s">
        <v>71</v>
      </c>
      <c r="SIU868" s="295" t="s">
        <v>71</v>
      </c>
      <c r="SIV868" s="295" t="s">
        <v>71</v>
      </c>
      <c r="SIW868" s="295" t="s">
        <v>71</v>
      </c>
      <c r="SIX868" s="295" t="s">
        <v>71</v>
      </c>
      <c r="SIY868" s="295" t="s">
        <v>71</v>
      </c>
      <c r="SIZ868" s="295" t="s">
        <v>71</v>
      </c>
      <c r="SJA868" s="295" t="s">
        <v>71</v>
      </c>
      <c r="SJB868" s="295" t="s">
        <v>71</v>
      </c>
      <c r="SJC868" s="295" t="s">
        <v>71</v>
      </c>
      <c r="SJD868" s="295" t="s">
        <v>71</v>
      </c>
      <c r="SJE868" s="295" t="s">
        <v>71</v>
      </c>
      <c r="SJF868" s="295" t="s">
        <v>71</v>
      </c>
      <c r="SJG868" s="295" t="s">
        <v>71</v>
      </c>
      <c r="SJH868" s="295" t="s">
        <v>71</v>
      </c>
      <c r="SJI868" s="295" t="s">
        <v>71</v>
      </c>
      <c r="SJJ868" s="295" t="s">
        <v>71</v>
      </c>
      <c r="SJK868" s="295" t="s">
        <v>71</v>
      </c>
      <c r="SJL868" s="295" t="s">
        <v>71</v>
      </c>
      <c r="SJM868" s="295" t="s">
        <v>71</v>
      </c>
      <c r="SJN868" s="295" t="s">
        <v>71</v>
      </c>
      <c r="SJO868" s="295" t="s">
        <v>71</v>
      </c>
      <c r="SJP868" s="295" t="s">
        <v>71</v>
      </c>
      <c r="SJQ868" s="295" t="s">
        <v>71</v>
      </c>
      <c r="SJR868" s="295" t="s">
        <v>71</v>
      </c>
      <c r="SJS868" s="295" t="s">
        <v>71</v>
      </c>
      <c r="SJT868" s="295" t="s">
        <v>71</v>
      </c>
      <c r="SJU868" s="295" t="s">
        <v>71</v>
      </c>
      <c r="SJV868" s="295" t="s">
        <v>71</v>
      </c>
      <c r="SJW868" s="295" t="s">
        <v>71</v>
      </c>
      <c r="SJX868" s="295" t="s">
        <v>71</v>
      </c>
      <c r="SJY868" s="295" t="s">
        <v>71</v>
      </c>
      <c r="SJZ868" s="295" t="s">
        <v>71</v>
      </c>
      <c r="SKA868" s="295" t="s">
        <v>71</v>
      </c>
      <c r="SKB868" s="295" t="s">
        <v>71</v>
      </c>
      <c r="SKC868" s="295" t="s">
        <v>71</v>
      </c>
      <c r="SKD868" s="295" t="s">
        <v>71</v>
      </c>
      <c r="SKE868" s="295" t="s">
        <v>71</v>
      </c>
      <c r="SKF868" s="295" t="s">
        <v>71</v>
      </c>
      <c r="SKG868" s="295" t="s">
        <v>71</v>
      </c>
      <c r="SKH868" s="295" t="s">
        <v>71</v>
      </c>
      <c r="SKI868" s="295" t="s">
        <v>71</v>
      </c>
      <c r="SKJ868" s="295" t="s">
        <v>71</v>
      </c>
      <c r="SKK868" s="295" t="s">
        <v>71</v>
      </c>
      <c r="SKL868" s="295" t="s">
        <v>71</v>
      </c>
      <c r="SKM868" s="295" t="s">
        <v>71</v>
      </c>
      <c r="SKN868" s="295" t="s">
        <v>71</v>
      </c>
      <c r="SKO868" s="295" t="s">
        <v>71</v>
      </c>
      <c r="SKP868" s="295" t="s">
        <v>71</v>
      </c>
      <c r="SKQ868" s="295" t="s">
        <v>71</v>
      </c>
      <c r="SKR868" s="295" t="s">
        <v>71</v>
      </c>
      <c r="SKS868" s="295" t="s">
        <v>71</v>
      </c>
      <c r="SKT868" s="295" t="s">
        <v>71</v>
      </c>
      <c r="SKU868" s="295" t="s">
        <v>71</v>
      </c>
      <c r="SKV868" s="295" t="s">
        <v>71</v>
      </c>
      <c r="SKW868" s="295" t="s">
        <v>71</v>
      </c>
      <c r="SKX868" s="295" t="s">
        <v>71</v>
      </c>
      <c r="SKY868" s="295" t="s">
        <v>71</v>
      </c>
      <c r="SKZ868" s="295" t="s">
        <v>71</v>
      </c>
      <c r="SLA868" s="295" t="s">
        <v>71</v>
      </c>
      <c r="SLB868" s="295" t="s">
        <v>71</v>
      </c>
      <c r="SLC868" s="295" t="s">
        <v>71</v>
      </c>
      <c r="SLD868" s="295" t="s">
        <v>71</v>
      </c>
      <c r="SLE868" s="295" t="s">
        <v>71</v>
      </c>
      <c r="SLF868" s="295" t="s">
        <v>71</v>
      </c>
      <c r="SLG868" s="295" t="s">
        <v>71</v>
      </c>
      <c r="SLH868" s="295" t="s">
        <v>71</v>
      </c>
      <c r="SLI868" s="295" t="s">
        <v>71</v>
      </c>
      <c r="SLJ868" s="295" t="s">
        <v>71</v>
      </c>
      <c r="SLK868" s="295" t="s">
        <v>71</v>
      </c>
      <c r="SLL868" s="295" t="s">
        <v>71</v>
      </c>
      <c r="SLM868" s="295" t="s">
        <v>71</v>
      </c>
      <c r="SLN868" s="295" t="s">
        <v>71</v>
      </c>
      <c r="SLO868" s="295" t="s">
        <v>71</v>
      </c>
      <c r="SLP868" s="295" t="s">
        <v>71</v>
      </c>
      <c r="SLQ868" s="295" t="s">
        <v>71</v>
      </c>
      <c r="SLR868" s="295" t="s">
        <v>71</v>
      </c>
      <c r="SLS868" s="295" t="s">
        <v>71</v>
      </c>
      <c r="SLT868" s="295" t="s">
        <v>71</v>
      </c>
      <c r="SLU868" s="295" t="s">
        <v>71</v>
      </c>
      <c r="SLV868" s="295" t="s">
        <v>71</v>
      </c>
      <c r="SLW868" s="295" t="s">
        <v>71</v>
      </c>
      <c r="SLX868" s="295" t="s">
        <v>71</v>
      </c>
      <c r="SLY868" s="295" t="s">
        <v>71</v>
      </c>
      <c r="SLZ868" s="295" t="s">
        <v>71</v>
      </c>
      <c r="SMA868" s="295" t="s">
        <v>71</v>
      </c>
      <c r="SMB868" s="295" t="s">
        <v>71</v>
      </c>
      <c r="SMC868" s="295" t="s">
        <v>71</v>
      </c>
      <c r="SMD868" s="295" t="s">
        <v>71</v>
      </c>
      <c r="SME868" s="295" t="s">
        <v>71</v>
      </c>
      <c r="SMF868" s="295" t="s">
        <v>71</v>
      </c>
      <c r="SMG868" s="295" t="s">
        <v>71</v>
      </c>
      <c r="SMH868" s="295" t="s">
        <v>71</v>
      </c>
      <c r="SMI868" s="295" t="s">
        <v>71</v>
      </c>
      <c r="SMJ868" s="295" t="s">
        <v>71</v>
      </c>
      <c r="SMK868" s="295" t="s">
        <v>71</v>
      </c>
      <c r="SML868" s="295" t="s">
        <v>71</v>
      </c>
      <c r="SMM868" s="295" t="s">
        <v>71</v>
      </c>
      <c r="SMN868" s="295" t="s">
        <v>71</v>
      </c>
      <c r="SMO868" s="295" t="s">
        <v>71</v>
      </c>
      <c r="SMP868" s="295" t="s">
        <v>71</v>
      </c>
      <c r="SMQ868" s="295" t="s">
        <v>71</v>
      </c>
      <c r="SMR868" s="295" t="s">
        <v>71</v>
      </c>
      <c r="SMS868" s="295" t="s">
        <v>71</v>
      </c>
      <c r="SMT868" s="295" t="s">
        <v>71</v>
      </c>
      <c r="SMU868" s="295" t="s">
        <v>71</v>
      </c>
      <c r="SMV868" s="295" t="s">
        <v>71</v>
      </c>
      <c r="SMW868" s="295" t="s">
        <v>71</v>
      </c>
      <c r="SMX868" s="295" t="s">
        <v>71</v>
      </c>
      <c r="SMY868" s="295" t="s">
        <v>71</v>
      </c>
      <c r="SMZ868" s="295" t="s">
        <v>71</v>
      </c>
      <c r="SNA868" s="295" t="s">
        <v>71</v>
      </c>
      <c r="SNB868" s="295" t="s">
        <v>71</v>
      </c>
      <c r="SNC868" s="295" t="s">
        <v>71</v>
      </c>
      <c r="SND868" s="295" t="s">
        <v>71</v>
      </c>
      <c r="SNE868" s="295" t="s">
        <v>71</v>
      </c>
      <c r="SNF868" s="295" t="s">
        <v>71</v>
      </c>
      <c r="SNG868" s="295" t="s">
        <v>71</v>
      </c>
      <c r="SNH868" s="295" t="s">
        <v>71</v>
      </c>
      <c r="SNI868" s="295" t="s">
        <v>71</v>
      </c>
      <c r="SNJ868" s="295" t="s">
        <v>71</v>
      </c>
      <c r="SNK868" s="295" t="s">
        <v>71</v>
      </c>
      <c r="SNL868" s="295" t="s">
        <v>71</v>
      </c>
      <c r="SNM868" s="295" t="s">
        <v>71</v>
      </c>
      <c r="SNN868" s="295" t="s">
        <v>71</v>
      </c>
      <c r="SNO868" s="295" t="s">
        <v>71</v>
      </c>
      <c r="SNP868" s="295" t="s">
        <v>71</v>
      </c>
      <c r="SNQ868" s="295" t="s">
        <v>71</v>
      </c>
      <c r="SNR868" s="295" t="s">
        <v>71</v>
      </c>
      <c r="SNS868" s="295" t="s">
        <v>71</v>
      </c>
      <c r="SNT868" s="295" t="s">
        <v>71</v>
      </c>
      <c r="SNU868" s="295" t="s">
        <v>71</v>
      </c>
      <c r="SNV868" s="295" t="s">
        <v>71</v>
      </c>
      <c r="SNW868" s="295" t="s">
        <v>71</v>
      </c>
      <c r="SNX868" s="295" t="s">
        <v>71</v>
      </c>
      <c r="SNY868" s="295" t="s">
        <v>71</v>
      </c>
      <c r="SNZ868" s="295" t="s">
        <v>71</v>
      </c>
      <c r="SOA868" s="295" t="s">
        <v>71</v>
      </c>
      <c r="SOB868" s="295" t="s">
        <v>71</v>
      </c>
      <c r="SOC868" s="295" t="s">
        <v>71</v>
      </c>
      <c r="SOD868" s="295" t="s">
        <v>71</v>
      </c>
      <c r="SOE868" s="295" t="s">
        <v>71</v>
      </c>
      <c r="SOF868" s="295" t="s">
        <v>71</v>
      </c>
      <c r="SOG868" s="295" t="s">
        <v>71</v>
      </c>
      <c r="SOH868" s="295" t="s">
        <v>71</v>
      </c>
      <c r="SOI868" s="295" t="s">
        <v>71</v>
      </c>
      <c r="SOJ868" s="295" t="s">
        <v>71</v>
      </c>
      <c r="SOK868" s="295" t="s">
        <v>71</v>
      </c>
      <c r="SOL868" s="295" t="s">
        <v>71</v>
      </c>
      <c r="SOM868" s="295" t="s">
        <v>71</v>
      </c>
      <c r="SON868" s="295" t="s">
        <v>71</v>
      </c>
      <c r="SOO868" s="295" t="s">
        <v>71</v>
      </c>
      <c r="SOP868" s="295" t="s">
        <v>71</v>
      </c>
      <c r="SOQ868" s="295" t="s">
        <v>71</v>
      </c>
      <c r="SOR868" s="295" t="s">
        <v>71</v>
      </c>
      <c r="SOS868" s="295" t="s">
        <v>71</v>
      </c>
      <c r="SOT868" s="295" t="s">
        <v>71</v>
      </c>
      <c r="SOU868" s="295" t="s">
        <v>71</v>
      </c>
      <c r="SOV868" s="295" t="s">
        <v>71</v>
      </c>
      <c r="SOW868" s="295" t="s">
        <v>71</v>
      </c>
      <c r="SOX868" s="295" t="s">
        <v>71</v>
      </c>
      <c r="SOY868" s="295" t="s">
        <v>71</v>
      </c>
      <c r="SOZ868" s="295" t="s">
        <v>71</v>
      </c>
      <c r="SPA868" s="295" t="s">
        <v>71</v>
      </c>
      <c r="SPB868" s="295" t="s">
        <v>71</v>
      </c>
      <c r="SPC868" s="295" t="s">
        <v>71</v>
      </c>
      <c r="SPD868" s="295" t="s">
        <v>71</v>
      </c>
      <c r="SPE868" s="295" t="s">
        <v>71</v>
      </c>
      <c r="SPF868" s="295" t="s">
        <v>71</v>
      </c>
      <c r="SPG868" s="295" t="s">
        <v>71</v>
      </c>
      <c r="SPH868" s="295" t="s">
        <v>71</v>
      </c>
      <c r="SPI868" s="295" t="s">
        <v>71</v>
      </c>
      <c r="SPJ868" s="295" t="s">
        <v>71</v>
      </c>
      <c r="SPK868" s="295" t="s">
        <v>71</v>
      </c>
      <c r="SPL868" s="295" t="s">
        <v>71</v>
      </c>
      <c r="SPM868" s="295" t="s">
        <v>71</v>
      </c>
      <c r="SPN868" s="295" t="s">
        <v>71</v>
      </c>
      <c r="SPO868" s="295" t="s">
        <v>71</v>
      </c>
      <c r="SPP868" s="295" t="s">
        <v>71</v>
      </c>
      <c r="SPQ868" s="295" t="s">
        <v>71</v>
      </c>
      <c r="SPR868" s="295" t="s">
        <v>71</v>
      </c>
      <c r="SPS868" s="295" t="s">
        <v>71</v>
      </c>
      <c r="SPT868" s="295" t="s">
        <v>71</v>
      </c>
      <c r="SPU868" s="295" t="s">
        <v>71</v>
      </c>
      <c r="SPV868" s="295" t="s">
        <v>71</v>
      </c>
      <c r="SPW868" s="295" t="s">
        <v>71</v>
      </c>
      <c r="SPX868" s="295" t="s">
        <v>71</v>
      </c>
      <c r="SPY868" s="295" t="s">
        <v>71</v>
      </c>
      <c r="SPZ868" s="295" t="s">
        <v>71</v>
      </c>
      <c r="SQA868" s="295" t="s">
        <v>71</v>
      </c>
      <c r="SQB868" s="295" t="s">
        <v>71</v>
      </c>
      <c r="SQC868" s="295" t="s">
        <v>71</v>
      </c>
      <c r="SQD868" s="295" t="s">
        <v>71</v>
      </c>
      <c r="SQE868" s="295" t="s">
        <v>71</v>
      </c>
      <c r="SQF868" s="295" t="s">
        <v>71</v>
      </c>
      <c r="SQG868" s="295" t="s">
        <v>71</v>
      </c>
      <c r="SQH868" s="295" t="s">
        <v>71</v>
      </c>
      <c r="SQI868" s="295" t="s">
        <v>71</v>
      </c>
      <c r="SQJ868" s="295" t="s">
        <v>71</v>
      </c>
      <c r="SQK868" s="295" t="s">
        <v>71</v>
      </c>
      <c r="SQL868" s="295" t="s">
        <v>71</v>
      </c>
      <c r="SQM868" s="295" t="s">
        <v>71</v>
      </c>
      <c r="SQN868" s="295" t="s">
        <v>71</v>
      </c>
      <c r="SQO868" s="295" t="s">
        <v>71</v>
      </c>
      <c r="SQP868" s="295" t="s">
        <v>71</v>
      </c>
      <c r="SQQ868" s="295" t="s">
        <v>71</v>
      </c>
      <c r="SQR868" s="295" t="s">
        <v>71</v>
      </c>
      <c r="SQS868" s="295" t="s">
        <v>71</v>
      </c>
      <c r="SQT868" s="295" t="s">
        <v>71</v>
      </c>
      <c r="SQU868" s="295" t="s">
        <v>71</v>
      </c>
      <c r="SQV868" s="295" t="s">
        <v>71</v>
      </c>
      <c r="SQW868" s="295" t="s">
        <v>71</v>
      </c>
      <c r="SQX868" s="295" t="s">
        <v>71</v>
      </c>
      <c r="SQY868" s="295" t="s">
        <v>71</v>
      </c>
      <c r="SQZ868" s="295" t="s">
        <v>71</v>
      </c>
      <c r="SRA868" s="295" t="s">
        <v>71</v>
      </c>
      <c r="SRB868" s="295" t="s">
        <v>71</v>
      </c>
      <c r="SRC868" s="295" t="s">
        <v>71</v>
      </c>
      <c r="SRD868" s="295" t="s">
        <v>71</v>
      </c>
      <c r="SRE868" s="295" t="s">
        <v>71</v>
      </c>
      <c r="SRF868" s="295" t="s">
        <v>71</v>
      </c>
      <c r="SRG868" s="295" t="s">
        <v>71</v>
      </c>
      <c r="SRH868" s="295" t="s">
        <v>71</v>
      </c>
      <c r="SRI868" s="295" t="s">
        <v>71</v>
      </c>
      <c r="SRJ868" s="295" t="s">
        <v>71</v>
      </c>
      <c r="SRK868" s="295" t="s">
        <v>71</v>
      </c>
      <c r="SRL868" s="295" t="s">
        <v>71</v>
      </c>
      <c r="SRM868" s="295" t="s">
        <v>71</v>
      </c>
      <c r="SRN868" s="295" t="s">
        <v>71</v>
      </c>
      <c r="SRO868" s="295" t="s">
        <v>71</v>
      </c>
      <c r="SRP868" s="295" t="s">
        <v>71</v>
      </c>
      <c r="SRQ868" s="295" t="s">
        <v>71</v>
      </c>
      <c r="SRR868" s="295" t="s">
        <v>71</v>
      </c>
      <c r="SRS868" s="295" t="s">
        <v>71</v>
      </c>
      <c r="SRT868" s="295" t="s">
        <v>71</v>
      </c>
      <c r="SRU868" s="295" t="s">
        <v>71</v>
      </c>
      <c r="SRV868" s="295" t="s">
        <v>71</v>
      </c>
      <c r="SRW868" s="295" t="s">
        <v>71</v>
      </c>
      <c r="SRX868" s="295" t="s">
        <v>71</v>
      </c>
      <c r="SRY868" s="295" t="s">
        <v>71</v>
      </c>
      <c r="SRZ868" s="295" t="s">
        <v>71</v>
      </c>
      <c r="SSA868" s="295" t="s">
        <v>71</v>
      </c>
      <c r="SSB868" s="295" t="s">
        <v>71</v>
      </c>
      <c r="SSC868" s="295" t="s">
        <v>71</v>
      </c>
      <c r="SSD868" s="295" t="s">
        <v>71</v>
      </c>
      <c r="SSE868" s="295" t="s">
        <v>71</v>
      </c>
      <c r="SSF868" s="295" t="s">
        <v>71</v>
      </c>
      <c r="SSG868" s="295" t="s">
        <v>71</v>
      </c>
      <c r="SSH868" s="295" t="s">
        <v>71</v>
      </c>
      <c r="SSI868" s="295" t="s">
        <v>71</v>
      </c>
      <c r="SSJ868" s="295" t="s">
        <v>71</v>
      </c>
      <c r="SSK868" s="295" t="s">
        <v>71</v>
      </c>
      <c r="SSL868" s="295" t="s">
        <v>71</v>
      </c>
      <c r="SSM868" s="295" t="s">
        <v>71</v>
      </c>
      <c r="SSN868" s="295" t="s">
        <v>71</v>
      </c>
      <c r="SSO868" s="295" t="s">
        <v>71</v>
      </c>
      <c r="SSP868" s="295" t="s">
        <v>71</v>
      </c>
      <c r="SSQ868" s="295" t="s">
        <v>71</v>
      </c>
      <c r="SSR868" s="295" t="s">
        <v>71</v>
      </c>
      <c r="SSS868" s="295" t="s">
        <v>71</v>
      </c>
      <c r="SST868" s="295" t="s">
        <v>71</v>
      </c>
      <c r="SSU868" s="295" t="s">
        <v>71</v>
      </c>
      <c r="SSV868" s="295" t="s">
        <v>71</v>
      </c>
      <c r="SSW868" s="295" t="s">
        <v>71</v>
      </c>
      <c r="SSX868" s="295" t="s">
        <v>71</v>
      </c>
      <c r="SSY868" s="295" t="s">
        <v>71</v>
      </c>
      <c r="SSZ868" s="295" t="s">
        <v>71</v>
      </c>
      <c r="STA868" s="295" t="s">
        <v>71</v>
      </c>
      <c r="STB868" s="295" t="s">
        <v>71</v>
      </c>
      <c r="STC868" s="295" t="s">
        <v>71</v>
      </c>
      <c r="STD868" s="295" t="s">
        <v>71</v>
      </c>
      <c r="STE868" s="295" t="s">
        <v>71</v>
      </c>
      <c r="STF868" s="295" t="s">
        <v>71</v>
      </c>
      <c r="STG868" s="295" t="s">
        <v>71</v>
      </c>
      <c r="STH868" s="295" t="s">
        <v>71</v>
      </c>
      <c r="STI868" s="295" t="s">
        <v>71</v>
      </c>
      <c r="STJ868" s="295" t="s">
        <v>71</v>
      </c>
      <c r="STK868" s="295" t="s">
        <v>71</v>
      </c>
      <c r="STL868" s="295" t="s">
        <v>71</v>
      </c>
      <c r="STM868" s="295" t="s">
        <v>71</v>
      </c>
      <c r="STN868" s="295" t="s">
        <v>71</v>
      </c>
      <c r="STO868" s="295" t="s">
        <v>71</v>
      </c>
      <c r="STP868" s="295" t="s">
        <v>71</v>
      </c>
      <c r="STQ868" s="295" t="s">
        <v>71</v>
      </c>
      <c r="STR868" s="295" t="s">
        <v>71</v>
      </c>
      <c r="STS868" s="295" t="s">
        <v>71</v>
      </c>
      <c r="STT868" s="295" t="s">
        <v>71</v>
      </c>
      <c r="STU868" s="295" t="s">
        <v>71</v>
      </c>
      <c r="STV868" s="295" t="s">
        <v>71</v>
      </c>
      <c r="STW868" s="295" t="s">
        <v>71</v>
      </c>
      <c r="STX868" s="295" t="s">
        <v>71</v>
      </c>
      <c r="STY868" s="295" t="s">
        <v>71</v>
      </c>
      <c r="STZ868" s="295" t="s">
        <v>71</v>
      </c>
      <c r="SUA868" s="295" t="s">
        <v>71</v>
      </c>
      <c r="SUB868" s="295" t="s">
        <v>71</v>
      </c>
      <c r="SUC868" s="295" t="s">
        <v>71</v>
      </c>
      <c r="SUD868" s="295" t="s">
        <v>71</v>
      </c>
      <c r="SUE868" s="295" t="s">
        <v>71</v>
      </c>
      <c r="SUF868" s="295" t="s">
        <v>71</v>
      </c>
      <c r="SUG868" s="295" t="s">
        <v>71</v>
      </c>
      <c r="SUH868" s="295" t="s">
        <v>71</v>
      </c>
      <c r="SUI868" s="295" t="s">
        <v>71</v>
      </c>
      <c r="SUJ868" s="295" t="s">
        <v>71</v>
      </c>
      <c r="SUK868" s="295" t="s">
        <v>71</v>
      </c>
      <c r="SUL868" s="295" t="s">
        <v>71</v>
      </c>
      <c r="SUM868" s="295" t="s">
        <v>71</v>
      </c>
      <c r="SUN868" s="295" t="s">
        <v>71</v>
      </c>
      <c r="SUO868" s="295" t="s">
        <v>71</v>
      </c>
      <c r="SUP868" s="295" t="s">
        <v>71</v>
      </c>
      <c r="SUQ868" s="295" t="s">
        <v>71</v>
      </c>
      <c r="SUR868" s="295" t="s">
        <v>71</v>
      </c>
      <c r="SUS868" s="295" t="s">
        <v>71</v>
      </c>
      <c r="SUT868" s="295" t="s">
        <v>71</v>
      </c>
      <c r="SUU868" s="295" t="s">
        <v>71</v>
      </c>
      <c r="SUV868" s="295" t="s">
        <v>71</v>
      </c>
      <c r="SUW868" s="295" t="s">
        <v>71</v>
      </c>
      <c r="SUX868" s="295" t="s">
        <v>71</v>
      </c>
      <c r="SUY868" s="295" t="s">
        <v>71</v>
      </c>
      <c r="SUZ868" s="295" t="s">
        <v>71</v>
      </c>
      <c r="SVA868" s="295" t="s">
        <v>71</v>
      </c>
      <c r="SVB868" s="295" t="s">
        <v>71</v>
      </c>
      <c r="SVC868" s="295" t="s">
        <v>71</v>
      </c>
      <c r="SVD868" s="295" t="s">
        <v>71</v>
      </c>
      <c r="SVE868" s="295" t="s">
        <v>71</v>
      </c>
      <c r="SVF868" s="295" t="s">
        <v>71</v>
      </c>
      <c r="SVG868" s="295" t="s">
        <v>71</v>
      </c>
      <c r="SVH868" s="295" t="s">
        <v>71</v>
      </c>
      <c r="SVI868" s="295" t="s">
        <v>71</v>
      </c>
      <c r="SVJ868" s="295" t="s">
        <v>71</v>
      </c>
      <c r="SVK868" s="295" t="s">
        <v>71</v>
      </c>
      <c r="SVL868" s="295" t="s">
        <v>71</v>
      </c>
      <c r="SVM868" s="295" t="s">
        <v>71</v>
      </c>
      <c r="SVN868" s="295" t="s">
        <v>71</v>
      </c>
      <c r="SVO868" s="295" t="s">
        <v>71</v>
      </c>
      <c r="SVP868" s="295" t="s">
        <v>71</v>
      </c>
      <c r="SVQ868" s="295" t="s">
        <v>71</v>
      </c>
      <c r="SVR868" s="295" t="s">
        <v>71</v>
      </c>
      <c r="SVS868" s="295" t="s">
        <v>71</v>
      </c>
      <c r="SVT868" s="295" t="s">
        <v>71</v>
      </c>
      <c r="SVU868" s="295" t="s">
        <v>71</v>
      </c>
      <c r="SVV868" s="295" t="s">
        <v>71</v>
      </c>
      <c r="SVW868" s="295" t="s">
        <v>71</v>
      </c>
      <c r="SVX868" s="295" t="s">
        <v>71</v>
      </c>
      <c r="SVY868" s="295" t="s">
        <v>71</v>
      </c>
      <c r="SVZ868" s="295" t="s">
        <v>71</v>
      </c>
      <c r="SWA868" s="295" t="s">
        <v>71</v>
      </c>
      <c r="SWB868" s="295" t="s">
        <v>71</v>
      </c>
      <c r="SWC868" s="295" t="s">
        <v>71</v>
      </c>
      <c r="SWD868" s="295" t="s">
        <v>71</v>
      </c>
      <c r="SWE868" s="295" t="s">
        <v>71</v>
      </c>
      <c r="SWF868" s="295" t="s">
        <v>71</v>
      </c>
      <c r="SWG868" s="295" t="s">
        <v>71</v>
      </c>
      <c r="SWH868" s="295" t="s">
        <v>71</v>
      </c>
      <c r="SWI868" s="295" t="s">
        <v>71</v>
      </c>
      <c r="SWJ868" s="295" t="s">
        <v>71</v>
      </c>
      <c r="SWK868" s="295" t="s">
        <v>71</v>
      </c>
      <c r="SWL868" s="295" t="s">
        <v>71</v>
      </c>
      <c r="SWM868" s="295" t="s">
        <v>71</v>
      </c>
      <c r="SWN868" s="295" t="s">
        <v>71</v>
      </c>
      <c r="SWO868" s="295" t="s">
        <v>71</v>
      </c>
      <c r="SWP868" s="295" t="s">
        <v>71</v>
      </c>
      <c r="SWQ868" s="295" t="s">
        <v>71</v>
      </c>
      <c r="SWR868" s="295" t="s">
        <v>71</v>
      </c>
      <c r="SWS868" s="295" t="s">
        <v>71</v>
      </c>
      <c r="SWT868" s="295" t="s">
        <v>71</v>
      </c>
      <c r="SWU868" s="295" t="s">
        <v>71</v>
      </c>
      <c r="SWV868" s="295" t="s">
        <v>71</v>
      </c>
      <c r="SWW868" s="295" t="s">
        <v>71</v>
      </c>
      <c r="SWX868" s="295" t="s">
        <v>71</v>
      </c>
      <c r="SWY868" s="295" t="s">
        <v>71</v>
      </c>
      <c r="SWZ868" s="295" t="s">
        <v>71</v>
      </c>
      <c r="SXA868" s="295" t="s">
        <v>71</v>
      </c>
      <c r="SXB868" s="295" t="s">
        <v>71</v>
      </c>
      <c r="SXC868" s="295" t="s">
        <v>71</v>
      </c>
      <c r="SXD868" s="295" t="s">
        <v>71</v>
      </c>
      <c r="SXE868" s="295" t="s">
        <v>71</v>
      </c>
      <c r="SXF868" s="295" t="s">
        <v>71</v>
      </c>
      <c r="SXG868" s="295" t="s">
        <v>71</v>
      </c>
      <c r="SXH868" s="295" t="s">
        <v>71</v>
      </c>
      <c r="SXI868" s="295" t="s">
        <v>71</v>
      </c>
      <c r="SXJ868" s="295" t="s">
        <v>71</v>
      </c>
      <c r="SXK868" s="295" t="s">
        <v>71</v>
      </c>
      <c r="SXL868" s="295" t="s">
        <v>71</v>
      </c>
      <c r="SXM868" s="295" t="s">
        <v>71</v>
      </c>
      <c r="SXN868" s="295" t="s">
        <v>71</v>
      </c>
      <c r="SXO868" s="295" t="s">
        <v>71</v>
      </c>
      <c r="SXP868" s="295" t="s">
        <v>71</v>
      </c>
      <c r="SXQ868" s="295" t="s">
        <v>71</v>
      </c>
      <c r="SXR868" s="295" t="s">
        <v>71</v>
      </c>
      <c r="SXS868" s="295" t="s">
        <v>71</v>
      </c>
      <c r="SXT868" s="295" t="s">
        <v>71</v>
      </c>
      <c r="SXU868" s="295" t="s">
        <v>71</v>
      </c>
      <c r="SXV868" s="295" t="s">
        <v>71</v>
      </c>
      <c r="SXW868" s="295" t="s">
        <v>71</v>
      </c>
      <c r="SXX868" s="295" t="s">
        <v>71</v>
      </c>
      <c r="SXY868" s="295" t="s">
        <v>71</v>
      </c>
      <c r="SXZ868" s="295" t="s">
        <v>71</v>
      </c>
      <c r="SYA868" s="295" t="s">
        <v>71</v>
      </c>
      <c r="SYB868" s="295" t="s">
        <v>71</v>
      </c>
      <c r="SYC868" s="295" t="s">
        <v>71</v>
      </c>
      <c r="SYD868" s="295" t="s">
        <v>71</v>
      </c>
      <c r="SYE868" s="295" t="s">
        <v>71</v>
      </c>
      <c r="SYF868" s="295" t="s">
        <v>71</v>
      </c>
      <c r="SYG868" s="295" t="s">
        <v>71</v>
      </c>
      <c r="SYH868" s="295" t="s">
        <v>71</v>
      </c>
      <c r="SYI868" s="295" t="s">
        <v>71</v>
      </c>
      <c r="SYJ868" s="295" t="s">
        <v>71</v>
      </c>
      <c r="SYK868" s="295" t="s">
        <v>71</v>
      </c>
      <c r="SYL868" s="295" t="s">
        <v>71</v>
      </c>
      <c r="SYM868" s="295" t="s">
        <v>71</v>
      </c>
      <c r="SYN868" s="295" t="s">
        <v>71</v>
      </c>
      <c r="SYO868" s="295" t="s">
        <v>71</v>
      </c>
      <c r="SYP868" s="295" t="s">
        <v>71</v>
      </c>
      <c r="SYQ868" s="295" t="s">
        <v>71</v>
      </c>
      <c r="SYR868" s="295" t="s">
        <v>71</v>
      </c>
      <c r="SYS868" s="295" t="s">
        <v>71</v>
      </c>
      <c r="SYT868" s="295" t="s">
        <v>71</v>
      </c>
      <c r="SYU868" s="295" t="s">
        <v>71</v>
      </c>
      <c r="SYV868" s="295" t="s">
        <v>71</v>
      </c>
      <c r="SYW868" s="295" t="s">
        <v>71</v>
      </c>
      <c r="SYX868" s="295" t="s">
        <v>71</v>
      </c>
      <c r="SYY868" s="295" t="s">
        <v>71</v>
      </c>
      <c r="SYZ868" s="295" t="s">
        <v>71</v>
      </c>
      <c r="SZA868" s="295" t="s">
        <v>71</v>
      </c>
      <c r="SZB868" s="295" t="s">
        <v>71</v>
      </c>
      <c r="SZC868" s="295" t="s">
        <v>71</v>
      </c>
      <c r="SZD868" s="295" t="s">
        <v>71</v>
      </c>
      <c r="SZE868" s="295" t="s">
        <v>71</v>
      </c>
      <c r="SZF868" s="295" t="s">
        <v>71</v>
      </c>
      <c r="SZG868" s="295" t="s">
        <v>71</v>
      </c>
      <c r="SZH868" s="295" t="s">
        <v>71</v>
      </c>
      <c r="SZI868" s="295" t="s">
        <v>71</v>
      </c>
      <c r="SZJ868" s="295" t="s">
        <v>71</v>
      </c>
      <c r="SZK868" s="295" t="s">
        <v>71</v>
      </c>
      <c r="SZL868" s="295" t="s">
        <v>71</v>
      </c>
      <c r="SZM868" s="295" t="s">
        <v>71</v>
      </c>
      <c r="SZN868" s="295" t="s">
        <v>71</v>
      </c>
      <c r="SZO868" s="295" t="s">
        <v>71</v>
      </c>
      <c r="SZP868" s="295" t="s">
        <v>71</v>
      </c>
      <c r="SZQ868" s="295" t="s">
        <v>71</v>
      </c>
      <c r="SZR868" s="295" t="s">
        <v>71</v>
      </c>
      <c r="SZS868" s="295" t="s">
        <v>71</v>
      </c>
      <c r="SZT868" s="295" t="s">
        <v>71</v>
      </c>
      <c r="SZU868" s="295" t="s">
        <v>71</v>
      </c>
      <c r="SZV868" s="295" t="s">
        <v>71</v>
      </c>
      <c r="SZW868" s="295" t="s">
        <v>71</v>
      </c>
      <c r="SZX868" s="295" t="s">
        <v>71</v>
      </c>
      <c r="SZY868" s="295" t="s">
        <v>71</v>
      </c>
      <c r="SZZ868" s="295" t="s">
        <v>71</v>
      </c>
      <c r="TAA868" s="295" t="s">
        <v>71</v>
      </c>
      <c r="TAB868" s="295" t="s">
        <v>71</v>
      </c>
      <c r="TAC868" s="295" t="s">
        <v>71</v>
      </c>
      <c r="TAD868" s="295" t="s">
        <v>71</v>
      </c>
      <c r="TAE868" s="295" t="s">
        <v>71</v>
      </c>
      <c r="TAF868" s="295" t="s">
        <v>71</v>
      </c>
      <c r="TAG868" s="295" t="s">
        <v>71</v>
      </c>
      <c r="TAH868" s="295" t="s">
        <v>71</v>
      </c>
      <c r="TAI868" s="295" t="s">
        <v>71</v>
      </c>
      <c r="TAJ868" s="295" t="s">
        <v>71</v>
      </c>
      <c r="TAK868" s="295" t="s">
        <v>71</v>
      </c>
      <c r="TAL868" s="295" t="s">
        <v>71</v>
      </c>
      <c r="TAM868" s="295" t="s">
        <v>71</v>
      </c>
      <c r="TAN868" s="295" t="s">
        <v>71</v>
      </c>
      <c r="TAO868" s="295" t="s">
        <v>71</v>
      </c>
      <c r="TAP868" s="295" t="s">
        <v>71</v>
      </c>
      <c r="TAQ868" s="295" t="s">
        <v>71</v>
      </c>
      <c r="TAR868" s="295" t="s">
        <v>71</v>
      </c>
      <c r="TAS868" s="295" t="s">
        <v>71</v>
      </c>
      <c r="TAT868" s="295" t="s">
        <v>71</v>
      </c>
      <c r="TAU868" s="295" t="s">
        <v>71</v>
      </c>
      <c r="TAV868" s="295" t="s">
        <v>71</v>
      </c>
      <c r="TAW868" s="295" t="s">
        <v>71</v>
      </c>
      <c r="TAX868" s="295" t="s">
        <v>71</v>
      </c>
      <c r="TAY868" s="295" t="s">
        <v>71</v>
      </c>
      <c r="TAZ868" s="295" t="s">
        <v>71</v>
      </c>
      <c r="TBA868" s="295" t="s">
        <v>71</v>
      </c>
      <c r="TBB868" s="295" t="s">
        <v>71</v>
      </c>
      <c r="TBC868" s="295" t="s">
        <v>71</v>
      </c>
      <c r="TBD868" s="295" t="s">
        <v>71</v>
      </c>
      <c r="TBE868" s="295" t="s">
        <v>71</v>
      </c>
      <c r="TBF868" s="295" t="s">
        <v>71</v>
      </c>
      <c r="TBG868" s="295" t="s">
        <v>71</v>
      </c>
      <c r="TBH868" s="295" t="s">
        <v>71</v>
      </c>
      <c r="TBI868" s="295" t="s">
        <v>71</v>
      </c>
      <c r="TBJ868" s="295" t="s">
        <v>71</v>
      </c>
      <c r="TBK868" s="295" t="s">
        <v>71</v>
      </c>
      <c r="TBL868" s="295" t="s">
        <v>71</v>
      </c>
      <c r="TBM868" s="295" t="s">
        <v>71</v>
      </c>
      <c r="TBN868" s="295" t="s">
        <v>71</v>
      </c>
      <c r="TBO868" s="295" t="s">
        <v>71</v>
      </c>
      <c r="TBP868" s="295" t="s">
        <v>71</v>
      </c>
      <c r="TBQ868" s="295" t="s">
        <v>71</v>
      </c>
      <c r="TBR868" s="295" t="s">
        <v>71</v>
      </c>
      <c r="TBS868" s="295" t="s">
        <v>71</v>
      </c>
      <c r="TBT868" s="295" t="s">
        <v>71</v>
      </c>
      <c r="TBU868" s="295" t="s">
        <v>71</v>
      </c>
      <c r="TBV868" s="295" t="s">
        <v>71</v>
      </c>
      <c r="TBW868" s="295" t="s">
        <v>71</v>
      </c>
      <c r="TBX868" s="295" t="s">
        <v>71</v>
      </c>
      <c r="TBY868" s="295" t="s">
        <v>71</v>
      </c>
      <c r="TBZ868" s="295" t="s">
        <v>71</v>
      </c>
      <c r="TCA868" s="295" t="s">
        <v>71</v>
      </c>
      <c r="TCB868" s="295" t="s">
        <v>71</v>
      </c>
      <c r="TCC868" s="295" t="s">
        <v>71</v>
      </c>
      <c r="TCD868" s="295" t="s">
        <v>71</v>
      </c>
      <c r="TCE868" s="295" t="s">
        <v>71</v>
      </c>
      <c r="TCF868" s="295" t="s">
        <v>71</v>
      </c>
      <c r="TCG868" s="295" t="s">
        <v>71</v>
      </c>
      <c r="TCH868" s="295" t="s">
        <v>71</v>
      </c>
      <c r="TCI868" s="295" t="s">
        <v>71</v>
      </c>
      <c r="TCJ868" s="295" t="s">
        <v>71</v>
      </c>
      <c r="TCK868" s="295" t="s">
        <v>71</v>
      </c>
      <c r="TCL868" s="295" t="s">
        <v>71</v>
      </c>
      <c r="TCM868" s="295" t="s">
        <v>71</v>
      </c>
      <c r="TCN868" s="295" t="s">
        <v>71</v>
      </c>
      <c r="TCO868" s="295" t="s">
        <v>71</v>
      </c>
      <c r="TCP868" s="295" t="s">
        <v>71</v>
      </c>
      <c r="TCQ868" s="295" t="s">
        <v>71</v>
      </c>
      <c r="TCR868" s="295" t="s">
        <v>71</v>
      </c>
      <c r="TCS868" s="295" t="s">
        <v>71</v>
      </c>
      <c r="TCT868" s="295" t="s">
        <v>71</v>
      </c>
      <c r="TCU868" s="295" t="s">
        <v>71</v>
      </c>
      <c r="TCV868" s="295" t="s">
        <v>71</v>
      </c>
      <c r="TCW868" s="295" t="s">
        <v>71</v>
      </c>
      <c r="TCX868" s="295" t="s">
        <v>71</v>
      </c>
      <c r="TCY868" s="295" t="s">
        <v>71</v>
      </c>
      <c r="TCZ868" s="295" t="s">
        <v>71</v>
      </c>
      <c r="TDA868" s="295" t="s">
        <v>71</v>
      </c>
      <c r="TDB868" s="295" t="s">
        <v>71</v>
      </c>
      <c r="TDC868" s="295" t="s">
        <v>71</v>
      </c>
      <c r="TDD868" s="295" t="s">
        <v>71</v>
      </c>
      <c r="TDE868" s="295" t="s">
        <v>71</v>
      </c>
      <c r="TDF868" s="295" t="s">
        <v>71</v>
      </c>
      <c r="TDG868" s="295" t="s">
        <v>71</v>
      </c>
      <c r="TDH868" s="295" t="s">
        <v>71</v>
      </c>
      <c r="TDI868" s="295" t="s">
        <v>71</v>
      </c>
      <c r="TDJ868" s="295" t="s">
        <v>71</v>
      </c>
      <c r="TDK868" s="295" t="s">
        <v>71</v>
      </c>
      <c r="TDL868" s="295" t="s">
        <v>71</v>
      </c>
      <c r="TDM868" s="295" t="s">
        <v>71</v>
      </c>
      <c r="TDN868" s="295" t="s">
        <v>71</v>
      </c>
      <c r="TDO868" s="295" t="s">
        <v>71</v>
      </c>
      <c r="TDP868" s="295" t="s">
        <v>71</v>
      </c>
      <c r="TDQ868" s="295" t="s">
        <v>71</v>
      </c>
      <c r="TDR868" s="295" t="s">
        <v>71</v>
      </c>
      <c r="TDS868" s="295" t="s">
        <v>71</v>
      </c>
      <c r="TDT868" s="295" t="s">
        <v>71</v>
      </c>
      <c r="TDU868" s="295" t="s">
        <v>71</v>
      </c>
      <c r="TDV868" s="295" t="s">
        <v>71</v>
      </c>
      <c r="TDW868" s="295" t="s">
        <v>71</v>
      </c>
      <c r="TDX868" s="295" t="s">
        <v>71</v>
      </c>
      <c r="TDY868" s="295" t="s">
        <v>71</v>
      </c>
      <c r="TDZ868" s="295" t="s">
        <v>71</v>
      </c>
      <c r="TEA868" s="295" t="s">
        <v>71</v>
      </c>
      <c r="TEB868" s="295" t="s">
        <v>71</v>
      </c>
      <c r="TEC868" s="295" t="s">
        <v>71</v>
      </c>
      <c r="TED868" s="295" t="s">
        <v>71</v>
      </c>
      <c r="TEE868" s="295" t="s">
        <v>71</v>
      </c>
      <c r="TEF868" s="295" t="s">
        <v>71</v>
      </c>
      <c r="TEG868" s="295" t="s">
        <v>71</v>
      </c>
      <c r="TEH868" s="295" t="s">
        <v>71</v>
      </c>
      <c r="TEI868" s="295" t="s">
        <v>71</v>
      </c>
      <c r="TEJ868" s="295" t="s">
        <v>71</v>
      </c>
      <c r="TEK868" s="295" t="s">
        <v>71</v>
      </c>
      <c r="TEL868" s="295" t="s">
        <v>71</v>
      </c>
      <c r="TEM868" s="295" t="s">
        <v>71</v>
      </c>
      <c r="TEN868" s="295" t="s">
        <v>71</v>
      </c>
      <c r="TEO868" s="295" t="s">
        <v>71</v>
      </c>
      <c r="TEP868" s="295" t="s">
        <v>71</v>
      </c>
      <c r="TEQ868" s="295" t="s">
        <v>71</v>
      </c>
      <c r="TER868" s="295" t="s">
        <v>71</v>
      </c>
      <c r="TES868" s="295" t="s">
        <v>71</v>
      </c>
      <c r="TET868" s="295" t="s">
        <v>71</v>
      </c>
      <c r="TEU868" s="295" t="s">
        <v>71</v>
      </c>
      <c r="TEV868" s="295" t="s">
        <v>71</v>
      </c>
      <c r="TEW868" s="295" t="s">
        <v>71</v>
      </c>
      <c r="TEX868" s="295" t="s">
        <v>71</v>
      </c>
      <c r="TEY868" s="295" t="s">
        <v>71</v>
      </c>
      <c r="TEZ868" s="295" t="s">
        <v>71</v>
      </c>
      <c r="TFA868" s="295" t="s">
        <v>71</v>
      </c>
      <c r="TFB868" s="295" t="s">
        <v>71</v>
      </c>
      <c r="TFC868" s="295" t="s">
        <v>71</v>
      </c>
      <c r="TFD868" s="295" t="s">
        <v>71</v>
      </c>
      <c r="TFE868" s="295" t="s">
        <v>71</v>
      </c>
      <c r="TFF868" s="295" t="s">
        <v>71</v>
      </c>
      <c r="TFG868" s="295" t="s">
        <v>71</v>
      </c>
      <c r="TFH868" s="295" t="s">
        <v>71</v>
      </c>
      <c r="TFI868" s="295" t="s">
        <v>71</v>
      </c>
      <c r="TFJ868" s="295" t="s">
        <v>71</v>
      </c>
      <c r="TFK868" s="295" t="s">
        <v>71</v>
      </c>
      <c r="TFL868" s="295" t="s">
        <v>71</v>
      </c>
      <c r="TFM868" s="295" t="s">
        <v>71</v>
      </c>
      <c r="TFN868" s="295" t="s">
        <v>71</v>
      </c>
      <c r="TFO868" s="295" t="s">
        <v>71</v>
      </c>
      <c r="TFP868" s="295" t="s">
        <v>71</v>
      </c>
      <c r="TFQ868" s="295" t="s">
        <v>71</v>
      </c>
      <c r="TFR868" s="295" t="s">
        <v>71</v>
      </c>
      <c r="TFS868" s="295" t="s">
        <v>71</v>
      </c>
      <c r="TFT868" s="295" t="s">
        <v>71</v>
      </c>
      <c r="TFU868" s="295" t="s">
        <v>71</v>
      </c>
      <c r="TFV868" s="295" t="s">
        <v>71</v>
      </c>
      <c r="TFW868" s="295" t="s">
        <v>71</v>
      </c>
      <c r="TFX868" s="295" t="s">
        <v>71</v>
      </c>
      <c r="TFY868" s="295" t="s">
        <v>71</v>
      </c>
      <c r="TFZ868" s="295" t="s">
        <v>71</v>
      </c>
      <c r="TGA868" s="295" t="s">
        <v>71</v>
      </c>
      <c r="TGB868" s="295" t="s">
        <v>71</v>
      </c>
      <c r="TGC868" s="295" t="s">
        <v>71</v>
      </c>
      <c r="TGD868" s="295" t="s">
        <v>71</v>
      </c>
      <c r="TGE868" s="295" t="s">
        <v>71</v>
      </c>
      <c r="TGF868" s="295" t="s">
        <v>71</v>
      </c>
      <c r="TGG868" s="295" t="s">
        <v>71</v>
      </c>
      <c r="TGH868" s="295" t="s">
        <v>71</v>
      </c>
      <c r="TGI868" s="295" t="s">
        <v>71</v>
      </c>
      <c r="TGJ868" s="295" t="s">
        <v>71</v>
      </c>
      <c r="TGK868" s="295" t="s">
        <v>71</v>
      </c>
      <c r="TGL868" s="295" t="s">
        <v>71</v>
      </c>
      <c r="TGM868" s="295" t="s">
        <v>71</v>
      </c>
      <c r="TGN868" s="295" t="s">
        <v>71</v>
      </c>
      <c r="TGO868" s="295" t="s">
        <v>71</v>
      </c>
      <c r="TGP868" s="295" t="s">
        <v>71</v>
      </c>
      <c r="TGQ868" s="295" t="s">
        <v>71</v>
      </c>
      <c r="TGR868" s="295" t="s">
        <v>71</v>
      </c>
      <c r="TGS868" s="295" t="s">
        <v>71</v>
      </c>
      <c r="TGT868" s="295" t="s">
        <v>71</v>
      </c>
      <c r="TGU868" s="295" t="s">
        <v>71</v>
      </c>
      <c r="TGV868" s="295" t="s">
        <v>71</v>
      </c>
      <c r="TGW868" s="295" t="s">
        <v>71</v>
      </c>
      <c r="TGX868" s="295" t="s">
        <v>71</v>
      </c>
      <c r="TGY868" s="295" t="s">
        <v>71</v>
      </c>
      <c r="TGZ868" s="295" t="s">
        <v>71</v>
      </c>
      <c r="THA868" s="295" t="s">
        <v>71</v>
      </c>
      <c r="THB868" s="295" t="s">
        <v>71</v>
      </c>
      <c r="THC868" s="295" t="s">
        <v>71</v>
      </c>
      <c r="THD868" s="295" t="s">
        <v>71</v>
      </c>
      <c r="THE868" s="295" t="s">
        <v>71</v>
      </c>
      <c r="THF868" s="295" t="s">
        <v>71</v>
      </c>
      <c r="THG868" s="295" t="s">
        <v>71</v>
      </c>
      <c r="THH868" s="295" t="s">
        <v>71</v>
      </c>
      <c r="THI868" s="295" t="s">
        <v>71</v>
      </c>
      <c r="THJ868" s="295" t="s">
        <v>71</v>
      </c>
      <c r="THK868" s="295" t="s">
        <v>71</v>
      </c>
      <c r="THL868" s="295" t="s">
        <v>71</v>
      </c>
      <c r="THM868" s="295" t="s">
        <v>71</v>
      </c>
      <c r="THN868" s="295" t="s">
        <v>71</v>
      </c>
      <c r="THO868" s="295" t="s">
        <v>71</v>
      </c>
      <c r="THP868" s="295" t="s">
        <v>71</v>
      </c>
      <c r="THQ868" s="295" t="s">
        <v>71</v>
      </c>
      <c r="THR868" s="295" t="s">
        <v>71</v>
      </c>
      <c r="THS868" s="295" t="s">
        <v>71</v>
      </c>
      <c r="THT868" s="295" t="s">
        <v>71</v>
      </c>
      <c r="THU868" s="295" t="s">
        <v>71</v>
      </c>
      <c r="THV868" s="295" t="s">
        <v>71</v>
      </c>
      <c r="THW868" s="295" t="s">
        <v>71</v>
      </c>
      <c r="THX868" s="295" t="s">
        <v>71</v>
      </c>
      <c r="THY868" s="295" t="s">
        <v>71</v>
      </c>
      <c r="THZ868" s="295" t="s">
        <v>71</v>
      </c>
      <c r="TIA868" s="295" t="s">
        <v>71</v>
      </c>
      <c r="TIB868" s="295" t="s">
        <v>71</v>
      </c>
      <c r="TIC868" s="295" t="s">
        <v>71</v>
      </c>
      <c r="TID868" s="295" t="s">
        <v>71</v>
      </c>
      <c r="TIE868" s="295" t="s">
        <v>71</v>
      </c>
      <c r="TIF868" s="295" t="s">
        <v>71</v>
      </c>
      <c r="TIG868" s="295" t="s">
        <v>71</v>
      </c>
      <c r="TIH868" s="295" t="s">
        <v>71</v>
      </c>
      <c r="TII868" s="295" t="s">
        <v>71</v>
      </c>
      <c r="TIJ868" s="295" t="s">
        <v>71</v>
      </c>
      <c r="TIK868" s="295" t="s">
        <v>71</v>
      </c>
      <c r="TIL868" s="295" t="s">
        <v>71</v>
      </c>
      <c r="TIM868" s="295" t="s">
        <v>71</v>
      </c>
      <c r="TIN868" s="295" t="s">
        <v>71</v>
      </c>
      <c r="TIO868" s="295" t="s">
        <v>71</v>
      </c>
      <c r="TIP868" s="295" t="s">
        <v>71</v>
      </c>
      <c r="TIQ868" s="295" t="s">
        <v>71</v>
      </c>
      <c r="TIR868" s="295" t="s">
        <v>71</v>
      </c>
      <c r="TIS868" s="295" t="s">
        <v>71</v>
      </c>
      <c r="TIT868" s="295" t="s">
        <v>71</v>
      </c>
      <c r="TIU868" s="295" t="s">
        <v>71</v>
      </c>
      <c r="TIV868" s="295" t="s">
        <v>71</v>
      </c>
      <c r="TIW868" s="295" t="s">
        <v>71</v>
      </c>
      <c r="TIX868" s="295" t="s">
        <v>71</v>
      </c>
      <c r="TIY868" s="295" t="s">
        <v>71</v>
      </c>
      <c r="TIZ868" s="295" t="s">
        <v>71</v>
      </c>
      <c r="TJA868" s="295" t="s">
        <v>71</v>
      </c>
      <c r="TJB868" s="295" t="s">
        <v>71</v>
      </c>
      <c r="TJC868" s="295" t="s">
        <v>71</v>
      </c>
      <c r="TJD868" s="295" t="s">
        <v>71</v>
      </c>
      <c r="TJE868" s="295" t="s">
        <v>71</v>
      </c>
      <c r="TJF868" s="295" t="s">
        <v>71</v>
      </c>
      <c r="TJG868" s="295" t="s">
        <v>71</v>
      </c>
      <c r="TJH868" s="295" t="s">
        <v>71</v>
      </c>
      <c r="TJI868" s="295" t="s">
        <v>71</v>
      </c>
      <c r="TJJ868" s="295" t="s">
        <v>71</v>
      </c>
      <c r="TJK868" s="295" t="s">
        <v>71</v>
      </c>
      <c r="TJL868" s="295" t="s">
        <v>71</v>
      </c>
      <c r="TJM868" s="295" t="s">
        <v>71</v>
      </c>
      <c r="TJN868" s="295" t="s">
        <v>71</v>
      </c>
      <c r="TJO868" s="295" t="s">
        <v>71</v>
      </c>
      <c r="TJP868" s="295" t="s">
        <v>71</v>
      </c>
      <c r="TJQ868" s="295" t="s">
        <v>71</v>
      </c>
      <c r="TJR868" s="295" t="s">
        <v>71</v>
      </c>
      <c r="TJS868" s="295" t="s">
        <v>71</v>
      </c>
      <c r="TJT868" s="295" t="s">
        <v>71</v>
      </c>
      <c r="TJU868" s="295" t="s">
        <v>71</v>
      </c>
      <c r="TJV868" s="295" t="s">
        <v>71</v>
      </c>
      <c r="TJW868" s="295" t="s">
        <v>71</v>
      </c>
      <c r="TJX868" s="295" t="s">
        <v>71</v>
      </c>
      <c r="TJY868" s="295" t="s">
        <v>71</v>
      </c>
      <c r="TJZ868" s="295" t="s">
        <v>71</v>
      </c>
      <c r="TKA868" s="295" t="s">
        <v>71</v>
      </c>
      <c r="TKB868" s="295" t="s">
        <v>71</v>
      </c>
      <c r="TKC868" s="295" t="s">
        <v>71</v>
      </c>
      <c r="TKD868" s="295" t="s">
        <v>71</v>
      </c>
      <c r="TKE868" s="295" t="s">
        <v>71</v>
      </c>
      <c r="TKF868" s="295" t="s">
        <v>71</v>
      </c>
      <c r="TKG868" s="295" t="s">
        <v>71</v>
      </c>
      <c r="TKH868" s="295" t="s">
        <v>71</v>
      </c>
      <c r="TKI868" s="295" t="s">
        <v>71</v>
      </c>
      <c r="TKJ868" s="295" t="s">
        <v>71</v>
      </c>
      <c r="TKK868" s="295" t="s">
        <v>71</v>
      </c>
      <c r="TKL868" s="295" t="s">
        <v>71</v>
      </c>
      <c r="TKM868" s="295" t="s">
        <v>71</v>
      </c>
      <c r="TKN868" s="295" t="s">
        <v>71</v>
      </c>
      <c r="TKO868" s="295" t="s">
        <v>71</v>
      </c>
      <c r="TKP868" s="295" t="s">
        <v>71</v>
      </c>
      <c r="TKQ868" s="295" t="s">
        <v>71</v>
      </c>
      <c r="TKR868" s="295" t="s">
        <v>71</v>
      </c>
      <c r="TKS868" s="295" t="s">
        <v>71</v>
      </c>
      <c r="TKT868" s="295" t="s">
        <v>71</v>
      </c>
      <c r="TKU868" s="295" t="s">
        <v>71</v>
      </c>
      <c r="TKV868" s="295" t="s">
        <v>71</v>
      </c>
      <c r="TKW868" s="295" t="s">
        <v>71</v>
      </c>
      <c r="TKX868" s="295" t="s">
        <v>71</v>
      </c>
      <c r="TKY868" s="295" t="s">
        <v>71</v>
      </c>
      <c r="TKZ868" s="295" t="s">
        <v>71</v>
      </c>
      <c r="TLA868" s="295" t="s">
        <v>71</v>
      </c>
      <c r="TLB868" s="295" t="s">
        <v>71</v>
      </c>
      <c r="TLC868" s="295" t="s">
        <v>71</v>
      </c>
      <c r="TLD868" s="295" t="s">
        <v>71</v>
      </c>
      <c r="TLE868" s="295" t="s">
        <v>71</v>
      </c>
      <c r="TLF868" s="295" t="s">
        <v>71</v>
      </c>
      <c r="TLG868" s="295" t="s">
        <v>71</v>
      </c>
      <c r="TLH868" s="295" t="s">
        <v>71</v>
      </c>
      <c r="TLI868" s="295" t="s">
        <v>71</v>
      </c>
      <c r="TLJ868" s="295" t="s">
        <v>71</v>
      </c>
      <c r="TLK868" s="295" t="s">
        <v>71</v>
      </c>
      <c r="TLL868" s="295" t="s">
        <v>71</v>
      </c>
      <c r="TLM868" s="295" t="s">
        <v>71</v>
      </c>
      <c r="TLN868" s="295" t="s">
        <v>71</v>
      </c>
      <c r="TLO868" s="295" t="s">
        <v>71</v>
      </c>
      <c r="TLP868" s="295" t="s">
        <v>71</v>
      </c>
      <c r="TLQ868" s="295" t="s">
        <v>71</v>
      </c>
      <c r="TLR868" s="295" t="s">
        <v>71</v>
      </c>
      <c r="TLS868" s="295" t="s">
        <v>71</v>
      </c>
      <c r="TLT868" s="295" t="s">
        <v>71</v>
      </c>
      <c r="TLU868" s="295" t="s">
        <v>71</v>
      </c>
      <c r="TLV868" s="295" t="s">
        <v>71</v>
      </c>
      <c r="TLW868" s="295" t="s">
        <v>71</v>
      </c>
      <c r="TLX868" s="295" t="s">
        <v>71</v>
      </c>
      <c r="TLY868" s="295" t="s">
        <v>71</v>
      </c>
      <c r="TLZ868" s="295" t="s">
        <v>71</v>
      </c>
      <c r="TMA868" s="295" t="s">
        <v>71</v>
      </c>
      <c r="TMB868" s="295" t="s">
        <v>71</v>
      </c>
      <c r="TMC868" s="295" t="s">
        <v>71</v>
      </c>
      <c r="TMD868" s="295" t="s">
        <v>71</v>
      </c>
      <c r="TME868" s="295" t="s">
        <v>71</v>
      </c>
      <c r="TMF868" s="295" t="s">
        <v>71</v>
      </c>
      <c r="TMG868" s="295" t="s">
        <v>71</v>
      </c>
      <c r="TMH868" s="295" t="s">
        <v>71</v>
      </c>
      <c r="TMI868" s="295" t="s">
        <v>71</v>
      </c>
      <c r="TMJ868" s="295" t="s">
        <v>71</v>
      </c>
      <c r="TMK868" s="295" t="s">
        <v>71</v>
      </c>
      <c r="TML868" s="295" t="s">
        <v>71</v>
      </c>
      <c r="TMM868" s="295" t="s">
        <v>71</v>
      </c>
      <c r="TMN868" s="295" t="s">
        <v>71</v>
      </c>
      <c r="TMO868" s="295" t="s">
        <v>71</v>
      </c>
      <c r="TMP868" s="295" t="s">
        <v>71</v>
      </c>
      <c r="TMQ868" s="295" t="s">
        <v>71</v>
      </c>
      <c r="TMR868" s="295" t="s">
        <v>71</v>
      </c>
      <c r="TMS868" s="295" t="s">
        <v>71</v>
      </c>
      <c r="TMT868" s="295" t="s">
        <v>71</v>
      </c>
      <c r="TMU868" s="295" t="s">
        <v>71</v>
      </c>
      <c r="TMV868" s="295" t="s">
        <v>71</v>
      </c>
      <c r="TMW868" s="295" t="s">
        <v>71</v>
      </c>
      <c r="TMX868" s="295" t="s">
        <v>71</v>
      </c>
      <c r="TMY868" s="295" t="s">
        <v>71</v>
      </c>
      <c r="TMZ868" s="295" t="s">
        <v>71</v>
      </c>
      <c r="TNA868" s="295" t="s">
        <v>71</v>
      </c>
      <c r="TNB868" s="295" t="s">
        <v>71</v>
      </c>
      <c r="TNC868" s="295" t="s">
        <v>71</v>
      </c>
      <c r="TND868" s="295" t="s">
        <v>71</v>
      </c>
      <c r="TNE868" s="295" t="s">
        <v>71</v>
      </c>
      <c r="TNF868" s="295" t="s">
        <v>71</v>
      </c>
      <c r="TNG868" s="295" t="s">
        <v>71</v>
      </c>
      <c r="TNH868" s="295" t="s">
        <v>71</v>
      </c>
      <c r="TNI868" s="295" t="s">
        <v>71</v>
      </c>
      <c r="TNJ868" s="295" t="s">
        <v>71</v>
      </c>
      <c r="TNK868" s="295" t="s">
        <v>71</v>
      </c>
      <c r="TNL868" s="295" t="s">
        <v>71</v>
      </c>
      <c r="TNM868" s="295" t="s">
        <v>71</v>
      </c>
      <c r="TNN868" s="295" t="s">
        <v>71</v>
      </c>
      <c r="TNO868" s="295" t="s">
        <v>71</v>
      </c>
      <c r="TNP868" s="295" t="s">
        <v>71</v>
      </c>
      <c r="TNQ868" s="295" t="s">
        <v>71</v>
      </c>
      <c r="TNR868" s="295" t="s">
        <v>71</v>
      </c>
      <c r="TNS868" s="295" t="s">
        <v>71</v>
      </c>
      <c r="TNT868" s="295" t="s">
        <v>71</v>
      </c>
      <c r="TNU868" s="295" t="s">
        <v>71</v>
      </c>
      <c r="TNV868" s="295" t="s">
        <v>71</v>
      </c>
      <c r="TNW868" s="295" t="s">
        <v>71</v>
      </c>
      <c r="TNX868" s="295" t="s">
        <v>71</v>
      </c>
      <c r="TNY868" s="295" t="s">
        <v>71</v>
      </c>
      <c r="TNZ868" s="295" t="s">
        <v>71</v>
      </c>
      <c r="TOA868" s="295" t="s">
        <v>71</v>
      </c>
      <c r="TOB868" s="295" t="s">
        <v>71</v>
      </c>
      <c r="TOC868" s="295" t="s">
        <v>71</v>
      </c>
      <c r="TOD868" s="295" t="s">
        <v>71</v>
      </c>
      <c r="TOE868" s="295" t="s">
        <v>71</v>
      </c>
      <c r="TOF868" s="295" t="s">
        <v>71</v>
      </c>
      <c r="TOG868" s="295" t="s">
        <v>71</v>
      </c>
      <c r="TOH868" s="295" t="s">
        <v>71</v>
      </c>
      <c r="TOI868" s="295" t="s">
        <v>71</v>
      </c>
      <c r="TOJ868" s="295" t="s">
        <v>71</v>
      </c>
      <c r="TOK868" s="295" t="s">
        <v>71</v>
      </c>
      <c r="TOL868" s="295" t="s">
        <v>71</v>
      </c>
      <c r="TOM868" s="295" t="s">
        <v>71</v>
      </c>
      <c r="TON868" s="295" t="s">
        <v>71</v>
      </c>
      <c r="TOO868" s="295" t="s">
        <v>71</v>
      </c>
      <c r="TOP868" s="295" t="s">
        <v>71</v>
      </c>
      <c r="TOQ868" s="295" t="s">
        <v>71</v>
      </c>
      <c r="TOR868" s="295" t="s">
        <v>71</v>
      </c>
      <c r="TOS868" s="295" t="s">
        <v>71</v>
      </c>
      <c r="TOT868" s="295" t="s">
        <v>71</v>
      </c>
      <c r="TOU868" s="295" t="s">
        <v>71</v>
      </c>
      <c r="TOV868" s="295" t="s">
        <v>71</v>
      </c>
      <c r="TOW868" s="295" t="s">
        <v>71</v>
      </c>
      <c r="TOX868" s="295" t="s">
        <v>71</v>
      </c>
      <c r="TOY868" s="295" t="s">
        <v>71</v>
      </c>
      <c r="TOZ868" s="295" t="s">
        <v>71</v>
      </c>
      <c r="TPA868" s="295" t="s">
        <v>71</v>
      </c>
      <c r="TPB868" s="295" t="s">
        <v>71</v>
      </c>
      <c r="TPC868" s="295" t="s">
        <v>71</v>
      </c>
      <c r="TPD868" s="295" t="s">
        <v>71</v>
      </c>
      <c r="TPE868" s="295" t="s">
        <v>71</v>
      </c>
      <c r="TPF868" s="295" t="s">
        <v>71</v>
      </c>
      <c r="TPG868" s="295" t="s">
        <v>71</v>
      </c>
      <c r="TPH868" s="295" t="s">
        <v>71</v>
      </c>
      <c r="TPI868" s="295" t="s">
        <v>71</v>
      </c>
      <c r="TPJ868" s="295" t="s">
        <v>71</v>
      </c>
      <c r="TPK868" s="295" t="s">
        <v>71</v>
      </c>
      <c r="TPL868" s="295" t="s">
        <v>71</v>
      </c>
      <c r="TPM868" s="295" t="s">
        <v>71</v>
      </c>
      <c r="TPN868" s="295" t="s">
        <v>71</v>
      </c>
      <c r="TPO868" s="295" t="s">
        <v>71</v>
      </c>
      <c r="TPP868" s="295" t="s">
        <v>71</v>
      </c>
      <c r="TPQ868" s="295" t="s">
        <v>71</v>
      </c>
      <c r="TPR868" s="295" t="s">
        <v>71</v>
      </c>
      <c r="TPS868" s="295" t="s">
        <v>71</v>
      </c>
      <c r="TPT868" s="295" t="s">
        <v>71</v>
      </c>
      <c r="TPU868" s="295" t="s">
        <v>71</v>
      </c>
      <c r="TPV868" s="295" t="s">
        <v>71</v>
      </c>
      <c r="TPW868" s="295" t="s">
        <v>71</v>
      </c>
      <c r="TPX868" s="295" t="s">
        <v>71</v>
      </c>
      <c r="TPY868" s="295" t="s">
        <v>71</v>
      </c>
      <c r="TPZ868" s="295" t="s">
        <v>71</v>
      </c>
      <c r="TQA868" s="295" t="s">
        <v>71</v>
      </c>
      <c r="TQB868" s="295" t="s">
        <v>71</v>
      </c>
      <c r="TQC868" s="295" t="s">
        <v>71</v>
      </c>
      <c r="TQD868" s="295" t="s">
        <v>71</v>
      </c>
      <c r="TQE868" s="295" t="s">
        <v>71</v>
      </c>
      <c r="TQF868" s="295" t="s">
        <v>71</v>
      </c>
      <c r="TQG868" s="295" t="s">
        <v>71</v>
      </c>
      <c r="TQH868" s="295" t="s">
        <v>71</v>
      </c>
      <c r="TQI868" s="295" t="s">
        <v>71</v>
      </c>
      <c r="TQJ868" s="295" t="s">
        <v>71</v>
      </c>
      <c r="TQK868" s="295" t="s">
        <v>71</v>
      </c>
      <c r="TQL868" s="295" t="s">
        <v>71</v>
      </c>
      <c r="TQM868" s="295" t="s">
        <v>71</v>
      </c>
      <c r="TQN868" s="295" t="s">
        <v>71</v>
      </c>
      <c r="TQO868" s="295" t="s">
        <v>71</v>
      </c>
      <c r="TQP868" s="295" t="s">
        <v>71</v>
      </c>
      <c r="TQQ868" s="295" t="s">
        <v>71</v>
      </c>
      <c r="TQR868" s="295" t="s">
        <v>71</v>
      </c>
      <c r="TQS868" s="295" t="s">
        <v>71</v>
      </c>
      <c r="TQT868" s="295" t="s">
        <v>71</v>
      </c>
      <c r="TQU868" s="295" t="s">
        <v>71</v>
      </c>
      <c r="TQV868" s="295" t="s">
        <v>71</v>
      </c>
      <c r="TQW868" s="295" t="s">
        <v>71</v>
      </c>
      <c r="TQX868" s="295" t="s">
        <v>71</v>
      </c>
      <c r="TQY868" s="295" t="s">
        <v>71</v>
      </c>
      <c r="TQZ868" s="295" t="s">
        <v>71</v>
      </c>
      <c r="TRA868" s="295" t="s">
        <v>71</v>
      </c>
      <c r="TRB868" s="295" t="s">
        <v>71</v>
      </c>
      <c r="TRC868" s="295" t="s">
        <v>71</v>
      </c>
      <c r="TRD868" s="295" t="s">
        <v>71</v>
      </c>
      <c r="TRE868" s="295" t="s">
        <v>71</v>
      </c>
      <c r="TRF868" s="295" t="s">
        <v>71</v>
      </c>
      <c r="TRG868" s="295" t="s">
        <v>71</v>
      </c>
      <c r="TRH868" s="295" t="s">
        <v>71</v>
      </c>
      <c r="TRI868" s="295" t="s">
        <v>71</v>
      </c>
      <c r="TRJ868" s="295" t="s">
        <v>71</v>
      </c>
      <c r="TRK868" s="295" t="s">
        <v>71</v>
      </c>
      <c r="TRL868" s="295" t="s">
        <v>71</v>
      </c>
      <c r="TRM868" s="295" t="s">
        <v>71</v>
      </c>
      <c r="TRN868" s="295" t="s">
        <v>71</v>
      </c>
      <c r="TRO868" s="295" t="s">
        <v>71</v>
      </c>
      <c r="TRP868" s="295" t="s">
        <v>71</v>
      </c>
      <c r="TRQ868" s="295" t="s">
        <v>71</v>
      </c>
      <c r="TRR868" s="295" t="s">
        <v>71</v>
      </c>
      <c r="TRS868" s="295" t="s">
        <v>71</v>
      </c>
      <c r="TRT868" s="295" t="s">
        <v>71</v>
      </c>
      <c r="TRU868" s="295" t="s">
        <v>71</v>
      </c>
      <c r="TRV868" s="295" t="s">
        <v>71</v>
      </c>
      <c r="TRW868" s="295" t="s">
        <v>71</v>
      </c>
      <c r="TRX868" s="295" t="s">
        <v>71</v>
      </c>
      <c r="TRY868" s="295" t="s">
        <v>71</v>
      </c>
      <c r="TRZ868" s="295" t="s">
        <v>71</v>
      </c>
      <c r="TSA868" s="295" t="s">
        <v>71</v>
      </c>
      <c r="TSB868" s="295" t="s">
        <v>71</v>
      </c>
      <c r="TSC868" s="295" t="s">
        <v>71</v>
      </c>
      <c r="TSD868" s="295" t="s">
        <v>71</v>
      </c>
      <c r="TSE868" s="295" t="s">
        <v>71</v>
      </c>
      <c r="TSF868" s="295" t="s">
        <v>71</v>
      </c>
      <c r="TSG868" s="295" t="s">
        <v>71</v>
      </c>
      <c r="TSH868" s="295" t="s">
        <v>71</v>
      </c>
      <c r="TSI868" s="295" t="s">
        <v>71</v>
      </c>
      <c r="TSJ868" s="295" t="s">
        <v>71</v>
      </c>
      <c r="TSK868" s="295" t="s">
        <v>71</v>
      </c>
      <c r="TSL868" s="295" t="s">
        <v>71</v>
      </c>
      <c r="TSM868" s="295" t="s">
        <v>71</v>
      </c>
      <c r="TSN868" s="295" t="s">
        <v>71</v>
      </c>
      <c r="TSO868" s="295" t="s">
        <v>71</v>
      </c>
      <c r="TSP868" s="295" t="s">
        <v>71</v>
      </c>
      <c r="TSQ868" s="295" t="s">
        <v>71</v>
      </c>
      <c r="TSR868" s="295" t="s">
        <v>71</v>
      </c>
      <c r="TSS868" s="295" t="s">
        <v>71</v>
      </c>
      <c r="TST868" s="295" t="s">
        <v>71</v>
      </c>
      <c r="TSU868" s="295" t="s">
        <v>71</v>
      </c>
      <c r="TSV868" s="295" t="s">
        <v>71</v>
      </c>
      <c r="TSW868" s="295" t="s">
        <v>71</v>
      </c>
      <c r="TSX868" s="295" t="s">
        <v>71</v>
      </c>
      <c r="TSY868" s="295" t="s">
        <v>71</v>
      </c>
      <c r="TSZ868" s="295" t="s">
        <v>71</v>
      </c>
      <c r="TTA868" s="295" t="s">
        <v>71</v>
      </c>
      <c r="TTB868" s="295" t="s">
        <v>71</v>
      </c>
      <c r="TTC868" s="295" t="s">
        <v>71</v>
      </c>
      <c r="TTD868" s="295" t="s">
        <v>71</v>
      </c>
      <c r="TTE868" s="295" t="s">
        <v>71</v>
      </c>
      <c r="TTF868" s="295" t="s">
        <v>71</v>
      </c>
      <c r="TTG868" s="295" t="s">
        <v>71</v>
      </c>
      <c r="TTH868" s="295" t="s">
        <v>71</v>
      </c>
      <c r="TTI868" s="295" t="s">
        <v>71</v>
      </c>
      <c r="TTJ868" s="295" t="s">
        <v>71</v>
      </c>
      <c r="TTK868" s="295" t="s">
        <v>71</v>
      </c>
      <c r="TTL868" s="295" t="s">
        <v>71</v>
      </c>
      <c r="TTM868" s="295" t="s">
        <v>71</v>
      </c>
      <c r="TTN868" s="295" t="s">
        <v>71</v>
      </c>
      <c r="TTO868" s="295" t="s">
        <v>71</v>
      </c>
      <c r="TTP868" s="295" t="s">
        <v>71</v>
      </c>
      <c r="TTQ868" s="295" t="s">
        <v>71</v>
      </c>
      <c r="TTR868" s="295" t="s">
        <v>71</v>
      </c>
      <c r="TTS868" s="295" t="s">
        <v>71</v>
      </c>
      <c r="TTT868" s="295" t="s">
        <v>71</v>
      </c>
      <c r="TTU868" s="295" t="s">
        <v>71</v>
      </c>
      <c r="TTV868" s="295" t="s">
        <v>71</v>
      </c>
      <c r="TTW868" s="295" t="s">
        <v>71</v>
      </c>
      <c r="TTX868" s="295" t="s">
        <v>71</v>
      </c>
      <c r="TTY868" s="295" t="s">
        <v>71</v>
      </c>
      <c r="TTZ868" s="295" t="s">
        <v>71</v>
      </c>
      <c r="TUA868" s="295" t="s">
        <v>71</v>
      </c>
      <c r="TUB868" s="295" t="s">
        <v>71</v>
      </c>
      <c r="TUC868" s="295" t="s">
        <v>71</v>
      </c>
      <c r="TUD868" s="295" t="s">
        <v>71</v>
      </c>
      <c r="TUE868" s="295" t="s">
        <v>71</v>
      </c>
      <c r="TUF868" s="295" t="s">
        <v>71</v>
      </c>
      <c r="TUG868" s="295" t="s">
        <v>71</v>
      </c>
      <c r="TUH868" s="295" t="s">
        <v>71</v>
      </c>
      <c r="TUI868" s="295" t="s">
        <v>71</v>
      </c>
      <c r="TUJ868" s="295" t="s">
        <v>71</v>
      </c>
      <c r="TUK868" s="295" t="s">
        <v>71</v>
      </c>
      <c r="TUL868" s="295" t="s">
        <v>71</v>
      </c>
      <c r="TUM868" s="295" t="s">
        <v>71</v>
      </c>
      <c r="TUN868" s="295" t="s">
        <v>71</v>
      </c>
      <c r="TUO868" s="295" t="s">
        <v>71</v>
      </c>
      <c r="TUP868" s="295" t="s">
        <v>71</v>
      </c>
      <c r="TUQ868" s="295" t="s">
        <v>71</v>
      </c>
      <c r="TUR868" s="295" t="s">
        <v>71</v>
      </c>
      <c r="TUS868" s="295" t="s">
        <v>71</v>
      </c>
      <c r="TUT868" s="295" t="s">
        <v>71</v>
      </c>
      <c r="TUU868" s="295" t="s">
        <v>71</v>
      </c>
      <c r="TUV868" s="295" t="s">
        <v>71</v>
      </c>
      <c r="TUW868" s="295" t="s">
        <v>71</v>
      </c>
      <c r="TUX868" s="295" t="s">
        <v>71</v>
      </c>
      <c r="TUY868" s="295" t="s">
        <v>71</v>
      </c>
      <c r="TUZ868" s="295" t="s">
        <v>71</v>
      </c>
      <c r="TVA868" s="295" t="s">
        <v>71</v>
      </c>
      <c r="TVB868" s="295" t="s">
        <v>71</v>
      </c>
      <c r="TVC868" s="295" t="s">
        <v>71</v>
      </c>
      <c r="TVD868" s="295" t="s">
        <v>71</v>
      </c>
      <c r="TVE868" s="295" t="s">
        <v>71</v>
      </c>
      <c r="TVF868" s="295" t="s">
        <v>71</v>
      </c>
      <c r="TVG868" s="295" t="s">
        <v>71</v>
      </c>
      <c r="TVH868" s="295" t="s">
        <v>71</v>
      </c>
      <c r="TVI868" s="295" t="s">
        <v>71</v>
      </c>
      <c r="TVJ868" s="295" t="s">
        <v>71</v>
      </c>
      <c r="TVK868" s="295" t="s">
        <v>71</v>
      </c>
      <c r="TVL868" s="295" t="s">
        <v>71</v>
      </c>
      <c r="TVM868" s="295" t="s">
        <v>71</v>
      </c>
      <c r="TVN868" s="295" t="s">
        <v>71</v>
      </c>
      <c r="TVO868" s="295" t="s">
        <v>71</v>
      </c>
      <c r="TVP868" s="295" t="s">
        <v>71</v>
      </c>
      <c r="TVQ868" s="295" t="s">
        <v>71</v>
      </c>
      <c r="TVR868" s="295" t="s">
        <v>71</v>
      </c>
      <c r="TVS868" s="295" t="s">
        <v>71</v>
      </c>
      <c r="TVT868" s="295" t="s">
        <v>71</v>
      </c>
      <c r="TVU868" s="295" t="s">
        <v>71</v>
      </c>
      <c r="TVV868" s="295" t="s">
        <v>71</v>
      </c>
      <c r="TVW868" s="295" t="s">
        <v>71</v>
      </c>
      <c r="TVX868" s="295" t="s">
        <v>71</v>
      </c>
      <c r="TVY868" s="295" t="s">
        <v>71</v>
      </c>
      <c r="TVZ868" s="295" t="s">
        <v>71</v>
      </c>
      <c r="TWA868" s="295" t="s">
        <v>71</v>
      </c>
      <c r="TWB868" s="295" t="s">
        <v>71</v>
      </c>
      <c r="TWC868" s="295" t="s">
        <v>71</v>
      </c>
      <c r="TWD868" s="295" t="s">
        <v>71</v>
      </c>
      <c r="TWE868" s="295" t="s">
        <v>71</v>
      </c>
      <c r="TWF868" s="295" t="s">
        <v>71</v>
      </c>
      <c r="TWG868" s="295" t="s">
        <v>71</v>
      </c>
      <c r="TWH868" s="295" t="s">
        <v>71</v>
      </c>
      <c r="TWI868" s="295" t="s">
        <v>71</v>
      </c>
      <c r="TWJ868" s="295" t="s">
        <v>71</v>
      </c>
      <c r="TWK868" s="295" t="s">
        <v>71</v>
      </c>
      <c r="TWL868" s="295" t="s">
        <v>71</v>
      </c>
      <c r="TWM868" s="295" t="s">
        <v>71</v>
      </c>
      <c r="TWN868" s="295" t="s">
        <v>71</v>
      </c>
      <c r="TWO868" s="295" t="s">
        <v>71</v>
      </c>
      <c r="TWP868" s="295" t="s">
        <v>71</v>
      </c>
      <c r="TWQ868" s="295" t="s">
        <v>71</v>
      </c>
      <c r="TWR868" s="295" t="s">
        <v>71</v>
      </c>
      <c r="TWS868" s="295" t="s">
        <v>71</v>
      </c>
      <c r="TWT868" s="295" t="s">
        <v>71</v>
      </c>
      <c r="TWU868" s="295" t="s">
        <v>71</v>
      </c>
      <c r="TWV868" s="295" t="s">
        <v>71</v>
      </c>
      <c r="TWW868" s="295" t="s">
        <v>71</v>
      </c>
      <c r="TWX868" s="295" t="s">
        <v>71</v>
      </c>
      <c r="TWY868" s="295" t="s">
        <v>71</v>
      </c>
      <c r="TWZ868" s="295" t="s">
        <v>71</v>
      </c>
      <c r="TXA868" s="295" t="s">
        <v>71</v>
      </c>
      <c r="TXB868" s="295" t="s">
        <v>71</v>
      </c>
      <c r="TXC868" s="295" t="s">
        <v>71</v>
      </c>
      <c r="TXD868" s="295" t="s">
        <v>71</v>
      </c>
      <c r="TXE868" s="295" t="s">
        <v>71</v>
      </c>
      <c r="TXF868" s="295" t="s">
        <v>71</v>
      </c>
      <c r="TXG868" s="295" t="s">
        <v>71</v>
      </c>
      <c r="TXH868" s="295" t="s">
        <v>71</v>
      </c>
      <c r="TXI868" s="295" t="s">
        <v>71</v>
      </c>
      <c r="TXJ868" s="295" t="s">
        <v>71</v>
      </c>
      <c r="TXK868" s="295" t="s">
        <v>71</v>
      </c>
      <c r="TXL868" s="295" t="s">
        <v>71</v>
      </c>
      <c r="TXM868" s="295" t="s">
        <v>71</v>
      </c>
      <c r="TXN868" s="295" t="s">
        <v>71</v>
      </c>
      <c r="TXO868" s="295" t="s">
        <v>71</v>
      </c>
      <c r="TXP868" s="295" t="s">
        <v>71</v>
      </c>
      <c r="TXQ868" s="295" t="s">
        <v>71</v>
      </c>
      <c r="TXR868" s="295" t="s">
        <v>71</v>
      </c>
      <c r="TXS868" s="295" t="s">
        <v>71</v>
      </c>
      <c r="TXT868" s="295" t="s">
        <v>71</v>
      </c>
      <c r="TXU868" s="295" t="s">
        <v>71</v>
      </c>
      <c r="TXV868" s="295" t="s">
        <v>71</v>
      </c>
      <c r="TXW868" s="295" t="s">
        <v>71</v>
      </c>
      <c r="TXX868" s="295" t="s">
        <v>71</v>
      </c>
      <c r="TXY868" s="295" t="s">
        <v>71</v>
      </c>
      <c r="TXZ868" s="295" t="s">
        <v>71</v>
      </c>
      <c r="TYA868" s="295" t="s">
        <v>71</v>
      </c>
      <c r="TYB868" s="295" t="s">
        <v>71</v>
      </c>
      <c r="TYC868" s="295" t="s">
        <v>71</v>
      </c>
      <c r="TYD868" s="295" t="s">
        <v>71</v>
      </c>
      <c r="TYE868" s="295" t="s">
        <v>71</v>
      </c>
      <c r="TYF868" s="295" t="s">
        <v>71</v>
      </c>
      <c r="TYG868" s="295" t="s">
        <v>71</v>
      </c>
      <c r="TYH868" s="295" t="s">
        <v>71</v>
      </c>
      <c r="TYI868" s="295" t="s">
        <v>71</v>
      </c>
      <c r="TYJ868" s="295" t="s">
        <v>71</v>
      </c>
      <c r="TYK868" s="295" t="s">
        <v>71</v>
      </c>
      <c r="TYL868" s="295" t="s">
        <v>71</v>
      </c>
      <c r="TYM868" s="295" t="s">
        <v>71</v>
      </c>
      <c r="TYN868" s="295" t="s">
        <v>71</v>
      </c>
      <c r="TYO868" s="295" t="s">
        <v>71</v>
      </c>
      <c r="TYP868" s="295" t="s">
        <v>71</v>
      </c>
      <c r="TYQ868" s="295" t="s">
        <v>71</v>
      </c>
      <c r="TYR868" s="295" t="s">
        <v>71</v>
      </c>
      <c r="TYS868" s="295" t="s">
        <v>71</v>
      </c>
      <c r="TYT868" s="295" t="s">
        <v>71</v>
      </c>
      <c r="TYU868" s="295" t="s">
        <v>71</v>
      </c>
      <c r="TYV868" s="295" t="s">
        <v>71</v>
      </c>
      <c r="TYW868" s="295" t="s">
        <v>71</v>
      </c>
      <c r="TYX868" s="295" t="s">
        <v>71</v>
      </c>
      <c r="TYY868" s="295" t="s">
        <v>71</v>
      </c>
      <c r="TYZ868" s="295" t="s">
        <v>71</v>
      </c>
      <c r="TZA868" s="295" t="s">
        <v>71</v>
      </c>
      <c r="TZB868" s="295" t="s">
        <v>71</v>
      </c>
      <c r="TZC868" s="295" t="s">
        <v>71</v>
      </c>
      <c r="TZD868" s="295" t="s">
        <v>71</v>
      </c>
      <c r="TZE868" s="295" t="s">
        <v>71</v>
      </c>
      <c r="TZF868" s="295" t="s">
        <v>71</v>
      </c>
      <c r="TZG868" s="295" t="s">
        <v>71</v>
      </c>
      <c r="TZH868" s="295" t="s">
        <v>71</v>
      </c>
      <c r="TZI868" s="295" t="s">
        <v>71</v>
      </c>
      <c r="TZJ868" s="295" t="s">
        <v>71</v>
      </c>
      <c r="TZK868" s="295" t="s">
        <v>71</v>
      </c>
      <c r="TZL868" s="295" t="s">
        <v>71</v>
      </c>
      <c r="TZM868" s="295" t="s">
        <v>71</v>
      </c>
      <c r="TZN868" s="295" t="s">
        <v>71</v>
      </c>
      <c r="TZO868" s="295" t="s">
        <v>71</v>
      </c>
      <c r="TZP868" s="295" t="s">
        <v>71</v>
      </c>
      <c r="TZQ868" s="295" t="s">
        <v>71</v>
      </c>
      <c r="TZR868" s="295" t="s">
        <v>71</v>
      </c>
      <c r="TZS868" s="295" t="s">
        <v>71</v>
      </c>
      <c r="TZT868" s="295" t="s">
        <v>71</v>
      </c>
      <c r="TZU868" s="295" t="s">
        <v>71</v>
      </c>
      <c r="TZV868" s="295" t="s">
        <v>71</v>
      </c>
      <c r="TZW868" s="295" t="s">
        <v>71</v>
      </c>
      <c r="TZX868" s="295" t="s">
        <v>71</v>
      </c>
      <c r="TZY868" s="295" t="s">
        <v>71</v>
      </c>
      <c r="TZZ868" s="295" t="s">
        <v>71</v>
      </c>
      <c r="UAA868" s="295" t="s">
        <v>71</v>
      </c>
      <c r="UAB868" s="295" t="s">
        <v>71</v>
      </c>
      <c r="UAC868" s="295" t="s">
        <v>71</v>
      </c>
      <c r="UAD868" s="295" t="s">
        <v>71</v>
      </c>
      <c r="UAE868" s="295" t="s">
        <v>71</v>
      </c>
      <c r="UAF868" s="295" t="s">
        <v>71</v>
      </c>
      <c r="UAG868" s="295" t="s">
        <v>71</v>
      </c>
      <c r="UAH868" s="295" t="s">
        <v>71</v>
      </c>
      <c r="UAI868" s="295" t="s">
        <v>71</v>
      </c>
      <c r="UAJ868" s="295" t="s">
        <v>71</v>
      </c>
      <c r="UAK868" s="295" t="s">
        <v>71</v>
      </c>
      <c r="UAL868" s="295" t="s">
        <v>71</v>
      </c>
      <c r="UAM868" s="295" t="s">
        <v>71</v>
      </c>
      <c r="UAN868" s="295" t="s">
        <v>71</v>
      </c>
      <c r="UAO868" s="295" t="s">
        <v>71</v>
      </c>
      <c r="UAP868" s="295" t="s">
        <v>71</v>
      </c>
      <c r="UAQ868" s="295" t="s">
        <v>71</v>
      </c>
      <c r="UAR868" s="295" t="s">
        <v>71</v>
      </c>
      <c r="UAS868" s="295" t="s">
        <v>71</v>
      </c>
      <c r="UAT868" s="295" t="s">
        <v>71</v>
      </c>
      <c r="UAU868" s="295" t="s">
        <v>71</v>
      </c>
      <c r="UAV868" s="295" t="s">
        <v>71</v>
      </c>
      <c r="UAW868" s="295" t="s">
        <v>71</v>
      </c>
      <c r="UAX868" s="295" t="s">
        <v>71</v>
      </c>
      <c r="UAY868" s="295" t="s">
        <v>71</v>
      </c>
      <c r="UAZ868" s="295" t="s">
        <v>71</v>
      </c>
      <c r="UBA868" s="295" t="s">
        <v>71</v>
      </c>
      <c r="UBB868" s="295" t="s">
        <v>71</v>
      </c>
      <c r="UBC868" s="295" t="s">
        <v>71</v>
      </c>
      <c r="UBD868" s="295" t="s">
        <v>71</v>
      </c>
      <c r="UBE868" s="295" t="s">
        <v>71</v>
      </c>
      <c r="UBF868" s="295" t="s">
        <v>71</v>
      </c>
      <c r="UBG868" s="295" t="s">
        <v>71</v>
      </c>
      <c r="UBH868" s="295" t="s">
        <v>71</v>
      </c>
      <c r="UBI868" s="295" t="s">
        <v>71</v>
      </c>
      <c r="UBJ868" s="295" t="s">
        <v>71</v>
      </c>
      <c r="UBK868" s="295" t="s">
        <v>71</v>
      </c>
      <c r="UBL868" s="295" t="s">
        <v>71</v>
      </c>
      <c r="UBM868" s="295" t="s">
        <v>71</v>
      </c>
      <c r="UBN868" s="295" t="s">
        <v>71</v>
      </c>
      <c r="UBO868" s="295" t="s">
        <v>71</v>
      </c>
      <c r="UBP868" s="295" t="s">
        <v>71</v>
      </c>
      <c r="UBQ868" s="295" t="s">
        <v>71</v>
      </c>
      <c r="UBR868" s="295" t="s">
        <v>71</v>
      </c>
      <c r="UBS868" s="295" t="s">
        <v>71</v>
      </c>
      <c r="UBT868" s="295" t="s">
        <v>71</v>
      </c>
      <c r="UBU868" s="295" t="s">
        <v>71</v>
      </c>
      <c r="UBV868" s="295" t="s">
        <v>71</v>
      </c>
      <c r="UBW868" s="295" t="s">
        <v>71</v>
      </c>
      <c r="UBX868" s="295" t="s">
        <v>71</v>
      </c>
      <c r="UBY868" s="295" t="s">
        <v>71</v>
      </c>
      <c r="UBZ868" s="295" t="s">
        <v>71</v>
      </c>
      <c r="UCA868" s="295" t="s">
        <v>71</v>
      </c>
      <c r="UCB868" s="295" t="s">
        <v>71</v>
      </c>
      <c r="UCC868" s="295" t="s">
        <v>71</v>
      </c>
      <c r="UCD868" s="295" t="s">
        <v>71</v>
      </c>
      <c r="UCE868" s="295" t="s">
        <v>71</v>
      </c>
      <c r="UCF868" s="295" t="s">
        <v>71</v>
      </c>
      <c r="UCG868" s="295" t="s">
        <v>71</v>
      </c>
      <c r="UCH868" s="295" t="s">
        <v>71</v>
      </c>
      <c r="UCI868" s="295" t="s">
        <v>71</v>
      </c>
      <c r="UCJ868" s="295" t="s">
        <v>71</v>
      </c>
      <c r="UCK868" s="295" t="s">
        <v>71</v>
      </c>
      <c r="UCL868" s="295" t="s">
        <v>71</v>
      </c>
      <c r="UCM868" s="295" t="s">
        <v>71</v>
      </c>
      <c r="UCN868" s="295" t="s">
        <v>71</v>
      </c>
      <c r="UCO868" s="295" t="s">
        <v>71</v>
      </c>
      <c r="UCP868" s="295" t="s">
        <v>71</v>
      </c>
      <c r="UCQ868" s="295" t="s">
        <v>71</v>
      </c>
      <c r="UCR868" s="295" t="s">
        <v>71</v>
      </c>
      <c r="UCS868" s="295" t="s">
        <v>71</v>
      </c>
      <c r="UCT868" s="295" t="s">
        <v>71</v>
      </c>
      <c r="UCU868" s="295" t="s">
        <v>71</v>
      </c>
      <c r="UCV868" s="295" t="s">
        <v>71</v>
      </c>
      <c r="UCW868" s="295" t="s">
        <v>71</v>
      </c>
      <c r="UCX868" s="295" t="s">
        <v>71</v>
      </c>
      <c r="UCY868" s="295" t="s">
        <v>71</v>
      </c>
      <c r="UCZ868" s="295" t="s">
        <v>71</v>
      </c>
      <c r="UDA868" s="295" t="s">
        <v>71</v>
      </c>
      <c r="UDB868" s="295" t="s">
        <v>71</v>
      </c>
      <c r="UDC868" s="295" t="s">
        <v>71</v>
      </c>
      <c r="UDD868" s="295" t="s">
        <v>71</v>
      </c>
      <c r="UDE868" s="295" t="s">
        <v>71</v>
      </c>
      <c r="UDF868" s="295" t="s">
        <v>71</v>
      </c>
      <c r="UDG868" s="295" t="s">
        <v>71</v>
      </c>
      <c r="UDH868" s="295" t="s">
        <v>71</v>
      </c>
      <c r="UDI868" s="295" t="s">
        <v>71</v>
      </c>
      <c r="UDJ868" s="295" t="s">
        <v>71</v>
      </c>
      <c r="UDK868" s="295" t="s">
        <v>71</v>
      </c>
      <c r="UDL868" s="295" t="s">
        <v>71</v>
      </c>
      <c r="UDM868" s="295" t="s">
        <v>71</v>
      </c>
      <c r="UDN868" s="295" t="s">
        <v>71</v>
      </c>
      <c r="UDO868" s="295" t="s">
        <v>71</v>
      </c>
      <c r="UDP868" s="295" t="s">
        <v>71</v>
      </c>
      <c r="UDQ868" s="295" t="s">
        <v>71</v>
      </c>
      <c r="UDR868" s="295" t="s">
        <v>71</v>
      </c>
      <c r="UDS868" s="295" t="s">
        <v>71</v>
      </c>
      <c r="UDT868" s="295" t="s">
        <v>71</v>
      </c>
      <c r="UDU868" s="295" t="s">
        <v>71</v>
      </c>
      <c r="UDV868" s="295" t="s">
        <v>71</v>
      </c>
      <c r="UDW868" s="295" t="s">
        <v>71</v>
      </c>
      <c r="UDX868" s="295" t="s">
        <v>71</v>
      </c>
      <c r="UDY868" s="295" t="s">
        <v>71</v>
      </c>
      <c r="UDZ868" s="295" t="s">
        <v>71</v>
      </c>
      <c r="UEA868" s="295" t="s">
        <v>71</v>
      </c>
      <c r="UEB868" s="295" t="s">
        <v>71</v>
      </c>
      <c r="UEC868" s="295" t="s">
        <v>71</v>
      </c>
      <c r="UED868" s="295" t="s">
        <v>71</v>
      </c>
      <c r="UEE868" s="295" t="s">
        <v>71</v>
      </c>
      <c r="UEF868" s="295" t="s">
        <v>71</v>
      </c>
      <c r="UEG868" s="295" t="s">
        <v>71</v>
      </c>
      <c r="UEH868" s="295" t="s">
        <v>71</v>
      </c>
      <c r="UEI868" s="295" t="s">
        <v>71</v>
      </c>
      <c r="UEJ868" s="295" t="s">
        <v>71</v>
      </c>
      <c r="UEK868" s="295" t="s">
        <v>71</v>
      </c>
      <c r="UEL868" s="295" t="s">
        <v>71</v>
      </c>
      <c r="UEM868" s="295" t="s">
        <v>71</v>
      </c>
      <c r="UEN868" s="295" t="s">
        <v>71</v>
      </c>
      <c r="UEO868" s="295" t="s">
        <v>71</v>
      </c>
      <c r="UEP868" s="295" t="s">
        <v>71</v>
      </c>
      <c r="UEQ868" s="295" t="s">
        <v>71</v>
      </c>
      <c r="UER868" s="295" t="s">
        <v>71</v>
      </c>
      <c r="UES868" s="295" t="s">
        <v>71</v>
      </c>
      <c r="UET868" s="295" t="s">
        <v>71</v>
      </c>
      <c r="UEU868" s="295" t="s">
        <v>71</v>
      </c>
      <c r="UEV868" s="295" t="s">
        <v>71</v>
      </c>
      <c r="UEW868" s="295" t="s">
        <v>71</v>
      </c>
      <c r="UEX868" s="295" t="s">
        <v>71</v>
      </c>
      <c r="UEY868" s="295" t="s">
        <v>71</v>
      </c>
      <c r="UEZ868" s="295" t="s">
        <v>71</v>
      </c>
      <c r="UFA868" s="295" t="s">
        <v>71</v>
      </c>
      <c r="UFB868" s="295" t="s">
        <v>71</v>
      </c>
      <c r="UFC868" s="295" t="s">
        <v>71</v>
      </c>
      <c r="UFD868" s="295" t="s">
        <v>71</v>
      </c>
      <c r="UFE868" s="295" t="s">
        <v>71</v>
      </c>
      <c r="UFF868" s="295" t="s">
        <v>71</v>
      </c>
      <c r="UFG868" s="295" t="s">
        <v>71</v>
      </c>
      <c r="UFH868" s="295" t="s">
        <v>71</v>
      </c>
      <c r="UFI868" s="295" t="s">
        <v>71</v>
      </c>
      <c r="UFJ868" s="295" t="s">
        <v>71</v>
      </c>
      <c r="UFK868" s="295" t="s">
        <v>71</v>
      </c>
      <c r="UFL868" s="295" t="s">
        <v>71</v>
      </c>
      <c r="UFM868" s="295" t="s">
        <v>71</v>
      </c>
      <c r="UFN868" s="295" t="s">
        <v>71</v>
      </c>
      <c r="UFO868" s="295" t="s">
        <v>71</v>
      </c>
      <c r="UFP868" s="295" t="s">
        <v>71</v>
      </c>
      <c r="UFQ868" s="295" t="s">
        <v>71</v>
      </c>
      <c r="UFR868" s="295" t="s">
        <v>71</v>
      </c>
      <c r="UFS868" s="295" t="s">
        <v>71</v>
      </c>
      <c r="UFT868" s="295" t="s">
        <v>71</v>
      </c>
      <c r="UFU868" s="295" t="s">
        <v>71</v>
      </c>
      <c r="UFV868" s="295" t="s">
        <v>71</v>
      </c>
      <c r="UFW868" s="295" t="s">
        <v>71</v>
      </c>
      <c r="UFX868" s="295" t="s">
        <v>71</v>
      </c>
      <c r="UFY868" s="295" t="s">
        <v>71</v>
      </c>
      <c r="UFZ868" s="295" t="s">
        <v>71</v>
      </c>
      <c r="UGA868" s="295" t="s">
        <v>71</v>
      </c>
      <c r="UGB868" s="295" t="s">
        <v>71</v>
      </c>
      <c r="UGC868" s="295" t="s">
        <v>71</v>
      </c>
      <c r="UGD868" s="295" t="s">
        <v>71</v>
      </c>
      <c r="UGE868" s="295" t="s">
        <v>71</v>
      </c>
      <c r="UGF868" s="295" t="s">
        <v>71</v>
      </c>
      <c r="UGG868" s="295" t="s">
        <v>71</v>
      </c>
      <c r="UGH868" s="295" t="s">
        <v>71</v>
      </c>
      <c r="UGI868" s="295" t="s">
        <v>71</v>
      </c>
      <c r="UGJ868" s="295" t="s">
        <v>71</v>
      </c>
      <c r="UGK868" s="295" t="s">
        <v>71</v>
      </c>
      <c r="UGL868" s="295" t="s">
        <v>71</v>
      </c>
      <c r="UGM868" s="295" t="s">
        <v>71</v>
      </c>
      <c r="UGN868" s="295" t="s">
        <v>71</v>
      </c>
      <c r="UGO868" s="295" t="s">
        <v>71</v>
      </c>
      <c r="UGP868" s="295" t="s">
        <v>71</v>
      </c>
      <c r="UGQ868" s="295" t="s">
        <v>71</v>
      </c>
      <c r="UGR868" s="295" t="s">
        <v>71</v>
      </c>
      <c r="UGS868" s="295" t="s">
        <v>71</v>
      </c>
      <c r="UGT868" s="295" t="s">
        <v>71</v>
      </c>
      <c r="UGU868" s="295" t="s">
        <v>71</v>
      </c>
      <c r="UGV868" s="295" t="s">
        <v>71</v>
      </c>
      <c r="UGW868" s="295" t="s">
        <v>71</v>
      </c>
      <c r="UGX868" s="295" t="s">
        <v>71</v>
      </c>
      <c r="UGY868" s="295" t="s">
        <v>71</v>
      </c>
      <c r="UGZ868" s="295" t="s">
        <v>71</v>
      </c>
      <c r="UHA868" s="295" t="s">
        <v>71</v>
      </c>
      <c r="UHB868" s="295" t="s">
        <v>71</v>
      </c>
      <c r="UHC868" s="295" t="s">
        <v>71</v>
      </c>
      <c r="UHD868" s="295" t="s">
        <v>71</v>
      </c>
      <c r="UHE868" s="295" t="s">
        <v>71</v>
      </c>
      <c r="UHF868" s="295" t="s">
        <v>71</v>
      </c>
      <c r="UHG868" s="295" t="s">
        <v>71</v>
      </c>
      <c r="UHH868" s="295" t="s">
        <v>71</v>
      </c>
      <c r="UHI868" s="295" t="s">
        <v>71</v>
      </c>
      <c r="UHJ868" s="295" t="s">
        <v>71</v>
      </c>
      <c r="UHK868" s="295" t="s">
        <v>71</v>
      </c>
      <c r="UHL868" s="295" t="s">
        <v>71</v>
      </c>
      <c r="UHM868" s="295" t="s">
        <v>71</v>
      </c>
      <c r="UHN868" s="295" t="s">
        <v>71</v>
      </c>
      <c r="UHO868" s="295" t="s">
        <v>71</v>
      </c>
      <c r="UHP868" s="295" t="s">
        <v>71</v>
      </c>
      <c r="UHQ868" s="295" t="s">
        <v>71</v>
      </c>
      <c r="UHR868" s="295" t="s">
        <v>71</v>
      </c>
      <c r="UHS868" s="295" t="s">
        <v>71</v>
      </c>
      <c r="UHT868" s="295" t="s">
        <v>71</v>
      </c>
      <c r="UHU868" s="295" t="s">
        <v>71</v>
      </c>
      <c r="UHV868" s="295" t="s">
        <v>71</v>
      </c>
      <c r="UHW868" s="295" t="s">
        <v>71</v>
      </c>
      <c r="UHX868" s="295" t="s">
        <v>71</v>
      </c>
      <c r="UHY868" s="295" t="s">
        <v>71</v>
      </c>
      <c r="UHZ868" s="295" t="s">
        <v>71</v>
      </c>
      <c r="UIA868" s="295" t="s">
        <v>71</v>
      </c>
      <c r="UIB868" s="295" t="s">
        <v>71</v>
      </c>
      <c r="UIC868" s="295" t="s">
        <v>71</v>
      </c>
      <c r="UID868" s="295" t="s">
        <v>71</v>
      </c>
      <c r="UIE868" s="295" t="s">
        <v>71</v>
      </c>
      <c r="UIF868" s="295" t="s">
        <v>71</v>
      </c>
      <c r="UIG868" s="295" t="s">
        <v>71</v>
      </c>
      <c r="UIH868" s="295" t="s">
        <v>71</v>
      </c>
      <c r="UII868" s="295" t="s">
        <v>71</v>
      </c>
      <c r="UIJ868" s="295" t="s">
        <v>71</v>
      </c>
      <c r="UIK868" s="295" t="s">
        <v>71</v>
      </c>
      <c r="UIL868" s="295" t="s">
        <v>71</v>
      </c>
      <c r="UIM868" s="295" t="s">
        <v>71</v>
      </c>
      <c r="UIN868" s="295" t="s">
        <v>71</v>
      </c>
      <c r="UIO868" s="295" t="s">
        <v>71</v>
      </c>
      <c r="UIP868" s="295" t="s">
        <v>71</v>
      </c>
      <c r="UIQ868" s="295" t="s">
        <v>71</v>
      </c>
      <c r="UIR868" s="295" t="s">
        <v>71</v>
      </c>
      <c r="UIS868" s="295" t="s">
        <v>71</v>
      </c>
      <c r="UIT868" s="295" t="s">
        <v>71</v>
      </c>
      <c r="UIU868" s="295" t="s">
        <v>71</v>
      </c>
      <c r="UIV868" s="295" t="s">
        <v>71</v>
      </c>
      <c r="UIW868" s="295" t="s">
        <v>71</v>
      </c>
      <c r="UIX868" s="295" t="s">
        <v>71</v>
      </c>
      <c r="UIY868" s="295" t="s">
        <v>71</v>
      </c>
      <c r="UIZ868" s="295" t="s">
        <v>71</v>
      </c>
      <c r="UJA868" s="295" t="s">
        <v>71</v>
      </c>
      <c r="UJB868" s="295" t="s">
        <v>71</v>
      </c>
      <c r="UJC868" s="295" t="s">
        <v>71</v>
      </c>
      <c r="UJD868" s="295" t="s">
        <v>71</v>
      </c>
      <c r="UJE868" s="295" t="s">
        <v>71</v>
      </c>
      <c r="UJF868" s="295" t="s">
        <v>71</v>
      </c>
      <c r="UJG868" s="295" t="s">
        <v>71</v>
      </c>
      <c r="UJH868" s="295" t="s">
        <v>71</v>
      </c>
      <c r="UJI868" s="295" t="s">
        <v>71</v>
      </c>
      <c r="UJJ868" s="295" t="s">
        <v>71</v>
      </c>
      <c r="UJK868" s="295" t="s">
        <v>71</v>
      </c>
      <c r="UJL868" s="295" t="s">
        <v>71</v>
      </c>
      <c r="UJM868" s="295" t="s">
        <v>71</v>
      </c>
      <c r="UJN868" s="295" t="s">
        <v>71</v>
      </c>
      <c r="UJO868" s="295" t="s">
        <v>71</v>
      </c>
      <c r="UJP868" s="295" t="s">
        <v>71</v>
      </c>
      <c r="UJQ868" s="295" t="s">
        <v>71</v>
      </c>
      <c r="UJR868" s="295" t="s">
        <v>71</v>
      </c>
      <c r="UJS868" s="295" t="s">
        <v>71</v>
      </c>
      <c r="UJT868" s="295" t="s">
        <v>71</v>
      </c>
      <c r="UJU868" s="295" t="s">
        <v>71</v>
      </c>
      <c r="UJV868" s="295" t="s">
        <v>71</v>
      </c>
      <c r="UJW868" s="295" t="s">
        <v>71</v>
      </c>
      <c r="UJX868" s="295" t="s">
        <v>71</v>
      </c>
      <c r="UJY868" s="295" t="s">
        <v>71</v>
      </c>
      <c r="UJZ868" s="295" t="s">
        <v>71</v>
      </c>
      <c r="UKA868" s="295" t="s">
        <v>71</v>
      </c>
      <c r="UKB868" s="295" t="s">
        <v>71</v>
      </c>
      <c r="UKC868" s="295" t="s">
        <v>71</v>
      </c>
      <c r="UKD868" s="295" t="s">
        <v>71</v>
      </c>
      <c r="UKE868" s="295" t="s">
        <v>71</v>
      </c>
      <c r="UKF868" s="295" t="s">
        <v>71</v>
      </c>
      <c r="UKG868" s="295" t="s">
        <v>71</v>
      </c>
      <c r="UKH868" s="295" t="s">
        <v>71</v>
      </c>
      <c r="UKI868" s="295" t="s">
        <v>71</v>
      </c>
      <c r="UKJ868" s="295" t="s">
        <v>71</v>
      </c>
      <c r="UKK868" s="295" t="s">
        <v>71</v>
      </c>
      <c r="UKL868" s="295" t="s">
        <v>71</v>
      </c>
      <c r="UKM868" s="295" t="s">
        <v>71</v>
      </c>
      <c r="UKN868" s="295" t="s">
        <v>71</v>
      </c>
      <c r="UKO868" s="295" t="s">
        <v>71</v>
      </c>
      <c r="UKP868" s="295" t="s">
        <v>71</v>
      </c>
      <c r="UKQ868" s="295" t="s">
        <v>71</v>
      </c>
      <c r="UKR868" s="295" t="s">
        <v>71</v>
      </c>
      <c r="UKS868" s="295" t="s">
        <v>71</v>
      </c>
      <c r="UKT868" s="295" t="s">
        <v>71</v>
      </c>
      <c r="UKU868" s="295" t="s">
        <v>71</v>
      </c>
      <c r="UKV868" s="295" t="s">
        <v>71</v>
      </c>
      <c r="UKW868" s="295" t="s">
        <v>71</v>
      </c>
      <c r="UKX868" s="295" t="s">
        <v>71</v>
      </c>
      <c r="UKY868" s="295" t="s">
        <v>71</v>
      </c>
      <c r="UKZ868" s="295" t="s">
        <v>71</v>
      </c>
      <c r="ULA868" s="295" t="s">
        <v>71</v>
      </c>
      <c r="ULB868" s="295" t="s">
        <v>71</v>
      </c>
      <c r="ULC868" s="295" t="s">
        <v>71</v>
      </c>
      <c r="ULD868" s="295" t="s">
        <v>71</v>
      </c>
      <c r="ULE868" s="295" t="s">
        <v>71</v>
      </c>
      <c r="ULF868" s="295" t="s">
        <v>71</v>
      </c>
      <c r="ULG868" s="295" t="s">
        <v>71</v>
      </c>
      <c r="ULH868" s="295" t="s">
        <v>71</v>
      </c>
      <c r="ULI868" s="295" t="s">
        <v>71</v>
      </c>
      <c r="ULJ868" s="295" t="s">
        <v>71</v>
      </c>
      <c r="ULK868" s="295" t="s">
        <v>71</v>
      </c>
      <c r="ULL868" s="295" t="s">
        <v>71</v>
      </c>
      <c r="ULM868" s="295" t="s">
        <v>71</v>
      </c>
      <c r="ULN868" s="295" t="s">
        <v>71</v>
      </c>
      <c r="ULO868" s="295" t="s">
        <v>71</v>
      </c>
      <c r="ULP868" s="295" t="s">
        <v>71</v>
      </c>
      <c r="ULQ868" s="295" t="s">
        <v>71</v>
      </c>
      <c r="ULR868" s="295" t="s">
        <v>71</v>
      </c>
      <c r="ULS868" s="295" t="s">
        <v>71</v>
      </c>
      <c r="ULT868" s="295" t="s">
        <v>71</v>
      </c>
      <c r="ULU868" s="295" t="s">
        <v>71</v>
      </c>
      <c r="ULV868" s="295" t="s">
        <v>71</v>
      </c>
      <c r="ULW868" s="295" t="s">
        <v>71</v>
      </c>
      <c r="ULX868" s="295" t="s">
        <v>71</v>
      </c>
      <c r="ULY868" s="295" t="s">
        <v>71</v>
      </c>
      <c r="ULZ868" s="295" t="s">
        <v>71</v>
      </c>
      <c r="UMA868" s="295" t="s">
        <v>71</v>
      </c>
      <c r="UMB868" s="295" t="s">
        <v>71</v>
      </c>
      <c r="UMC868" s="295" t="s">
        <v>71</v>
      </c>
      <c r="UMD868" s="295" t="s">
        <v>71</v>
      </c>
      <c r="UME868" s="295" t="s">
        <v>71</v>
      </c>
      <c r="UMF868" s="295" t="s">
        <v>71</v>
      </c>
      <c r="UMG868" s="295" t="s">
        <v>71</v>
      </c>
      <c r="UMH868" s="295" t="s">
        <v>71</v>
      </c>
      <c r="UMI868" s="295" t="s">
        <v>71</v>
      </c>
      <c r="UMJ868" s="295" t="s">
        <v>71</v>
      </c>
      <c r="UMK868" s="295" t="s">
        <v>71</v>
      </c>
      <c r="UML868" s="295" t="s">
        <v>71</v>
      </c>
      <c r="UMM868" s="295" t="s">
        <v>71</v>
      </c>
      <c r="UMN868" s="295" t="s">
        <v>71</v>
      </c>
      <c r="UMO868" s="295" t="s">
        <v>71</v>
      </c>
      <c r="UMP868" s="295" t="s">
        <v>71</v>
      </c>
      <c r="UMQ868" s="295" t="s">
        <v>71</v>
      </c>
      <c r="UMR868" s="295" t="s">
        <v>71</v>
      </c>
      <c r="UMS868" s="295" t="s">
        <v>71</v>
      </c>
      <c r="UMT868" s="295" t="s">
        <v>71</v>
      </c>
      <c r="UMU868" s="295" t="s">
        <v>71</v>
      </c>
      <c r="UMV868" s="295" t="s">
        <v>71</v>
      </c>
      <c r="UMW868" s="295" t="s">
        <v>71</v>
      </c>
      <c r="UMX868" s="295" t="s">
        <v>71</v>
      </c>
      <c r="UMY868" s="295" t="s">
        <v>71</v>
      </c>
      <c r="UMZ868" s="295" t="s">
        <v>71</v>
      </c>
      <c r="UNA868" s="295" t="s">
        <v>71</v>
      </c>
      <c r="UNB868" s="295" t="s">
        <v>71</v>
      </c>
      <c r="UNC868" s="295" t="s">
        <v>71</v>
      </c>
      <c r="UND868" s="295" t="s">
        <v>71</v>
      </c>
      <c r="UNE868" s="295" t="s">
        <v>71</v>
      </c>
      <c r="UNF868" s="295" t="s">
        <v>71</v>
      </c>
      <c r="UNG868" s="295" t="s">
        <v>71</v>
      </c>
      <c r="UNH868" s="295" t="s">
        <v>71</v>
      </c>
      <c r="UNI868" s="295" t="s">
        <v>71</v>
      </c>
      <c r="UNJ868" s="295" t="s">
        <v>71</v>
      </c>
      <c r="UNK868" s="295" t="s">
        <v>71</v>
      </c>
      <c r="UNL868" s="295" t="s">
        <v>71</v>
      </c>
      <c r="UNM868" s="295" t="s">
        <v>71</v>
      </c>
      <c r="UNN868" s="295" t="s">
        <v>71</v>
      </c>
      <c r="UNO868" s="295" t="s">
        <v>71</v>
      </c>
      <c r="UNP868" s="295" t="s">
        <v>71</v>
      </c>
      <c r="UNQ868" s="295" t="s">
        <v>71</v>
      </c>
      <c r="UNR868" s="295" t="s">
        <v>71</v>
      </c>
      <c r="UNS868" s="295" t="s">
        <v>71</v>
      </c>
      <c r="UNT868" s="295" t="s">
        <v>71</v>
      </c>
      <c r="UNU868" s="295" t="s">
        <v>71</v>
      </c>
      <c r="UNV868" s="295" t="s">
        <v>71</v>
      </c>
      <c r="UNW868" s="295" t="s">
        <v>71</v>
      </c>
      <c r="UNX868" s="295" t="s">
        <v>71</v>
      </c>
      <c r="UNY868" s="295" t="s">
        <v>71</v>
      </c>
      <c r="UNZ868" s="295" t="s">
        <v>71</v>
      </c>
      <c r="UOA868" s="295" t="s">
        <v>71</v>
      </c>
      <c r="UOB868" s="295" t="s">
        <v>71</v>
      </c>
      <c r="UOC868" s="295" t="s">
        <v>71</v>
      </c>
      <c r="UOD868" s="295" t="s">
        <v>71</v>
      </c>
      <c r="UOE868" s="295" t="s">
        <v>71</v>
      </c>
      <c r="UOF868" s="295" t="s">
        <v>71</v>
      </c>
      <c r="UOG868" s="295" t="s">
        <v>71</v>
      </c>
      <c r="UOH868" s="295" t="s">
        <v>71</v>
      </c>
      <c r="UOI868" s="295" t="s">
        <v>71</v>
      </c>
      <c r="UOJ868" s="295" t="s">
        <v>71</v>
      </c>
      <c r="UOK868" s="295" t="s">
        <v>71</v>
      </c>
      <c r="UOL868" s="295" t="s">
        <v>71</v>
      </c>
      <c r="UOM868" s="295" t="s">
        <v>71</v>
      </c>
      <c r="UON868" s="295" t="s">
        <v>71</v>
      </c>
      <c r="UOO868" s="295" t="s">
        <v>71</v>
      </c>
      <c r="UOP868" s="295" t="s">
        <v>71</v>
      </c>
      <c r="UOQ868" s="295" t="s">
        <v>71</v>
      </c>
      <c r="UOR868" s="295" t="s">
        <v>71</v>
      </c>
      <c r="UOS868" s="295" t="s">
        <v>71</v>
      </c>
      <c r="UOT868" s="295" t="s">
        <v>71</v>
      </c>
      <c r="UOU868" s="295" t="s">
        <v>71</v>
      </c>
      <c r="UOV868" s="295" t="s">
        <v>71</v>
      </c>
      <c r="UOW868" s="295" t="s">
        <v>71</v>
      </c>
      <c r="UOX868" s="295" t="s">
        <v>71</v>
      </c>
      <c r="UOY868" s="295" t="s">
        <v>71</v>
      </c>
      <c r="UOZ868" s="295" t="s">
        <v>71</v>
      </c>
      <c r="UPA868" s="295" t="s">
        <v>71</v>
      </c>
      <c r="UPB868" s="295" t="s">
        <v>71</v>
      </c>
      <c r="UPC868" s="295" t="s">
        <v>71</v>
      </c>
      <c r="UPD868" s="295" t="s">
        <v>71</v>
      </c>
      <c r="UPE868" s="295" t="s">
        <v>71</v>
      </c>
      <c r="UPF868" s="295" t="s">
        <v>71</v>
      </c>
      <c r="UPG868" s="295" t="s">
        <v>71</v>
      </c>
      <c r="UPH868" s="295" t="s">
        <v>71</v>
      </c>
      <c r="UPI868" s="295" t="s">
        <v>71</v>
      </c>
      <c r="UPJ868" s="295" t="s">
        <v>71</v>
      </c>
      <c r="UPK868" s="295" t="s">
        <v>71</v>
      </c>
      <c r="UPL868" s="295" t="s">
        <v>71</v>
      </c>
      <c r="UPM868" s="295" t="s">
        <v>71</v>
      </c>
      <c r="UPN868" s="295" t="s">
        <v>71</v>
      </c>
      <c r="UPO868" s="295" t="s">
        <v>71</v>
      </c>
      <c r="UPP868" s="295" t="s">
        <v>71</v>
      </c>
      <c r="UPQ868" s="295" t="s">
        <v>71</v>
      </c>
      <c r="UPR868" s="295" t="s">
        <v>71</v>
      </c>
      <c r="UPS868" s="295" t="s">
        <v>71</v>
      </c>
      <c r="UPT868" s="295" t="s">
        <v>71</v>
      </c>
      <c r="UPU868" s="295" t="s">
        <v>71</v>
      </c>
      <c r="UPV868" s="295" t="s">
        <v>71</v>
      </c>
      <c r="UPW868" s="295" t="s">
        <v>71</v>
      </c>
      <c r="UPX868" s="295" t="s">
        <v>71</v>
      </c>
      <c r="UPY868" s="295" t="s">
        <v>71</v>
      </c>
      <c r="UPZ868" s="295" t="s">
        <v>71</v>
      </c>
      <c r="UQA868" s="295" t="s">
        <v>71</v>
      </c>
      <c r="UQB868" s="295" t="s">
        <v>71</v>
      </c>
      <c r="UQC868" s="295" t="s">
        <v>71</v>
      </c>
      <c r="UQD868" s="295" t="s">
        <v>71</v>
      </c>
      <c r="UQE868" s="295" t="s">
        <v>71</v>
      </c>
      <c r="UQF868" s="295" t="s">
        <v>71</v>
      </c>
      <c r="UQG868" s="295" t="s">
        <v>71</v>
      </c>
      <c r="UQH868" s="295" t="s">
        <v>71</v>
      </c>
      <c r="UQI868" s="295" t="s">
        <v>71</v>
      </c>
      <c r="UQJ868" s="295" t="s">
        <v>71</v>
      </c>
      <c r="UQK868" s="295" t="s">
        <v>71</v>
      </c>
      <c r="UQL868" s="295" t="s">
        <v>71</v>
      </c>
      <c r="UQM868" s="295" t="s">
        <v>71</v>
      </c>
      <c r="UQN868" s="295" t="s">
        <v>71</v>
      </c>
      <c r="UQO868" s="295" t="s">
        <v>71</v>
      </c>
      <c r="UQP868" s="295" t="s">
        <v>71</v>
      </c>
      <c r="UQQ868" s="295" t="s">
        <v>71</v>
      </c>
      <c r="UQR868" s="295" t="s">
        <v>71</v>
      </c>
      <c r="UQS868" s="295" t="s">
        <v>71</v>
      </c>
      <c r="UQT868" s="295" t="s">
        <v>71</v>
      </c>
      <c r="UQU868" s="295" t="s">
        <v>71</v>
      </c>
      <c r="UQV868" s="295" t="s">
        <v>71</v>
      </c>
      <c r="UQW868" s="295" t="s">
        <v>71</v>
      </c>
      <c r="UQX868" s="295" t="s">
        <v>71</v>
      </c>
      <c r="UQY868" s="295" t="s">
        <v>71</v>
      </c>
      <c r="UQZ868" s="295" t="s">
        <v>71</v>
      </c>
      <c r="URA868" s="295" t="s">
        <v>71</v>
      </c>
      <c r="URB868" s="295" t="s">
        <v>71</v>
      </c>
      <c r="URC868" s="295" t="s">
        <v>71</v>
      </c>
      <c r="URD868" s="295" t="s">
        <v>71</v>
      </c>
      <c r="URE868" s="295" t="s">
        <v>71</v>
      </c>
      <c r="URF868" s="295" t="s">
        <v>71</v>
      </c>
      <c r="URG868" s="295" t="s">
        <v>71</v>
      </c>
      <c r="URH868" s="295" t="s">
        <v>71</v>
      </c>
      <c r="URI868" s="295" t="s">
        <v>71</v>
      </c>
      <c r="URJ868" s="295" t="s">
        <v>71</v>
      </c>
      <c r="URK868" s="295" t="s">
        <v>71</v>
      </c>
      <c r="URL868" s="295" t="s">
        <v>71</v>
      </c>
      <c r="URM868" s="295" t="s">
        <v>71</v>
      </c>
      <c r="URN868" s="295" t="s">
        <v>71</v>
      </c>
      <c r="URO868" s="295" t="s">
        <v>71</v>
      </c>
      <c r="URP868" s="295" t="s">
        <v>71</v>
      </c>
      <c r="URQ868" s="295" t="s">
        <v>71</v>
      </c>
      <c r="URR868" s="295" t="s">
        <v>71</v>
      </c>
      <c r="URS868" s="295" t="s">
        <v>71</v>
      </c>
      <c r="URT868" s="295" t="s">
        <v>71</v>
      </c>
      <c r="URU868" s="295" t="s">
        <v>71</v>
      </c>
      <c r="URV868" s="295" t="s">
        <v>71</v>
      </c>
      <c r="URW868" s="295" t="s">
        <v>71</v>
      </c>
      <c r="URX868" s="295" t="s">
        <v>71</v>
      </c>
      <c r="URY868" s="295" t="s">
        <v>71</v>
      </c>
      <c r="URZ868" s="295" t="s">
        <v>71</v>
      </c>
      <c r="USA868" s="295" t="s">
        <v>71</v>
      </c>
      <c r="USB868" s="295" t="s">
        <v>71</v>
      </c>
      <c r="USC868" s="295" t="s">
        <v>71</v>
      </c>
      <c r="USD868" s="295" t="s">
        <v>71</v>
      </c>
      <c r="USE868" s="295" t="s">
        <v>71</v>
      </c>
      <c r="USF868" s="295" t="s">
        <v>71</v>
      </c>
      <c r="USG868" s="295" t="s">
        <v>71</v>
      </c>
      <c r="USH868" s="295" t="s">
        <v>71</v>
      </c>
      <c r="USI868" s="295" t="s">
        <v>71</v>
      </c>
      <c r="USJ868" s="295" t="s">
        <v>71</v>
      </c>
      <c r="USK868" s="295" t="s">
        <v>71</v>
      </c>
      <c r="USL868" s="295" t="s">
        <v>71</v>
      </c>
      <c r="USM868" s="295" t="s">
        <v>71</v>
      </c>
      <c r="USN868" s="295" t="s">
        <v>71</v>
      </c>
      <c r="USO868" s="295" t="s">
        <v>71</v>
      </c>
      <c r="USP868" s="295" t="s">
        <v>71</v>
      </c>
      <c r="USQ868" s="295" t="s">
        <v>71</v>
      </c>
      <c r="USR868" s="295" t="s">
        <v>71</v>
      </c>
      <c r="USS868" s="295" t="s">
        <v>71</v>
      </c>
      <c r="UST868" s="295" t="s">
        <v>71</v>
      </c>
      <c r="USU868" s="295" t="s">
        <v>71</v>
      </c>
      <c r="USV868" s="295" t="s">
        <v>71</v>
      </c>
      <c r="USW868" s="295" t="s">
        <v>71</v>
      </c>
      <c r="USX868" s="295" t="s">
        <v>71</v>
      </c>
      <c r="USY868" s="295" t="s">
        <v>71</v>
      </c>
      <c r="USZ868" s="295" t="s">
        <v>71</v>
      </c>
      <c r="UTA868" s="295" t="s">
        <v>71</v>
      </c>
      <c r="UTB868" s="295" t="s">
        <v>71</v>
      </c>
      <c r="UTC868" s="295" t="s">
        <v>71</v>
      </c>
      <c r="UTD868" s="295" t="s">
        <v>71</v>
      </c>
      <c r="UTE868" s="295" t="s">
        <v>71</v>
      </c>
      <c r="UTF868" s="295" t="s">
        <v>71</v>
      </c>
      <c r="UTG868" s="295" t="s">
        <v>71</v>
      </c>
      <c r="UTH868" s="295" t="s">
        <v>71</v>
      </c>
      <c r="UTI868" s="295" t="s">
        <v>71</v>
      </c>
      <c r="UTJ868" s="295" t="s">
        <v>71</v>
      </c>
      <c r="UTK868" s="295" t="s">
        <v>71</v>
      </c>
      <c r="UTL868" s="295" t="s">
        <v>71</v>
      </c>
      <c r="UTM868" s="295" t="s">
        <v>71</v>
      </c>
      <c r="UTN868" s="295" t="s">
        <v>71</v>
      </c>
      <c r="UTO868" s="295" t="s">
        <v>71</v>
      </c>
      <c r="UTP868" s="295" t="s">
        <v>71</v>
      </c>
      <c r="UTQ868" s="295" t="s">
        <v>71</v>
      </c>
      <c r="UTR868" s="295" t="s">
        <v>71</v>
      </c>
      <c r="UTS868" s="295" t="s">
        <v>71</v>
      </c>
      <c r="UTT868" s="295" t="s">
        <v>71</v>
      </c>
      <c r="UTU868" s="295" t="s">
        <v>71</v>
      </c>
      <c r="UTV868" s="295" t="s">
        <v>71</v>
      </c>
      <c r="UTW868" s="295" t="s">
        <v>71</v>
      </c>
      <c r="UTX868" s="295" t="s">
        <v>71</v>
      </c>
      <c r="UTY868" s="295" t="s">
        <v>71</v>
      </c>
      <c r="UTZ868" s="295" t="s">
        <v>71</v>
      </c>
      <c r="UUA868" s="295" t="s">
        <v>71</v>
      </c>
      <c r="UUB868" s="295" t="s">
        <v>71</v>
      </c>
      <c r="UUC868" s="295" t="s">
        <v>71</v>
      </c>
      <c r="UUD868" s="295" t="s">
        <v>71</v>
      </c>
      <c r="UUE868" s="295" t="s">
        <v>71</v>
      </c>
      <c r="UUF868" s="295" t="s">
        <v>71</v>
      </c>
      <c r="UUG868" s="295" t="s">
        <v>71</v>
      </c>
      <c r="UUH868" s="295" t="s">
        <v>71</v>
      </c>
      <c r="UUI868" s="295" t="s">
        <v>71</v>
      </c>
      <c r="UUJ868" s="295" t="s">
        <v>71</v>
      </c>
      <c r="UUK868" s="295" t="s">
        <v>71</v>
      </c>
      <c r="UUL868" s="295" t="s">
        <v>71</v>
      </c>
      <c r="UUM868" s="295" t="s">
        <v>71</v>
      </c>
      <c r="UUN868" s="295" t="s">
        <v>71</v>
      </c>
      <c r="UUO868" s="295" t="s">
        <v>71</v>
      </c>
      <c r="UUP868" s="295" t="s">
        <v>71</v>
      </c>
      <c r="UUQ868" s="295" t="s">
        <v>71</v>
      </c>
      <c r="UUR868" s="295" t="s">
        <v>71</v>
      </c>
      <c r="UUS868" s="295" t="s">
        <v>71</v>
      </c>
      <c r="UUT868" s="295" t="s">
        <v>71</v>
      </c>
      <c r="UUU868" s="295" t="s">
        <v>71</v>
      </c>
      <c r="UUV868" s="295" t="s">
        <v>71</v>
      </c>
      <c r="UUW868" s="295" t="s">
        <v>71</v>
      </c>
      <c r="UUX868" s="295" t="s">
        <v>71</v>
      </c>
      <c r="UUY868" s="295" t="s">
        <v>71</v>
      </c>
      <c r="UUZ868" s="295" t="s">
        <v>71</v>
      </c>
      <c r="UVA868" s="295" t="s">
        <v>71</v>
      </c>
      <c r="UVB868" s="295" t="s">
        <v>71</v>
      </c>
      <c r="UVC868" s="295" t="s">
        <v>71</v>
      </c>
      <c r="UVD868" s="295" t="s">
        <v>71</v>
      </c>
      <c r="UVE868" s="295" t="s">
        <v>71</v>
      </c>
      <c r="UVF868" s="295" t="s">
        <v>71</v>
      </c>
      <c r="UVG868" s="295" t="s">
        <v>71</v>
      </c>
      <c r="UVH868" s="295" t="s">
        <v>71</v>
      </c>
      <c r="UVI868" s="295" t="s">
        <v>71</v>
      </c>
      <c r="UVJ868" s="295" t="s">
        <v>71</v>
      </c>
      <c r="UVK868" s="295" t="s">
        <v>71</v>
      </c>
      <c r="UVL868" s="295" t="s">
        <v>71</v>
      </c>
      <c r="UVM868" s="295" t="s">
        <v>71</v>
      </c>
      <c r="UVN868" s="295" t="s">
        <v>71</v>
      </c>
      <c r="UVO868" s="295" t="s">
        <v>71</v>
      </c>
      <c r="UVP868" s="295" t="s">
        <v>71</v>
      </c>
      <c r="UVQ868" s="295" t="s">
        <v>71</v>
      </c>
      <c r="UVR868" s="295" t="s">
        <v>71</v>
      </c>
      <c r="UVS868" s="295" t="s">
        <v>71</v>
      </c>
      <c r="UVT868" s="295" t="s">
        <v>71</v>
      </c>
      <c r="UVU868" s="295" t="s">
        <v>71</v>
      </c>
      <c r="UVV868" s="295" t="s">
        <v>71</v>
      </c>
      <c r="UVW868" s="295" t="s">
        <v>71</v>
      </c>
      <c r="UVX868" s="295" t="s">
        <v>71</v>
      </c>
      <c r="UVY868" s="295" t="s">
        <v>71</v>
      </c>
      <c r="UVZ868" s="295" t="s">
        <v>71</v>
      </c>
      <c r="UWA868" s="295" t="s">
        <v>71</v>
      </c>
      <c r="UWB868" s="295" t="s">
        <v>71</v>
      </c>
      <c r="UWC868" s="295" t="s">
        <v>71</v>
      </c>
      <c r="UWD868" s="295" t="s">
        <v>71</v>
      </c>
      <c r="UWE868" s="295" t="s">
        <v>71</v>
      </c>
      <c r="UWF868" s="295" t="s">
        <v>71</v>
      </c>
      <c r="UWG868" s="295" t="s">
        <v>71</v>
      </c>
      <c r="UWH868" s="295" t="s">
        <v>71</v>
      </c>
      <c r="UWI868" s="295" t="s">
        <v>71</v>
      </c>
      <c r="UWJ868" s="295" t="s">
        <v>71</v>
      </c>
      <c r="UWK868" s="295" t="s">
        <v>71</v>
      </c>
      <c r="UWL868" s="295" t="s">
        <v>71</v>
      </c>
      <c r="UWM868" s="295" t="s">
        <v>71</v>
      </c>
      <c r="UWN868" s="295" t="s">
        <v>71</v>
      </c>
      <c r="UWO868" s="295" t="s">
        <v>71</v>
      </c>
      <c r="UWP868" s="295" t="s">
        <v>71</v>
      </c>
      <c r="UWQ868" s="295" t="s">
        <v>71</v>
      </c>
      <c r="UWR868" s="295" t="s">
        <v>71</v>
      </c>
      <c r="UWS868" s="295" t="s">
        <v>71</v>
      </c>
      <c r="UWT868" s="295" t="s">
        <v>71</v>
      </c>
      <c r="UWU868" s="295" t="s">
        <v>71</v>
      </c>
      <c r="UWV868" s="295" t="s">
        <v>71</v>
      </c>
      <c r="UWW868" s="295" t="s">
        <v>71</v>
      </c>
      <c r="UWX868" s="295" t="s">
        <v>71</v>
      </c>
      <c r="UWY868" s="295" t="s">
        <v>71</v>
      </c>
      <c r="UWZ868" s="295" t="s">
        <v>71</v>
      </c>
      <c r="UXA868" s="295" t="s">
        <v>71</v>
      </c>
      <c r="UXB868" s="295" t="s">
        <v>71</v>
      </c>
      <c r="UXC868" s="295" t="s">
        <v>71</v>
      </c>
      <c r="UXD868" s="295" t="s">
        <v>71</v>
      </c>
      <c r="UXE868" s="295" t="s">
        <v>71</v>
      </c>
      <c r="UXF868" s="295" t="s">
        <v>71</v>
      </c>
      <c r="UXG868" s="295" t="s">
        <v>71</v>
      </c>
      <c r="UXH868" s="295" t="s">
        <v>71</v>
      </c>
      <c r="UXI868" s="295" t="s">
        <v>71</v>
      </c>
      <c r="UXJ868" s="295" t="s">
        <v>71</v>
      </c>
      <c r="UXK868" s="295" t="s">
        <v>71</v>
      </c>
      <c r="UXL868" s="295" t="s">
        <v>71</v>
      </c>
      <c r="UXM868" s="295" t="s">
        <v>71</v>
      </c>
      <c r="UXN868" s="295" t="s">
        <v>71</v>
      </c>
      <c r="UXO868" s="295" t="s">
        <v>71</v>
      </c>
      <c r="UXP868" s="295" t="s">
        <v>71</v>
      </c>
      <c r="UXQ868" s="295" t="s">
        <v>71</v>
      </c>
      <c r="UXR868" s="295" t="s">
        <v>71</v>
      </c>
      <c r="UXS868" s="295" t="s">
        <v>71</v>
      </c>
      <c r="UXT868" s="295" t="s">
        <v>71</v>
      </c>
      <c r="UXU868" s="295" t="s">
        <v>71</v>
      </c>
      <c r="UXV868" s="295" t="s">
        <v>71</v>
      </c>
      <c r="UXW868" s="295" t="s">
        <v>71</v>
      </c>
      <c r="UXX868" s="295" t="s">
        <v>71</v>
      </c>
      <c r="UXY868" s="295" t="s">
        <v>71</v>
      </c>
      <c r="UXZ868" s="295" t="s">
        <v>71</v>
      </c>
      <c r="UYA868" s="295" t="s">
        <v>71</v>
      </c>
      <c r="UYB868" s="295" t="s">
        <v>71</v>
      </c>
      <c r="UYC868" s="295" t="s">
        <v>71</v>
      </c>
      <c r="UYD868" s="295" t="s">
        <v>71</v>
      </c>
      <c r="UYE868" s="295" t="s">
        <v>71</v>
      </c>
      <c r="UYF868" s="295" t="s">
        <v>71</v>
      </c>
      <c r="UYG868" s="295" t="s">
        <v>71</v>
      </c>
      <c r="UYH868" s="295" t="s">
        <v>71</v>
      </c>
      <c r="UYI868" s="295" t="s">
        <v>71</v>
      </c>
      <c r="UYJ868" s="295" t="s">
        <v>71</v>
      </c>
      <c r="UYK868" s="295" t="s">
        <v>71</v>
      </c>
      <c r="UYL868" s="295" t="s">
        <v>71</v>
      </c>
      <c r="UYM868" s="295" t="s">
        <v>71</v>
      </c>
      <c r="UYN868" s="295" t="s">
        <v>71</v>
      </c>
      <c r="UYO868" s="295" t="s">
        <v>71</v>
      </c>
      <c r="UYP868" s="295" t="s">
        <v>71</v>
      </c>
      <c r="UYQ868" s="295" t="s">
        <v>71</v>
      </c>
      <c r="UYR868" s="295" t="s">
        <v>71</v>
      </c>
      <c r="UYS868" s="295" t="s">
        <v>71</v>
      </c>
      <c r="UYT868" s="295" t="s">
        <v>71</v>
      </c>
      <c r="UYU868" s="295" t="s">
        <v>71</v>
      </c>
      <c r="UYV868" s="295" t="s">
        <v>71</v>
      </c>
      <c r="UYW868" s="295" t="s">
        <v>71</v>
      </c>
      <c r="UYX868" s="295" t="s">
        <v>71</v>
      </c>
      <c r="UYY868" s="295" t="s">
        <v>71</v>
      </c>
      <c r="UYZ868" s="295" t="s">
        <v>71</v>
      </c>
      <c r="UZA868" s="295" t="s">
        <v>71</v>
      </c>
      <c r="UZB868" s="295" t="s">
        <v>71</v>
      </c>
      <c r="UZC868" s="295" t="s">
        <v>71</v>
      </c>
      <c r="UZD868" s="295" t="s">
        <v>71</v>
      </c>
      <c r="UZE868" s="295" t="s">
        <v>71</v>
      </c>
      <c r="UZF868" s="295" t="s">
        <v>71</v>
      </c>
      <c r="UZG868" s="295" t="s">
        <v>71</v>
      </c>
      <c r="UZH868" s="295" t="s">
        <v>71</v>
      </c>
      <c r="UZI868" s="295" t="s">
        <v>71</v>
      </c>
      <c r="UZJ868" s="295" t="s">
        <v>71</v>
      </c>
      <c r="UZK868" s="295" t="s">
        <v>71</v>
      </c>
      <c r="UZL868" s="295" t="s">
        <v>71</v>
      </c>
      <c r="UZM868" s="295" t="s">
        <v>71</v>
      </c>
      <c r="UZN868" s="295" t="s">
        <v>71</v>
      </c>
      <c r="UZO868" s="295" t="s">
        <v>71</v>
      </c>
      <c r="UZP868" s="295" t="s">
        <v>71</v>
      </c>
      <c r="UZQ868" s="295" t="s">
        <v>71</v>
      </c>
      <c r="UZR868" s="295" t="s">
        <v>71</v>
      </c>
      <c r="UZS868" s="295" t="s">
        <v>71</v>
      </c>
      <c r="UZT868" s="295" t="s">
        <v>71</v>
      </c>
      <c r="UZU868" s="295" t="s">
        <v>71</v>
      </c>
      <c r="UZV868" s="295" t="s">
        <v>71</v>
      </c>
      <c r="UZW868" s="295" t="s">
        <v>71</v>
      </c>
      <c r="UZX868" s="295" t="s">
        <v>71</v>
      </c>
      <c r="UZY868" s="295" t="s">
        <v>71</v>
      </c>
      <c r="UZZ868" s="295" t="s">
        <v>71</v>
      </c>
      <c r="VAA868" s="295" t="s">
        <v>71</v>
      </c>
      <c r="VAB868" s="295" t="s">
        <v>71</v>
      </c>
      <c r="VAC868" s="295" t="s">
        <v>71</v>
      </c>
      <c r="VAD868" s="295" t="s">
        <v>71</v>
      </c>
      <c r="VAE868" s="295" t="s">
        <v>71</v>
      </c>
      <c r="VAF868" s="295" t="s">
        <v>71</v>
      </c>
      <c r="VAG868" s="295" t="s">
        <v>71</v>
      </c>
      <c r="VAH868" s="295" t="s">
        <v>71</v>
      </c>
      <c r="VAI868" s="295" t="s">
        <v>71</v>
      </c>
      <c r="VAJ868" s="295" t="s">
        <v>71</v>
      </c>
      <c r="VAK868" s="295" t="s">
        <v>71</v>
      </c>
      <c r="VAL868" s="295" t="s">
        <v>71</v>
      </c>
      <c r="VAM868" s="295" t="s">
        <v>71</v>
      </c>
      <c r="VAN868" s="295" t="s">
        <v>71</v>
      </c>
      <c r="VAO868" s="295" t="s">
        <v>71</v>
      </c>
      <c r="VAP868" s="295" t="s">
        <v>71</v>
      </c>
      <c r="VAQ868" s="295" t="s">
        <v>71</v>
      </c>
      <c r="VAR868" s="295" t="s">
        <v>71</v>
      </c>
      <c r="VAS868" s="295" t="s">
        <v>71</v>
      </c>
      <c r="VAT868" s="295" t="s">
        <v>71</v>
      </c>
      <c r="VAU868" s="295" t="s">
        <v>71</v>
      </c>
      <c r="VAV868" s="295" t="s">
        <v>71</v>
      </c>
      <c r="VAW868" s="295" t="s">
        <v>71</v>
      </c>
      <c r="VAX868" s="295" t="s">
        <v>71</v>
      </c>
      <c r="VAY868" s="295" t="s">
        <v>71</v>
      </c>
      <c r="VAZ868" s="295" t="s">
        <v>71</v>
      </c>
      <c r="VBA868" s="295" t="s">
        <v>71</v>
      </c>
      <c r="VBB868" s="295" t="s">
        <v>71</v>
      </c>
      <c r="VBC868" s="295" t="s">
        <v>71</v>
      </c>
      <c r="VBD868" s="295" t="s">
        <v>71</v>
      </c>
      <c r="VBE868" s="295" t="s">
        <v>71</v>
      </c>
      <c r="VBF868" s="295" t="s">
        <v>71</v>
      </c>
      <c r="VBG868" s="295" t="s">
        <v>71</v>
      </c>
      <c r="VBH868" s="295" t="s">
        <v>71</v>
      </c>
      <c r="VBI868" s="295" t="s">
        <v>71</v>
      </c>
      <c r="VBJ868" s="295" t="s">
        <v>71</v>
      </c>
      <c r="VBK868" s="295" t="s">
        <v>71</v>
      </c>
      <c r="VBL868" s="295" t="s">
        <v>71</v>
      </c>
      <c r="VBM868" s="295" t="s">
        <v>71</v>
      </c>
      <c r="VBN868" s="295" t="s">
        <v>71</v>
      </c>
      <c r="VBO868" s="295" t="s">
        <v>71</v>
      </c>
      <c r="VBP868" s="295" t="s">
        <v>71</v>
      </c>
      <c r="VBQ868" s="295" t="s">
        <v>71</v>
      </c>
      <c r="VBR868" s="295" t="s">
        <v>71</v>
      </c>
      <c r="VBS868" s="295" t="s">
        <v>71</v>
      </c>
      <c r="VBT868" s="295" t="s">
        <v>71</v>
      </c>
      <c r="VBU868" s="295" t="s">
        <v>71</v>
      </c>
      <c r="VBV868" s="295" t="s">
        <v>71</v>
      </c>
      <c r="VBW868" s="295" t="s">
        <v>71</v>
      </c>
      <c r="VBX868" s="295" t="s">
        <v>71</v>
      </c>
      <c r="VBY868" s="295" t="s">
        <v>71</v>
      </c>
      <c r="VBZ868" s="295" t="s">
        <v>71</v>
      </c>
      <c r="VCA868" s="295" t="s">
        <v>71</v>
      </c>
      <c r="VCB868" s="295" t="s">
        <v>71</v>
      </c>
      <c r="VCC868" s="295" t="s">
        <v>71</v>
      </c>
      <c r="VCD868" s="295" t="s">
        <v>71</v>
      </c>
      <c r="VCE868" s="295" t="s">
        <v>71</v>
      </c>
      <c r="VCF868" s="295" t="s">
        <v>71</v>
      </c>
      <c r="VCG868" s="295" t="s">
        <v>71</v>
      </c>
      <c r="VCH868" s="295" t="s">
        <v>71</v>
      </c>
      <c r="VCI868" s="295" t="s">
        <v>71</v>
      </c>
      <c r="VCJ868" s="295" t="s">
        <v>71</v>
      </c>
      <c r="VCK868" s="295" t="s">
        <v>71</v>
      </c>
      <c r="VCL868" s="295" t="s">
        <v>71</v>
      </c>
      <c r="VCM868" s="295" t="s">
        <v>71</v>
      </c>
      <c r="VCN868" s="295" t="s">
        <v>71</v>
      </c>
      <c r="VCO868" s="295" t="s">
        <v>71</v>
      </c>
      <c r="VCP868" s="295" t="s">
        <v>71</v>
      </c>
      <c r="VCQ868" s="295" t="s">
        <v>71</v>
      </c>
      <c r="VCR868" s="295" t="s">
        <v>71</v>
      </c>
      <c r="VCS868" s="295" t="s">
        <v>71</v>
      </c>
      <c r="VCT868" s="295" t="s">
        <v>71</v>
      </c>
      <c r="VCU868" s="295" t="s">
        <v>71</v>
      </c>
      <c r="VCV868" s="295" t="s">
        <v>71</v>
      </c>
      <c r="VCW868" s="295" t="s">
        <v>71</v>
      </c>
      <c r="VCX868" s="295" t="s">
        <v>71</v>
      </c>
      <c r="VCY868" s="295" t="s">
        <v>71</v>
      </c>
      <c r="VCZ868" s="295" t="s">
        <v>71</v>
      </c>
      <c r="VDA868" s="295" t="s">
        <v>71</v>
      </c>
      <c r="VDB868" s="295" t="s">
        <v>71</v>
      </c>
      <c r="VDC868" s="295" t="s">
        <v>71</v>
      </c>
      <c r="VDD868" s="295" t="s">
        <v>71</v>
      </c>
      <c r="VDE868" s="295" t="s">
        <v>71</v>
      </c>
      <c r="VDF868" s="295" t="s">
        <v>71</v>
      </c>
      <c r="VDG868" s="295" t="s">
        <v>71</v>
      </c>
      <c r="VDH868" s="295" t="s">
        <v>71</v>
      </c>
      <c r="VDI868" s="295" t="s">
        <v>71</v>
      </c>
      <c r="VDJ868" s="295" t="s">
        <v>71</v>
      </c>
      <c r="VDK868" s="295" t="s">
        <v>71</v>
      </c>
      <c r="VDL868" s="295" t="s">
        <v>71</v>
      </c>
      <c r="VDM868" s="295" t="s">
        <v>71</v>
      </c>
      <c r="VDN868" s="295" t="s">
        <v>71</v>
      </c>
      <c r="VDO868" s="295" t="s">
        <v>71</v>
      </c>
      <c r="VDP868" s="295" t="s">
        <v>71</v>
      </c>
      <c r="VDQ868" s="295" t="s">
        <v>71</v>
      </c>
      <c r="VDR868" s="295" t="s">
        <v>71</v>
      </c>
      <c r="VDS868" s="295" t="s">
        <v>71</v>
      </c>
      <c r="VDT868" s="295" t="s">
        <v>71</v>
      </c>
      <c r="VDU868" s="295" t="s">
        <v>71</v>
      </c>
      <c r="VDV868" s="295" t="s">
        <v>71</v>
      </c>
      <c r="VDW868" s="295" t="s">
        <v>71</v>
      </c>
      <c r="VDX868" s="295" t="s">
        <v>71</v>
      </c>
      <c r="VDY868" s="295" t="s">
        <v>71</v>
      </c>
      <c r="VDZ868" s="295" t="s">
        <v>71</v>
      </c>
      <c r="VEA868" s="295" t="s">
        <v>71</v>
      </c>
      <c r="VEB868" s="295" t="s">
        <v>71</v>
      </c>
      <c r="VEC868" s="295" t="s">
        <v>71</v>
      </c>
      <c r="VED868" s="295" t="s">
        <v>71</v>
      </c>
      <c r="VEE868" s="295" t="s">
        <v>71</v>
      </c>
      <c r="VEF868" s="295" t="s">
        <v>71</v>
      </c>
      <c r="VEG868" s="295" t="s">
        <v>71</v>
      </c>
      <c r="VEH868" s="295" t="s">
        <v>71</v>
      </c>
      <c r="VEI868" s="295" t="s">
        <v>71</v>
      </c>
      <c r="VEJ868" s="295" t="s">
        <v>71</v>
      </c>
      <c r="VEK868" s="295" t="s">
        <v>71</v>
      </c>
      <c r="VEL868" s="295" t="s">
        <v>71</v>
      </c>
      <c r="VEM868" s="295" t="s">
        <v>71</v>
      </c>
      <c r="VEN868" s="295" t="s">
        <v>71</v>
      </c>
      <c r="VEO868" s="295" t="s">
        <v>71</v>
      </c>
      <c r="VEP868" s="295" t="s">
        <v>71</v>
      </c>
      <c r="VEQ868" s="295" t="s">
        <v>71</v>
      </c>
      <c r="VER868" s="295" t="s">
        <v>71</v>
      </c>
      <c r="VES868" s="295" t="s">
        <v>71</v>
      </c>
      <c r="VET868" s="295" t="s">
        <v>71</v>
      </c>
      <c r="VEU868" s="295" t="s">
        <v>71</v>
      </c>
      <c r="VEV868" s="295" t="s">
        <v>71</v>
      </c>
      <c r="VEW868" s="295" t="s">
        <v>71</v>
      </c>
      <c r="VEX868" s="295" t="s">
        <v>71</v>
      </c>
      <c r="VEY868" s="295" t="s">
        <v>71</v>
      </c>
      <c r="VEZ868" s="295" t="s">
        <v>71</v>
      </c>
      <c r="VFA868" s="295" t="s">
        <v>71</v>
      </c>
      <c r="VFB868" s="295" t="s">
        <v>71</v>
      </c>
      <c r="VFC868" s="295" t="s">
        <v>71</v>
      </c>
      <c r="VFD868" s="295" t="s">
        <v>71</v>
      </c>
      <c r="VFE868" s="295" t="s">
        <v>71</v>
      </c>
      <c r="VFF868" s="295" t="s">
        <v>71</v>
      </c>
      <c r="VFG868" s="295" t="s">
        <v>71</v>
      </c>
      <c r="VFH868" s="295" t="s">
        <v>71</v>
      </c>
      <c r="VFI868" s="295" t="s">
        <v>71</v>
      </c>
      <c r="VFJ868" s="295" t="s">
        <v>71</v>
      </c>
      <c r="VFK868" s="295" t="s">
        <v>71</v>
      </c>
      <c r="VFL868" s="295" t="s">
        <v>71</v>
      </c>
      <c r="VFM868" s="295" t="s">
        <v>71</v>
      </c>
      <c r="VFN868" s="295" t="s">
        <v>71</v>
      </c>
      <c r="VFO868" s="295" t="s">
        <v>71</v>
      </c>
      <c r="VFP868" s="295" t="s">
        <v>71</v>
      </c>
      <c r="VFQ868" s="295" t="s">
        <v>71</v>
      </c>
      <c r="VFR868" s="295" t="s">
        <v>71</v>
      </c>
      <c r="VFS868" s="295" t="s">
        <v>71</v>
      </c>
      <c r="VFT868" s="295" t="s">
        <v>71</v>
      </c>
      <c r="VFU868" s="295" t="s">
        <v>71</v>
      </c>
      <c r="VFV868" s="295" t="s">
        <v>71</v>
      </c>
      <c r="VFW868" s="295" t="s">
        <v>71</v>
      </c>
      <c r="VFX868" s="295" t="s">
        <v>71</v>
      </c>
      <c r="VFY868" s="295" t="s">
        <v>71</v>
      </c>
      <c r="VFZ868" s="295" t="s">
        <v>71</v>
      </c>
      <c r="VGA868" s="295" t="s">
        <v>71</v>
      </c>
      <c r="VGB868" s="295" t="s">
        <v>71</v>
      </c>
      <c r="VGC868" s="295" t="s">
        <v>71</v>
      </c>
      <c r="VGD868" s="295" t="s">
        <v>71</v>
      </c>
      <c r="VGE868" s="295" t="s">
        <v>71</v>
      </c>
      <c r="VGF868" s="295" t="s">
        <v>71</v>
      </c>
      <c r="VGG868" s="295" t="s">
        <v>71</v>
      </c>
      <c r="VGH868" s="295" t="s">
        <v>71</v>
      </c>
      <c r="VGI868" s="295" t="s">
        <v>71</v>
      </c>
      <c r="VGJ868" s="295" t="s">
        <v>71</v>
      </c>
      <c r="VGK868" s="295" t="s">
        <v>71</v>
      </c>
      <c r="VGL868" s="295" t="s">
        <v>71</v>
      </c>
      <c r="VGM868" s="295" t="s">
        <v>71</v>
      </c>
      <c r="VGN868" s="295" t="s">
        <v>71</v>
      </c>
      <c r="VGO868" s="295" t="s">
        <v>71</v>
      </c>
      <c r="VGP868" s="295" t="s">
        <v>71</v>
      </c>
      <c r="VGQ868" s="295" t="s">
        <v>71</v>
      </c>
      <c r="VGR868" s="295" t="s">
        <v>71</v>
      </c>
      <c r="VGS868" s="295" t="s">
        <v>71</v>
      </c>
      <c r="VGT868" s="295" t="s">
        <v>71</v>
      </c>
      <c r="VGU868" s="295" t="s">
        <v>71</v>
      </c>
      <c r="VGV868" s="295" t="s">
        <v>71</v>
      </c>
      <c r="VGW868" s="295" t="s">
        <v>71</v>
      </c>
      <c r="VGX868" s="295" t="s">
        <v>71</v>
      </c>
      <c r="VGY868" s="295" t="s">
        <v>71</v>
      </c>
      <c r="VGZ868" s="295" t="s">
        <v>71</v>
      </c>
      <c r="VHA868" s="295" t="s">
        <v>71</v>
      </c>
      <c r="VHB868" s="295" t="s">
        <v>71</v>
      </c>
      <c r="VHC868" s="295" t="s">
        <v>71</v>
      </c>
      <c r="VHD868" s="295" t="s">
        <v>71</v>
      </c>
      <c r="VHE868" s="295" t="s">
        <v>71</v>
      </c>
      <c r="VHF868" s="295" t="s">
        <v>71</v>
      </c>
      <c r="VHG868" s="295" t="s">
        <v>71</v>
      </c>
      <c r="VHH868" s="295" t="s">
        <v>71</v>
      </c>
      <c r="VHI868" s="295" t="s">
        <v>71</v>
      </c>
      <c r="VHJ868" s="295" t="s">
        <v>71</v>
      </c>
      <c r="VHK868" s="295" t="s">
        <v>71</v>
      </c>
      <c r="VHL868" s="295" t="s">
        <v>71</v>
      </c>
      <c r="VHM868" s="295" t="s">
        <v>71</v>
      </c>
      <c r="VHN868" s="295" t="s">
        <v>71</v>
      </c>
      <c r="VHO868" s="295" t="s">
        <v>71</v>
      </c>
      <c r="VHP868" s="295" t="s">
        <v>71</v>
      </c>
      <c r="VHQ868" s="295" t="s">
        <v>71</v>
      </c>
      <c r="VHR868" s="295" t="s">
        <v>71</v>
      </c>
      <c r="VHS868" s="295" t="s">
        <v>71</v>
      </c>
      <c r="VHT868" s="295" t="s">
        <v>71</v>
      </c>
      <c r="VHU868" s="295" t="s">
        <v>71</v>
      </c>
      <c r="VHV868" s="295" t="s">
        <v>71</v>
      </c>
      <c r="VHW868" s="295" t="s">
        <v>71</v>
      </c>
      <c r="VHX868" s="295" t="s">
        <v>71</v>
      </c>
      <c r="VHY868" s="295" t="s">
        <v>71</v>
      </c>
      <c r="VHZ868" s="295" t="s">
        <v>71</v>
      </c>
      <c r="VIA868" s="295" t="s">
        <v>71</v>
      </c>
      <c r="VIB868" s="295" t="s">
        <v>71</v>
      </c>
      <c r="VIC868" s="295" t="s">
        <v>71</v>
      </c>
      <c r="VID868" s="295" t="s">
        <v>71</v>
      </c>
      <c r="VIE868" s="295" t="s">
        <v>71</v>
      </c>
      <c r="VIF868" s="295" t="s">
        <v>71</v>
      </c>
      <c r="VIG868" s="295" t="s">
        <v>71</v>
      </c>
      <c r="VIH868" s="295" t="s">
        <v>71</v>
      </c>
      <c r="VII868" s="295" t="s">
        <v>71</v>
      </c>
      <c r="VIJ868" s="295" t="s">
        <v>71</v>
      </c>
      <c r="VIK868" s="295" t="s">
        <v>71</v>
      </c>
      <c r="VIL868" s="295" t="s">
        <v>71</v>
      </c>
      <c r="VIM868" s="295" t="s">
        <v>71</v>
      </c>
      <c r="VIN868" s="295" t="s">
        <v>71</v>
      </c>
      <c r="VIO868" s="295" t="s">
        <v>71</v>
      </c>
      <c r="VIP868" s="295" t="s">
        <v>71</v>
      </c>
      <c r="VIQ868" s="295" t="s">
        <v>71</v>
      </c>
      <c r="VIR868" s="295" t="s">
        <v>71</v>
      </c>
      <c r="VIS868" s="295" t="s">
        <v>71</v>
      </c>
      <c r="VIT868" s="295" t="s">
        <v>71</v>
      </c>
      <c r="VIU868" s="295" t="s">
        <v>71</v>
      </c>
      <c r="VIV868" s="295" t="s">
        <v>71</v>
      </c>
      <c r="VIW868" s="295" t="s">
        <v>71</v>
      </c>
      <c r="VIX868" s="295" t="s">
        <v>71</v>
      </c>
      <c r="VIY868" s="295" t="s">
        <v>71</v>
      </c>
      <c r="VIZ868" s="295" t="s">
        <v>71</v>
      </c>
      <c r="VJA868" s="295" t="s">
        <v>71</v>
      </c>
      <c r="VJB868" s="295" t="s">
        <v>71</v>
      </c>
      <c r="VJC868" s="295" t="s">
        <v>71</v>
      </c>
      <c r="VJD868" s="295" t="s">
        <v>71</v>
      </c>
      <c r="VJE868" s="295" t="s">
        <v>71</v>
      </c>
      <c r="VJF868" s="295" t="s">
        <v>71</v>
      </c>
      <c r="VJG868" s="295" t="s">
        <v>71</v>
      </c>
      <c r="VJH868" s="295" t="s">
        <v>71</v>
      </c>
      <c r="VJI868" s="295" t="s">
        <v>71</v>
      </c>
      <c r="VJJ868" s="295" t="s">
        <v>71</v>
      </c>
      <c r="VJK868" s="295" t="s">
        <v>71</v>
      </c>
      <c r="VJL868" s="295" t="s">
        <v>71</v>
      </c>
      <c r="VJM868" s="295" t="s">
        <v>71</v>
      </c>
      <c r="VJN868" s="295" t="s">
        <v>71</v>
      </c>
      <c r="VJO868" s="295" t="s">
        <v>71</v>
      </c>
      <c r="VJP868" s="295" t="s">
        <v>71</v>
      </c>
      <c r="VJQ868" s="295" t="s">
        <v>71</v>
      </c>
      <c r="VJR868" s="295" t="s">
        <v>71</v>
      </c>
      <c r="VJS868" s="295" t="s">
        <v>71</v>
      </c>
      <c r="VJT868" s="295" t="s">
        <v>71</v>
      </c>
      <c r="VJU868" s="295" t="s">
        <v>71</v>
      </c>
      <c r="VJV868" s="295" t="s">
        <v>71</v>
      </c>
      <c r="VJW868" s="295" t="s">
        <v>71</v>
      </c>
      <c r="VJX868" s="295" t="s">
        <v>71</v>
      </c>
      <c r="VJY868" s="295" t="s">
        <v>71</v>
      </c>
      <c r="VJZ868" s="295" t="s">
        <v>71</v>
      </c>
      <c r="VKA868" s="295" t="s">
        <v>71</v>
      </c>
      <c r="VKB868" s="295" t="s">
        <v>71</v>
      </c>
      <c r="VKC868" s="295" t="s">
        <v>71</v>
      </c>
      <c r="VKD868" s="295" t="s">
        <v>71</v>
      </c>
      <c r="VKE868" s="295" t="s">
        <v>71</v>
      </c>
      <c r="VKF868" s="295" t="s">
        <v>71</v>
      </c>
      <c r="VKG868" s="295" t="s">
        <v>71</v>
      </c>
      <c r="VKH868" s="295" t="s">
        <v>71</v>
      </c>
      <c r="VKI868" s="295" t="s">
        <v>71</v>
      </c>
      <c r="VKJ868" s="295" t="s">
        <v>71</v>
      </c>
      <c r="VKK868" s="295" t="s">
        <v>71</v>
      </c>
      <c r="VKL868" s="295" t="s">
        <v>71</v>
      </c>
      <c r="VKM868" s="295" t="s">
        <v>71</v>
      </c>
      <c r="VKN868" s="295" t="s">
        <v>71</v>
      </c>
      <c r="VKO868" s="295" t="s">
        <v>71</v>
      </c>
      <c r="VKP868" s="295" t="s">
        <v>71</v>
      </c>
      <c r="VKQ868" s="295" t="s">
        <v>71</v>
      </c>
      <c r="VKR868" s="295" t="s">
        <v>71</v>
      </c>
      <c r="VKS868" s="295" t="s">
        <v>71</v>
      </c>
      <c r="VKT868" s="295" t="s">
        <v>71</v>
      </c>
      <c r="VKU868" s="295" t="s">
        <v>71</v>
      </c>
      <c r="VKV868" s="295" t="s">
        <v>71</v>
      </c>
      <c r="VKW868" s="295" t="s">
        <v>71</v>
      </c>
      <c r="VKX868" s="295" t="s">
        <v>71</v>
      </c>
      <c r="VKY868" s="295" t="s">
        <v>71</v>
      </c>
      <c r="VKZ868" s="295" t="s">
        <v>71</v>
      </c>
      <c r="VLA868" s="295" t="s">
        <v>71</v>
      </c>
      <c r="VLB868" s="295" t="s">
        <v>71</v>
      </c>
      <c r="VLC868" s="295" t="s">
        <v>71</v>
      </c>
      <c r="VLD868" s="295" t="s">
        <v>71</v>
      </c>
      <c r="VLE868" s="295" t="s">
        <v>71</v>
      </c>
      <c r="VLF868" s="295" t="s">
        <v>71</v>
      </c>
      <c r="VLG868" s="295" t="s">
        <v>71</v>
      </c>
      <c r="VLH868" s="295" t="s">
        <v>71</v>
      </c>
      <c r="VLI868" s="295" t="s">
        <v>71</v>
      </c>
      <c r="VLJ868" s="295" t="s">
        <v>71</v>
      </c>
      <c r="VLK868" s="295" t="s">
        <v>71</v>
      </c>
      <c r="VLL868" s="295" t="s">
        <v>71</v>
      </c>
      <c r="VLM868" s="295" t="s">
        <v>71</v>
      </c>
      <c r="VLN868" s="295" t="s">
        <v>71</v>
      </c>
      <c r="VLO868" s="295" t="s">
        <v>71</v>
      </c>
      <c r="VLP868" s="295" t="s">
        <v>71</v>
      </c>
      <c r="VLQ868" s="295" t="s">
        <v>71</v>
      </c>
      <c r="VLR868" s="295" t="s">
        <v>71</v>
      </c>
      <c r="VLS868" s="295" t="s">
        <v>71</v>
      </c>
      <c r="VLT868" s="295" t="s">
        <v>71</v>
      </c>
      <c r="VLU868" s="295" t="s">
        <v>71</v>
      </c>
      <c r="VLV868" s="295" t="s">
        <v>71</v>
      </c>
      <c r="VLW868" s="295" t="s">
        <v>71</v>
      </c>
      <c r="VLX868" s="295" t="s">
        <v>71</v>
      </c>
      <c r="VLY868" s="295" t="s">
        <v>71</v>
      </c>
      <c r="VLZ868" s="295" t="s">
        <v>71</v>
      </c>
      <c r="VMA868" s="295" t="s">
        <v>71</v>
      </c>
      <c r="VMB868" s="295" t="s">
        <v>71</v>
      </c>
      <c r="VMC868" s="295" t="s">
        <v>71</v>
      </c>
      <c r="VMD868" s="295" t="s">
        <v>71</v>
      </c>
      <c r="VME868" s="295" t="s">
        <v>71</v>
      </c>
      <c r="VMF868" s="295" t="s">
        <v>71</v>
      </c>
      <c r="VMG868" s="295" t="s">
        <v>71</v>
      </c>
      <c r="VMH868" s="295" t="s">
        <v>71</v>
      </c>
      <c r="VMI868" s="295" t="s">
        <v>71</v>
      </c>
      <c r="VMJ868" s="295" t="s">
        <v>71</v>
      </c>
      <c r="VMK868" s="295" t="s">
        <v>71</v>
      </c>
      <c r="VML868" s="295" t="s">
        <v>71</v>
      </c>
      <c r="VMM868" s="295" t="s">
        <v>71</v>
      </c>
      <c r="VMN868" s="295" t="s">
        <v>71</v>
      </c>
      <c r="VMO868" s="295" t="s">
        <v>71</v>
      </c>
      <c r="VMP868" s="295" t="s">
        <v>71</v>
      </c>
      <c r="VMQ868" s="295" t="s">
        <v>71</v>
      </c>
      <c r="VMR868" s="295" t="s">
        <v>71</v>
      </c>
      <c r="VMS868" s="295" t="s">
        <v>71</v>
      </c>
      <c r="VMT868" s="295" t="s">
        <v>71</v>
      </c>
      <c r="VMU868" s="295" t="s">
        <v>71</v>
      </c>
      <c r="VMV868" s="295" t="s">
        <v>71</v>
      </c>
      <c r="VMW868" s="295" t="s">
        <v>71</v>
      </c>
      <c r="VMX868" s="295" t="s">
        <v>71</v>
      </c>
      <c r="VMY868" s="295" t="s">
        <v>71</v>
      </c>
      <c r="VMZ868" s="295" t="s">
        <v>71</v>
      </c>
      <c r="VNA868" s="295" t="s">
        <v>71</v>
      </c>
      <c r="VNB868" s="295" t="s">
        <v>71</v>
      </c>
      <c r="VNC868" s="295" t="s">
        <v>71</v>
      </c>
      <c r="VND868" s="295" t="s">
        <v>71</v>
      </c>
      <c r="VNE868" s="295" t="s">
        <v>71</v>
      </c>
      <c r="VNF868" s="295" t="s">
        <v>71</v>
      </c>
      <c r="VNG868" s="295" t="s">
        <v>71</v>
      </c>
      <c r="VNH868" s="295" t="s">
        <v>71</v>
      </c>
      <c r="VNI868" s="295" t="s">
        <v>71</v>
      </c>
      <c r="VNJ868" s="295" t="s">
        <v>71</v>
      </c>
      <c r="VNK868" s="295" t="s">
        <v>71</v>
      </c>
      <c r="VNL868" s="295" t="s">
        <v>71</v>
      </c>
      <c r="VNM868" s="295" t="s">
        <v>71</v>
      </c>
      <c r="VNN868" s="295" t="s">
        <v>71</v>
      </c>
      <c r="VNO868" s="295" t="s">
        <v>71</v>
      </c>
      <c r="VNP868" s="295" t="s">
        <v>71</v>
      </c>
      <c r="VNQ868" s="295" t="s">
        <v>71</v>
      </c>
      <c r="VNR868" s="295" t="s">
        <v>71</v>
      </c>
      <c r="VNS868" s="295" t="s">
        <v>71</v>
      </c>
      <c r="VNT868" s="295" t="s">
        <v>71</v>
      </c>
      <c r="VNU868" s="295" t="s">
        <v>71</v>
      </c>
      <c r="VNV868" s="295" t="s">
        <v>71</v>
      </c>
      <c r="VNW868" s="295" t="s">
        <v>71</v>
      </c>
      <c r="VNX868" s="295" t="s">
        <v>71</v>
      </c>
      <c r="VNY868" s="295" t="s">
        <v>71</v>
      </c>
      <c r="VNZ868" s="295" t="s">
        <v>71</v>
      </c>
      <c r="VOA868" s="295" t="s">
        <v>71</v>
      </c>
      <c r="VOB868" s="295" t="s">
        <v>71</v>
      </c>
      <c r="VOC868" s="295" t="s">
        <v>71</v>
      </c>
      <c r="VOD868" s="295" t="s">
        <v>71</v>
      </c>
      <c r="VOE868" s="295" t="s">
        <v>71</v>
      </c>
      <c r="VOF868" s="295" t="s">
        <v>71</v>
      </c>
      <c r="VOG868" s="295" t="s">
        <v>71</v>
      </c>
      <c r="VOH868" s="295" t="s">
        <v>71</v>
      </c>
      <c r="VOI868" s="295" t="s">
        <v>71</v>
      </c>
      <c r="VOJ868" s="295" t="s">
        <v>71</v>
      </c>
      <c r="VOK868" s="295" t="s">
        <v>71</v>
      </c>
      <c r="VOL868" s="295" t="s">
        <v>71</v>
      </c>
      <c r="VOM868" s="295" t="s">
        <v>71</v>
      </c>
      <c r="VON868" s="295" t="s">
        <v>71</v>
      </c>
      <c r="VOO868" s="295" t="s">
        <v>71</v>
      </c>
      <c r="VOP868" s="295" t="s">
        <v>71</v>
      </c>
      <c r="VOQ868" s="295" t="s">
        <v>71</v>
      </c>
      <c r="VOR868" s="295" t="s">
        <v>71</v>
      </c>
      <c r="VOS868" s="295" t="s">
        <v>71</v>
      </c>
      <c r="VOT868" s="295" t="s">
        <v>71</v>
      </c>
      <c r="VOU868" s="295" t="s">
        <v>71</v>
      </c>
      <c r="VOV868" s="295" t="s">
        <v>71</v>
      </c>
      <c r="VOW868" s="295" t="s">
        <v>71</v>
      </c>
      <c r="VOX868" s="295" t="s">
        <v>71</v>
      </c>
      <c r="VOY868" s="295" t="s">
        <v>71</v>
      </c>
      <c r="VOZ868" s="295" t="s">
        <v>71</v>
      </c>
      <c r="VPA868" s="295" t="s">
        <v>71</v>
      </c>
      <c r="VPB868" s="295" t="s">
        <v>71</v>
      </c>
      <c r="VPC868" s="295" t="s">
        <v>71</v>
      </c>
      <c r="VPD868" s="295" t="s">
        <v>71</v>
      </c>
      <c r="VPE868" s="295" t="s">
        <v>71</v>
      </c>
      <c r="VPF868" s="295" t="s">
        <v>71</v>
      </c>
      <c r="VPG868" s="295" t="s">
        <v>71</v>
      </c>
      <c r="VPH868" s="295" t="s">
        <v>71</v>
      </c>
      <c r="VPI868" s="295" t="s">
        <v>71</v>
      </c>
      <c r="VPJ868" s="295" t="s">
        <v>71</v>
      </c>
      <c r="VPK868" s="295" t="s">
        <v>71</v>
      </c>
      <c r="VPL868" s="295" t="s">
        <v>71</v>
      </c>
      <c r="VPM868" s="295" t="s">
        <v>71</v>
      </c>
      <c r="VPN868" s="295" t="s">
        <v>71</v>
      </c>
      <c r="VPO868" s="295" t="s">
        <v>71</v>
      </c>
      <c r="VPP868" s="295" t="s">
        <v>71</v>
      </c>
      <c r="VPQ868" s="295" t="s">
        <v>71</v>
      </c>
      <c r="VPR868" s="295" t="s">
        <v>71</v>
      </c>
      <c r="VPS868" s="295" t="s">
        <v>71</v>
      </c>
      <c r="VPT868" s="295" t="s">
        <v>71</v>
      </c>
      <c r="VPU868" s="295" t="s">
        <v>71</v>
      </c>
      <c r="VPV868" s="295" t="s">
        <v>71</v>
      </c>
      <c r="VPW868" s="295" t="s">
        <v>71</v>
      </c>
      <c r="VPX868" s="295" t="s">
        <v>71</v>
      </c>
      <c r="VPY868" s="295" t="s">
        <v>71</v>
      </c>
      <c r="VPZ868" s="295" t="s">
        <v>71</v>
      </c>
      <c r="VQA868" s="295" t="s">
        <v>71</v>
      </c>
      <c r="VQB868" s="295" t="s">
        <v>71</v>
      </c>
      <c r="VQC868" s="295" t="s">
        <v>71</v>
      </c>
      <c r="VQD868" s="295" t="s">
        <v>71</v>
      </c>
      <c r="VQE868" s="295" t="s">
        <v>71</v>
      </c>
      <c r="VQF868" s="295" t="s">
        <v>71</v>
      </c>
      <c r="VQG868" s="295" t="s">
        <v>71</v>
      </c>
      <c r="VQH868" s="295" t="s">
        <v>71</v>
      </c>
      <c r="VQI868" s="295" t="s">
        <v>71</v>
      </c>
      <c r="VQJ868" s="295" t="s">
        <v>71</v>
      </c>
      <c r="VQK868" s="295" t="s">
        <v>71</v>
      </c>
      <c r="VQL868" s="295" t="s">
        <v>71</v>
      </c>
      <c r="VQM868" s="295" t="s">
        <v>71</v>
      </c>
      <c r="VQN868" s="295" t="s">
        <v>71</v>
      </c>
      <c r="VQO868" s="295" t="s">
        <v>71</v>
      </c>
      <c r="VQP868" s="295" t="s">
        <v>71</v>
      </c>
      <c r="VQQ868" s="295" t="s">
        <v>71</v>
      </c>
      <c r="VQR868" s="295" t="s">
        <v>71</v>
      </c>
      <c r="VQS868" s="295" t="s">
        <v>71</v>
      </c>
      <c r="VQT868" s="295" t="s">
        <v>71</v>
      </c>
      <c r="VQU868" s="295" t="s">
        <v>71</v>
      </c>
      <c r="VQV868" s="295" t="s">
        <v>71</v>
      </c>
      <c r="VQW868" s="295" t="s">
        <v>71</v>
      </c>
      <c r="VQX868" s="295" t="s">
        <v>71</v>
      </c>
      <c r="VQY868" s="295" t="s">
        <v>71</v>
      </c>
      <c r="VQZ868" s="295" t="s">
        <v>71</v>
      </c>
      <c r="VRA868" s="295" t="s">
        <v>71</v>
      </c>
      <c r="VRB868" s="295" t="s">
        <v>71</v>
      </c>
      <c r="VRC868" s="295" t="s">
        <v>71</v>
      </c>
      <c r="VRD868" s="295" t="s">
        <v>71</v>
      </c>
      <c r="VRE868" s="295" t="s">
        <v>71</v>
      </c>
      <c r="VRF868" s="295" t="s">
        <v>71</v>
      </c>
      <c r="VRG868" s="295" t="s">
        <v>71</v>
      </c>
      <c r="VRH868" s="295" t="s">
        <v>71</v>
      </c>
      <c r="VRI868" s="295" t="s">
        <v>71</v>
      </c>
      <c r="VRJ868" s="295" t="s">
        <v>71</v>
      </c>
      <c r="VRK868" s="295" t="s">
        <v>71</v>
      </c>
      <c r="VRL868" s="295" t="s">
        <v>71</v>
      </c>
      <c r="VRM868" s="295" t="s">
        <v>71</v>
      </c>
      <c r="VRN868" s="295" t="s">
        <v>71</v>
      </c>
      <c r="VRO868" s="295" t="s">
        <v>71</v>
      </c>
      <c r="VRP868" s="295" t="s">
        <v>71</v>
      </c>
      <c r="VRQ868" s="295" t="s">
        <v>71</v>
      </c>
      <c r="VRR868" s="295" t="s">
        <v>71</v>
      </c>
      <c r="VRS868" s="295" t="s">
        <v>71</v>
      </c>
      <c r="VRT868" s="295" t="s">
        <v>71</v>
      </c>
      <c r="VRU868" s="295" t="s">
        <v>71</v>
      </c>
      <c r="VRV868" s="295" t="s">
        <v>71</v>
      </c>
      <c r="VRW868" s="295" t="s">
        <v>71</v>
      </c>
      <c r="VRX868" s="295" t="s">
        <v>71</v>
      </c>
      <c r="VRY868" s="295" t="s">
        <v>71</v>
      </c>
      <c r="VRZ868" s="295" t="s">
        <v>71</v>
      </c>
      <c r="VSA868" s="295" t="s">
        <v>71</v>
      </c>
      <c r="VSB868" s="295" t="s">
        <v>71</v>
      </c>
      <c r="VSC868" s="295" t="s">
        <v>71</v>
      </c>
      <c r="VSD868" s="295" t="s">
        <v>71</v>
      </c>
      <c r="VSE868" s="295" t="s">
        <v>71</v>
      </c>
      <c r="VSF868" s="295" t="s">
        <v>71</v>
      </c>
      <c r="VSG868" s="295" t="s">
        <v>71</v>
      </c>
      <c r="VSH868" s="295" t="s">
        <v>71</v>
      </c>
      <c r="VSI868" s="295" t="s">
        <v>71</v>
      </c>
      <c r="VSJ868" s="295" t="s">
        <v>71</v>
      </c>
      <c r="VSK868" s="295" t="s">
        <v>71</v>
      </c>
      <c r="VSL868" s="295" t="s">
        <v>71</v>
      </c>
      <c r="VSM868" s="295" t="s">
        <v>71</v>
      </c>
      <c r="VSN868" s="295" t="s">
        <v>71</v>
      </c>
      <c r="VSO868" s="295" t="s">
        <v>71</v>
      </c>
      <c r="VSP868" s="295" t="s">
        <v>71</v>
      </c>
      <c r="VSQ868" s="295" t="s">
        <v>71</v>
      </c>
      <c r="VSR868" s="295" t="s">
        <v>71</v>
      </c>
      <c r="VSS868" s="295" t="s">
        <v>71</v>
      </c>
      <c r="VST868" s="295" t="s">
        <v>71</v>
      </c>
      <c r="VSU868" s="295" t="s">
        <v>71</v>
      </c>
      <c r="VSV868" s="295" t="s">
        <v>71</v>
      </c>
      <c r="VSW868" s="295" t="s">
        <v>71</v>
      </c>
      <c r="VSX868" s="295" t="s">
        <v>71</v>
      </c>
      <c r="VSY868" s="295" t="s">
        <v>71</v>
      </c>
      <c r="VSZ868" s="295" t="s">
        <v>71</v>
      </c>
      <c r="VTA868" s="295" t="s">
        <v>71</v>
      </c>
      <c r="VTB868" s="295" t="s">
        <v>71</v>
      </c>
      <c r="VTC868" s="295" t="s">
        <v>71</v>
      </c>
      <c r="VTD868" s="295" t="s">
        <v>71</v>
      </c>
      <c r="VTE868" s="295" t="s">
        <v>71</v>
      </c>
      <c r="VTF868" s="295" t="s">
        <v>71</v>
      </c>
      <c r="VTG868" s="295" t="s">
        <v>71</v>
      </c>
      <c r="VTH868" s="295" t="s">
        <v>71</v>
      </c>
      <c r="VTI868" s="295" t="s">
        <v>71</v>
      </c>
      <c r="VTJ868" s="295" t="s">
        <v>71</v>
      </c>
      <c r="VTK868" s="295" t="s">
        <v>71</v>
      </c>
      <c r="VTL868" s="295" t="s">
        <v>71</v>
      </c>
      <c r="VTM868" s="295" t="s">
        <v>71</v>
      </c>
      <c r="VTN868" s="295" t="s">
        <v>71</v>
      </c>
      <c r="VTO868" s="295" t="s">
        <v>71</v>
      </c>
      <c r="VTP868" s="295" t="s">
        <v>71</v>
      </c>
      <c r="VTQ868" s="295" t="s">
        <v>71</v>
      </c>
      <c r="VTR868" s="295" t="s">
        <v>71</v>
      </c>
      <c r="VTS868" s="295" t="s">
        <v>71</v>
      </c>
      <c r="VTT868" s="295" t="s">
        <v>71</v>
      </c>
      <c r="VTU868" s="295" t="s">
        <v>71</v>
      </c>
      <c r="VTV868" s="295" t="s">
        <v>71</v>
      </c>
      <c r="VTW868" s="295" t="s">
        <v>71</v>
      </c>
      <c r="VTX868" s="295" t="s">
        <v>71</v>
      </c>
      <c r="VTY868" s="295" t="s">
        <v>71</v>
      </c>
      <c r="VTZ868" s="295" t="s">
        <v>71</v>
      </c>
      <c r="VUA868" s="295" t="s">
        <v>71</v>
      </c>
      <c r="VUB868" s="295" t="s">
        <v>71</v>
      </c>
      <c r="VUC868" s="295" t="s">
        <v>71</v>
      </c>
      <c r="VUD868" s="295" t="s">
        <v>71</v>
      </c>
      <c r="VUE868" s="295" t="s">
        <v>71</v>
      </c>
      <c r="VUF868" s="295" t="s">
        <v>71</v>
      </c>
      <c r="VUG868" s="295" t="s">
        <v>71</v>
      </c>
      <c r="VUH868" s="295" t="s">
        <v>71</v>
      </c>
      <c r="VUI868" s="295" t="s">
        <v>71</v>
      </c>
      <c r="VUJ868" s="295" t="s">
        <v>71</v>
      </c>
      <c r="VUK868" s="295" t="s">
        <v>71</v>
      </c>
      <c r="VUL868" s="295" t="s">
        <v>71</v>
      </c>
      <c r="VUM868" s="295" t="s">
        <v>71</v>
      </c>
      <c r="VUN868" s="295" t="s">
        <v>71</v>
      </c>
      <c r="VUO868" s="295" t="s">
        <v>71</v>
      </c>
      <c r="VUP868" s="295" t="s">
        <v>71</v>
      </c>
      <c r="VUQ868" s="295" t="s">
        <v>71</v>
      </c>
      <c r="VUR868" s="295" t="s">
        <v>71</v>
      </c>
      <c r="VUS868" s="295" t="s">
        <v>71</v>
      </c>
      <c r="VUT868" s="295" t="s">
        <v>71</v>
      </c>
      <c r="VUU868" s="295" t="s">
        <v>71</v>
      </c>
      <c r="VUV868" s="295" t="s">
        <v>71</v>
      </c>
      <c r="VUW868" s="295" t="s">
        <v>71</v>
      </c>
      <c r="VUX868" s="295" t="s">
        <v>71</v>
      </c>
      <c r="VUY868" s="295" t="s">
        <v>71</v>
      </c>
      <c r="VUZ868" s="295" t="s">
        <v>71</v>
      </c>
      <c r="VVA868" s="295" t="s">
        <v>71</v>
      </c>
      <c r="VVB868" s="295" t="s">
        <v>71</v>
      </c>
      <c r="VVC868" s="295" t="s">
        <v>71</v>
      </c>
      <c r="VVD868" s="295" t="s">
        <v>71</v>
      </c>
      <c r="VVE868" s="295" t="s">
        <v>71</v>
      </c>
      <c r="VVF868" s="295" t="s">
        <v>71</v>
      </c>
      <c r="VVG868" s="295" t="s">
        <v>71</v>
      </c>
      <c r="VVH868" s="295" t="s">
        <v>71</v>
      </c>
      <c r="VVI868" s="295" t="s">
        <v>71</v>
      </c>
      <c r="VVJ868" s="295" t="s">
        <v>71</v>
      </c>
      <c r="VVK868" s="295" t="s">
        <v>71</v>
      </c>
      <c r="VVL868" s="295" t="s">
        <v>71</v>
      </c>
      <c r="VVM868" s="295" t="s">
        <v>71</v>
      </c>
      <c r="VVN868" s="295" t="s">
        <v>71</v>
      </c>
      <c r="VVO868" s="295" t="s">
        <v>71</v>
      </c>
      <c r="VVP868" s="295" t="s">
        <v>71</v>
      </c>
      <c r="VVQ868" s="295" t="s">
        <v>71</v>
      </c>
      <c r="VVR868" s="295" t="s">
        <v>71</v>
      </c>
      <c r="VVS868" s="295" t="s">
        <v>71</v>
      </c>
      <c r="VVT868" s="295" t="s">
        <v>71</v>
      </c>
      <c r="VVU868" s="295" t="s">
        <v>71</v>
      </c>
      <c r="VVV868" s="295" t="s">
        <v>71</v>
      </c>
      <c r="VVW868" s="295" t="s">
        <v>71</v>
      </c>
      <c r="VVX868" s="295" t="s">
        <v>71</v>
      </c>
      <c r="VVY868" s="295" t="s">
        <v>71</v>
      </c>
      <c r="VVZ868" s="295" t="s">
        <v>71</v>
      </c>
      <c r="VWA868" s="295" t="s">
        <v>71</v>
      </c>
      <c r="VWB868" s="295" t="s">
        <v>71</v>
      </c>
      <c r="VWC868" s="295" t="s">
        <v>71</v>
      </c>
      <c r="VWD868" s="295" t="s">
        <v>71</v>
      </c>
      <c r="VWE868" s="295" t="s">
        <v>71</v>
      </c>
      <c r="VWF868" s="295" t="s">
        <v>71</v>
      </c>
      <c r="VWG868" s="295" t="s">
        <v>71</v>
      </c>
      <c r="VWH868" s="295" t="s">
        <v>71</v>
      </c>
      <c r="VWI868" s="295" t="s">
        <v>71</v>
      </c>
      <c r="VWJ868" s="295" t="s">
        <v>71</v>
      </c>
      <c r="VWK868" s="295" t="s">
        <v>71</v>
      </c>
      <c r="VWL868" s="295" t="s">
        <v>71</v>
      </c>
      <c r="VWM868" s="295" t="s">
        <v>71</v>
      </c>
      <c r="VWN868" s="295" t="s">
        <v>71</v>
      </c>
      <c r="VWO868" s="295" t="s">
        <v>71</v>
      </c>
      <c r="VWP868" s="295" t="s">
        <v>71</v>
      </c>
      <c r="VWQ868" s="295" t="s">
        <v>71</v>
      </c>
      <c r="VWR868" s="295" t="s">
        <v>71</v>
      </c>
      <c r="VWS868" s="295" t="s">
        <v>71</v>
      </c>
      <c r="VWT868" s="295" t="s">
        <v>71</v>
      </c>
      <c r="VWU868" s="295" t="s">
        <v>71</v>
      </c>
      <c r="VWV868" s="295" t="s">
        <v>71</v>
      </c>
      <c r="VWW868" s="295" t="s">
        <v>71</v>
      </c>
      <c r="VWX868" s="295" t="s">
        <v>71</v>
      </c>
      <c r="VWY868" s="295" t="s">
        <v>71</v>
      </c>
      <c r="VWZ868" s="295" t="s">
        <v>71</v>
      </c>
      <c r="VXA868" s="295" t="s">
        <v>71</v>
      </c>
      <c r="VXB868" s="295" t="s">
        <v>71</v>
      </c>
      <c r="VXC868" s="295" t="s">
        <v>71</v>
      </c>
      <c r="VXD868" s="295" t="s">
        <v>71</v>
      </c>
      <c r="VXE868" s="295" t="s">
        <v>71</v>
      </c>
      <c r="VXF868" s="295" t="s">
        <v>71</v>
      </c>
      <c r="VXG868" s="295" t="s">
        <v>71</v>
      </c>
      <c r="VXH868" s="295" t="s">
        <v>71</v>
      </c>
      <c r="VXI868" s="295" t="s">
        <v>71</v>
      </c>
      <c r="VXJ868" s="295" t="s">
        <v>71</v>
      </c>
      <c r="VXK868" s="295" t="s">
        <v>71</v>
      </c>
      <c r="VXL868" s="295" t="s">
        <v>71</v>
      </c>
      <c r="VXM868" s="295" t="s">
        <v>71</v>
      </c>
      <c r="VXN868" s="295" t="s">
        <v>71</v>
      </c>
      <c r="VXO868" s="295" t="s">
        <v>71</v>
      </c>
      <c r="VXP868" s="295" t="s">
        <v>71</v>
      </c>
      <c r="VXQ868" s="295" t="s">
        <v>71</v>
      </c>
      <c r="VXR868" s="295" t="s">
        <v>71</v>
      </c>
      <c r="VXS868" s="295" t="s">
        <v>71</v>
      </c>
      <c r="VXT868" s="295" t="s">
        <v>71</v>
      </c>
      <c r="VXU868" s="295" t="s">
        <v>71</v>
      </c>
      <c r="VXV868" s="295" t="s">
        <v>71</v>
      </c>
      <c r="VXW868" s="295" t="s">
        <v>71</v>
      </c>
      <c r="VXX868" s="295" t="s">
        <v>71</v>
      </c>
      <c r="VXY868" s="295" t="s">
        <v>71</v>
      </c>
      <c r="VXZ868" s="295" t="s">
        <v>71</v>
      </c>
      <c r="VYA868" s="295" t="s">
        <v>71</v>
      </c>
      <c r="VYB868" s="295" t="s">
        <v>71</v>
      </c>
      <c r="VYC868" s="295" t="s">
        <v>71</v>
      </c>
      <c r="VYD868" s="295" t="s">
        <v>71</v>
      </c>
      <c r="VYE868" s="295" t="s">
        <v>71</v>
      </c>
      <c r="VYF868" s="295" t="s">
        <v>71</v>
      </c>
      <c r="VYG868" s="295" t="s">
        <v>71</v>
      </c>
      <c r="VYH868" s="295" t="s">
        <v>71</v>
      </c>
      <c r="VYI868" s="295" t="s">
        <v>71</v>
      </c>
      <c r="VYJ868" s="295" t="s">
        <v>71</v>
      </c>
      <c r="VYK868" s="295" t="s">
        <v>71</v>
      </c>
      <c r="VYL868" s="295" t="s">
        <v>71</v>
      </c>
      <c r="VYM868" s="295" t="s">
        <v>71</v>
      </c>
      <c r="VYN868" s="295" t="s">
        <v>71</v>
      </c>
      <c r="VYO868" s="295" t="s">
        <v>71</v>
      </c>
      <c r="VYP868" s="295" t="s">
        <v>71</v>
      </c>
      <c r="VYQ868" s="295" t="s">
        <v>71</v>
      </c>
      <c r="VYR868" s="295" t="s">
        <v>71</v>
      </c>
      <c r="VYS868" s="295" t="s">
        <v>71</v>
      </c>
      <c r="VYT868" s="295" t="s">
        <v>71</v>
      </c>
      <c r="VYU868" s="295" t="s">
        <v>71</v>
      </c>
      <c r="VYV868" s="295" t="s">
        <v>71</v>
      </c>
      <c r="VYW868" s="295" t="s">
        <v>71</v>
      </c>
      <c r="VYX868" s="295" t="s">
        <v>71</v>
      </c>
      <c r="VYY868" s="295" t="s">
        <v>71</v>
      </c>
      <c r="VYZ868" s="295" t="s">
        <v>71</v>
      </c>
      <c r="VZA868" s="295" t="s">
        <v>71</v>
      </c>
      <c r="VZB868" s="295" t="s">
        <v>71</v>
      </c>
      <c r="VZC868" s="295" t="s">
        <v>71</v>
      </c>
      <c r="VZD868" s="295" t="s">
        <v>71</v>
      </c>
      <c r="VZE868" s="295" t="s">
        <v>71</v>
      </c>
      <c r="VZF868" s="295" t="s">
        <v>71</v>
      </c>
      <c r="VZG868" s="295" t="s">
        <v>71</v>
      </c>
      <c r="VZH868" s="295" t="s">
        <v>71</v>
      </c>
      <c r="VZI868" s="295" t="s">
        <v>71</v>
      </c>
      <c r="VZJ868" s="295" t="s">
        <v>71</v>
      </c>
      <c r="VZK868" s="295" t="s">
        <v>71</v>
      </c>
      <c r="VZL868" s="295" t="s">
        <v>71</v>
      </c>
      <c r="VZM868" s="295" t="s">
        <v>71</v>
      </c>
      <c r="VZN868" s="295" t="s">
        <v>71</v>
      </c>
      <c r="VZO868" s="295" t="s">
        <v>71</v>
      </c>
      <c r="VZP868" s="295" t="s">
        <v>71</v>
      </c>
      <c r="VZQ868" s="295" t="s">
        <v>71</v>
      </c>
      <c r="VZR868" s="295" t="s">
        <v>71</v>
      </c>
      <c r="VZS868" s="295" t="s">
        <v>71</v>
      </c>
      <c r="VZT868" s="295" t="s">
        <v>71</v>
      </c>
      <c r="VZU868" s="295" t="s">
        <v>71</v>
      </c>
      <c r="VZV868" s="295" t="s">
        <v>71</v>
      </c>
      <c r="VZW868" s="295" t="s">
        <v>71</v>
      </c>
      <c r="VZX868" s="295" t="s">
        <v>71</v>
      </c>
      <c r="VZY868" s="295" t="s">
        <v>71</v>
      </c>
      <c r="VZZ868" s="295" t="s">
        <v>71</v>
      </c>
      <c r="WAA868" s="295" t="s">
        <v>71</v>
      </c>
      <c r="WAB868" s="295" t="s">
        <v>71</v>
      </c>
      <c r="WAC868" s="295" t="s">
        <v>71</v>
      </c>
      <c r="WAD868" s="295" t="s">
        <v>71</v>
      </c>
      <c r="WAE868" s="295" t="s">
        <v>71</v>
      </c>
      <c r="WAF868" s="295" t="s">
        <v>71</v>
      </c>
      <c r="WAG868" s="295" t="s">
        <v>71</v>
      </c>
      <c r="WAH868" s="295" t="s">
        <v>71</v>
      </c>
      <c r="WAI868" s="295" t="s">
        <v>71</v>
      </c>
      <c r="WAJ868" s="295" t="s">
        <v>71</v>
      </c>
      <c r="WAK868" s="295" t="s">
        <v>71</v>
      </c>
      <c r="WAL868" s="295" t="s">
        <v>71</v>
      </c>
      <c r="WAM868" s="295" t="s">
        <v>71</v>
      </c>
      <c r="WAN868" s="295" t="s">
        <v>71</v>
      </c>
      <c r="WAO868" s="295" t="s">
        <v>71</v>
      </c>
      <c r="WAP868" s="295" t="s">
        <v>71</v>
      </c>
      <c r="WAQ868" s="295" t="s">
        <v>71</v>
      </c>
      <c r="WAR868" s="295" t="s">
        <v>71</v>
      </c>
      <c r="WAS868" s="295" t="s">
        <v>71</v>
      </c>
      <c r="WAT868" s="295" t="s">
        <v>71</v>
      </c>
      <c r="WAU868" s="295" t="s">
        <v>71</v>
      </c>
      <c r="WAV868" s="295" t="s">
        <v>71</v>
      </c>
      <c r="WAW868" s="295" t="s">
        <v>71</v>
      </c>
      <c r="WAX868" s="295" t="s">
        <v>71</v>
      </c>
      <c r="WAY868" s="295" t="s">
        <v>71</v>
      </c>
      <c r="WAZ868" s="295" t="s">
        <v>71</v>
      </c>
      <c r="WBA868" s="295" t="s">
        <v>71</v>
      </c>
      <c r="WBB868" s="295" t="s">
        <v>71</v>
      </c>
      <c r="WBC868" s="295" t="s">
        <v>71</v>
      </c>
      <c r="WBD868" s="295" t="s">
        <v>71</v>
      </c>
      <c r="WBE868" s="295" t="s">
        <v>71</v>
      </c>
      <c r="WBF868" s="295" t="s">
        <v>71</v>
      </c>
      <c r="WBG868" s="295" t="s">
        <v>71</v>
      </c>
      <c r="WBH868" s="295" t="s">
        <v>71</v>
      </c>
      <c r="WBI868" s="295" t="s">
        <v>71</v>
      </c>
      <c r="WBJ868" s="295" t="s">
        <v>71</v>
      </c>
      <c r="WBK868" s="295" t="s">
        <v>71</v>
      </c>
      <c r="WBL868" s="295" t="s">
        <v>71</v>
      </c>
      <c r="WBM868" s="295" t="s">
        <v>71</v>
      </c>
      <c r="WBN868" s="295" t="s">
        <v>71</v>
      </c>
      <c r="WBO868" s="295" t="s">
        <v>71</v>
      </c>
      <c r="WBP868" s="295" t="s">
        <v>71</v>
      </c>
      <c r="WBQ868" s="295" t="s">
        <v>71</v>
      </c>
      <c r="WBR868" s="295" t="s">
        <v>71</v>
      </c>
      <c r="WBS868" s="295" t="s">
        <v>71</v>
      </c>
      <c r="WBT868" s="295" t="s">
        <v>71</v>
      </c>
      <c r="WBU868" s="295" t="s">
        <v>71</v>
      </c>
      <c r="WBV868" s="295" t="s">
        <v>71</v>
      </c>
      <c r="WBW868" s="295" t="s">
        <v>71</v>
      </c>
      <c r="WBX868" s="295" t="s">
        <v>71</v>
      </c>
      <c r="WBY868" s="295" t="s">
        <v>71</v>
      </c>
      <c r="WBZ868" s="295" t="s">
        <v>71</v>
      </c>
      <c r="WCA868" s="295" t="s">
        <v>71</v>
      </c>
      <c r="WCB868" s="295" t="s">
        <v>71</v>
      </c>
      <c r="WCC868" s="295" t="s">
        <v>71</v>
      </c>
      <c r="WCD868" s="295" t="s">
        <v>71</v>
      </c>
      <c r="WCE868" s="295" t="s">
        <v>71</v>
      </c>
      <c r="WCF868" s="295" t="s">
        <v>71</v>
      </c>
      <c r="WCG868" s="295" t="s">
        <v>71</v>
      </c>
      <c r="WCH868" s="295" t="s">
        <v>71</v>
      </c>
      <c r="WCI868" s="295" t="s">
        <v>71</v>
      </c>
      <c r="WCJ868" s="295" t="s">
        <v>71</v>
      </c>
      <c r="WCK868" s="295" t="s">
        <v>71</v>
      </c>
      <c r="WCL868" s="295" t="s">
        <v>71</v>
      </c>
      <c r="WCM868" s="295" t="s">
        <v>71</v>
      </c>
      <c r="WCN868" s="295" t="s">
        <v>71</v>
      </c>
      <c r="WCO868" s="295" t="s">
        <v>71</v>
      </c>
      <c r="WCP868" s="295" t="s">
        <v>71</v>
      </c>
      <c r="WCQ868" s="295" t="s">
        <v>71</v>
      </c>
      <c r="WCR868" s="295" t="s">
        <v>71</v>
      </c>
      <c r="WCS868" s="295" t="s">
        <v>71</v>
      </c>
      <c r="WCT868" s="295" t="s">
        <v>71</v>
      </c>
      <c r="WCU868" s="295" t="s">
        <v>71</v>
      </c>
      <c r="WCV868" s="295" t="s">
        <v>71</v>
      </c>
      <c r="WCW868" s="295" t="s">
        <v>71</v>
      </c>
      <c r="WCX868" s="295" t="s">
        <v>71</v>
      </c>
      <c r="WCY868" s="295" t="s">
        <v>71</v>
      </c>
      <c r="WCZ868" s="295" t="s">
        <v>71</v>
      </c>
      <c r="WDA868" s="295" t="s">
        <v>71</v>
      </c>
      <c r="WDB868" s="295" t="s">
        <v>71</v>
      </c>
      <c r="WDC868" s="295" t="s">
        <v>71</v>
      </c>
      <c r="WDD868" s="295" t="s">
        <v>71</v>
      </c>
      <c r="WDE868" s="295" t="s">
        <v>71</v>
      </c>
      <c r="WDF868" s="295" t="s">
        <v>71</v>
      </c>
      <c r="WDG868" s="295" t="s">
        <v>71</v>
      </c>
      <c r="WDH868" s="295" t="s">
        <v>71</v>
      </c>
      <c r="WDI868" s="295" t="s">
        <v>71</v>
      </c>
      <c r="WDJ868" s="295" t="s">
        <v>71</v>
      </c>
      <c r="WDK868" s="295" t="s">
        <v>71</v>
      </c>
      <c r="WDL868" s="295" t="s">
        <v>71</v>
      </c>
      <c r="WDM868" s="295" t="s">
        <v>71</v>
      </c>
      <c r="WDN868" s="295" t="s">
        <v>71</v>
      </c>
      <c r="WDO868" s="295" t="s">
        <v>71</v>
      </c>
      <c r="WDP868" s="295" t="s">
        <v>71</v>
      </c>
      <c r="WDQ868" s="295" t="s">
        <v>71</v>
      </c>
      <c r="WDR868" s="295" t="s">
        <v>71</v>
      </c>
      <c r="WDS868" s="295" t="s">
        <v>71</v>
      </c>
      <c r="WDT868" s="295" t="s">
        <v>71</v>
      </c>
      <c r="WDU868" s="295" t="s">
        <v>71</v>
      </c>
      <c r="WDV868" s="295" t="s">
        <v>71</v>
      </c>
      <c r="WDW868" s="295" t="s">
        <v>71</v>
      </c>
      <c r="WDX868" s="295" t="s">
        <v>71</v>
      </c>
      <c r="WDY868" s="295" t="s">
        <v>71</v>
      </c>
      <c r="WDZ868" s="295" t="s">
        <v>71</v>
      </c>
      <c r="WEA868" s="295" t="s">
        <v>71</v>
      </c>
      <c r="WEB868" s="295" t="s">
        <v>71</v>
      </c>
      <c r="WEC868" s="295" t="s">
        <v>71</v>
      </c>
      <c r="WED868" s="295" t="s">
        <v>71</v>
      </c>
      <c r="WEE868" s="295" t="s">
        <v>71</v>
      </c>
      <c r="WEF868" s="295" t="s">
        <v>71</v>
      </c>
      <c r="WEG868" s="295" t="s">
        <v>71</v>
      </c>
      <c r="WEH868" s="295" t="s">
        <v>71</v>
      </c>
      <c r="WEI868" s="295" t="s">
        <v>71</v>
      </c>
      <c r="WEJ868" s="295" t="s">
        <v>71</v>
      </c>
      <c r="WEK868" s="295" t="s">
        <v>71</v>
      </c>
      <c r="WEL868" s="295" t="s">
        <v>71</v>
      </c>
      <c r="WEM868" s="295" t="s">
        <v>71</v>
      </c>
      <c r="WEN868" s="295" t="s">
        <v>71</v>
      </c>
      <c r="WEO868" s="295" t="s">
        <v>71</v>
      </c>
      <c r="WEP868" s="295" t="s">
        <v>71</v>
      </c>
      <c r="WEQ868" s="295" t="s">
        <v>71</v>
      </c>
      <c r="WER868" s="295" t="s">
        <v>71</v>
      </c>
      <c r="WES868" s="295" t="s">
        <v>71</v>
      </c>
      <c r="WET868" s="295" t="s">
        <v>71</v>
      </c>
      <c r="WEU868" s="295" t="s">
        <v>71</v>
      </c>
      <c r="WEV868" s="295" t="s">
        <v>71</v>
      </c>
      <c r="WEW868" s="295" t="s">
        <v>71</v>
      </c>
      <c r="WEX868" s="295" t="s">
        <v>71</v>
      </c>
      <c r="WEY868" s="295" t="s">
        <v>71</v>
      </c>
      <c r="WEZ868" s="295" t="s">
        <v>71</v>
      </c>
      <c r="WFA868" s="295" t="s">
        <v>71</v>
      </c>
      <c r="WFB868" s="295" t="s">
        <v>71</v>
      </c>
      <c r="WFC868" s="295" t="s">
        <v>71</v>
      </c>
      <c r="WFD868" s="295" t="s">
        <v>71</v>
      </c>
      <c r="WFE868" s="295" t="s">
        <v>71</v>
      </c>
      <c r="WFF868" s="295" t="s">
        <v>71</v>
      </c>
      <c r="WFG868" s="295" t="s">
        <v>71</v>
      </c>
      <c r="WFH868" s="295" t="s">
        <v>71</v>
      </c>
      <c r="WFI868" s="295" t="s">
        <v>71</v>
      </c>
      <c r="WFJ868" s="295" t="s">
        <v>71</v>
      </c>
      <c r="WFK868" s="295" t="s">
        <v>71</v>
      </c>
      <c r="WFL868" s="295" t="s">
        <v>71</v>
      </c>
      <c r="WFM868" s="295" t="s">
        <v>71</v>
      </c>
      <c r="WFN868" s="295" t="s">
        <v>71</v>
      </c>
      <c r="WFO868" s="295" t="s">
        <v>71</v>
      </c>
      <c r="WFP868" s="295" t="s">
        <v>71</v>
      </c>
      <c r="WFQ868" s="295" t="s">
        <v>71</v>
      </c>
      <c r="WFR868" s="295" t="s">
        <v>71</v>
      </c>
      <c r="WFS868" s="295" t="s">
        <v>71</v>
      </c>
      <c r="WFT868" s="295" t="s">
        <v>71</v>
      </c>
      <c r="WFU868" s="295" t="s">
        <v>71</v>
      </c>
      <c r="WFV868" s="295" t="s">
        <v>71</v>
      </c>
      <c r="WFW868" s="295" t="s">
        <v>71</v>
      </c>
      <c r="WFX868" s="295" t="s">
        <v>71</v>
      </c>
      <c r="WFY868" s="295" t="s">
        <v>71</v>
      </c>
      <c r="WFZ868" s="295" t="s">
        <v>71</v>
      </c>
      <c r="WGA868" s="295" t="s">
        <v>71</v>
      </c>
      <c r="WGB868" s="295" t="s">
        <v>71</v>
      </c>
      <c r="WGC868" s="295" t="s">
        <v>71</v>
      </c>
      <c r="WGD868" s="295" t="s">
        <v>71</v>
      </c>
      <c r="WGE868" s="295" t="s">
        <v>71</v>
      </c>
      <c r="WGF868" s="295" t="s">
        <v>71</v>
      </c>
      <c r="WGG868" s="295" t="s">
        <v>71</v>
      </c>
      <c r="WGH868" s="295" t="s">
        <v>71</v>
      </c>
      <c r="WGI868" s="295" t="s">
        <v>71</v>
      </c>
      <c r="WGJ868" s="295" t="s">
        <v>71</v>
      </c>
      <c r="WGK868" s="295" t="s">
        <v>71</v>
      </c>
      <c r="WGL868" s="295" t="s">
        <v>71</v>
      </c>
      <c r="WGM868" s="295" t="s">
        <v>71</v>
      </c>
      <c r="WGN868" s="295" t="s">
        <v>71</v>
      </c>
      <c r="WGO868" s="295" t="s">
        <v>71</v>
      </c>
      <c r="WGP868" s="295" t="s">
        <v>71</v>
      </c>
      <c r="WGQ868" s="295" t="s">
        <v>71</v>
      </c>
      <c r="WGR868" s="295" t="s">
        <v>71</v>
      </c>
      <c r="WGS868" s="295" t="s">
        <v>71</v>
      </c>
      <c r="WGT868" s="295" t="s">
        <v>71</v>
      </c>
      <c r="WGU868" s="295" t="s">
        <v>71</v>
      </c>
      <c r="WGV868" s="295" t="s">
        <v>71</v>
      </c>
      <c r="WGW868" s="295" t="s">
        <v>71</v>
      </c>
      <c r="WGX868" s="295" t="s">
        <v>71</v>
      </c>
      <c r="WGY868" s="295" t="s">
        <v>71</v>
      </c>
      <c r="WGZ868" s="295" t="s">
        <v>71</v>
      </c>
      <c r="WHA868" s="295" t="s">
        <v>71</v>
      </c>
      <c r="WHB868" s="295" t="s">
        <v>71</v>
      </c>
      <c r="WHC868" s="295" t="s">
        <v>71</v>
      </c>
      <c r="WHD868" s="295" t="s">
        <v>71</v>
      </c>
      <c r="WHE868" s="295" t="s">
        <v>71</v>
      </c>
      <c r="WHF868" s="295" t="s">
        <v>71</v>
      </c>
      <c r="WHG868" s="295" t="s">
        <v>71</v>
      </c>
      <c r="WHH868" s="295" t="s">
        <v>71</v>
      </c>
      <c r="WHI868" s="295" t="s">
        <v>71</v>
      </c>
      <c r="WHJ868" s="295" t="s">
        <v>71</v>
      </c>
      <c r="WHK868" s="295" t="s">
        <v>71</v>
      </c>
      <c r="WHL868" s="295" t="s">
        <v>71</v>
      </c>
      <c r="WHM868" s="295" t="s">
        <v>71</v>
      </c>
      <c r="WHN868" s="295" t="s">
        <v>71</v>
      </c>
      <c r="WHO868" s="295" t="s">
        <v>71</v>
      </c>
      <c r="WHP868" s="295" t="s">
        <v>71</v>
      </c>
      <c r="WHQ868" s="295" t="s">
        <v>71</v>
      </c>
      <c r="WHR868" s="295" t="s">
        <v>71</v>
      </c>
      <c r="WHS868" s="295" t="s">
        <v>71</v>
      </c>
      <c r="WHT868" s="295" t="s">
        <v>71</v>
      </c>
      <c r="WHU868" s="295" t="s">
        <v>71</v>
      </c>
      <c r="WHV868" s="295" t="s">
        <v>71</v>
      </c>
      <c r="WHW868" s="295" t="s">
        <v>71</v>
      </c>
      <c r="WHX868" s="295" t="s">
        <v>71</v>
      </c>
      <c r="WHY868" s="295" t="s">
        <v>71</v>
      </c>
      <c r="WHZ868" s="295" t="s">
        <v>71</v>
      </c>
      <c r="WIA868" s="295" t="s">
        <v>71</v>
      </c>
      <c r="WIB868" s="295" t="s">
        <v>71</v>
      </c>
      <c r="WIC868" s="295" t="s">
        <v>71</v>
      </c>
      <c r="WID868" s="295" t="s">
        <v>71</v>
      </c>
      <c r="WIE868" s="295" t="s">
        <v>71</v>
      </c>
      <c r="WIF868" s="295" t="s">
        <v>71</v>
      </c>
      <c r="WIG868" s="295" t="s">
        <v>71</v>
      </c>
      <c r="WIH868" s="295" t="s">
        <v>71</v>
      </c>
      <c r="WII868" s="295" t="s">
        <v>71</v>
      </c>
      <c r="WIJ868" s="295" t="s">
        <v>71</v>
      </c>
      <c r="WIK868" s="295" t="s">
        <v>71</v>
      </c>
      <c r="WIL868" s="295" t="s">
        <v>71</v>
      </c>
      <c r="WIM868" s="295" t="s">
        <v>71</v>
      </c>
      <c r="WIN868" s="295" t="s">
        <v>71</v>
      </c>
      <c r="WIO868" s="295" t="s">
        <v>71</v>
      </c>
      <c r="WIP868" s="295" t="s">
        <v>71</v>
      </c>
      <c r="WIQ868" s="295" t="s">
        <v>71</v>
      </c>
      <c r="WIR868" s="295" t="s">
        <v>71</v>
      </c>
      <c r="WIS868" s="295" t="s">
        <v>71</v>
      </c>
      <c r="WIT868" s="295" t="s">
        <v>71</v>
      </c>
      <c r="WIU868" s="295" t="s">
        <v>71</v>
      </c>
      <c r="WIV868" s="295" t="s">
        <v>71</v>
      </c>
      <c r="WIW868" s="295" t="s">
        <v>71</v>
      </c>
      <c r="WIX868" s="295" t="s">
        <v>71</v>
      </c>
      <c r="WIY868" s="295" t="s">
        <v>71</v>
      </c>
      <c r="WIZ868" s="295" t="s">
        <v>71</v>
      </c>
      <c r="WJA868" s="295" t="s">
        <v>71</v>
      </c>
      <c r="WJB868" s="295" t="s">
        <v>71</v>
      </c>
      <c r="WJC868" s="295" t="s">
        <v>71</v>
      </c>
      <c r="WJD868" s="295" t="s">
        <v>71</v>
      </c>
      <c r="WJE868" s="295" t="s">
        <v>71</v>
      </c>
      <c r="WJF868" s="295" t="s">
        <v>71</v>
      </c>
      <c r="WJG868" s="295" t="s">
        <v>71</v>
      </c>
      <c r="WJH868" s="295" t="s">
        <v>71</v>
      </c>
      <c r="WJI868" s="295" t="s">
        <v>71</v>
      </c>
      <c r="WJJ868" s="295" t="s">
        <v>71</v>
      </c>
      <c r="WJK868" s="295" t="s">
        <v>71</v>
      </c>
      <c r="WJL868" s="295" t="s">
        <v>71</v>
      </c>
      <c r="WJM868" s="295" t="s">
        <v>71</v>
      </c>
      <c r="WJN868" s="295" t="s">
        <v>71</v>
      </c>
      <c r="WJO868" s="295" t="s">
        <v>71</v>
      </c>
      <c r="WJP868" s="295" t="s">
        <v>71</v>
      </c>
      <c r="WJQ868" s="295" t="s">
        <v>71</v>
      </c>
      <c r="WJR868" s="295" t="s">
        <v>71</v>
      </c>
      <c r="WJS868" s="295" t="s">
        <v>71</v>
      </c>
      <c r="WJT868" s="295" t="s">
        <v>71</v>
      </c>
      <c r="WJU868" s="295" t="s">
        <v>71</v>
      </c>
      <c r="WJV868" s="295" t="s">
        <v>71</v>
      </c>
      <c r="WJW868" s="295" t="s">
        <v>71</v>
      </c>
      <c r="WJX868" s="295" t="s">
        <v>71</v>
      </c>
      <c r="WJY868" s="295" t="s">
        <v>71</v>
      </c>
      <c r="WJZ868" s="295" t="s">
        <v>71</v>
      </c>
      <c r="WKA868" s="295" t="s">
        <v>71</v>
      </c>
      <c r="WKB868" s="295" t="s">
        <v>71</v>
      </c>
      <c r="WKC868" s="295" t="s">
        <v>71</v>
      </c>
      <c r="WKD868" s="295" t="s">
        <v>71</v>
      </c>
      <c r="WKE868" s="295" t="s">
        <v>71</v>
      </c>
      <c r="WKF868" s="295" t="s">
        <v>71</v>
      </c>
      <c r="WKG868" s="295" t="s">
        <v>71</v>
      </c>
      <c r="WKH868" s="295" t="s">
        <v>71</v>
      </c>
      <c r="WKI868" s="295" t="s">
        <v>71</v>
      </c>
      <c r="WKJ868" s="295" t="s">
        <v>71</v>
      </c>
      <c r="WKK868" s="295" t="s">
        <v>71</v>
      </c>
      <c r="WKL868" s="295" t="s">
        <v>71</v>
      </c>
      <c r="WKM868" s="295" t="s">
        <v>71</v>
      </c>
      <c r="WKN868" s="295" t="s">
        <v>71</v>
      </c>
      <c r="WKO868" s="295" t="s">
        <v>71</v>
      </c>
      <c r="WKP868" s="295" t="s">
        <v>71</v>
      </c>
      <c r="WKQ868" s="295" t="s">
        <v>71</v>
      </c>
      <c r="WKR868" s="295" t="s">
        <v>71</v>
      </c>
      <c r="WKS868" s="295" t="s">
        <v>71</v>
      </c>
      <c r="WKT868" s="295" t="s">
        <v>71</v>
      </c>
      <c r="WKU868" s="295" t="s">
        <v>71</v>
      </c>
      <c r="WKV868" s="295" t="s">
        <v>71</v>
      </c>
      <c r="WKW868" s="295" t="s">
        <v>71</v>
      </c>
      <c r="WKX868" s="295" t="s">
        <v>71</v>
      </c>
      <c r="WKY868" s="295" t="s">
        <v>71</v>
      </c>
      <c r="WKZ868" s="295" t="s">
        <v>71</v>
      </c>
      <c r="WLA868" s="295" t="s">
        <v>71</v>
      </c>
      <c r="WLB868" s="295" t="s">
        <v>71</v>
      </c>
      <c r="WLC868" s="295" t="s">
        <v>71</v>
      </c>
      <c r="WLD868" s="295" t="s">
        <v>71</v>
      </c>
      <c r="WLE868" s="295" t="s">
        <v>71</v>
      </c>
      <c r="WLF868" s="295" t="s">
        <v>71</v>
      </c>
      <c r="WLG868" s="295" t="s">
        <v>71</v>
      </c>
      <c r="WLH868" s="295" t="s">
        <v>71</v>
      </c>
      <c r="WLI868" s="295" t="s">
        <v>71</v>
      </c>
      <c r="WLJ868" s="295" t="s">
        <v>71</v>
      </c>
      <c r="WLK868" s="295" t="s">
        <v>71</v>
      </c>
      <c r="WLL868" s="295" t="s">
        <v>71</v>
      </c>
      <c r="WLM868" s="295" t="s">
        <v>71</v>
      </c>
      <c r="WLN868" s="295" t="s">
        <v>71</v>
      </c>
      <c r="WLO868" s="295" t="s">
        <v>71</v>
      </c>
      <c r="WLP868" s="295" t="s">
        <v>71</v>
      </c>
      <c r="WLQ868" s="295" t="s">
        <v>71</v>
      </c>
      <c r="WLR868" s="295" t="s">
        <v>71</v>
      </c>
      <c r="WLS868" s="295" t="s">
        <v>71</v>
      </c>
      <c r="WLT868" s="295" t="s">
        <v>71</v>
      </c>
      <c r="WLU868" s="295" t="s">
        <v>71</v>
      </c>
      <c r="WLV868" s="295" t="s">
        <v>71</v>
      </c>
      <c r="WLW868" s="295" t="s">
        <v>71</v>
      </c>
      <c r="WLX868" s="295" t="s">
        <v>71</v>
      </c>
      <c r="WLY868" s="295" t="s">
        <v>71</v>
      </c>
      <c r="WLZ868" s="295" t="s">
        <v>71</v>
      </c>
      <c r="WMA868" s="295" t="s">
        <v>71</v>
      </c>
      <c r="WMB868" s="295" t="s">
        <v>71</v>
      </c>
      <c r="WMC868" s="295" t="s">
        <v>71</v>
      </c>
      <c r="WMD868" s="295" t="s">
        <v>71</v>
      </c>
      <c r="WME868" s="295" t="s">
        <v>71</v>
      </c>
      <c r="WMF868" s="295" t="s">
        <v>71</v>
      </c>
      <c r="WMG868" s="295" t="s">
        <v>71</v>
      </c>
      <c r="WMH868" s="295" t="s">
        <v>71</v>
      </c>
      <c r="WMI868" s="295" t="s">
        <v>71</v>
      </c>
      <c r="WMJ868" s="295" t="s">
        <v>71</v>
      </c>
      <c r="WMK868" s="295" t="s">
        <v>71</v>
      </c>
      <c r="WML868" s="295" t="s">
        <v>71</v>
      </c>
      <c r="WMM868" s="295" t="s">
        <v>71</v>
      </c>
      <c r="WMN868" s="295" t="s">
        <v>71</v>
      </c>
      <c r="WMO868" s="295" t="s">
        <v>71</v>
      </c>
      <c r="WMP868" s="295" t="s">
        <v>71</v>
      </c>
      <c r="WMQ868" s="295" t="s">
        <v>71</v>
      </c>
      <c r="WMR868" s="295" t="s">
        <v>71</v>
      </c>
      <c r="WMS868" s="295" t="s">
        <v>71</v>
      </c>
      <c r="WMT868" s="295" t="s">
        <v>71</v>
      </c>
      <c r="WMU868" s="295" t="s">
        <v>71</v>
      </c>
      <c r="WMV868" s="295" t="s">
        <v>71</v>
      </c>
      <c r="WMW868" s="295" t="s">
        <v>71</v>
      </c>
      <c r="WMX868" s="295" t="s">
        <v>71</v>
      </c>
      <c r="WMY868" s="295" t="s">
        <v>71</v>
      </c>
      <c r="WMZ868" s="295" t="s">
        <v>71</v>
      </c>
      <c r="WNA868" s="295" t="s">
        <v>71</v>
      </c>
      <c r="WNB868" s="295" t="s">
        <v>71</v>
      </c>
      <c r="WNC868" s="295" t="s">
        <v>71</v>
      </c>
      <c r="WND868" s="295" t="s">
        <v>71</v>
      </c>
      <c r="WNE868" s="295" t="s">
        <v>71</v>
      </c>
      <c r="WNF868" s="295" t="s">
        <v>71</v>
      </c>
      <c r="WNG868" s="295" t="s">
        <v>71</v>
      </c>
      <c r="WNH868" s="295" t="s">
        <v>71</v>
      </c>
      <c r="WNI868" s="295" t="s">
        <v>71</v>
      </c>
      <c r="WNJ868" s="295" t="s">
        <v>71</v>
      </c>
      <c r="WNK868" s="295" t="s">
        <v>71</v>
      </c>
      <c r="WNL868" s="295" t="s">
        <v>71</v>
      </c>
      <c r="WNM868" s="295" t="s">
        <v>71</v>
      </c>
      <c r="WNN868" s="295" t="s">
        <v>71</v>
      </c>
      <c r="WNO868" s="295" t="s">
        <v>71</v>
      </c>
      <c r="WNP868" s="295" t="s">
        <v>71</v>
      </c>
      <c r="WNQ868" s="295" t="s">
        <v>71</v>
      </c>
      <c r="WNR868" s="295" t="s">
        <v>71</v>
      </c>
      <c r="WNS868" s="295" t="s">
        <v>71</v>
      </c>
      <c r="WNT868" s="295" t="s">
        <v>71</v>
      </c>
      <c r="WNU868" s="295" t="s">
        <v>71</v>
      </c>
      <c r="WNV868" s="295" t="s">
        <v>71</v>
      </c>
      <c r="WNW868" s="295" t="s">
        <v>71</v>
      </c>
      <c r="WNX868" s="295" t="s">
        <v>71</v>
      </c>
      <c r="WNY868" s="295" t="s">
        <v>71</v>
      </c>
      <c r="WNZ868" s="295" t="s">
        <v>71</v>
      </c>
      <c r="WOA868" s="295" t="s">
        <v>71</v>
      </c>
      <c r="WOB868" s="295" t="s">
        <v>71</v>
      </c>
      <c r="WOC868" s="295" t="s">
        <v>71</v>
      </c>
      <c r="WOD868" s="295" t="s">
        <v>71</v>
      </c>
      <c r="WOE868" s="295" t="s">
        <v>71</v>
      </c>
      <c r="WOF868" s="295" t="s">
        <v>71</v>
      </c>
      <c r="WOG868" s="295" t="s">
        <v>71</v>
      </c>
      <c r="WOH868" s="295" t="s">
        <v>71</v>
      </c>
      <c r="WOI868" s="295" t="s">
        <v>71</v>
      </c>
      <c r="WOJ868" s="295" t="s">
        <v>71</v>
      </c>
      <c r="WOK868" s="295" t="s">
        <v>71</v>
      </c>
      <c r="WOL868" s="295" t="s">
        <v>71</v>
      </c>
      <c r="WOM868" s="295" t="s">
        <v>71</v>
      </c>
      <c r="WON868" s="295" t="s">
        <v>71</v>
      </c>
      <c r="WOO868" s="295" t="s">
        <v>71</v>
      </c>
      <c r="WOP868" s="295" t="s">
        <v>71</v>
      </c>
      <c r="WOQ868" s="295" t="s">
        <v>71</v>
      </c>
      <c r="WOR868" s="295" t="s">
        <v>71</v>
      </c>
      <c r="WOS868" s="295" t="s">
        <v>71</v>
      </c>
      <c r="WOT868" s="295" t="s">
        <v>71</v>
      </c>
      <c r="WOU868" s="295" t="s">
        <v>71</v>
      </c>
      <c r="WOV868" s="295" t="s">
        <v>71</v>
      </c>
      <c r="WOW868" s="295" t="s">
        <v>71</v>
      </c>
      <c r="WOX868" s="295" t="s">
        <v>71</v>
      </c>
      <c r="WOY868" s="295" t="s">
        <v>71</v>
      </c>
      <c r="WOZ868" s="295" t="s">
        <v>71</v>
      </c>
      <c r="WPA868" s="295" t="s">
        <v>71</v>
      </c>
      <c r="WPB868" s="295" t="s">
        <v>71</v>
      </c>
      <c r="WPC868" s="295" t="s">
        <v>71</v>
      </c>
      <c r="WPD868" s="295" t="s">
        <v>71</v>
      </c>
      <c r="WPE868" s="295" t="s">
        <v>71</v>
      </c>
      <c r="WPF868" s="295" t="s">
        <v>71</v>
      </c>
      <c r="WPG868" s="295" t="s">
        <v>71</v>
      </c>
      <c r="WPH868" s="295" t="s">
        <v>71</v>
      </c>
      <c r="WPI868" s="295" t="s">
        <v>71</v>
      </c>
      <c r="WPJ868" s="295" t="s">
        <v>71</v>
      </c>
      <c r="WPK868" s="295" t="s">
        <v>71</v>
      </c>
      <c r="WPL868" s="295" t="s">
        <v>71</v>
      </c>
      <c r="WPM868" s="295" t="s">
        <v>71</v>
      </c>
      <c r="WPN868" s="295" t="s">
        <v>71</v>
      </c>
      <c r="WPO868" s="295" t="s">
        <v>71</v>
      </c>
      <c r="WPP868" s="295" t="s">
        <v>71</v>
      </c>
      <c r="WPQ868" s="295" t="s">
        <v>71</v>
      </c>
      <c r="WPR868" s="295" t="s">
        <v>71</v>
      </c>
      <c r="WPS868" s="295" t="s">
        <v>71</v>
      </c>
      <c r="WPT868" s="295" t="s">
        <v>71</v>
      </c>
      <c r="WPU868" s="295" t="s">
        <v>71</v>
      </c>
      <c r="WPV868" s="295" t="s">
        <v>71</v>
      </c>
      <c r="WPW868" s="295" t="s">
        <v>71</v>
      </c>
      <c r="WPX868" s="295" t="s">
        <v>71</v>
      </c>
      <c r="WPY868" s="295" t="s">
        <v>71</v>
      </c>
      <c r="WPZ868" s="295" t="s">
        <v>71</v>
      </c>
      <c r="WQA868" s="295" t="s">
        <v>71</v>
      </c>
      <c r="WQB868" s="295" t="s">
        <v>71</v>
      </c>
      <c r="WQC868" s="295" t="s">
        <v>71</v>
      </c>
      <c r="WQD868" s="295" t="s">
        <v>71</v>
      </c>
      <c r="WQE868" s="295" t="s">
        <v>71</v>
      </c>
      <c r="WQF868" s="295" t="s">
        <v>71</v>
      </c>
      <c r="WQG868" s="295" t="s">
        <v>71</v>
      </c>
      <c r="WQH868" s="295" t="s">
        <v>71</v>
      </c>
      <c r="WQI868" s="295" t="s">
        <v>71</v>
      </c>
      <c r="WQJ868" s="295" t="s">
        <v>71</v>
      </c>
      <c r="WQK868" s="295" t="s">
        <v>71</v>
      </c>
      <c r="WQL868" s="295" t="s">
        <v>71</v>
      </c>
      <c r="WQM868" s="295" t="s">
        <v>71</v>
      </c>
      <c r="WQN868" s="295" t="s">
        <v>71</v>
      </c>
      <c r="WQO868" s="295" t="s">
        <v>71</v>
      </c>
      <c r="WQP868" s="295" t="s">
        <v>71</v>
      </c>
      <c r="WQQ868" s="295" t="s">
        <v>71</v>
      </c>
      <c r="WQR868" s="295" t="s">
        <v>71</v>
      </c>
      <c r="WQS868" s="295" t="s">
        <v>71</v>
      </c>
      <c r="WQT868" s="295" t="s">
        <v>71</v>
      </c>
      <c r="WQU868" s="295" t="s">
        <v>71</v>
      </c>
      <c r="WQV868" s="295" t="s">
        <v>71</v>
      </c>
      <c r="WQW868" s="295" t="s">
        <v>71</v>
      </c>
      <c r="WQX868" s="295" t="s">
        <v>71</v>
      </c>
      <c r="WQY868" s="295" t="s">
        <v>71</v>
      </c>
      <c r="WQZ868" s="295" t="s">
        <v>71</v>
      </c>
      <c r="WRA868" s="295" t="s">
        <v>71</v>
      </c>
      <c r="WRB868" s="295" t="s">
        <v>71</v>
      </c>
      <c r="WRC868" s="295" t="s">
        <v>71</v>
      </c>
      <c r="WRD868" s="295" t="s">
        <v>71</v>
      </c>
      <c r="WRE868" s="295" t="s">
        <v>71</v>
      </c>
      <c r="WRF868" s="295" t="s">
        <v>71</v>
      </c>
      <c r="WRG868" s="295" t="s">
        <v>71</v>
      </c>
      <c r="WRH868" s="295" t="s">
        <v>71</v>
      </c>
      <c r="WRI868" s="295" t="s">
        <v>71</v>
      </c>
      <c r="WRJ868" s="295" t="s">
        <v>71</v>
      </c>
      <c r="WRK868" s="295" t="s">
        <v>71</v>
      </c>
      <c r="WRL868" s="295" t="s">
        <v>71</v>
      </c>
      <c r="WRM868" s="295" t="s">
        <v>71</v>
      </c>
      <c r="WRN868" s="295" t="s">
        <v>71</v>
      </c>
      <c r="WRO868" s="295" t="s">
        <v>71</v>
      </c>
      <c r="WRP868" s="295" t="s">
        <v>71</v>
      </c>
      <c r="WRQ868" s="295" t="s">
        <v>71</v>
      </c>
      <c r="WRR868" s="295" t="s">
        <v>71</v>
      </c>
      <c r="WRS868" s="295" t="s">
        <v>71</v>
      </c>
      <c r="WRT868" s="295" t="s">
        <v>71</v>
      </c>
      <c r="WRU868" s="295" t="s">
        <v>71</v>
      </c>
      <c r="WRV868" s="295" t="s">
        <v>71</v>
      </c>
      <c r="WRW868" s="295" t="s">
        <v>71</v>
      </c>
      <c r="WRX868" s="295" t="s">
        <v>71</v>
      </c>
      <c r="WRY868" s="295" t="s">
        <v>71</v>
      </c>
      <c r="WRZ868" s="295" t="s">
        <v>71</v>
      </c>
      <c r="WSA868" s="295" t="s">
        <v>71</v>
      </c>
      <c r="WSB868" s="295" t="s">
        <v>71</v>
      </c>
      <c r="WSC868" s="295" t="s">
        <v>71</v>
      </c>
      <c r="WSD868" s="295" t="s">
        <v>71</v>
      </c>
      <c r="WSE868" s="295" t="s">
        <v>71</v>
      </c>
      <c r="WSF868" s="295" t="s">
        <v>71</v>
      </c>
      <c r="WSG868" s="295" t="s">
        <v>71</v>
      </c>
      <c r="WSH868" s="295" t="s">
        <v>71</v>
      </c>
      <c r="WSI868" s="295" t="s">
        <v>71</v>
      </c>
      <c r="WSJ868" s="295" t="s">
        <v>71</v>
      </c>
      <c r="WSK868" s="295" t="s">
        <v>71</v>
      </c>
      <c r="WSL868" s="295" t="s">
        <v>71</v>
      </c>
      <c r="WSM868" s="295" t="s">
        <v>71</v>
      </c>
      <c r="WSN868" s="295" t="s">
        <v>71</v>
      </c>
      <c r="WSO868" s="295" t="s">
        <v>71</v>
      </c>
      <c r="WSP868" s="295" t="s">
        <v>71</v>
      </c>
      <c r="WSQ868" s="295" t="s">
        <v>71</v>
      </c>
      <c r="WSR868" s="295" t="s">
        <v>71</v>
      </c>
      <c r="WSS868" s="295" t="s">
        <v>71</v>
      </c>
      <c r="WST868" s="295" t="s">
        <v>71</v>
      </c>
      <c r="WSU868" s="295" t="s">
        <v>71</v>
      </c>
      <c r="WSV868" s="295" t="s">
        <v>71</v>
      </c>
      <c r="WSW868" s="295" t="s">
        <v>71</v>
      </c>
      <c r="WSX868" s="295" t="s">
        <v>71</v>
      </c>
      <c r="WSY868" s="295" t="s">
        <v>71</v>
      </c>
      <c r="WSZ868" s="295" t="s">
        <v>71</v>
      </c>
      <c r="WTA868" s="295" t="s">
        <v>71</v>
      </c>
      <c r="WTB868" s="295" t="s">
        <v>71</v>
      </c>
      <c r="WTC868" s="295" t="s">
        <v>71</v>
      </c>
      <c r="WTD868" s="295" t="s">
        <v>71</v>
      </c>
      <c r="WTE868" s="295" t="s">
        <v>71</v>
      </c>
      <c r="WTF868" s="295" t="s">
        <v>71</v>
      </c>
      <c r="WTG868" s="295" t="s">
        <v>71</v>
      </c>
      <c r="WTH868" s="295" t="s">
        <v>71</v>
      </c>
      <c r="WTI868" s="295" t="s">
        <v>71</v>
      </c>
      <c r="WTJ868" s="295" t="s">
        <v>71</v>
      </c>
      <c r="WTK868" s="295" t="s">
        <v>71</v>
      </c>
      <c r="WTL868" s="295" t="s">
        <v>71</v>
      </c>
      <c r="WTM868" s="295" t="s">
        <v>71</v>
      </c>
      <c r="WTN868" s="295" t="s">
        <v>71</v>
      </c>
      <c r="WTO868" s="295" t="s">
        <v>71</v>
      </c>
      <c r="WTP868" s="295" t="s">
        <v>71</v>
      </c>
      <c r="WTQ868" s="295" t="s">
        <v>71</v>
      </c>
      <c r="WTR868" s="295" t="s">
        <v>71</v>
      </c>
      <c r="WTS868" s="295" t="s">
        <v>71</v>
      </c>
      <c r="WTT868" s="295" t="s">
        <v>71</v>
      </c>
      <c r="WTU868" s="295" t="s">
        <v>71</v>
      </c>
      <c r="WTV868" s="295" t="s">
        <v>71</v>
      </c>
      <c r="WTW868" s="295" t="s">
        <v>71</v>
      </c>
      <c r="WTX868" s="295" t="s">
        <v>71</v>
      </c>
      <c r="WTY868" s="295" t="s">
        <v>71</v>
      </c>
      <c r="WTZ868" s="295" t="s">
        <v>71</v>
      </c>
      <c r="WUA868" s="295" t="s">
        <v>71</v>
      </c>
      <c r="WUB868" s="295" t="s">
        <v>71</v>
      </c>
      <c r="WUC868" s="295" t="s">
        <v>71</v>
      </c>
      <c r="WUD868" s="295" t="s">
        <v>71</v>
      </c>
      <c r="WUE868" s="295" t="s">
        <v>71</v>
      </c>
      <c r="WUF868" s="295" t="s">
        <v>71</v>
      </c>
      <c r="WUG868" s="295" t="s">
        <v>71</v>
      </c>
      <c r="WUH868" s="295" t="s">
        <v>71</v>
      </c>
      <c r="WUI868" s="295" t="s">
        <v>71</v>
      </c>
      <c r="WUJ868" s="295" t="s">
        <v>71</v>
      </c>
      <c r="WUK868" s="295" t="s">
        <v>71</v>
      </c>
      <c r="WUL868" s="295" t="s">
        <v>71</v>
      </c>
      <c r="WUM868" s="295" t="s">
        <v>71</v>
      </c>
      <c r="WUN868" s="295" t="s">
        <v>71</v>
      </c>
      <c r="WUO868" s="295" t="s">
        <v>71</v>
      </c>
      <c r="WUP868" s="295" t="s">
        <v>71</v>
      </c>
      <c r="WUQ868" s="295" t="s">
        <v>71</v>
      </c>
      <c r="WUR868" s="295" t="s">
        <v>71</v>
      </c>
      <c r="WUS868" s="295" t="s">
        <v>71</v>
      </c>
      <c r="WUT868" s="295" t="s">
        <v>71</v>
      </c>
      <c r="WUU868" s="295" t="s">
        <v>71</v>
      </c>
      <c r="WUV868" s="295" t="s">
        <v>71</v>
      </c>
      <c r="WUW868" s="295" t="s">
        <v>71</v>
      </c>
      <c r="WUX868" s="295" t="s">
        <v>71</v>
      </c>
      <c r="WUY868" s="295" t="s">
        <v>71</v>
      </c>
      <c r="WUZ868" s="295" t="s">
        <v>71</v>
      </c>
      <c r="WVA868" s="295" t="s">
        <v>71</v>
      </c>
      <c r="WVB868" s="295" t="s">
        <v>71</v>
      </c>
      <c r="WVC868" s="295" t="s">
        <v>71</v>
      </c>
      <c r="WVD868" s="295" t="s">
        <v>71</v>
      </c>
      <c r="WVE868" s="295" t="s">
        <v>71</v>
      </c>
      <c r="WVF868" s="295" t="s">
        <v>71</v>
      </c>
      <c r="WVG868" s="295" t="s">
        <v>71</v>
      </c>
      <c r="WVH868" s="295" t="s">
        <v>71</v>
      </c>
      <c r="WVI868" s="295" t="s">
        <v>71</v>
      </c>
      <c r="WVJ868" s="295" t="s">
        <v>71</v>
      </c>
      <c r="WVK868" s="295" t="s">
        <v>71</v>
      </c>
      <c r="WVL868" s="295" t="s">
        <v>71</v>
      </c>
      <c r="WVM868" s="295" t="s">
        <v>71</v>
      </c>
      <c r="WVN868" s="295" t="s">
        <v>71</v>
      </c>
      <c r="WVO868" s="295" t="s">
        <v>71</v>
      </c>
      <c r="WVP868" s="295" t="s">
        <v>71</v>
      </c>
      <c r="WVQ868" s="295" t="s">
        <v>71</v>
      </c>
      <c r="WVR868" s="295" t="s">
        <v>71</v>
      </c>
      <c r="WVS868" s="295" t="s">
        <v>71</v>
      </c>
      <c r="WVT868" s="295" t="s">
        <v>71</v>
      </c>
      <c r="WVU868" s="295" t="s">
        <v>71</v>
      </c>
      <c r="WVV868" s="295" t="s">
        <v>71</v>
      </c>
      <c r="WVW868" s="295" t="s">
        <v>71</v>
      </c>
      <c r="WVX868" s="295" t="s">
        <v>71</v>
      </c>
      <c r="WVY868" s="295" t="s">
        <v>71</v>
      </c>
      <c r="WVZ868" s="295" t="s">
        <v>71</v>
      </c>
      <c r="WWA868" s="295" t="s">
        <v>71</v>
      </c>
      <c r="WWB868" s="295" t="s">
        <v>71</v>
      </c>
      <c r="WWC868" s="295" t="s">
        <v>71</v>
      </c>
      <c r="WWD868" s="295" t="s">
        <v>71</v>
      </c>
      <c r="WWE868" s="295" t="s">
        <v>71</v>
      </c>
      <c r="WWF868" s="295" t="s">
        <v>71</v>
      </c>
      <c r="WWG868" s="295" t="s">
        <v>71</v>
      </c>
      <c r="WWH868" s="295" t="s">
        <v>71</v>
      </c>
      <c r="WWI868" s="295" t="s">
        <v>71</v>
      </c>
      <c r="WWJ868" s="295" t="s">
        <v>71</v>
      </c>
      <c r="WWK868" s="295" t="s">
        <v>71</v>
      </c>
      <c r="WWL868" s="295" t="s">
        <v>71</v>
      </c>
      <c r="WWM868" s="295" t="s">
        <v>71</v>
      </c>
      <c r="WWN868" s="295" t="s">
        <v>71</v>
      </c>
      <c r="WWO868" s="295" t="s">
        <v>71</v>
      </c>
      <c r="WWP868" s="295" t="s">
        <v>71</v>
      </c>
      <c r="WWQ868" s="295" t="s">
        <v>71</v>
      </c>
      <c r="WWR868" s="295" t="s">
        <v>71</v>
      </c>
      <c r="WWS868" s="295" t="s">
        <v>71</v>
      </c>
      <c r="WWT868" s="295" t="s">
        <v>71</v>
      </c>
      <c r="WWU868" s="295" t="s">
        <v>71</v>
      </c>
      <c r="WWV868" s="295" t="s">
        <v>71</v>
      </c>
      <c r="WWW868" s="295" t="s">
        <v>71</v>
      </c>
      <c r="WWX868" s="295" t="s">
        <v>71</v>
      </c>
      <c r="WWY868" s="295" t="s">
        <v>71</v>
      </c>
      <c r="WWZ868" s="295" t="s">
        <v>71</v>
      </c>
      <c r="WXA868" s="295" t="s">
        <v>71</v>
      </c>
      <c r="WXB868" s="295" t="s">
        <v>71</v>
      </c>
      <c r="WXC868" s="295" t="s">
        <v>71</v>
      </c>
      <c r="WXD868" s="295" t="s">
        <v>71</v>
      </c>
      <c r="WXE868" s="295" t="s">
        <v>71</v>
      </c>
      <c r="WXF868" s="295" t="s">
        <v>71</v>
      </c>
      <c r="WXG868" s="295" t="s">
        <v>71</v>
      </c>
      <c r="WXH868" s="295" t="s">
        <v>71</v>
      </c>
      <c r="WXI868" s="295" t="s">
        <v>71</v>
      </c>
      <c r="WXJ868" s="295" t="s">
        <v>71</v>
      </c>
      <c r="WXK868" s="295" t="s">
        <v>71</v>
      </c>
      <c r="WXL868" s="295" t="s">
        <v>71</v>
      </c>
      <c r="WXM868" s="295" t="s">
        <v>71</v>
      </c>
      <c r="WXN868" s="295" t="s">
        <v>71</v>
      </c>
      <c r="WXO868" s="295" t="s">
        <v>71</v>
      </c>
      <c r="WXP868" s="295" t="s">
        <v>71</v>
      </c>
      <c r="WXQ868" s="295" t="s">
        <v>71</v>
      </c>
      <c r="WXR868" s="295" t="s">
        <v>71</v>
      </c>
      <c r="WXS868" s="295" t="s">
        <v>71</v>
      </c>
      <c r="WXT868" s="295" t="s">
        <v>71</v>
      </c>
      <c r="WXU868" s="295" t="s">
        <v>71</v>
      </c>
      <c r="WXV868" s="295" t="s">
        <v>71</v>
      </c>
      <c r="WXW868" s="295" t="s">
        <v>71</v>
      </c>
      <c r="WXX868" s="295" t="s">
        <v>71</v>
      </c>
      <c r="WXY868" s="295" t="s">
        <v>71</v>
      </c>
      <c r="WXZ868" s="295" t="s">
        <v>71</v>
      </c>
      <c r="WYA868" s="295" t="s">
        <v>71</v>
      </c>
      <c r="WYB868" s="295" t="s">
        <v>71</v>
      </c>
      <c r="WYC868" s="295" t="s">
        <v>71</v>
      </c>
      <c r="WYD868" s="295" t="s">
        <v>71</v>
      </c>
      <c r="WYE868" s="295" t="s">
        <v>71</v>
      </c>
      <c r="WYF868" s="295" t="s">
        <v>71</v>
      </c>
      <c r="WYG868" s="295" t="s">
        <v>71</v>
      </c>
      <c r="WYH868" s="295" t="s">
        <v>71</v>
      </c>
      <c r="WYI868" s="295" t="s">
        <v>71</v>
      </c>
      <c r="WYJ868" s="295" t="s">
        <v>71</v>
      </c>
      <c r="WYK868" s="295" t="s">
        <v>71</v>
      </c>
      <c r="WYL868" s="295" t="s">
        <v>71</v>
      </c>
      <c r="WYM868" s="295" t="s">
        <v>71</v>
      </c>
      <c r="WYN868" s="295" t="s">
        <v>71</v>
      </c>
      <c r="WYO868" s="295" t="s">
        <v>71</v>
      </c>
      <c r="WYP868" s="295" t="s">
        <v>71</v>
      </c>
      <c r="WYQ868" s="295" t="s">
        <v>71</v>
      </c>
      <c r="WYR868" s="295" t="s">
        <v>71</v>
      </c>
      <c r="WYS868" s="295" t="s">
        <v>71</v>
      </c>
      <c r="WYT868" s="295" t="s">
        <v>71</v>
      </c>
      <c r="WYU868" s="295" t="s">
        <v>71</v>
      </c>
      <c r="WYV868" s="295" t="s">
        <v>71</v>
      </c>
      <c r="WYW868" s="295" t="s">
        <v>71</v>
      </c>
      <c r="WYX868" s="295" t="s">
        <v>71</v>
      </c>
      <c r="WYY868" s="295" t="s">
        <v>71</v>
      </c>
      <c r="WYZ868" s="295" t="s">
        <v>71</v>
      </c>
      <c r="WZA868" s="295" t="s">
        <v>71</v>
      </c>
      <c r="WZB868" s="295" t="s">
        <v>71</v>
      </c>
      <c r="WZC868" s="295" t="s">
        <v>71</v>
      </c>
      <c r="WZD868" s="295" t="s">
        <v>71</v>
      </c>
      <c r="WZE868" s="295" t="s">
        <v>71</v>
      </c>
      <c r="WZF868" s="295" t="s">
        <v>71</v>
      </c>
      <c r="WZG868" s="295" t="s">
        <v>71</v>
      </c>
      <c r="WZH868" s="295" t="s">
        <v>71</v>
      </c>
      <c r="WZI868" s="295" t="s">
        <v>71</v>
      </c>
      <c r="WZJ868" s="295" t="s">
        <v>71</v>
      </c>
      <c r="WZK868" s="295" t="s">
        <v>71</v>
      </c>
      <c r="WZL868" s="295" t="s">
        <v>71</v>
      </c>
      <c r="WZM868" s="295" t="s">
        <v>71</v>
      </c>
      <c r="WZN868" s="295" t="s">
        <v>71</v>
      </c>
      <c r="WZO868" s="295" t="s">
        <v>71</v>
      </c>
      <c r="WZP868" s="295" t="s">
        <v>71</v>
      </c>
      <c r="WZQ868" s="295" t="s">
        <v>71</v>
      </c>
      <c r="WZR868" s="295" t="s">
        <v>71</v>
      </c>
      <c r="WZS868" s="295" t="s">
        <v>71</v>
      </c>
      <c r="WZT868" s="295" t="s">
        <v>71</v>
      </c>
      <c r="WZU868" s="295" t="s">
        <v>71</v>
      </c>
      <c r="WZV868" s="295" t="s">
        <v>71</v>
      </c>
      <c r="WZW868" s="295" t="s">
        <v>71</v>
      </c>
      <c r="WZX868" s="295" t="s">
        <v>71</v>
      </c>
      <c r="WZY868" s="295" t="s">
        <v>71</v>
      </c>
      <c r="WZZ868" s="295" t="s">
        <v>71</v>
      </c>
      <c r="XAA868" s="295" t="s">
        <v>71</v>
      </c>
      <c r="XAB868" s="295" t="s">
        <v>71</v>
      </c>
      <c r="XAC868" s="295" t="s">
        <v>71</v>
      </c>
      <c r="XAD868" s="295" t="s">
        <v>71</v>
      </c>
      <c r="XAE868" s="295" t="s">
        <v>71</v>
      </c>
      <c r="XAF868" s="295" t="s">
        <v>71</v>
      </c>
      <c r="XAG868" s="295" t="s">
        <v>71</v>
      </c>
      <c r="XAH868" s="295" t="s">
        <v>71</v>
      </c>
      <c r="XAI868" s="295" t="s">
        <v>71</v>
      </c>
      <c r="XAJ868" s="295" t="s">
        <v>71</v>
      </c>
      <c r="XAK868" s="295" t="s">
        <v>71</v>
      </c>
      <c r="XAL868" s="295" t="s">
        <v>71</v>
      </c>
      <c r="XAM868" s="295" t="s">
        <v>71</v>
      </c>
      <c r="XAN868" s="295" t="s">
        <v>71</v>
      </c>
      <c r="XAO868" s="295" t="s">
        <v>71</v>
      </c>
      <c r="XAP868" s="295" t="s">
        <v>71</v>
      </c>
      <c r="XAQ868" s="295" t="s">
        <v>71</v>
      </c>
      <c r="XAR868" s="295" t="s">
        <v>71</v>
      </c>
      <c r="XAS868" s="295" t="s">
        <v>71</v>
      </c>
      <c r="XAT868" s="295" t="s">
        <v>71</v>
      </c>
      <c r="XAU868" s="295" t="s">
        <v>71</v>
      </c>
      <c r="XAV868" s="295" t="s">
        <v>71</v>
      </c>
      <c r="XAW868" s="295" t="s">
        <v>71</v>
      </c>
      <c r="XAX868" s="295" t="s">
        <v>71</v>
      </c>
      <c r="XAY868" s="295" t="s">
        <v>71</v>
      </c>
      <c r="XAZ868" s="295" t="s">
        <v>71</v>
      </c>
      <c r="XBA868" s="295" t="s">
        <v>71</v>
      </c>
      <c r="XBB868" s="295" t="s">
        <v>71</v>
      </c>
      <c r="XBC868" s="295" t="s">
        <v>71</v>
      </c>
      <c r="XBD868" s="295" t="s">
        <v>71</v>
      </c>
      <c r="XBE868" s="295" t="s">
        <v>71</v>
      </c>
      <c r="XBF868" s="295" t="s">
        <v>71</v>
      </c>
      <c r="XBG868" s="295" t="s">
        <v>71</v>
      </c>
      <c r="XBH868" s="295" t="s">
        <v>71</v>
      </c>
      <c r="XBI868" s="295" t="s">
        <v>71</v>
      </c>
      <c r="XBJ868" s="295" t="s">
        <v>71</v>
      </c>
      <c r="XBK868" s="295" t="s">
        <v>71</v>
      </c>
      <c r="XBL868" s="295" t="s">
        <v>71</v>
      </c>
      <c r="XBM868" s="295" t="s">
        <v>71</v>
      </c>
      <c r="XBN868" s="295" t="s">
        <v>71</v>
      </c>
      <c r="XBO868" s="295" t="s">
        <v>71</v>
      </c>
      <c r="XBP868" s="295" t="s">
        <v>71</v>
      </c>
      <c r="XBQ868" s="295" t="s">
        <v>71</v>
      </c>
      <c r="XBR868" s="295" t="s">
        <v>71</v>
      </c>
      <c r="XBS868" s="295" t="s">
        <v>71</v>
      </c>
      <c r="XBT868" s="295" t="s">
        <v>71</v>
      </c>
      <c r="XBU868" s="295" t="s">
        <v>71</v>
      </c>
      <c r="XBV868" s="295" t="s">
        <v>71</v>
      </c>
      <c r="XBW868" s="295" t="s">
        <v>71</v>
      </c>
      <c r="XBX868" s="295" t="s">
        <v>71</v>
      </c>
      <c r="XBY868" s="295" t="s">
        <v>71</v>
      </c>
      <c r="XBZ868" s="295" t="s">
        <v>71</v>
      </c>
      <c r="XCA868" s="295" t="s">
        <v>71</v>
      </c>
      <c r="XCB868" s="295" t="s">
        <v>71</v>
      </c>
      <c r="XCC868" s="295" t="s">
        <v>71</v>
      </c>
      <c r="XCD868" s="295" t="s">
        <v>71</v>
      </c>
      <c r="XCE868" s="295" t="s">
        <v>71</v>
      </c>
      <c r="XCF868" s="295" t="s">
        <v>71</v>
      </c>
      <c r="XCG868" s="295" t="s">
        <v>71</v>
      </c>
      <c r="XCH868" s="295" t="s">
        <v>71</v>
      </c>
      <c r="XCI868" s="295" t="s">
        <v>71</v>
      </c>
      <c r="XCJ868" s="295" t="s">
        <v>71</v>
      </c>
      <c r="XCK868" s="295" t="s">
        <v>71</v>
      </c>
      <c r="XCL868" s="295" t="s">
        <v>71</v>
      </c>
      <c r="XCM868" s="295" t="s">
        <v>71</v>
      </c>
      <c r="XCN868" s="295" t="s">
        <v>71</v>
      </c>
      <c r="XCO868" s="295" t="s">
        <v>71</v>
      </c>
      <c r="XCP868" s="295" t="s">
        <v>71</v>
      </c>
      <c r="XCQ868" s="295" t="s">
        <v>71</v>
      </c>
      <c r="XCR868" s="295" t="s">
        <v>71</v>
      </c>
      <c r="XCS868" s="295" t="s">
        <v>71</v>
      </c>
      <c r="XCT868" s="295" t="s">
        <v>71</v>
      </c>
      <c r="XCU868" s="295" t="s">
        <v>71</v>
      </c>
      <c r="XCV868" s="295" t="s">
        <v>71</v>
      </c>
      <c r="XCW868" s="295" t="s">
        <v>71</v>
      </c>
      <c r="XCX868" s="295" t="s">
        <v>71</v>
      </c>
      <c r="XCY868" s="295" t="s">
        <v>71</v>
      </c>
      <c r="XCZ868" s="295" t="s">
        <v>71</v>
      </c>
      <c r="XDA868" s="295" t="s">
        <v>71</v>
      </c>
      <c r="XDB868" s="295" t="s">
        <v>71</v>
      </c>
      <c r="XDC868" s="295" t="s">
        <v>71</v>
      </c>
      <c r="XDD868" s="295" t="s">
        <v>71</v>
      </c>
      <c r="XDE868" s="295" t="s">
        <v>71</v>
      </c>
      <c r="XDF868" s="295" t="s">
        <v>71</v>
      </c>
      <c r="XDG868" s="295" t="s">
        <v>71</v>
      </c>
      <c r="XDH868" s="295" t="s">
        <v>71</v>
      </c>
      <c r="XDI868" s="295" t="s">
        <v>71</v>
      </c>
      <c r="XDJ868" s="295" t="s">
        <v>71</v>
      </c>
      <c r="XDK868" s="295" t="s">
        <v>71</v>
      </c>
      <c r="XDL868" s="295" t="s">
        <v>71</v>
      </c>
      <c r="XDM868" s="295" t="s">
        <v>71</v>
      </c>
      <c r="XDN868" s="295" t="s">
        <v>71</v>
      </c>
      <c r="XDO868" s="295" t="s">
        <v>71</v>
      </c>
      <c r="XDP868" s="295" t="s">
        <v>71</v>
      </c>
      <c r="XDQ868" s="295" t="s">
        <v>71</v>
      </c>
      <c r="XDR868" s="295" t="s">
        <v>71</v>
      </c>
      <c r="XDS868" s="295" t="s">
        <v>71</v>
      </c>
      <c r="XDT868" s="295" t="s">
        <v>71</v>
      </c>
      <c r="XDU868" s="295" t="s">
        <v>71</v>
      </c>
      <c r="XDV868" s="295" t="s">
        <v>71</v>
      </c>
      <c r="XDW868" s="295" t="s">
        <v>71</v>
      </c>
      <c r="XDX868" s="295" t="s">
        <v>71</v>
      </c>
      <c r="XDY868" s="295" t="s">
        <v>71</v>
      </c>
      <c r="XDZ868" s="295" t="s">
        <v>71</v>
      </c>
      <c r="XEA868" s="295" t="s">
        <v>71</v>
      </c>
      <c r="XEB868" s="295" t="s">
        <v>71</v>
      </c>
      <c r="XEC868" s="295" t="s">
        <v>71</v>
      </c>
      <c r="XED868" s="295" t="s">
        <v>71</v>
      </c>
      <c r="XEE868" s="295" t="s">
        <v>71</v>
      </c>
      <c r="XEF868" s="295" t="s">
        <v>71</v>
      </c>
      <c r="XEG868" s="295" t="s">
        <v>71</v>
      </c>
      <c r="XEH868" s="295" t="s">
        <v>71</v>
      </c>
      <c r="XEI868" s="295" t="s">
        <v>71</v>
      </c>
      <c r="XEJ868" s="295" t="s">
        <v>71</v>
      </c>
      <c r="XEK868" s="295" t="s">
        <v>71</v>
      </c>
      <c r="XEL868" s="295" t="s">
        <v>71</v>
      </c>
      <c r="XEM868" s="295" t="s">
        <v>71</v>
      </c>
      <c r="XEN868" s="295" t="s">
        <v>71</v>
      </c>
      <c r="XEO868" s="295" t="s">
        <v>71</v>
      </c>
      <c r="XEP868" s="295" t="s">
        <v>71</v>
      </c>
      <c r="XEQ868" s="295" t="s">
        <v>71</v>
      </c>
    </row>
    <row r="869" spans="7:16371" ht="45" customHeight="1" x14ac:dyDescent="0.25">
      <c r="G869" s="290"/>
      <c r="H869" s="296"/>
      <c r="I869" s="296"/>
      <c r="J869" s="296"/>
      <c r="K869" s="296"/>
      <c r="L869" s="296"/>
      <c r="M869" s="296"/>
      <c r="N869" s="296"/>
      <c r="O869" s="296"/>
      <c r="P869" s="296"/>
      <c r="Q869" s="296"/>
      <c r="R869" s="296"/>
      <c r="S869" s="296"/>
      <c r="T869" s="296"/>
      <c r="U869" s="296"/>
      <c r="V869" s="273"/>
      <c r="W869" s="273"/>
      <c r="X869" s="273"/>
      <c r="Y869" s="273"/>
      <c r="Z869" s="273"/>
      <c r="AA869" s="273"/>
      <c r="AB869" s="273"/>
      <c r="AC869" s="273"/>
      <c r="AD869" s="273"/>
      <c r="AE869" s="273"/>
      <c r="AF869" s="273"/>
      <c r="AG869" s="273"/>
      <c r="AH869" s="273"/>
      <c r="AI869" s="273"/>
      <c r="AJ869" s="273"/>
      <c r="AK869" s="273"/>
      <c r="AL869" s="273"/>
      <c r="AM869" s="273"/>
      <c r="AN869" s="273"/>
      <c r="AO869" s="273"/>
      <c r="AP869" s="273"/>
      <c r="AQ869" s="273"/>
      <c r="AR869" s="273"/>
      <c r="AS869" s="273"/>
      <c r="AT869" s="273"/>
      <c r="AU869" s="273"/>
      <c r="AV869" s="273"/>
      <c r="AW869" s="273"/>
      <c r="AX869" s="273"/>
      <c r="AY869" s="273"/>
      <c r="AZ869" s="273"/>
      <c r="BA869" s="273"/>
      <c r="BB869" s="273"/>
      <c r="BC869" s="273"/>
      <c r="BD869" s="273"/>
      <c r="BE869" s="273"/>
      <c r="BF869" s="273"/>
      <c r="BG869" s="273"/>
      <c r="BH869" s="273"/>
      <c r="BI869" s="273"/>
      <c r="BJ869" s="273"/>
      <c r="BK869" s="273"/>
      <c r="BL869" s="273"/>
      <c r="BM869" s="273"/>
      <c r="BN869" s="273"/>
      <c r="BO869" s="273"/>
      <c r="BP869" s="273"/>
      <c r="BQ869" s="273"/>
      <c r="BR869" s="273"/>
      <c r="BS869" s="273"/>
      <c r="BT869" s="273"/>
      <c r="BU869" s="273"/>
      <c r="BV869" s="273"/>
      <c r="BW869" s="273"/>
      <c r="BX869" s="273"/>
      <c r="BY869" s="273"/>
      <c r="BZ869" s="273"/>
      <c r="CA869" s="273"/>
      <c r="CB869" s="273"/>
      <c r="CC869" s="273"/>
      <c r="CD869" s="273"/>
      <c r="CE869" s="273"/>
      <c r="CF869" s="273"/>
      <c r="CG869" s="273"/>
      <c r="CH869" s="273"/>
      <c r="CI869" s="273"/>
      <c r="CJ869" s="273"/>
      <c r="CK869" s="273"/>
      <c r="CL869" s="273"/>
      <c r="CM869" s="273"/>
      <c r="CN869" s="273"/>
      <c r="CO869" s="273"/>
      <c r="CP869" s="273"/>
      <c r="CQ869" s="273"/>
      <c r="CR869" s="273"/>
      <c r="CS869" s="273"/>
      <c r="CT869" s="273"/>
      <c r="CU869" s="273"/>
      <c r="CV869" s="273"/>
      <c r="CW869" s="273"/>
      <c r="CX869" s="273"/>
      <c r="CY869" s="273"/>
      <c r="CZ869" s="273"/>
      <c r="DA869" s="273"/>
      <c r="DB869" s="273"/>
      <c r="DC869" s="273"/>
      <c r="DD869" s="273"/>
      <c r="DE869" s="273"/>
      <c r="DF869" s="273"/>
      <c r="DG869" s="273"/>
      <c r="DH869" s="273"/>
      <c r="DI869" s="273"/>
      <c r="DJ869" s="273"/>
      <c r="DK869" s="273"/>
      <c r="DL869" s="273"/>
      <c r="DM869" s="273"/>
      <c r="DN869" s="273"/>
      <c r="DO869" s="273"/>
      <c r="DP869" s="273"/>
      <c r="DQ869" s="273"/>
      <c r="DR869" s="273"/>
      <c r="DS869" s="273"/>
      <c r="DT869" s="273"/>
      <c r="DU869" s="273"/>
      <c r="DV869" s="273"/>
      <c r="DW869" s="273"/>
      <c r="DX869" s="273"/>
      <c r="DY869" s="273"/>
      <c r="DZ869" s="273"/>
      <c r="EA869" s="273"/>
      <c r="EB869" s="273"/>
      <c r="EC869" s="273"/>
      <c r="ED869" s="273"/>
      <c r="EE869" s="273"/>
      <c r="EF869" s="273"/>
      <c r="EG869" s="273"/>
      <c r="EH869" s="273"/>
      <c r="EI869" s="273"/>
      <c r="EJ869" s="273"/>
      <c r="EK869" s="273"/>
      <c r="EL869" s="273"/>
      <c r="EM869" s="273"/>
      <c r="EN869" s="273"/>
      <c r="EO869" s="273"/>
      <c r="EP869" s="273"/>
      <c r="EQ869" s="273"/>
      <c r="ER869" s="273"/>
      <c r="ES869" s="273"/>
      <c r="ET869" s="273"/>
      <c r="EU869" s="273"/>
      <c r="EV869" s="273"/>
      <c r="EW869" s="273"/>
      <c r="EX869" s="273"/>
      <c r="EY869" s="273"/>
      <c r="EZ869" s="273"/>
      <c r="FA869" s="273"/>
      <c r="FB869" s="273"/>
      <c r="FC869" s="273"/>
      <c r="FD869" s="273"/>
      <c r="FE869" s="273"/>
      <c r="FF869" s="273"/>
      <c r="FG869" s="273"/>
    </row>
    <row r="870" spans="7:16371" ht="45" customHeight="1" x14ac:dyDescent="0.25">
      <c r="G870" s="290"/>
      <c r="H870" s="296"/>
      <c r="I870" s="296"/>
      <c r="J870" s="296"/>
      <c r="K870" s="296"/>
      <c r="L870" s="296"/>
      <c r="M870" s="296"/>
      <c r="N870" s="296"/>
      <c r="O870" s="296"/>
      <c r="P870" s="296"/>
      <c r="Q870" s="296"/>
      <c r="R870" s="296"/>
      <c r="S870" s="296"/>
      <c r="T870" s="296"/>
      <c r="U870" s="296"/>
      <c r="V870" s="273"/>
      <c r="W870" s="273"/>
      <c r="X870" s="273"/>
      <c r="Y870" s="273"/>
      <c r="Z870" s="273"/>
      <c r="AA870" s="273"/>
      <c r="AB870" s="273"/>
      <c r="AC870" s="273"/>
      <c r="AD870" s="273"/>
      <c r="AE870" s="273"/>
      <c r="AF870" s="273"/>
      <c r="AG870" s="273"/>
      <c r="AH870" s="273"/>
      <c r="AI870" s="273"/>
      <c r="AJ870" s="273"/>
      <c r="AK870" s="273"/>
      <c r="AL870" s="273"/>
      <c r="AM870" s="273"/>
      <c r="AN870" s="273"/>
      <c r="AO870" s="273"/>
      <c r="AP870" s="273"/>
      <c r="AQ870" s="273"/>
      <c r="AR870" s="273"/>
      <c r="AS870" s="273"/>
      <c r="AT870" s="273"/>
      <c r="AU870" s="273"/>
      <c r="AV870" s="273"/>
      <c r="AW870" s="273"/>
      <c r="AX870" s="273"/>
      <c r="AY870" s="273"/>
      <c r="AZ870" s="273"/>
      <c r="BA870" s="273"/>
      <c r="BB870" s="273"/>
      <c r="BC870" s="273"/>
      <c r="BD870" s="273"/>
      <c r="BE870" s="273"/>
      <c r="BF870" s="273"/>
      <c r="BG870" s="273"/>
      <c r="BH870" s="273"/>
      <c r="BI870" s="273"/>
      <c r="BJ870" s="273"/>
      <c r="BK870" s="273"/>
      <c r="BL870" s="273"/>
      <c r="BM870" s="273"/>
      <c r="BN870" s="273"/>
      <c r="BO870" s="273"/>
      <c r="BP870" s="273"/>
      <c r="BQ870" s="273"/>
      <c r="BR870" s="273"/>
      <c r="BS870" s="273"/>
      <c r="BT870" s="273"/>
      <c r="BU870" s="273"/>
      <c r="BV870" s="273"/>
      <c r="BW870" s="273"/>
      <c r="BX870" s="273"/>
      <c r="BY870" s="273"/>
      <c r="BZ870" s="273"/>
      <c r="CA870" s="273"/>
      <c r="CB870" s="273"/>
      <c r="CC870" s="273"/>
      <c r="CD870" s="273"/>
      <c r="CE870" s="273"/>
      <c r="CF870" s="273"/>
      <c r="CG870" s="273"/>
      <c r="CH870" s="273"/>
      <c r="CI870" s="273"/>
      <c r="CJ870" s="273"/>
      <c r="CK870" s="273"/>
      <c r="CL870" s="273"/>
      <c r="CM870" s="273"/>
      <c r="CN870" s="273"/>
      <c r="CO870" s="273"/>
      <c r="CP870" s="273"/>
      <c r="CQ870" s="273"/>
      <c r="CR870" s="273"/>
      <c r="CS870" s="273"/>
      <c r="CT870" s="273"/>
      <c r="CU870" s="273"/>
      <c r="CV870" s="273"/>
      <c r="CW870" s="273"/>
      <c r="CX870" s="273"/>
      <c r="CY870" s="273"/>
      <c r="CZ870" s="273"/>
      <c r="DA870" s="273"/>
      <c r="DB870" s="273"/>
      <c r="DC870" s="273"/>
      <c r="DD870" s="273"/>
      <c r="DE870" s="273"/>
      <c r="DF870" s="273"/>
      <c r="DG870" s="273"/>
      <c r="DH870" s="273"/>
      <c r="DI870" s="273"/>
      <c r="DJ870" s="273"/>
      <c r="DK870" s="273"/>
      <c r="DL870" s="273"/>
      <c r="DM870" s="273"/>
      <c r="DN870" s="273"/>
      <c r="DO870" s="273"/>
      <c r="DP870" s="273"/>
      <c r="DQ870" s="273"/>
      <c r="DR870" s="273"/>
      <c r="DS870" s="273"/>
      <c r="DT870" s="273"/>
      <c r="DU870" s="273"/>
      <c r="DV870" s="273"/>
      <c r="DW870" s="273"/>
      <c r="DX870" s="273"/>
      <c r="DY870" s="273"/>
      <c r="DZ870" s="273"/>
      <c r="EA870" s="273"/>
      <c r="EB870" s="273"/>
      <c r="EC870" s="273"/>
      <c r="ED870" s="273"/>
      <c r="EE870" s="273"/>
      <c r="EF870" s="273"/>
      <c r="EG870" s="273"/>
      <c r="EH870" s="273"/>
      <c r="EI870" s="273"/>
      <c r="EJ870" s="273"/>
      <c r="EK870" s="273"/>
      <c r="EL870" s="273"/>
      <c r="EM870" s="273"/>
      <c r="EN870" s="273"/>
      <c r="EO870" s="273"/>
      <c r="EP870" s="273"/>
      <c r="EQ870" s="273"/>
      <c r="ER870" s="273"/>
      <c r="ES870" s="273"/>
      <c r="ET870" s="273"/>
      <c r="EU870" s="273"/>
      <c r="EV870" s="273"/>
      <c r="EW870" s="273"/>
      <c r="EX870" s="273"/>
      <c r="EY870" s="273"/>
      <c r="EZ870" s="273"/>
      <c r="FA870" s="273"/>
      <c r="FB870" s="273"/>
      <c r="FC870" s="273"/>
      <c r="FD870" s="273"/>
      <c r="FE870" s="273"/>
      <c r="FF870" s="273"/>
      <c r="FG870" s="273"/>
    </row>
    <row r="871" spans="7:16371" ht="45" customHeight="1" x14ac:dyDescent="0.25">
      <c r="G871" s="290"/>
      <c r="H871" s="296"/>
      <c r="I871" s="296"/>
      <c r="J871" s="296"/>
      <c r="K871" s="296"/>
      <c r="L871" s="296"/>
      <c r="M871" s="296"/>
      <c r="N871" s="296"/>
      <c r="O871" s="296"/>
      <c r="P871" s="296"/>
      <c r="Q871" s="296"/>
      <c r="R871" s="296"/>
      <c r="S871" s="296"/>
      <c r="T871" s="296"/>
      <c r="U871" s="296"/>
      <c r="V871" s="273"/>
      <c r="W871" s="273"/>
      <c r="X871" s="273"/>
      <c r="Y871" s="273"/>
      <c r="Z871" s="273"/>
      <c r="AA871" s="273"/>
      <c r="AB871" s="273"/>
      <c r="AC871" s="273"/>
      <c r="AD871" s="273"/>
      <c r="AE871" s="273"/>
      <c r="AF871" s="273"/>
      <c r="AG871" s="273"/>
      <c r="AH871" s="273"/>
      <c r="AI871" s="273"/>
      <c r="AJ871" s="273"/>
      <c r="AK871" s="273"/>
      <c r="AL871" s="273"/>
      <c r="AM871" s="273"/>
      <c r="AN871" s="273"/>
      <c r="AO871" s="273"/>
      <c r="AP871" s="273"/>
      <c r="AQ871" s="273"/>
      <c r="AR871" s="273"/>
      <c r="AS871" s="273"/>
      <c r="AT871" s="273"/>
      <c r="AU871" s="273"/>
      <c r="AV871" s="273"/>
      <c r="AW871" s="273"/>
      <c r="AX871" s="273"/>
      <c r="AY871" s="273"/>
      <c r="AZ871" s="273"/>
      <c r="BA871" s="273"/>
      <c r="BB871" s="273"/>
      <c r="BC871" s="273"/>
      <c r="BD871" s="273"/>
      <c r="BE871" s="273"/>
      <c r="BF871" s="273"/>
      <c r="BG871" s="273"/>
      <c r="BH871" s="273"/>
      <c r="BI871" s="273"/>
      <c r="BJ871" s="273"/>
      <c r="BK871" s="273"/>
      <c r="BL871" s="273"/>
      <c r="BM871" s="273"/>
      <c r="BN871" s="273"/>
      <c r="BO871" s="273"/>
      <c r="BP871" s="273"/>
      <c r="BQ871" s="273"/>
      <c r="BR871" s="273"/>
      <c r="BS871" s="273"/>
      <c r="BT871" s="273"/>
      <c r="BU871" s="273"/>
      <c r="BV871" s="273"/>
      <c r="BW871" s="273"/>
      <c r="BX871" s="273"/>
      <c r="BY871" s="273"/>
      <c r="BZ871" s="273"/>
      <c r="CA871" s="273"/>
      <c r="CB871" s="273"/>
      <c r="CC871" s="273"/>
      <c r="CD871" s="273"/>
      <c r="CE871" s="273"/>
      <c r="CF871" s="273"/>
      <c r="CG871" s="273"/>
      <c r="CH871" s="273"/>
      <c r="CI871" s="273"/>
      <c r="CJ871" s="273"/>
      <c r="CK871" s="273"/>
      <c r="CL871" s="273"/>
      <c r="CM871" s="273"/>
      <c r="CN871" s="273"/>
      <c r="CO871" s="273"/>
      <c r="CP871" s="273"/>
      <c r="CQ871" s="273"/>
      <c r="CR871" s="273"/>
      <c r="CS871" s="273"/>
      <c r="CT871" s="273"/>
      <c r="CU871" s="273"/>
      <c r="CV871" s="273"/>
      <c r="CW871" s="273"/>
      <c r="CX871" s="273"/>
      <c r="CY871" s="273"/>
      <c r="CZ871" s="273"/>
      <c r="DA871" s="273"/>
      <c r="DB871" s="273"/>
      <c r="DC871" s="273"/>
      <c r="DD871" s="273"/>
      <c r="DE871" s="273"/>
      <c r="DF871" s="273"/>
      <c r="DG871" s="273"/>
      <c r="DH871" s="273"/>
      <c r="DI871" s="273"/>
      <c r="DJ871" s="273"/>
      <c r="DK871" s="273"/>
      <c r="DL871" s="273"/>
      <c r="DM871" s="273"/>
      <c r="DN871" s="273"/>
      <c r="DO871" s="273"/>
      <c r="DP871" s="273"/>
      <c r="DQ871" s="273"/>
      <c r="DR871" s="273"/>
      <c r="DS871" s="273"/>
      <c r="DT871" s="273"/>
      <c r="DU871" s="273"/>
      <c r="DV871" s="273"/>
      <c r="DW871" s="273"/>
      <c r="DX871" s="273"/>
      <c r="DY871" s="273"/>
      <c r="DZ871" s="273"/>
      <c r="EA871" s="273"/>
      <c r="EB871" s="273"/>
      <c r="EC871" s="273"/>
      <c r="ED871" s="273"/>
      <c r="EE871" s="273"/>
      <c r="EF871" s="273"/>
      <c r="EG871" s="273"/>
      <c r="EH871" s="273"/>
      <c r="EI871" s="273"/>
      <c r="EJ871" s="273"/>
      <c r="EK871" s="273"/>
      <c r="EL871" s="273"/>
      <c r="EM871" s="273"/>
      <c r="EN871" s="273"/>
      <c r="EO871" s="273"/>
      <c r="EP871" s="273"/>
      <c r="EQ871" s="273"/>
      <c r="ER871" s="273"/>
      <c r="ES871" s="273"/>
      <c r="ET871" s="273"/>
      <c r="EU871" s="273"/>
      <c r="EV871" s="273"/>
      <c r="EW871" s="273"/>
      <c r="EX871" s="273"/>
      <c r="EY871" s="273"/>
      <c r="EZ871" s="273"/>
      <c r="FA871" s="273"/>
      <c r="FB871" s="273"/>
      <c r="FC871" s="273"/>
      <c r="FD871" s="273"/>
      <c r="FE871" s="273"/>
      <c r="FF871" s="273"/>
      <c r="FG871" s="273"/>
    </row>
    <row r="872" spans="7:16371" ht="45" customHeight="1" x14ac:dyDescent="0.25">
      <c r="H872" s="297"/>
      <c r="I872" s="297"/>
      <c r="J872" s="297"/>
      <c r="K872" s="297"/>
      <c r="L872" s="297"/>
      <c r="M872" s="297"/>
      <c r="N872" s="297"/>
      <c r="O872" s="297"/>
      <c r="P872" s="297"/>
      <c r="Q872" s="297"/>
      <c r="R872" s="297"/>
      <c r="S872" s="297"/>
      <c r="T872" s="297"/>
      <c r="U872" s="297"/>
    </row>
    <row r="984" spans="1:7" s="253" customFormat="1" ht="45" customHeight="1" x14ac:dyDescent="0.25">
      <c r="A984" s="288"/>
      <c r="B984" s="254"/>
      <c r="C984" s="275"/>
      <c r="D984" s="283"/>
      <c r="E984" s="283"/>
      <c r="F984" s="283"/>
      <c r="G984" s="298"/>
    </row>
    <row r="985" spans="1:7" s="253" customFormat="1" ht="45" customHeight="1" x14ac:dyDescent="0.25">
      <c r="A985" s="288"/>
      <c r="B985" s="254"/>
      <c r="C985" s="275"/>
      <c r="D985" s="283"/>
      <c r="E985" s="283"/>
      <c r="F985" s="283"/>
      <c r="G985" s="298"/>
    </row>
    <row r="986" spans="1:7" s="253" customFormat="1" ht="45" customHeight="1" x14ac:dyDescent="0.25">
      <c r="A986" s="288"/>
      <c r="B986" s="254"/>
      <c r="C986" s="275"/>
      <c r="D986" s="283"/>
      <c r="E986" s="283"/>
      <c r="F986" s="283"/>
      <c r="G986" s="298"/>
    </row>
    <row r="1037" spans="1:7" s="300" customFormat="1" ht="45" customHeight="1" x14ac:dyDescent="0.25">
      <c r="A1037" s="288"/>
      <c r="B1037" s="254"/>
      <c r="C1037" s="275"/>
      <c r="D1037" s="283"/>
      <c r="E1037" s="283"/>
      <c r="F1037" s="283"/>
      <c r="G1037" s="299"/>
    </row>
    <row r="1194" spans="1:7" s="273" customFormat="1" ht="45" customHeight="1" x14ac:dyDescent="0.25">
      <c r="A1194" s="288"/>
      <c r="B1194" s="254"/>
      <c r="C1194" s="275"/>
      <c r="D1194" s="283"/>
      <c r="E1194" s="283"/>
      <c r="F1194" s="283"/>
      <c r="G1194" s="290"/>
    </row>
    <row r="1247" spans="1:7" s="302" customFormat="1" ht="45" customHeight="1" x14ac:dyDescent="0.25">
      <c r="A1247" s="288"/>
      <c r="B1247" s="254"/>
      <c r="C1247" s="275"/>
      <c r="D1247" s="283"/>
      <c r="E1247" s="283"/>
      <c r="F1247" s="283"/>
      <c r="G1247" s="301"/>
    </row>
    <row r="1248" spans="1:7" s="302" customFormat="1" ht="45" customHeight="1" x14ac:dyDescent="0.25">
      <c r="A1248" s="288"/>
      <c r="B1248" s="254"/>
      <c r="C1248" s="275"/>
      <c r="D1248" s="283"/>
      <c r="E1248" s="283"/>
      <c r="F1248" s="283"/>
      <c r="G1248" s="301"/>
    </row>
    <row r="1249" spans="1:7" s="302" customFormat="1" ht="45" customHeight="1" x14ac:dyDescent="0.25">
      <c r="A1249" s="288"/>
      <c r="B1249" s="254"/>
      <c r="C1249" s="275"/>
      <c r="D1249" s="283"/>
      <c r="E1249" s="283"/>
      <c r="F1249" s="283"/>
      <c r="G1249" s="301"/>
    </row>
    <row r="1250" spans="1:7" s="302" customFormat="1" ht="45" customHeight="1" x14ac:dyDescent="0.25">
      <c r="A1250" s="288"/>
      <c r="B1250" s="254"/>
      <c r="C1250" s="275"/>
      <c r="D1250" s="283"/>
      <c r="E1250" s="283"/>
      <c r="F1250" s="283"/>
      <c r="G1250" s="301"/>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3" t="s">
        <v>62</v>
      </c>
      <c r="C3" s="464"/>
      <c r="D3" s="464"/>
      <c r="E3" s="464"/>
      <c r="F3" s="464"/>
      <c r="G3" s="464"/>
      <c r="H3" s="464"/>
      <c r="I3" s="464"/>
      <c r="J3" s="464"/>
      <c r="K3" s="464"/>
      <c r="L3" s="464"/>
      <c r="M3" s="464"/>
      <c r="N3" s="464"/>
      <c r="O3" s="464"/>
      <c r="P3" s="464"/>
      <c r="Q3" s="464"/>
      <c r="R3" s="464"/>
      <c r="S3" s="464"/>
      <c r="T3" s="464"/>
      <c r="U3" s="464"/>
      <c r="V3" s="464"/>
      <c r="W3" s="464"/>
      <c r="X3" s="464"/>
      <c r="Y3" s="465"/>
      <c r="Z3" s="7"/>
      <c r="AA3" s="8"/>
    </row>
    <row r="4" spans="2:27" s="3" customFormat="1" ht="36.6" customHeight="1" thickBot="1" x14ac:dyDescent="0.3">
      <c r="B4" s="466" t="s">
        <v>0</v>
      </c>
      <c r="C4" s="467"/>
      <c r="D4" s="468"/>
      <c r="E4" s="469"/>
      <c r="F4" s="469"/>
      <c r="G4" s="469"/>
      <c r="H4" s="469"/>
      <c r="I4" s="469"/>
      <c r="J4" s="469"/>
      <c r="K4" s="470"/>
      <c r="L4" s="9"/>
      <c r="M4" s="437"/>
      <c r="N4" s="438"/>
      <c r="O4" s="438"/>
      <c r="P4" s="439"/>
      <c r="Q4" s="460"/>
      <c r="R4" s="461"/>
      <c r="S4" s="461"/>
      <c r="T4" s="461"/>
      <c r="U4" s="461"/>
      <c r="V4" s="461"/>
      <c r="W4" s="461"/>
      <c r="X4" s="461"/>
      <c r="Y4" s="462"/>
    </row>
    <row r="5" spans="2:27" s="3" customFormat="1" ht="36.6" customHeight="1" thickBot="1" x14ac:dyDescent="0.3">
      <c r="B5" s="471" t="s">
        <v>1</v>
      </c>
      <c r="C5" s="472"/>
      <c r="D5" s="473"/>
      <c r="E5" s="474"/>
      <c r="F5" s="474"/>
      <c r="G5" s="474"/>
      <c r="H5" s="474"/>
      <c r="I5" s="474"/>
      <c r="J5" s="474"/>
      <c r="K5" s="475"/>
      <c r="L5" s="9"/>
      <c r="M5" s="471" t="s">
        <v>2</v>
      </c>
      <c r="N5" s="476"/>
      <c r="O5" s="476"/>
      <c r="P5" s="472"/>
      <c r="Q5" s="460"/>
      <c r="R5" s="461"/>
      <c r="S5" s="461"/>
      <c r="T5" s="461"/>
      <c r="U5" s="461"/>
      <c r="V5" s="461"/>
      <c r="W5" s="461"/>
      <c r="X5" s="461"/>
      <c r="Y5" s="462"/>
    </row>
    <row r="6" spans="2:27" s="3" customFormat="1" ht="36.6" customHeight="1" thickBot="1" x14ac:dyDescent="0.3">
      <c r="B6" s="437" t="s">
        <v>3</v>
      </c>
      <c r="C6" s="439"/>
      <c r="D6" s="434"/>
      <c r="E6" s="435"/>
      <c r="F6" s="435"/>
      <c r="G6" s="436"/>
      <c r="H6" s="457" t="s">
        <v>4</v>
      </c>
      <c r="I6" s="458"/>
      <c r="J6" s="458"/>
      <c r="K6" s="459"/>
      <c r="L6" s="9"/>
      <c r="M6" s="437" t="s">
        <v>5</v>
      </c>
      <c r="N6" s="438"/>
      <c r="O6" s="438"/>
      <c r="P6" s="439"/>
      <c r="Q6" s="440"/>
      <c r="R6" s="441"/>
      <c r="S6" s="441"/>
      <c r="T6" s="441"/>
      <c r="U6" s="441"/>
      <c r="V6" s="441"/>
      <c r="W6" s="441"/>
      <c r="X6" s="441"/>
      <c r="Y6" s="442"/>
    </row>
    <row r="7" spans="2:27" s="3" customFormat="1" ht="36.6" customHeight="1" thickBot="1" x14ac:dyDescent="0.3">
      <c r="B7" s="432" t="s">
        <v>6</v>
      </c>
      <c r="C7" s="433"/>
      <c r="D7" s="434"/>
      <c r="E7" s="435"/>
      <c r="F7" s="435"/>
      <c r="G7" s="435"/>
      <c r="H7" s="435"/>
      <c r="I7" s="435"/>
      <c r="J7" s="435"/>
      <c r="K7" s="436"/>
      <c r="L7" s="9"/>
      <c r="M7" s="437" t="s">
        <v>7</v>
      </c>
      <c r="N7" s="438"/>
      <c r="O7" s="438"/>
      <c r="P7" s="439"/>
      <c r="Q7" s="460"/>
      <c r="R7" s="461"/>
      <c r="S7" s="461"/>
      <c r="T7" s="461"/>
      <c r="U7" s="461"/>
      <c r="V7" s="461"/>
      <c r="W7" s="461"/>
      <c r="X7" s="461"/>
      <c r="Y7" s="462"/>
    </row>
    <row r="8" spans="2:27" s="3" customFormat="1" ht="36.6" customHeight="1" thickBot="1" x14ac:dyDescent="0.3">
      <c r="B8" s="432" t="s">
        <v>8</v>
      </c>
      <c r="C8" s="433"/>
      <c r="D8" s="434"/>
      <c r="E8" s="435"/>
      <c r="F8" s="435"/>
      <c r="G8" s="435"/>
      <c r="H8" s="435"/>
      <c r="I8" s="435"/>
      <c r="J8" s="435"/>
      <c r="K8" s="436"/>
      <c r="L8" s="10"/>
      <c r="M8" s="437" t="s">
        <v>9</v>
      </c>
      <c r="N8" s="438"/>
      <c r="O8" s="438"/>
      <c r="P8" s="439"/>
      <c r="Q8" s="440"/>
      <c r="R8" s="441"/>
      <c r="S8" s="441"/>
      <c r="T8" s="441"/>
      <c r="U8" s="441"/>
      <c r="V8" s="441"/>
      <c r="W8" s="441"/>
      <c r="X8" s="441"/>
      <c r="Y8" s="442"/>
    </row>
    <row r="9" spans="2:27" s="3" customFormat="1" ht="32.25" customHeight="1" thickBot="1" x14ac:dyDescent="0.3">
      <c r="B9" s="11"/>
      <c r="C9" s="443" t="s">
        <v>10</v>
      </c>
      <c r="D9" s="445" t="s">
        <v>11</v>
      </c>
      <c r="E9" s="447" t="s">
        <v>12</v>
      </c>
      <c r="F9" s="447"/>
      <c r="G9" s="447"/>
      <c r="H9" s="447"/>
      <c r="I9" s="447"/>
      <c r="J9" s="447"/>
      <c r="K9" s="447"/>
      <c r="L9" s="447"/>
      <c r="M9" s="447"/>
      <c r="N9" s="447"/>
      <c r="O9" s="447"/>
      <c r="P9" s="447"/>
      <c r="Q9" s="447"/>
      <c r="R9" s="448"/>
      <c r="S9" s="449" t="s">
        <v>13</v>
      </c>
      <c r="T9" s="451" t="s">
        <v>14</v>
      </c>
      <c r="U9" s="453" t="s">
        <v>15</v>
      </c>
      <c r="V9" s="453"/>
      <c r="W9" s="453"/>
      <c r="X9" s="453"/>
      <c r="Y9" s="454"/>
    </row>
    <row r="10" spans="2:27" s="14" customFormat="1" ht="120" customHeight="1" thickBot="1" x14ac:dyDescent="0.35">
      <c r="B10" s="12"/>
      <c r="C10" s="444"/>
      <c r="D10" s="446"/>
      <c r="E10" s="426" t="s">
        <v>16</v>
      </c>
      <c r="F10" s="427"/>
      <c r="G10" s="426" t="s">
        <v>17</v>
      </c>
      <c r="H10" s="427"/>
      <c r="I10" s="426" t="s">
        <v>18</v>
      </c>
      <c r="J10" s="427"/>
      <c r="K10" s="426" t="s">
        <v>19</v>
      </c>
      <c r="L10" s="427"/>
      <c r="M10" s="428" t="s">
        <v>20</v>
      </c>
      <c r="N10" s="429"/>
      <c r="O10" s="430"/>
      <c r="P10" s="428" t="s">
        <v>21</v>
      </c>
      <c r="Q10" s="431"/>
      <c r="R10" s="13" t="s">
        <v>22</v>
      </c>
      <c r="S10" s="450"/>
      <c r="T10" s="452"/>
      <c r="U10" s="455"/>
      <c r="V10" s="455"/>
      <c r="W10" s="455"/>
      <c r="X10" s="455"/>
      <c r="Y10" s="456"/>
    </row>
    <row r="11" spans="2:27" s="3" customFormat="1" ht="87.6" customHeight="1" x14ac:dyDescent="0.25">
      <c r="B11" s="15">
        <v>1</v>
      </c>
      <c r="C11" s="16" t="s">
        <v>23</v>
      </c>
      <c r="D11" s="422"/>
      <c r="E11" s="424">
        <v>213</v>
      </c>
      <c r="F11" s="420"/>
      <c r="G11" s="420">
        <v>186</v>
      </c>
      <c r="H11" s="420"/>
      <c r="I11" s="420">
        <v>168</v>
      </c>
      <c r="J11" s="420"/>
      <c r="K11" s="420">
        <v>264</v>
      </c>
      <c r="L11" s="420"/>
      <c r="M11" s="425">
        <v>292</v>
      </c>
      <c r="N11" s="425"/>
      <c r="O11" s="425"/>
      <c r="P11" s="420">
        <v>295</v>
      </c>
      <c r="Q11" s="421"/>
      <c r="R11" s="17">
        <v>1418</v>
      </c>
      <c r="S11" s="18"/>
      <c r="T11" s="19" t="s">
        <v>24</v>
      </c>
      <c r="U11" s="386"/>
      <c r="V11" s="387"/>
      <c r="W11" s="387"/>
      <c r="X11" s="387"/>
      <c r="Y11" s="388"/>
    </row>
    <row r="12" spans="2:27" s="3" customFormat="1" ht="87.6" customHeight="1" x14ac:dyDescent="0.25">
      <c r="B12" s="15" t="s">
        <v>25</v>
      </c>
      <c r="C12" s="16" t="s">
        <v>26</v>
      </c>
      <c r="D12" s="423"/>
      <c r="E12" s="416">
        <v>35</v>
      </c>
      <c r="F12" s="417"/>
      <c r="G12" s="417">
        <v>18</v>
      </c>
      <c r="H12" s="417"/>
      <c r="I12" s="417">
        <v>18</v>
      </c>
      <c r="J12" s="417"/>
      <c r="K12" s="417">
        <v>28</v>
      </c>
      <c r="L12" s="417"/>
      <c r="M12" s="418">
        <v>40</v>
      </c>
      <c r="N12" s="418"/>
      <c r="O12" s="418"/>
      <c r="P12" s="417">
        <v>21</v>
      </c>
      <c r="Q12" s="419"/>
      <c r="R12" s="17">
        <v>160</v>
      </c>
      <c r="S12" s="20"/>
      <c r="T12" s="19" t="s">
        <v>24</v>
      </c>
      <c r="U12" s="386"/>
      <c r="V12" s="387"/>
      <c r="W12" s="387"/>
      <c r="X12" s="387"/>
      <c r="Y12" s="388"/>
    </row>
    <row r="13" spans="2:27" s="3" customFormat="1" ht="87.6" customHeight="1" x14ac:dyDescent="0.25">
      <c r="B13" s="15">
        <v>2</v>
      </c>
      <c r="C13" s="16" t="s">
        <v>27</v>
      </c>
      <c r="D13" s="21">
        <v>5365</v>
      </c>
      <c r="E13" s="416">
        <v>836</v>
      </c>
      <c r="F13" s="417"/>
      <c r="G13" s="417">
        <v>783</v>
      </c>
      <c r="H13" s="417"/>
      <c r="I13" s="417">
        <v>1394</v>
      </c>
      <c r="J13" s="417"/>
      <c r="K13" s="417">
        <v>667</v>
      </c>
      <c r="L13" s="417"/>
      <c r="M13" s="418">
        <v>827</v>
      </c>
      <c r="N13" s="418"/>
      <c r="O13" s="418"/>
      <c r="P13" s="417">
        <v>827</v>
      </c>
      <c r="Q13" s="419"/>
      <c r="R13" s="17">
        <v>5334</v>
      </c>
      <c r="S13" s="22">
        <v>1.0049999999999999</v>
      </c>
      <c r="T13" s="19" t="s">
        <v>24</v>
      </c>
      <c r="U13" s="386"/>
      <c r="V13" s="387"/>
      <c r="W13" s="387"/>
      <c r="X13" s="387"/>
      <c r="Y13" s="388"/>
    </row>
    <row r="14" spans="2:27" s="3" customFormat="1" ht="87.6" customHeight="1" x14ac:dyDescent="0.25">
      <c r="B14" s="15" t="s">
        <v>28</v>
      </c>
      <c r="C14" s="16" t="s">
        <v>29</v>
      </c>
      <c r="D14" s="21">
        <v>4</v>
      </c>
      <c r="E14" s="416">
        <v>0</v>
      </c>
      <c r="F14" s="417"/>
      <c r="G14" s="417">
        <v>1</v>
      </c>
      <c r="H14" s="417"/>
      <c r="I14" s="417">
        <v>2</v>
      </c>
      <c r="J14" s="417"/>
      <c r="K14" s="417">
        <v>0</v>
      </c>
      <c r="L14" s="417"/>
      <c r="M14" s="418">
        <v>0</v>
      </c>
      <c r="N14" s="418"/>
      <c r="O14" s="418"/>
      <c r="P14" s="417">
        <v>1</v>
      </c>
      <c r="Q14" s="419"/>
      <c r="R14" s="17">
        <v>4</v>
      </c>
      <c r="S14" s="22">
        <v>1</v>
      </c>
      <c r="T14" s="19" t="s">
        <v>24</v>
      </c>
      <c r="U14" s="386"/>
      <c r="V14" s="387"/>
      <c r="W14" s="387"/>
      <c r="X14" s="387"/>
      <c r="Y14" s="388"/>
    </row>
    <row r="15" spans="2:27" s="3" customFormat="1" ht="87.6" customHeight="1" thickBot="1" x14ac:dyDescent="0.3">
      <c r="B15" s="15" t="s">
        <v>30</v>
      </c>
      <c r="C15" s="16" t="s">
        <v>31</v>
      </c>
      <c r="D15" s="21">
        <v>21</v>
      </c>
      <c r="E15" s="412">
        <v>2</v>
      </c>
      <c r="F15" s="413"/>
      <c r="G15" s="413">
        <v>0</v>
      </c>
      <c r="H15" s="413"/>
      <c r="I15" s="413">
        <v>5</v>
      </c>
      <c r="J15" s="413"/>
      <c r="K15" s="413">
        <v>2</v>
      </c>
      <c r="L15" s="413"/>
      <c r="M15" s="414">
        <v>4</v>
      </c>
      <c r="N15" s="414"/>
      <c r="O15" s="414"/>
      <c r="P15" s="413">
        <v>8</v>
      </c>
      <c r="Q15" s="415"/>
      <c r="R15" s="23">
        <v>21</v>
      </c>
      <c r="S15" s="22">
        <v>1</v>
      </c>
      <c r="T15" s="19" t="s">
        <v>24</v>
      </c>
      <c r="U15" s="386"/>
      <c r="V15" s="387"/>
      <c r="W15" s="387"/>
      <c r="X15" s="387"/>
      <c r="Y15" s="388"/>
    </row>
    <row r="16" spans="2:27" s="3" customFormat="1" ht="87.6" customHeight="1" thickBot="1" x14ac:dyDescent="0.3">
      <c r="B16" s="15"/>
      <c r="C16" s="24" t="s">
        <v>32</v>
      </c>
      <c r="D16" s="21">
        <v>6836</v>
      </c>
      <c r="E16" s="409">
        <v>1049</v>
      </c>
      <c r="F16" s="410"/>
      <c r="G16" s="409">
        <v>969</v>
      </c>
      <c r="H16" s="410"/>
      <c r="I16" s="409">
        <v>1562</v>
      </c>
      <c r="J16" s="410"/>
      <c r="K16" s="409">
        <v>931</v>
      </c>
      <c r="L16" s="410"/>
      <c r="M16" s="409">
        <v>1119</v>
      </c>
      <c r="N16" s="411"/>
      <c r="O16" s="410"/>
      <c r="P16" s="409">
        <v>1122</v>
      </c>
      <c r="Q16" s="410"/>
      <c r="R16" s="25">
        <v>6752</v>
      </c>
      <c r="S16" s="22">
        <v>1.012</v>
      </c>
      <c r="T16" s="19" t="s">
        <v>24</v>
      </c>
      <c r="U16" s="386"/>
      <c r="V16" s="387"/>
      <c r="W16" s="387"/>
      <c r="X16" s="387"/>
      <c r="Y16" s="388"/>
    </row>
    <row r="17" spans="2:28" s="3" customFormat="1" ht="87.6" customHeight="1" thickBot="1" x14ac:dyDescent="0.3">
      <c r="B17" s="15"/>
      <c r="C17" s="16" t="s">
        <v>33</v>
      </c>
      <c r="D17" s="21">
        <v>187</v>
      </c>
      <c r="E17" s="409">
        <v>35</v>
      </c>
      <c r="F17" s="410"/>
      <c r="G17" s="409">
        <v>19</v>
      </c>
      <c r="H17" s="410"/>
      <c r="I17" s="409">
        <v>20</v>
      </c>
      <c r="J17" s="410"/>
      <c r="K17" s="409">
        <v>28</v>
      </c>
      <c r="L17" s="410"/>
      <c r="M17" s="409">
        <v>40</v>
      </c>
      <c r="N17" s="411"/>
      <c r="O17" s="410"/>
      <c r="P17" s="409">
        <v>22</v>
      </c>
      <c r="Q17" s="410"/>
      <c r="R17" s="25">
        <v>164</v>
      </c>
      <c r="S17" s="22">
        <v>1.1399999999999999</v>
      </c>
      <c r="T17" s="19" t="s">
        <v>24</v>
      </c>
      <c r="U17" s="386"/>
      <c r="V17" s="387"/>
      <c r="W17" s="387"/>
      <c r="X17" s="387"/>
      <c r="Y17" s="388"/>
    </row>
    <row r="18" spans="2:28" s="3" customFormat="1" ht="87.6" customHeight="1" x14ac:dyDescent="0.25">
      <c r="B18" s="15">
        <v>3</v>
      </c>
      <c r="C18" s="16" t="s">
        <v>34</v>
      </c>
      <c r="D18" s="21">
        <v>25</v>
      </c>
      <c r="E18" s="405">
        <v>2</v>
      </c>
      <c r="F18" s="406"/>
      <c r="G18" s="406">
        <v>1</v>
      </c>
      <c r="H18" s="406"/>
      <c r="I18" s="406">
        <v>7</v>
      </c>
      <c r="J18" s="406"/>
      <c r="K18" s="406">
        <v>2</v>
      </c>
      <c r="L18" s="406"/>
      <c r="M18" s="407">
        <v>4</v>
      </c>
      <c r="N18" s="407"/>
      <c r="O18" s="407"/>
      <c r="P18" s="406">
        <v>9</v>
      </c>
      <c r="Q18" s="408"/>
      <c r="R18" s="26">
        <v>25</v>
      </c>
      <c r="S18" s="22">
        <v>1</v>
      </c>
      <c r="T18" s="19" t="s">
        <v>24</v>
      </c>
      <c r="U18" s="386"/>
      <c r="V18" s="387"/>
      <c r="W18" s="387"/>
      <c r="X18" s="387"/>
      <c r="Y18" s="388"/>
    </row>
    <row r="19" spans="2:28" s="3" customFormat="1" ht="87.6" customHeight="1" thickBot="1" x14ac:dyDescent="0.3">
      <c r="B19" s="15">
        <v>4</v>
      </c>
      <c r="C19" s="16" t="s">
        <v>35</v>
      </c>
      <c r="D19" s="27">
        <v>104</v>
      </c>
      <c r="E19" s="400">
        <v>24</v>
      </c>
      <c r="F19" s="401"/>
      <c r="G19" s="401">
        <v>10</v>
      </c>
      <c r="H19" s="401"/>
      <c r="I19" s="401">
        <v>4</v>
      </c>
      <c r="J19" s="401"/>
      <c r="K19" s="401">
        <v>19</v>
      </c>
      <c r="L19" s="401"/>
      <c r="M19" s="402">
        <v>21</v>
      </c>
      <c r="N19" s="402"/>
      <c r="O19" s="402"/>
      <c r="P19" s="401">
        <v>26</v>
      </c>
      <c r="Q19" s="403"/>
      <c r="R19" s="17">
        <v>104</v>
      </c>
      <c r="S19" s="22">
        <v>1</v>
      </c>
      <c r="T19" s="19" t="s">
        <v>24</v>
      </c>
      <c r="U19" s="386"/>
      <c r="V19" s="387"/>
      <c r="W19" s="387"/>
      <c r="X19" s="387"/>
      <c r="Y19" s="388"/>
    </row>
    <row r="20" spans="2:28" s="3" customFormat="1" ht="24.75" customHeight="1" thickBot="1" x14ac:dyDescent="0.3">
      <c r="B20" s="15"/>
      <c r="C20" s="389" t="s">
        <v>36</v>
      </c>
      <c r="D20" s="392" t="s">
        <v>37</v>
      </c>
      <c r="E20" s="393"/>
      <c r="F20" s="393"/>
      <c r="G20" s="393"/>
      <c r="H20" s="393"/>
      <c r="I20" s="393"/>
      <c r="J20" s="393"/>
      <c r="K20" s="393"/>
      <c r="L20" s="393"/>
      <c r="M20" s="394"/>
      <c r="N20" s="395"/>
      <c r="O20" s="397" t="s">
        <v>38</v>
      </c>
      <c r="P20" s="393"/>
      <c r="Q20" s="393"/>
      <c r="R20" s="398"/>
      <c r="S20" s="398"/>
      <c r="T20" s="398"/>
      <c r="U20" s="393"/>
      <c r="V20" s="393"/>
      <c r="W20" s="393"/>
      <c r="X20" s="394"/>
      <c r="Y20" s="28" t="s">
        <v>15</v>
      </c>
      <c r="Z20" s="29"/>
      <c r="AA20" s="30"/>
      <c r="AB20" s="31"/>
    </row>
    <row r="21" spans="2:28" s="14" customFormat="1" ht="111.6" customHeight="1" x14ac:dyDescent="0.3">
      <c r="B21" s="32">
        <v>5</v>
      </c>
      <c r="C21" s="390"/>
      <c r="D21" s="399" t="s">
        <v>39</v>
      </c>
      <c r="E21" s="381"/>
      <c r="F21" s="382" t="s">
        <v>40</v>
      </c>
      <c r="G21" s="381"/>
      <c r="H21" s="382" t="s">
        <v>41</v>
      </c>
      <c r="I21" s="383"/>
      <c r="J21" s="380" t="s">
        <v>42</v>
      </c>
      <c r="K21" s="381"/>
      <c r="L21" s="382" t="s">
        <v>43</v>
      </c>
      <c r="M21" s="383"/>
      <c r="N21" s="395"/>
      <c r="O21" s="399" t="s">
        <v>44</v>
      </c>
      <c r="P21" s="381"/>
      <c r="Q21" s="382" t="s">
        <v>45</v>
      </c>
      <c r="R21" s="381"/>
      <c r="S21" s="382" t="s">
        <v>46</v>
      </c>
      <c r="T21" s="383"/>
      <c r="U21" s="380" t="s">
        <v>47</v>
      </c>
      <c r="V21" s="381"/>
      <c r="W21" s="382" t="s">
        <v>48</v>
      </c>
      <c r="X21" s="383"/>
      <c r="Y21" s="384"/>
      <c r="Z21" s="33"/>
      <c r="AA21" s="34"/>
      <c r="AB21" s="34"/>
    </row>
    <row r="22" spans="2:28" s="3" customFormat="1" ht="58.5" customHeight="1" thickBot="1" x14ac:dyDescent="0.3">
      <c r="B22" s="35"/>
      <c r="C22" s="391"/>
      <c r="D22" s="404">
        <v>87</v>
      </c>
      <c r="E22" s="375"/>
      <c r="F22" s="374">
        <v>87</v>
      </c>
      <c r="G22" s="375"/>
      <c r="H22" s="374">
        <v>87</v>
      </c>
      <c r="I22" s="376"/>
      <c r="J22" s="377">
        <v>1</v>
      </c>
      <c r="K22" s="378"/>
      <c r="L22" s="377">
        <v>1</v>
      </c>
      <c r="M22" s="378"/>
      <c r="N22" s="396"/>
      <c r="O22" s="404">
        <v>109</v>
      </c>
      <c r="P22" s="375"/>
      <c r="Q22" s="374">
        <v>109</v>
      </c>
      <c r="R22" s="375"/>
      <c r="S22" s="374">
        <v>109</v>
      </c>
      <c r="T22" s="376"/>
      <c r="U22" s="377">
        <v>1</v>
      </c>
      <c r="V22" s="378"/>
      <c r="W22" s="377">
        <v>1</v>
      </c>
      <c r="X22" s="378"/>
      <c r="Y22" s="385"/>
      <c r="Z22" s="30"/>
      <c r="AA22" s="31"/>
      <c r="AB22" s="31"/>
    </row>
    <row r="23" spans="2:28" ht="10.15" customHeight="1" thickBot="1" x14ac:dyDescent="0.3"/>
    <row r="24" spans="2:28" s="41" customFormat="1" ht="60" customHeight="1" thickBot="1" x14ac:dyDescent="0.3">
      <c r="B24" s="366" t="s">
        <v>49</v>
      </c>
      <c r="C24" s="366"/>
      <c r="D24" s="37" t="s">
        <v>50</v>
      </c>
      <c r="E24" s="367" t="s">
        <v>51</v>
      </c>
      <c r="F24" s="368"/>
      <c r="G24" s="369"/>
      <c r="H24" s="370"/>
      <c r="I24" s="370"/>
      <c r="J24" s="370"/>
      <c r="K24" s="371"/>
      <c r="L24" s="38"/>
      <c r="M24" s="39"/>
      <c r="N24" s="39"/>
      <c r="O24" s="39"/>
      <c r="P24" s="39"/>
      <c r="Q24" s="39"/>
      <c r="R24" s="39"/>
      <c r="S24" s="39"/>
      <c r="T24" s="39"/>
      <c r="U24" s="39"/>
      <c r="V24" s="39"/>
      <c r="W24" s="39"/>
      <c r="X24" s="39"/>
      <c r="Y24" s="40"/>
    </row>
    <row r="25" spans="2:28" ht="54" customHeight="1" thickBot="1" x14ac:dyDescent="0.3">
      <c r="B25" s="366" t="s">
        <v>52</v>
      </c>
      <c r="C25" s="366"/>
      <c r="D25" s="37" t="s">
        <v>53</v>
      </c>
      <c r="E25" s="42"/>
      <c r="F25" s="42"/>
      <c r="G25" s="42"/>
      <c r="H25" s="43"/>
      <c r="I25" s="43"/>
      <c r="J25" s="43"/>
      <c r="K25" s="43"/>
      <c r="L25" s="43"/>
    </row>
    <row r="26" spans="2:28" ht="59.45" customHeight="1" thickBot="1" x14ac:dyDescent="0.3">
      <c r="B26" s="372" t="s">
        <v>54</v>
      </c>
      <c r="C26" s="373"/>
      <c r="D26" s="37" t="s">
        <v>50</v>
      </c>
      <c r="E26" s="367" t="s">
        <v>55</v>
      </c>
      <c r="F26" s="368"/>
      <c r="G26" s="369"/>
      <c r="H26" s="370"/>
      <c r="I26" s="370"/>
      <c r="J26" s="370"/>
      <c r="K26" s="371"/>
      <c r="L26" s="43"/>
    </row>
    <row r="27" spans="2:28" ht="10.5" customHeight="1" x14ac:dyDescent="0.25">
      <c r="B27" s="44"/>
      <c r="C27" s="44"/>
    </row>
    <row r="28" spans="2:28" s="41" customFormat="1" ht="54.6" customHeight="1" x14ac:dyDescent="0.25">
      <c r="B28" s="45"/>
      <c r="C28" s="45" t="s">
        <v>56</v>
      </c>
      <c r="D28" s="379" t="s">
        <v>57</v>
      </c>
      <c r="E28" s="379"/>
      <c r="F28" s="379"/>
      <c r="G28" s="379"/>
      <c r="H28" s="379"/>
      <c r="I28" s="379"/>
      <c r="J28" s="379"/>
      <c r="K28" s="37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9" t="s">
        <v>57</v>
      </c>
      <c r="E30" s="379"/>
      <c r="F30" s="379"/>
      <c r="G30" s="379"/>
      <c r="H30" s="379"/>
      <c r="I30" s="379"/>
      <c r="J30" s="379"/>
      <c r="K30" s="379"/>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80" t="s">
        <v>64</v>
      </c>
      <c r="D2" s="477" t="s">
        <v>99</v>
      </c>
      <c r="E2" s="51" t="s">
        <v>100</v>
      </c>
    </row>
    <row r="3" spans="3:5" x14ac:dyDescent="0.25">
      <c r="C3" s="481"/>
      <c r="D3" s="478"/>
      <c r="E3" s="51"/>
    </row>
    <row r="4" spans="3:5" ht="30.75" thickBot="1" x14ac:dyDescent="0.3">
      <c r="C4" s="481"/>
      <c r="D4" s="479"/>
      <c r="E4" s="52" t="s">
        <v>101</v>
      </c>
    </row>
    <row r="5" spans="3:5" x14ac:dyDescent="0.25">
      <c r="C5" s="481"/>
      <c r="D5" s="477" t="s">
        <v>102</v>
      </c>
      <c r="E5" s="51" t="s">
        <v>103</v>
      </c>
    </row>
    <row r="6" spans="3:5" ht="15.75" thickBot="1" x14ac:dyDescent="0.3">
      <c r="C6" s="481"/>
      <c r="D6" s="479"/>
      <c r="E6" s="52" t="s">
        <v>104</v>
      </c>
    </row>
    <row r="7" spans="3:5" ht="60.75" thickBot="1" x14ac:dyDescent="0.3">
      <c r="C7" s="481"/>
      <c r="D7" s="52" t="s">
        <v>105</v>
      </c>
      <c r="E7" s="52" t="s">
        <v>106</v>
      </c>
    </row>
    <row r="8" spans="3:5" ht="30.75" thickBot="1" x14ac:dyDescent="0.3">
      <c r="C8" s="481"/>
      <c r="D8" s="53" t="s">
        <v>107</v>
      </c>
      <c r="E8" s="52" t="s">
        <v>108</v>
      </c>
    </row>
    <row r="9" spans="3:5" x14ac:dyDescent="0.25">
      <c r="C9" s="481"/>
      <c r="D9" s="477" t="s">
        <v>109</v>
      </c>
      <c r="E9" s="51" t="s">
        <v>110</v>
      </c>
    </row>
    <row r="10" spans="3:5" ht="45.75" thickBot="1" x14ac:dyDescent="0.3">
      <c r="C10" s="482"/>
      <c r="D10" s="479"/>
      <c r="E10" s="52" t="s">
        <v>111</v>
      </c>
    </row>
    <row r="11" spans="3:5" ht="45.75" thickBot="1" x14ac:dyDescent="0.3">
      <c r="C11" s="480" t="s">
        <v>70</v>
      </c>
      <c r="D11" s="52" t="s">
        <v>112</v>
      </c>
      <c r="E11" s="52" t="s">
        <v>113</v>
      </c>
    </row>
    <row r="12" spans="3:5" ht="60.75" thickBot="1" x14ac:dyDescent="0.3">
      <c r="C12" s="481"/>
      <c r="D12" s="52" t="s">
        <v>114</v>
      </c>
      <c r="E12" s="52" t="s">
        <v>115</v>
      </c>
    </row>
    <row r="13" spans="3:5" x14ac:dyDescent="0.25">
      <c r="C13" s="481"/>
      <c r="D13" s="51"/>
      <c r="E13" s="51" t="s">
        <v>117</v>
      </c>
    </row>
    <row r="14" spans="3:5" ht="105.75" thickBot="1" x14ac:dyDescent="0.3">
      <c r="C14" s="481"/>
      <c r="D14" s="53" t="s">
        <v>116</v>
      </c>
      <c r="E14" s="52" t="s">
        <v>118</v>
      </c>
    </row>
    <row r="15" spans="3:5" x14ac:dyDescent="0.25">
      <c r="C15" s="481"/>
      <c r="D15" s="51"/>
      <c r="E15" s="477" t="s">
        <v>122</v>
      </c>
    </row>
    <row r="16" spans="3:5" ht="30" x14ac:dyDescent="0.25">
      <c r="C16" s="481"/>
      <c r="D16" s="51" t="s">
        <v>119</v>
      </c>
      <c r="E16" s="478"/>
    </row>
    <row r="17" spans="3:5" ht="30" x14ac:dyDescent="0.25">
      <c r="C17" s="481"/>
      <c r="D17" s="51" t="s">
        <v>120</v>
      </c>
      <c r="E17" s="478"/>
    </row>
    <row r="18" spans="3:5" ht="15.75" thickBot="1" x14ac:dyDescent="0.3">
      <c r="C18" s="482"/>
      <c r="D18" s="52" t="s">
        <v>121</v>
      </c>
      <c r="E18" s="479"/>
    </row>
    <row r="19" spans="3:5" ht="45.75" thickBot="1" x14ac:dyDescent="0.3">
      <c r="C19" s="480" t="s">
        <v>73</v>
      </c>
      <c r="D19" s="52" t="s">
        <v>123</v>
      </c>
      <c r="E19" s="52" t="s">
        <v>122</v>
      </c>
    </row>
    <row r="20" spans="3:5" x14ac:dyDescent="0.25">
      <c r="C20" s="481"/>
      <c r="D20" s="51" t="s">
        <v>124</v>
      </c>
      <c r="E20" s="51" t="s">
        <v>127</v>
      </c>
    </row>
    <row r="21" spans="3:5" ht="30" x14ac:dyDescent="0.25">
      <c r="C21" s="481"/>
      <c r="D21" s="51" t="s">
        <v>125</v>
      </c>
      <c r="E21" s="51" t="s">
        <v>128</v>
      </c>
    </row>
    <row r="22" spans="3:5" ht="30.75" thickBot="1" x14ac:dyDescent="0.3">
      <c r="C22" s="481"/>
      <c r="D22" s="52" t="s">
        <v>126</v>
      </c>
      <c r="E22" s="54"/>
    </row>
    <row r="23" spans="3:5" ht="30.75" thickBot="1" x14ac:dyDescent="0.3">
      <c r="C23" s="482"/>
      <c r="D23" s="53" t="s">
        <v>129</v>
      </c>
      <c r="E23" s="52" t="s">
        <v>101</v>
      </c>
    </row>
    <row r="24" spans="3:5" ht="60.75" thickBot="1" x14ac:dyDescent="0.3">
      <c r="C24" s="480" t="s">
        <v>72</v>
      </c>
      <c r="D24" s="53" t="s">
        <v>130</v>
      </c>
      <c r="E24" s="52" t="s">
        <v>131</v>
      </c>
    </row>
    <row r="25" spans="3:5" ht="30" x14ac:dyDescent="0.25">
      <c r="C25" s="481"/>
      <c r="D25" s="51" t="s">
        <v>132</v>
      </c>
      <c r="E25" s="477" t="s">
        <v>122</v>
      </c>
    </row>
    <row r="26" spans="3:5" ht="30" x14ac:dyDescent="0.25">
      <c r="C26" s="481"/>
      <c r="D26" s="51" t="s">
        <v>133</v>
      </c>
      <c r="E26" s="478"/>
    </row>
    <row r="27" spans="3:5" ht="15.75" thickBot="1" x14ac:dyDescent="0.3">
      <c r="C27" s="481"/>
      <c r="D27" s="52" t="s">
        <v>134</v>
      </c>
      <c r="E27" s="479"/>
    </row>
    <row r="28" spans="3:5" ht="45.75" thickBot="1" x14ac:dyDescent="0.3">
      <c r="C28" s="482"/>
      <c r="D28" s="52" t="s">
        <v>135</v>
      </c>
      <c r="E28" s="52" t="s">
        <v>111</v>
      </c>
    </row>
    <row r="29" spans="3:5" ht="45.75" thickBot="1" x14ac:dyDescent="0.3">
      <c r="C29" s="480" t="s">
        <v>69</v>
      </c>
      <c r="D29" s="53" t="s">
        <v>136</v>
      </c>
      <c r="E29" s="52" t="s">
        <v>131</v>
      </c>
    </row>
    <row r="30" spans="3:5" ht="30" x14ac:dyDescent="0.25">
      <c r="C30" s="481"/>
      <c r="D30" s="51" t="s">
        <v>137</v>
      </c>
      <c r="E30" s="477" t="s">
        <v>101</v>
      </c>
    </row>
    <row r="31" spans="3:5" ht="15.75" thickBot="1" x14ac:dyDescent="0.3">
      <c r="C31" s="481"/>
      <c r="D31" s="52" t="s">
        <v>138</v>
      </c>
      <c r="E31" s="479"/>
    </row>
    <row r="32" spans="3:5" ht="45.75" thickBot="1" x14ac:dyDescent="0.3">
      <c r="C32" s="482"/>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100" t="s">
        <v>565</v>
      </c>
      <c r="C2" t="s">
        <v>149</v>
      </c>
      <c r="D2" t="s">
        <v>188</v>
      </c>
      <c r="E2" t="s">
        <v>745</v>
      </c>
      <c r="F2" s="102"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100" t="s">
        <v>566</v>
      </c>
      <c r="C3" t="s">
        <v>146</v>
      </c>
      <c r="D3" t="s">
        <v>191</v>
      </c>
      <c r="E3" t="s">
        <v>746</v>
      </c>
      <c r="F3" s="103"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100" t="s">
        <v>151</v>
      </c>
      <c r="C4" t="s">
        <v>152</v>
      </c>
      <c r="D4" t="s">
        <v>185</v>
      </c>
      <c r="E4" t="s">
        <v>747</v>
      </c>
      <c r="F4" s="102"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100" t="s">
        <v>143</v>
      </c>
      <c r="C5" t="s">
        <v>154</v>
      </c>
      <c r="D5" t="s">
        <v>191</v>
      </c>
      <c r="E5" t="s">
        <v>748</v>
      </c>
      <c r="F5" s="102"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100" t="s">
        <v>567</v>
      </c>
      <c r="D6" t="s">
        <v>192</v>
      </c>
      <c r="E6" t="s">
        <v>770</v>
      </c>
      <c r="F6" s="102"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100" t="s">
        <v>153</v>
      </c>
      <c r="D7" t="s">
        <v>171</v>
      </c>
      <c r="E7" t="s">
        <v>771</v>
      </c>
      <c r="F7" s="104"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100"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100"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100"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AMAECHI COLLINS</cp:lastModifiedBy>
  <cp:lastPrinted>2017-01-11T15:12:50Z</cp:lastPrinted>
  <dcterms:created xsi:type="dcterms:W3CDTF">2017-01-08T13:42:03Z</dcterms:created>
  <dcterms:modified xsi:type="dcterms:W3CDTF">2017-03-02T12:24:12Z</dcterms:modified>
</cp:coreProperties>
</file>