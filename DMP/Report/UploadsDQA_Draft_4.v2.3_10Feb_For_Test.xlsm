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eve\Desktop\"/>
    </mc:Choice>
  </mc:AlternateContent>
  <bookViews>
    <workbookView xWindow="0" yWindow="0" windowWidth="20490" windowHeight="7455" activeTab="3"/>
  </bookViews>
  <sheets>
    <sheet name="DQ Dimensions" sheetId="7" r:id="rId1"/>
    <sheet name="Summary Page" sheetId="4" state="hidden" r:id="rId2"/>
    <sheet name="Data entry" sheetId="5" state="hidden" r:id="rId3"/>
    <sheet name="Worksheet" sheetId="8" r:id="rId4"/>
    <sheet name="Data_donotedit" sheetId="9" state="hidden" r:id="rId5"/>
  </sheets>
  <externalReferences>
    <externalReference r:id="rId6"/>
  </externalReferences>
  <definedNames>
    <definedName name="_xlnm._FilterDatabase" localSheetId="2" hidden="1">'Data entry'!$A$1:$F$1241</definedName>
    <definedName name="_xlnm._FilterDatabase" localSheetId="4" hidden="1">Data_donotedit!$A$1:$BB$10</definedName>
    <definedName name="_xlnm._FilterDatabase" localSheetId="1" hidden="1">'Summary Page'!$B$9:$U$18</definedName>
    <definedName name="Abia">Data_donotedit!$I$2:$I$18</definedName>
    <definedName name="Adamawa">Data_donotedit!$J$2:$J$22</definedName>
    <definedName name="AHNIogAdoOdo">Data_donotedit!$AY$2:$AY$4</definedName>
    <definedName name="AHNIogIpokia">Data_donotedit!$AY$5:$AY$6</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Idah">Data_donotedit!$AY$498</definedName>
    <definedName name="CCFNkoKabba">Data_donotedit!$AY$499</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ogIfo">Data_donotedit!$AY$517</definedName>
    <definedName name="CCFNogYewaNorth">Data_donotedit!$AY$518</definedName>
    <definedName name="CCFNonAkokoSouthWest">Data_donotedit!$AY$519</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yEgbeda">Data_donotedit!$AY$526</definedName>
    <definedName name="CCFNplBassa">Data_donotedit!$AY$527:$AY$528</definedName>
    <definedName name="CCFNplBokkos">Data_donotedit!$AY$529:$AY$530</definedName>
    <definedName name="CCFNplJosNorth">Data_donotedit!$AY$531:$AY$532</definedName>
    <definedName name="CrossRiver">Data_donotedit!$Q$2:$Q$19</definedName>
    <definedName name="Delta">Data_donotedit!$R$2:$R$8</definedName>
    <definedName name="Ebonyi">Data_donotedit!$S$2:$S$14</definedName>
    <definedName name="Edo">Data_donotedit!$T$2:$T$19</definedName>
    <definedName name="Ekiti">Data_donotedit!$U$2:$U$7</definedName>
    <definedName name="Enugu">Data_donotedit!$V$2:$V$17</definedName>
    <definedName name="FCT">Data_donotedit!$W$2:$W$7</definedName>
    <definedName name="Fundingagency">'[1]IP List'!$A$2:$A$20</definedName>
    <definedName name="Gombe">Data_donotedit!$X$2:$X$12</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3" i="8" l="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P7" i="4"/>
  <c r="P5" i="4"/>
  <c r="P6" i="4"/>
  <c r="P4" i="4"/>
  <c r="E7" i="4"/>
  <c r="E6" i="4"/>
  <c r="E5" i="4"/>
  <c r="E4" i="4"/>
  <c r="S26" i="8"/>
  <c r="P34" i="8"/>
  <c r="M26" i="8"/>
  <c r="O33" i="8"/>
  <c r="Y26" i="8"/>
  <c r="Q35" i="8"/>
  <c r="T26" i="8"/>
  <c r="Q34" i="8"/>
  <c r="R26" i="8"/>
  <c r="O34" i="8"/>
  <c r="Z26" i="8"/>
  <c r="R35" i="8"/>
  <c r="P26" i="8"/>
  <c r="R33" i="8"/>
  <c r="W26" i="8"/>
  <c r="O35" i="8"/>
  <c r="O26" i="8"/>
  <c r="Q33" i="8"/>
  <c r="V26" i="8"/>
  <c r="S34" i="8"/>
  <c r="X26" i="8"/>
  <c r="P35" i="8"/>
  <c r="AA26" i="8"/>
  <c r="S35" i="8"/>
  <c r="U26" i="8"/>
  <c r="R34" i="8"/>
  <c r="N26" i="8"/>
  <c r="P33" i="8"/>
  <c r="Q26" i="8"/>
  <c r="S33" i="8"/>
  <c r="C595" i="5" l="1"/>
  <c r="C588" i="5"/>
  <c r="D34" i="8"/>
  <c r="D30" i="8"/>
  <c r="D27" i="8"/>
  <c r="C591" i="5"/>
  <c r="D588" i="5"/>
  <c r="E34" i="8"/>
  <c r="E30" i="8"/>
  <c r="D591" i="5"/>
  <c r="D595" i="5"/>
  <c r="E27" i="8"/>
  <c r="E588" i="5"/>
  <c r="F34" i="8"/>
  <c r="F30" i="8"/>
  <c r="E595" i="5"/>
  <c r="F27" i="8"/>
  <c r="E591" i="5"/>
  <c r="P16" i="4"/>
  <c r="R16" i="4"/>
  <c r="Q16" i="4"/>
  <c r="O16" i="4"/>
  <c r="L16" i="4"/>
  <c r="J16" i="4"/>
  <c r="M16" i="4"/>
  <c r="K16" i="4"/>
  <c r="E655" i="5"/>
  <c r="E654" i="5"/>
  <c r="D353" i="5"/>
  <c r="D354" i="5"/>
  <c r="D677" i="5"/>
  <c r="D676" i="5"/>
  <c r="E203" i="5"/>
  <c r="E204" i="5"/>
  <c r="E496" i="5"/>
  <c r="E497" i="5"/>
  <c r="F16" i="4"/>
  <c r="G16" i="4"/>
  <c r="H16" i="4"/>
  <c r="E729" i="5"/>
  <c r="E728" i="5"/>
  <c r="C446" i="5"/>
  <c r="C445" i="5"/>
  <c r="D257" i="5"/>
  <c r="D258" i="5"/>
  <c r="E303" i="5"/>
  <c r="E304" i="5"/>
  <c r="C630" i="5"/>
  <c r="D69" i="8"/>
  <c r="C224" i="5"/>
  <c r="C225" i="5"/>
  <c r="D568" i="5"/>
  <c r="E7" i="8"/>
  <c r="D47" i="5"/>
  <c r="D48" i="5"/>
  <c r="D537" i="5"/>
  <c r="D538" i="5"/>
  <c r="C258" i="5"/>
  <c r="C257" i="5"/>
  <c r="C954" i="5"/>
  <c r="C955" i="5"/>
  <c r="C625" i="5"/>
  <c r="D64" i="8"/>
  <c r="E60" i="8"/>
  <c r="D621" i="5"/>
  <c r="C824" i="5"/>
  <c r="C823" i="5"/>
  <c r="C1151" i="5"/>
  <c r="C1152" i="5"/>
  <c r="E806" i="5"/>
  <c r="E805" i="5"/>
  <c r="E288" i="5"/>
  <c r="E287" i="5"/>
  <c r="D893" i="5"/>
  <c r="D892" i="5"/>
  <c r="C971" i="5"/>
  <c r="C972" i="5"/>
  <c r="C1174" i="5"/>
  <c r="C1173" i="5"/>
  <c r="E19" i="8"/>
  <c r="D580" i="5"/>
  <c r="E353" i="5"/>
  <c r="E354" i="5"/>
  <c r="E847" i="5"/>
  <c r="E846" i="5"/>
  <c r="E677" i="5"/>
  <c r="E676" i="5"/>
  <c r="C787" i="5"/>
  <c r="C786" i="5"/>
  <c r="C374" i="5"/>
  <c r="C373" i="5"/>
  <c r="E470" i="5"/>
  <c r="E471" i="5"/>
  <c r="C343" i="5"/>
  <c r="C342" i="5"/>
  <c r="C607" i="5"/>
  <c r="D46" i="8"/>
  <c r="D204" i="5"/>
  <c r="D203" i="5"/>
  <c r="C1018" i="5"/>
  <c r="C1019" i="5"/>
  <c r="D727" i="5"/>
  <c r="D726" i="5"/>
  <c r="D552" i="5"/>
  <c r="D551" i="5"/>
  <c r="E731" i="5"/>
  <c r="E730" i="5"/>
  <c r="D940" i="5"/>
  <c r="D941" i="5"/>
  <c r="D769" i="5"/>
  <c r="D770" i="5"/>
  <c r="E17" i="5"/>
  <c r="E18" i="5"/>
  <c r="C336" i="5"/>
  <c r="C337" i="5"/>
  <c r="D1184" i="5"/>
  <c r="D1185" i="5"/>
  <c r="D974" i="5"/>
  <c r="D975" i="5"/>
  <c r="D87" i="5"/>
  <c r="D88" i="5"/>
  <c r="C634" i="5"/>
  <c r="D73" i="8"/>
  <c r="D10" i="8"/>
  <c r="C571" i="5"/>
  <c r="D510" i="5"/>
  <c r="D511" i="5"/>
  <c r="E506" i="5"/>
  <c r="E507" i="5"/>
  <c r="D616" i="5"/>
  <c r="E55" i="8"/>
  <c r="E1151" i="5"/>
  <c r="E1152" i="5"/>
  <c r="C109" i="5"/>
  <c r="C110" i="5"/>
  <c r="C1006" i="5"/>
  <c r="C1005" i="5"/>
  <c r="C371" i="5"/>
  <c r="C372" i="5"/>
  <c r="D559" i="5"/>
  <c r="D560" i="5"/>
  <c r="E756" i="5"/>
  <c r="E755" i="5"/>
  <c r="E571" i="5"/>
  <c r="F10" i="8"/>
  <c r="D1100" i="5"/>
  <c r="D1099" i="5"/>
  <c r="C626" i="5"/>
  <c r="D65" i="8"/>
  <c r="C54" i="5"/>
  <c r="C53" i="5"/>
  <c r="E50" i="8"/>
  <c r="D611" i="5"/>
  <c r="C687" i="5"/>
  <c r="C686" i="5"/>
  <c r="E785" i="5"/>
  <c r="E784" i="5"/>
  <c r="E1231" i="5"/>
  <c r="E1230" i="5"/>
  <c r="C797" i="5"/>
  <c r="C798" i="5"/>
  <c r="E374" i="5"/>
  <c r="E373" i="5"/>
  <c r="D250" i="5"/>
  <c r="D249" i="5"/>
  <c r="E624" i="5"/>
  <c r="F63" i="8"/>
  <c r="D971" i="5"/>
  <c r="D972" i="5"/>
  <c r="D810" i="5"/>
  <c r="D809" i="5"/>
  <c r="C360" i="5"/>
  <c r="C359" i="5"/>
  <c r="E1172" i="5"/>
  <c r="E1171" i="5"/>
  <c r="C642" i="5"/>
  <c r="C643" i="5"/>
  <c r="C265" i="5"/>
  <c r="C266" i="5"/>
  <c r="C1065" i="5"/>
  <c r="C1064" i="5"/>
  <c r="E400" i="5"/>
  <c r="E399" i="5"/>
  <c r="C166" i="5"/>
  <c r="C165" i="5"/>
  <c r="D1004" i="5"/>
  <c r="D1003" i="5"/>
  <c r="C30" i="5"/>
  <c r="C31" i="5"/>
  <c r="E524" i="5"/>
  <c r="E523" i="5"/>
  <c r="C178" i="5"/>
  <c r="C179" i="5"/>
  <c r="C1164" i="5"/>
  <c r="C1163" i="5"/>
  <c r="D468" i="5"/>
  <c r="D469" i="5"/>
  <c r="E30" i="5"/>
  <c r="E31" i="5"/>
  <c r="E625" i="5"/>
  <c r="F64" i="8"/>
  <c r="C304" i="5"/>
  <c r="C303" i="5"/>
  <c r="E498" i="5"/>
  <c r="E499" i="5"/>
  <c r="E626" i="5"/>
  <c r="F65" i="8"/>
  <c r="E770" i="5"/>
  <c r="E769" i="5"/>
  <c r="E787" i="5"/>
  <c r="E786" i="5"/>
  <c r="C87" i="5"/>
  <c r="C88" i="5"/>
  <c r="D20" i="8"/>
  <c r="C581" i="5"/>
  <c r="C748" i="5"/>
  <c r="C747" i="5"/>
  <c r="E174" i="5"/>
  <c r="E173" i="5"/>
  <c r="D751" i="5"/>
  <c r="D752" i="5"/>
  <c r="E69" i="8"/>
  <c r="D630" i="5"/>
  <c r="C598" i="5"/>
  <c r="D37" i="8"/>
  <c r="C521" i="5"/>
  <c r="C522" i="5"/>
  <c r="E552" i="5"/>
  <c r="E551" i="5"/>
  <c r="D654" i="5"/>
  <c r="D655" i="5"/>
  <c r="E642" i="5"/>
  <c r="E643" i="5"/>
  <c r="D656" i="5"/>
  <c r="D657" i="5"/>
  <c r="E939" i="5"/>
  <c r="E938" i="5"/>
  <c r="C692" i="5"/>
  <c r="C693" i="5"/>
  <c r="C579" i="5"/>
  <c r="D18" i="8"/>
  <c r="E598" i="5"/>
  <c r="F37" i="8"/>
  <c r="D241" i="5"/>
  <c r="D242" i="5"/>
  <c r="D1204" i="5"/>
  <c r="D1205" i="5"/>
  <c r="D374" i="5"/>
  <c r="D373" i="5"/>
  <c r="E580" i="5"/>
  <c r="F19" i="8"/>
  <c r="D371" i="5"/>
  <c r="D372" i="5"/>
  <c r="C616" i="5"/>
  <c r="D55" i="8"/>
  <c r="C814" i="5"/>
  <c r="C813" i="5"/>
  <c r="D1231" i="5"/>
  <c r="D1230" i="5"/>
  <c r="E46" i="8"/>
  <c r="D607" i="5"/>
  <c r="E974" i="5"/>
  <c r="E975" i="5"/>
  <c r="E196" i="5"/>
  <c r="E195" i="5"/>
  <c r="D669" i="5"/>
  <c r="D668" i="5"/>
  <c r="D288" i="5"/>
  <c r="D287" i="5"/>
  <c r="C641" i="5"/>
  <c r="C640" i="5"/>
  <c r="E416" i="5"/>
  <c r="E415" i="5"/>
  <c r="C311" i="5"/>
  <c r="C312" i="5"/>
  <c r="D794" i="5"/>
  <c r="D793" i="5"/>
  <c r="D624" i="5"/>
  <c r="E63" i="8"/>
  <c r="E522" i="5"/>
  <c r="E521" i="5"/>
  <c r="D42" i="8"/>
  <c r="C603" i="5"/>
  <c r="E342" i="5"/>
  <c r="E343" i="5"/>
  <c r="C499" i="5"/>
  <c r="C498" i="5"/>
  <c r="C1100" i="5"/>
  <c r="C1099" i="5"/>
  <c r="D949" i="5"/>
  <c r="D950" i="5"/>
  <c r="D63" i="8"/>
  <c r="C624" i="5"/>
  <c r="D303" i="5"/>
  <c r="D304" i="5"/>
  <c r="E150" i="5"/>
  <c r="E149" i="5"/>
  <c r="C538" i="5"/>
  <c r="C537" i="5"/>
  <c r="C496" i="5"/>
  <c r="C497" i="5"/>
  <c r="D1064" i="5"/>
  <c r="D1065" i="5"/>
  <c r="D497" i="5"/>
  <c r="D496" i="5"/>
  <c r="S16" i="4"/>
  <c r="D1203" i="5"/>
  <c r="D1202" i="5"/>
  <c r="E1134" i="5"/>
  <c r="E1135" i="5"/>
  <c r="D71" i="5"/>
  <c r="D70" i="5"/>
  <c r="E781" i="5"/>
  <c r="E780" i="5"/>
  <c r="C784" i="5"/>
  <c r="C785" i="5"/>
  <c r="C672" i="5"/>
  <c r="C673" i="5"/>
  <c r="E1028" i="5"/>
  <c r="E1029" i="5"/>
  <c r="C676" i="5"/>
  <c r="C677" i="5"/>
  <c r="D1024" i="5"/>
  <c r="D1023" i="5"/>
  <c r="C655" i="5"/>
  <c r="C654" i="5"/>
  <c r="D184" i="5"/>
  <c r="C770" i="5"/>
  <c r="C769" i="5"/>
  <c r="E265" i="5"/>
  <c r="E266" i="5"/>
  <c r="E825" i="5"/>
  <c r="E826" i="5"/>
  <c r="E263" i="5"/>
  <c r="E893" i="5"/>
  <c r="E892" i="5"/>
  <c r="C782" i="5"/>
  <c r="C783" i="5"/>
  <c r="E317" i="5"/>
  <c r="E316" i="5"/>
  <c r="E271" i="5"/>
  <c r="E270" i="5"/>
  <c r="D50" i="8"/>
  <c r="C611" i="5"/>
  <c r="D907" i="5"/>
  <c r="D906" i="5"/>
  <c r="C524" i="5"/>
  <c r="C523" i="5"/>
  <c r="C48" i="5"/>
  <c r="C47" i="5"/>
  <c r="D149" i="5"/>
  <c r="D150" i="5"/>
  <c r="D780" i="5"/>
  <c r="D781" i="5"/>
  <c r="E801" i="5"/>
  <c r="E802" i="5"/>
  <c r="E560" i="5"/>
  <c r="E559" i="5"/>
  <c r="C507" i="5"/>
  <c r="C506" i="5"/>
  <c r="D1029" i="5"/>
  <c r="D1028" i="5"/>
  <c r="F18" i="8"/>
  <c r="E579" i="5"/>
  <c r="E955" i="5"/>
  <c r="E954" i="5"/>
  <c r="D1081" i="5"/>
  <c r="D1082" i="5"/>
  <c r="D641" i="5"/>
  <c r="D640" i="5"/>
  <c r="E888" i="5"/>
  <c r="E889" i="5"/>
  <c r="D581" i="5"/>
  <c r="E20" i="8"/>
  <c r="E87" i="5"/>
  <c r="E88" i="5"/>
  <c r="E337" i="5"/>
  <c r="E336" i="5"/>
  <c r="E887" i="5"/>
  <c r="D270" i="5"/>
  <c r="D271" i="5"/>
  <c r="E1099" i="5"/>
  <c r="E1100" i="5"/>
  <c r="C794" i="5"/>
  <c r="C793" i="5"/>
  <c r="C551" i="5"/>
  <c r="C552" i="5"/>
  <c r="F7" i="8"/>
  <c r="E568" i="5"/>
  <c r="C1117" i="5"/>
  <c r="C1116" i="5"/>
  <c r="E881" i="5"/>
  <c r="E880" i="5"/>
  <c r="D767" i="5"/>
  <c r="D768" i="5"/>
  <c r="E864" i="5"/>
  <c r="E863" i="5"/>
  <c r="F55" i="8"/>
  <c r="E616" i="5"/>
  <c r="E1188" i="5"/>
  <c r="E1187" i="5"/>
  <c r="C1029" i="5"/>
  <c r="C1028" i="5"/>
  <c r="E109" i="5"/>
  <c r="E110" i="5"/>
  <c r="E726" i="5"/>
  <c r="E727" i="5"/>
  <c r="C457" i="5"/>
  <c r="C458" i="5"/>
  <c r="D698" i="5"/>
  <c r="D697" i="5"/>
  <c r="C17" i="5"/>
  <c r="C18" i="5"/>
  <c r="C881" i="5"/>
  <c r="C880" i="5"/>
  <c r="D755" i="5"/>
  <c r="D756" i="5"/>
  <c r="C468" i="5"/>
  <c r="C469" i="5"/>
  <c r="E1081" i="5"/>
  <c r="E1082" i="5"/>
  <c r="D519" i="5"/>
  <c r="D520" i="5"/>
  <c r="D881" i="5"/>
  <c r="D880" i="5"/>
  <c r="E692" i="5"/>
  <c r="E693" i="5"/>
  <c r="E874" i="5"/>
  <c r="E875" i="5"/>
  <c r="C695" i="5"/>
  <c r="C696" i="5"/>
  <c r="D1172" i="5"/>
  <c r="D1171" i="5"/>
  <c r="D13" i="8"/>
  <c r="C574" i="5"/>
  <c r="D889" i="5"/>
  <c r="D888" i="5"/>
  <c r="D178" i="5"/>
  <c r="D179" i="5"/>
  <c r="E657" i="5"/>
  <c r="E656" i="5"/>
  <c r="C1200" i="5"/>
  <c r="C1199" i="5"/>
  <c r="C1197" i="5"/>
  <c r="C1196" i="5"/>
  <c r="D415" i="5"/>
  <c r="D416" i="5"/>
  <c r="E71" i="5"/>
  <c r="E70" i="5"/>
  <c r="D53" i="5"/>
  <c r="D54" i="5"/>
  <c r="C353" i="5"/>
  <c r="C354" i="5"/>
  <c r="C560" i="5"/>
  <c r="C559" i="5"/>
  <c r="C519" i="5"/>
  <c r="C520" i="5"/>
  <c r="C657" i="5"/>
  <c r="C656" i="5"/>
  <c r="E64" i="8"/>
  <c r="D625" i="5"/>
  <c r="E53" i="5"/>
  <c r="E54" i="5"/>
  <c r="E535" i="5"/>
  <c r="E536" i="5"/>
  <c r="D506" i="5"/>
  <c r="D507" i="5"/>
  <c r="E241" i="5"/>
  <c r="E242" i="5"/>
  <c r="E250" i="5"/>
  <c r="E249" i="5"/>
  <c r="F13" i="8"/>
  <c r="E574" i="5"/>
  <c r="E672" i="5"/>
  <c r="E673" i="5"/>
  <c r="D82" i="5"/>
  <c r="D81" i="5"/>
  <c r="C728" i="5"/>
  <c r="C729" i="5"/>
  <c r="C1203" i="5"/>
  <c r="C1202" i="5"/>
  <c r="E634" i="5"/>
  <c r="F73" i="8"/>
  <c r="C975" i="5"/>
  <c r="C974" i="5"/>
  <c r="C690" i="5"/>
  <c r="C689" i="5"/>
  <c r="C751" i="5"/>
  <c r="C752" i="5"/>
  <c r="C806" i="5"/>
  <c r="C805" i="5"/>
  <c r="C64" i="5"/>
  <c r="C65" i="5"/>
  <c r="D730" i="5"/>
  <c r="D731" i="5"/>
  <c r="D133" i="5"/>
  <c r="E520" i="5"/>
  <c r="E519" i="5"/>
  <c r="C1082" i="5"/>
  <c r="C1081" i="5"/>
  <c r="D813" i="5"/>
  <c r="D814" i="5"/>
  <c r="D1006" i="5"/>
  <c r="D1005" i="5"/>
  <c r="C242" i="5"/>
  <c r="C241" i="5"/>
  <c r="E809" i="5"/>
  <c r="E810" i="5"/>
  <c r="E1006" i="5"/>
  <c r="E1005" i="5"/>
  <c r="D219" i="5"/>
  <c r="D220" i="5"/>
  <c r="C37" i="5"/>
  <c r="C36" i="5"/>
  <c r="D823" i="5"/>
  <c r="D824" i="5"/>
  <c r="E906" i="5"/>
  <c r="E907" i="5"/>
  <c r="C727" i="5"/>
  <c r="C726" i="5"/>
  <c r="E66" i="8"/>
  <c r="D939" i="5"/>
  <c r="D938" i="5"/>
  <c r="C220" i="5"/>
  <c r="C219" i="5"/>
  <c r="C939" i="5"/>
  <c r="C938" i="5"/>
  <c r="C471" i="5"/>
  <c r="C470" i="5"/>
  <c r="D692" i="5"/>
  <c r="D693" i="5"/>
  <c r="E1200" i="5"/>
  <c r="E1199" i="5"/>
  <c r="E767" i="5"/>
  <c r="E768" i="5"/>
  <c r="D522" i="5"/>
  <c r="D521" i="5"/>
  <c r="E759" i="5"/>
  <c r="E760" i="5"/>
  <c r="C760" i="5"/>
  <c r="C759" i="5"/>
  <c r="F57" i="8"/>
  <c r="C826" i="5"/>
  <c r="C825" i="5"/>
  <c r="C214" i="5"/>
  <c r="D18" i="5"/>
  <c r="D17" i="5"/>
  <c r="E352" i="5"/>
  <c r="C893" i="5"/>
  <c r="C892" i="5"/>
  <c r="C781" i="5"/>
  <c r="C780" i="5"/>
  <c r="C756" i="5"/>
  <c r="C755" i="5"/>
  <c r="C1185" i="5"/>
  <c r="C1184" i="5"/>
  <c r="E1003" i="5"/>
  <c r="E1004" i="5"/>
  <c r="D969" i="5"/>
  <c r="D968" i="5"/>
  <c r="C388" i="5"/>
  <c r="D1197" i="5"/>
  <c r="D1196" i="5"/>
  <c r="C129" i="5"/>
  <c r="C130" i="5"/>
  <c r="E940" i="5"/>
  <c r="E941" i="5"/>
  <c r="C1039" i="5"/>
  <c r="C1040" i="5"/>
  <c r="D728" i="5"/>
  <c r="D729" i="5"/>
  <c r="D470" i="5"/>
  <c r="D471" i="5"/>
  <c r="E225" i="5"/>
  <c r="E224" i="5"/>
  <c r="C1098" i="5"/>
  <c r="D936" i="5"/>
  <c r="D937" i="5"/>
  <c r="E1024" i="5"/>
  <c r="E1023" i="5"/>
  <c r="E1065" i="5"/>
  <c r="E1064" i="5"/>
  <c r="E360" i="5"/>
  <c r="E359" i="5"/>
  <c r="D411" i="5"/>
  <c r="C1135" i="5"/>
  <c r="C1134" i="5"/>
  <c r="C810" i="5"/>
  <c r="C809" i="5"/>
  <c r="F69" i="8"/>
  <c r="E630" i="5"/>
  <c r="C308" i="5"/>
  <c r="D305" i="5"/>
  <c r="C801" i="5"/>
  <c r="C802" i="5"/>
  <c r="C270" i="5"/>
  <c r="C271" i="5"/>
  <c r="E968" i="5"/>
  <c r="E969" i="5"/>
  <c r="E1117" i="5"/>
  <c r="E1116" i="5"/>
  <c r="E468" i="5"/>
  <c r="E469" i="5"/>
  <c r="E190" i="5"/>
  <c r="D1043" i="5"/>
  <c r="D1042" i="5"/>
  <c r="D802" i="5"/>
  <c r="D801" i="5"/>
  <c r="E972" i="5"/>
  <c r="E971" i="5"/>
  <c r="C42" i="5"/>
  <c r="C103" i="5"/>
  <c r="C104" i="5"/>
  <c r="D784" i="5"/>
  <c r="D785" i="5"/>
  <c r="D746" i="5"/>
  <c r="C725" i="5"/>
  <c r="E209" i="5"/>
  <c r="E824" i="5"/>
  <c r="E823" i="5"/>
  <c r="E13" i="8"/>
  <c r="D574" i="5"/>
  <c r="D284" i="5"/>
  <c r="D342" i="5"/>
  <c r="D343" i="5"/>
  <c r="E1039" i="5"/>
  <c r="E1040" i="5"/>
  <c r="D1151" i="5"/>
  <c r="D1152" i="5"/>
  <c r="C1003" i="5"/>
  <c r="C1004" i="5"/>
  <c r="D608" i="5"/>
  <c r="D523" i="5"/>
  <c r="D524" i="5"/>
  <c r="E158" i="5"/>
  <c r="E157" i="5"/>
  <c r="D442" i="5"/>
  <c r="E669" i="5"/>
  <c r="E668" i="5"/>
  <c r="C195" i="5"/>
  <c r="C196" i="5"/>
  <c r="C173" i="5"/>
  <c r="C174" i="5"/>
  <c r="D295" i="5"/>
  <c r="D296" i="5"/>
  <c r="D1174" i="5"/>
  <c r="D1173" i="5"/>
  <c r="E936" i="5"/>
  <c r="E937" i="5"/>
  <c r="D405" i="5"/>
  <c r="C282" i="5"/>
  <c r="D11" i="8"/>
  <c r="D211" i="5"/>
  <c r="D212" i="5"/>
  <c r="D825" i="5"/>
  <c r="D826" i="5"/>
  <c r="E510" i="5"/>
  <c r="E511" i="5"/>
  <c r="E949" i="5"/>
  <c r="E950" i="5"/>
  <c r="C608" i="5"/>
  <c r="E540" i="5"/>
  <c r="E539" i="5"/>
  <c r="U11" i="4"/>
  <c r="C211" i="5"/>
  <c r="C212" i="5"/>
  <c r="C698" i="5"/>
  <c r="C697" i="5"/>
  <c r="E844" i="5"/>
  <c r="E608" i="5"/>
  <c r="E690" i="5"/>
  <c r="E689" i="5"/>
  <c r="E555" i="5"/>
  <c r="E556" i="5"/>
  <c r="D672" i="5"/>
  <c r="D673" i="5"/>
  <c r="C1205" i="5"/>
  <c r="C1204" i="5"/>
  <c r="D760" i="5"/>
  <c r="D759" i="5"/>
  <c r="D874" i="5"/>
  <c r="D875" i="5"/>
  <c r="E1043" i="5"/>
  <c r="E1042" i="5"/>
  <c r="D282" i="5"/>
  <c r="F35" i="8"/>
  <c r="F61" i="8"/>
  <c r="D128" i="5"/>
  <c r="C1231" i="5"/>
  <c r="C1230" i="5"/>
  <c r="D556" i="5"/>
  <c r="D555" i="5"/>
  <c r="C295" i="5"/>
  <c r="C296" i="5"/>
  <c r="E12" i="5"/>
  <c r="E11" i="5"/>
  <c r="E458" i="5"/>
  <c r="E457" i="5"/>
  <c r="D782" i="5"/>
  <c r="D783" i="5"/>
  <c r="C930" i="5"/>
  <c r="D919" i="5"/>
  <c r="E124" i="5"/>
  <c r="E123" i="5"/>
  <c r="E558" i="5"/>
  <c r="E129" i="5"/>
  <c r="E130" i="5"/>
  <c r="C133" i="5"/>
  <c r="I12" i="4"/>
  <c r="C387" i="5"/>
  <c r="C871" i="5"/>
  <c r="D346" i="5"/>
  <c r="D336" i="5"/>
  <c r="D337" i="5"/>
  <c r="E1132" i="5"/>
  <c r="D843" i="5"/>
  <c r="C157" i="5"/>
  <c r="C158" i="5"/>
  <c r="C1024" i="5"/>
  <c r="C1023" i="5"/>
  <c r="D106" i="5"/>
  <c r="C484" i="5"/>
  <c r="E735" i="5"/>
  <c r="E148" i="5"/>
  <c r="E219" i="5"/>
  <c r="E220" i="5"/>
  <c r="M12" i="4"/>
  <c r="E529" i="5"/>
  <c r="P24" i="4"/>
  <c r="E335" i="5"/>
  <c r="D8" i="5"/>
  <c r="D130" i="5"/>
  <c r="D129" i="5"/>
  <c r="E1205" i="5"/>
  <c r="E1204" i="5"/>
  <c r="D165" i="5"/>
  <c r="D166" i="5"/>
  <c r="C143" i="5"/>
  <c r="D1040" i="5"/>
  <c r="D1039" i="5"/>
  <c r="D806" i="5"/>
  <c r="D805" i="5"/>
  <c r="D225" i="5"/>
  <c r="D224" i="5"/>
  <c r="C204" i="5"/>
  <c r="C203" i="5"/>
  <c r="F50" i="8"/>
  <c r="E611" i="5"/>
  <c r="F46" i="8"/>
  <c r="E607" i="5"/>
  <c r="E896" i="5"/>
  <c r="E897" i="5"/>
  <c r="C1172" i="5"/>
  <c r="C1171" i="5"/>
  <c r="D30" i="5"/>
  <c r="D31" i="5"/>
  <c r="D19" i="8"/>
  <c r="C580" i="5"/>
  <c r="D312" i="5"/>
  <c r="D311" i="5"/>
  <c r="D307" i="5"/>
  <c r="C936" i="5"/>
  <c r="C937" i="5"/>
  <c r="C846" i="5"/>
  <c r="C847" i="5"/>
  <c r="C287" i="5"/>
  <c r="C288" i="5"/>
  <c r="D1200" i="5"/>
  <c r="D1199" i="5"/>
  <c r="C510" i="5"/>
  <c r="C511" i="5"/>
  <c r="D60" i="8"/>
  <c r="C621" i="5"/>
  <c r="M14" i="4"/>
  <c r="E1140" i="5"/>
  <c r="E782" i="5"/>
  <c r="E783" i="5"/>
  <c r="D1163" i="5"/>
  <c r="D1164" i="5"/>
  <c r="D955" i="5"/>
  <c r="D954" i="5"/>
  <c r="E695" i="5"/>
  <c r="E696" i="5"/>
  <c r="C81" i="5"/>
  <c r="C82" i="5"/>
  <c r="F11" i="8"/>
  <c r="C1123" i="5"/>
  <c r="E808" i="5"/>
  <c r="D445" i="5"/>
  <c r="D446" i="5"/>
  <c r="D103" i="5"/>
  <c r="D104" i="5"/>
  <c r="D232" i="5"/>
  <c r="D11" i="5"/>
  <c r="D12" i="5"/>
  <c r="C889" i="5"/>
  <c r="C888" i="5"/>
  <c r="E35" i="8"/>
  <c r="E1163" i="5"/>
  <c r="E1164" i="5"/>
  <c r="E37" i="8"/>
  <c r="D598" i="5"/>
  <c r="E1197" i="5"/>
  <c r="E1196" i="5"/>
  <c r="D571" i="5"/>
  <c r="E10" i="8"/>
  <c r="C11" i="5"/>
  <c r="C12" i="5"/>
  <c r="E1085" i="5"/>
  <c r="C326" i="5"/>
  <c r="E47" i="5"/>
  <c r="E48" i="5"/>
  <c r="D1084" i="5"/>
  <c r="D399" i="5"/>
  <c r="D400" i="5"/>
  <c r="D124" i="5"/>
  <c r="D123" i="5"/>
  <c r="E1155" i="5"/>
  <c r="E687" i="5"/>
  <c r="E686" i="5"/>
  <c r="C150" i="5"/>
  <c r="C149" i="5"/>
  <c r="E1202" i="5"/>
  <c r="E1203" i="5"/>
  <c r="D540" i="5"/>
  <c r="D539" i="5"/>
  <c r="D535" i="5"/>
  <c r="D536" i="5"/>
  <c r="E1174" i="5"/>
  <c r="E1173" i="5"/>
  <c r="D28" i="8"/>
  <c r="E445" i="5"/>
  <c r="E446" i="5"/>
  <c r="C1165" i="5"/>
  <c r="I20" i="4"/>
  <c r="E589" i="5"/>
  <c r="E948" i="5"/>
  <c r="E1111" i="5"/>
  <c r="E429" i="5"/>
  <c r="C123" i="5"/>
  <c r="C124" i="5"/>
  <c r="C875" i="5"/>
  <c r="C874" i="5"/>
  <c r="E101" i="5"/>
  <c r="E165" i="5"/>
  <c r="E166" i="5"/>
  <c r="D167" i="5"/>
  <c r="D1020" i="5"/>
  <c r="D1114" i="5"/>
  <c r="C873" i="5"/>
  <c r="C872" i="5"/>
  <c r="D1115" i="5"/>
  <c r="E65" i="8"/>
  <c r="D626" i="5"/>
  <c r="C891" i="5"/>
  <c r="F42" i="8"/>
  <c r="E603" i="5"/>
  <c r="E61" i="8"/>
  <c r="D554" i="5"/>
  <c r="E403" i="5"/>
  <c r="E732" i="5"/>
  <c r="D599" i="5"/>
  <c r="E253" i="5"/>
  <c r="D425" i="5"/>
  <c r="E798" i="5"/>
  <c r="E797" i="5"/>
  <c r="E1118" i="5"/>
  <c r="C315" i="5"/>
  <c r="E81" i="5"/>
  <c r="E82" i="5"/>
  <c r="D530" i="5"/>
  <c r="C461" i="5"/>
  <c r="C460" i="5"/>
  <c r="E1147" i="5"/>
  <c r="D35" i="8"/>
  <c r="D1146" i="5"/>
  <c r="E103" i="5"/>
  <c r="E104" i="5"/>
  <c r="D394" i="5"/>
  <c r="E722" i="5"/>
  <c r="C1094" i="5"/>
  <c r="E648" i="5"/>
  <c r="E841" i="5"/>
  <c r="E569" i="5"/>
  <c r="G20" i="4"/>
  <c r="D57" i="5"/>
  <c r="H27" i="4"/>
  <c r="D844" i="5"/>
  <c r="E1061" i="5"/>
  <c r="C57" i="5"/>
  <c r="D457" i="5"/>
  <c r="D458" i="5"/>
  <c r="C8" i="5"/>
  <c r="I13" i="4"/>
  <c r="D1137" i="5"/>
  <c r="D748" i="5"/>
  <c r="D747" i="5"/>
  <c r="E395" i="5"/>
  <c r="C317" i="5"/>
  <c r="C316" i="5"/>
  <c r="U10" i="4"/>
  <c r="D1017" i="5"/>
  <c r="D550" i="5"/>
  <c r="D988" i="5"/>
  <c r="D1113" i="5"/>
  <c r="U13" i="4"/>
  <c r="C476" i="5"/>
  <c r="C404" i="5"/>
  <c r="E418" i="5"/>
  <c r="E862" i="5"/>
  <c r="E922" i="5"/>
  <c r="E177" i="5"/>
  <c r="D83" i="5"/>
  <c r="E504" i="5"/>
  <c r="D852" i="5"/>
  <c r="F36" i="8"/>
  <c r="E597" i="5"/>
  <c r="E596" i="5"/>
  <c r="E238" i="5"/>
  <c r="D1068" i="5"/>
  <c r="C487" i="5"/>
  <c r="E1105" i="5"/>
  <c r="E1101" i="5"/>
  <c r="C153" i="5"/>
  <c r="D715" i="5"/>
  <c r="G27" i="4"/>
  <c r="D70" i="8"/>
  <c r="C668" i="5"/>
  <c r="C669" i="5"/>
  <c r="D406" i="5"/>
  <c r="D543" i="5"/>
  <c r="D542" i="5"/>
  <c r="E321" i="5"/>
  <c r="C319" i="5"/>
  <c r="C831" i="5"/>
  <c r="C399" i="5"/>
  <c r="C400" i="5"/>
  <c r="E76" i="5"/>
  <c r="E18" i="8"/>
  <c r="D579" i="5"/>
  <c r="E538" i="5"/>
  <c r="E537" i="5"/>
  <c r="D603" i="5"/>
  <c r="E42" i="8"/>
  <c r="E212" i="5"/>
  <c r="E211" i="5"/>
  <c r="D173" i="5"/>
  <c r="D174" i="5"/>
  <c r="D65" i="5"/>
  <c r="D64" i="5"/>
  <c r="D8" i="8"/>
  <c r="C539" i="5"/>
  <c r="C540" i="5"/>
  <c r="E295" i="5"/>
  <c r="E296" i="5"/>
  <c r="E581" i="5"/>
  <c r="F20" i="8"/>
  <c r="D7" i="8"/>
  <c r="C568" i="5"/>
  <c r="C1187" i="5"/>
  <c r="C1188" i="5"/>
  <c r="C863" i="5"/>
  <c r="C864" i="5"/>
  <c r="E1185" i="5"/>
  <c r="E1184" i="5"/>
  <c r="D1188" i="5"/>
  <c r="D1187" i="5"/>
  <c r="C906" i="5"/>
  <c r="C907" i="5"/>
  <c r="N19" i="4"/>
  <c r="E65" i="5"/>
  <c r="E64" i="5"/>
  <c r="E697" i="5"/>
  <c r="E698" i="5"/>
  <c r="F60" i="8"/>
  <c r="E621" i="5"/>
  <c r="D195" i="5"/>
  <c r="D196" i="5"/>
  <c r="E178" i="5"/>
  <c r="E179" i="5"/>
  <c r="C415" i="5"/>
  <c r="C416" i="5"/>
  <c r="C249" i="5"/>
  <c r="C250" i="5"/>
  <c r="D37" i="5"/>
  <c r="D36" i="5"/>
  <c r="D110" i="5"/>
  <c r="D109" i="5"/>
  <c r="S27" i="4"/>
  <c r="C950" i="5"/>
  <c r="C949" i="5"/>
  <c r="C969" i="5"/>
  <c r="C968" i="5"/>
  <c r="D864" i="5"/>
  <c r="D863" i="5"/>
  <c r="D634" i="5"/>
  <c r="E73" i="8"/>
  <c r="D157" i="5"/>
  <c r="D158" i="5"/>
  <c r="D1117" i="5"/>
  <c r="D1116" i="5"/>
  <c r="E1069" i="5"/>
  <c r="C252" i="5"/>
  <c r="C1132" i="5"/>
  <c r="E1098" i="5"/>
  <c r="C156" i="5"/>
  <c r="E442" i="5"/>
  <c r="E998" i="5"/>
  <c r="C730" i="5"/>
  <c r="C731" i="5"/>
  <c r="E751" i="5"/>
  <c r="E752" i="5"/>
  <c r="C152" i="5"/>
  <c r="C262" i="5"/>
  <c r="D696" i="5"/>
  <c r="D695" i="5"/>
  <c r="E269" i="5"/>
  <c r="D851" i="5"/>
  <c r="C425" i="5"/>
  <c r="C235" i="5"/>
  <c r="C940" i="5"/>
  <c r="C941" i="5"/>
  <c r="C768" i="5"/>
  <c r="C767" i="5"/>
  <c r="D156" i="5"/>
  <c r="D216" i="5"/>
  <c r="C485" i="5"/>
  <c r="C486" i="5"/>
  <c r="D414" i="5"/>
  <c r="E1138" i="5"/>
  <c r="D338" i="5"/>
  <c r="E417" i="5"/>
  <c r="C357" i="5"/>
  <c r="E11" i="8"/>
  <c r="D291" i="5"/>
  <c r="D344" i="5"/>
  <c r="D1067" i="5"/>
  <c r="D1162" i="5"/>
  <c r="D711" i="5"/>
  <c r="D1241" i="5"/>
  <c r="E394" i="5"/>
  <c r="R22" i="4"/>
  <c r="C259" i="5"/>
  <c r="E910" i="5"/>
  <c r="E909" i="5"/>
  <c r="C256" i="5"/>
  <c r="C679" i="5"/>
  <c r="C1155" i="5"/>
  <c r="D180" i="5"/>
  <c r="D498" i="5"/>
  <c r="D499" i="5"/>
  <c r="E1121" i="5"/>
  <c r="D23" i="5"/>
  <c r="D846" i="5"/>
  <c r="D847" i="5"/>
  <c r="C897" i="5"/>
  <c r="C896" i="5"/>
  <c r="G23" i="4"/>
  <c r="E487" i="5"/>
  <c r="D487" i="5"/>
  <c r="N14" i="4"/>
  <c r="K14" i="4"/>
  <c r="G21" i="4"/>
  <c r="C592" i="5"/>
  <c r="F8" i="8"/>
  <c r="F9" i="8"/>
  <c r="E570" i="5"/>
  <c r="D43" i="8"/>
  <c r="E36" i="5"/>
  <c r="E37" i="5"/>
  <c r="D320" i="5"/>
  <c r="C1225" i="5"/>
  <c r="D359" i="5"/>
  <c r="D360" i="5"/>
  <c r="E1087" i="5"/>
  <c r="G18" i="4"/>
  <c r="C843" i="5"/>
  <c r="F66" i="8"/>
  <c r="C1042" i="5"/>
  <c r="C1043" i="5"/>
  <c r="D1135" i="5"/>
  <c r="D1134" i="5"/>
  <c r="D12" i="8"/>
  <c r="C573" i="5"/>
  <c r="C572" i="5"/>
  <c r="D73" i="5"/>
  <c r="E294" i="5"/>
  <c r="D797" i="5"/>
  <c r="D798" i="5"/>
  <c r="E163" i="5"/>
  <c r="E964" i="5"/>
  <c r="E1001" i="5"/>
  <c r="C172" i="5"/>
  <c r="E92" i="5"/>
  <c r="E100" i="5"/>
  <c r="C1001" i="5"/>
  <c r="R23" i="4"/>
  <c r="E8" i="5"/>
  <c r="E147" i="5"/>
  <c r="D749" i="5"/>
  <c r="E275" i="5"/>
  <c r="C307" i="5"/>
  <c r="E840" i="5"/>
  <c r="C555" i="5"/>
  <c r="C556" i="5"/>
  <c r="E239" i="5"/>
  <c r="D897" i="5"/>
  <c r="D896" i="5"/>
  <c r="K24" i="4"/>
  <c r="E898" i="5"/>
  <c r="D75" i="5"/>
  <c r="D80" i="5"/>
  <c r="E311" i="5"/>
  <c r="E312" i="5"/>
  <c r="Q25" i="4"/>
  <c r="K15" i="4"/>
  <c r="C721" i="5"/>
  <c r="E8" i="8"/>
  <c r="C167" i="5"/>
  <c r="C898" i="5"/>
  <c r="D1119" i="5"/>
  <c r="C101" i="5"/>
  <c r="H15" i="4"/>
  <c r="K22" i="4"/>
  <c r="C667" i="5"/>
  <c r="E52" i="8"/>
  <c r="C43" i="5"/>
  <c r="D686" i="5"/>
  <c r="D687" i="5"/>
  <c r="E747" i="5"/>
  <c r="E748" i="5"/>
  <c r="E247" i="5"/>
  <c r="C217" i="5"/>
  <c r="J19" i="4"/>
  <c r="C145" i="5"/>
  <c r="D867" i="5"/>
  <c r="E712" i="5"/>
  <c r="E1165" i="5"/>
  <c r="D361" i="5"/>
  <c r="C774" i="5"/>
  <c r="E813" i="5"/>
  <c r="E814" i="5"/>
  <c r="C412" i="5"/>
  <c r="D1237" i="5"/>
  <c r="D86" i="5"/>
  <c r="D1088" i="5"/>
  <c r="E1014" i="5"/>
  <c r="E362" i="5"/>
  <c r="C72" i="5"/>
  <c r="E325" i="5"/>
  <c r="D231" i="5"/>
  <c r="D230" i="5"/>
  <c r="C255" i="5"/>
  <c r="E981" i="5"/>
  <c r="C746" i="5"/>
  <c r="E631" i="5"/>
  <c r="C815" i="5"/>
  <c r="C276" i="5"/>
  <c r="E17" i="4"/>
  <c r="U17" i="4"/>
  <c r="C840" i="5"/>
  <c r="E852" i="5"/>
  <c r="C340" i="5"/>
  <c r="D1080" i="5"/>
  <c r="E927" i="5"/>
  <c r="U19" i="4"/>
  <c r="D477" i="5"/>
  <c r="C1112" i="5"/>
  <c r="C1000" i="5"/>
  <c r="C678" i="5"/>
  <c r="C716" i="5"/>
  <c r="E1124" i="5"/>
  <c r="E19" i="5"/>
  <c r="L17" i="4"/>
  <c r="F67" i="8"/>
  <c r="E628" i="5"/>
  <c r="E627" i="5"/>
  <c r="C1195" i="5"/>
  <c r="C867" i="5"/>
  <c r="C627" i="5"/>
  <c r="D772" i="5"/>
  <c r="D773" i="5"/>
  <c r="C754" i="5"/>
  <c r="D842" i="5"/>
  <c r="E214" i="5"/>
  <c r="D1157" i="5"/>
  <c r="E894" i="5"/>
  <c r="P17" i="4"/>
  <c r="E717" i="5"/>
  <c r="D413" i="5"/>
  <c r="C1121" i="5"/>
  <c r="C297" i="5"/>
  <c r="D154" i="5"/>
  <c r="P26" i="4"/>
  <c r="C1107" i="5"/>
  <c r="C913" i="5"/>
  <c r="E180" i="5"/>
  <c r="C398" i="5"/>
  <c r="D862" i="5"/>
  <c r="C413" i="5"/>
  <c r="D462" i="5"/>
  <c r="D913" i="5"/>
  <c r="E966" i="5"/>
  <c r="E965" i="5"/>
  <c r="D38" i="8"/>
  <c r="E848" i="5"/>
  <c r="E804" i="5"/>
  <c r="E299" i="5"/>
  <c r="C899" i="5"/>
  <c r="D335" i="5"/>
  <c r="C163" i="5"/>
  <c r="N18" i="4"/>
  <c r="J25" i="4"/>
  <c r="E236" i="5"/>
  <c r="D1032" i="5"/>
  <c r="E699" i="5"/>
  <c r="C32" i="5"/>
  <c r="C294" i="5"/>
  <c r="M27" i="4"/>
  <c r="D890" i="5"/>
  <c r="D948" i="5"/>
  <c r="C39" i="5"/>
  <c r="C127" i="5"/>
  <c r="D345" i="5"/>
  <c r="P19" i="4"/>
  <c r="D308" i="5"/>
  <c r="E67" i="8"/>
  <c r="D628" i="5"/>
  <c r="D627" i="5"/>
  <c r="R14" i="4"/>
  <c r="C244" i="5"/>
  <c r="D675" i="5"/>
  <c r="U24" i="4"/>
  <c r="E49" i="5"/>
  <c r="D924" i="5"/>
  <c r="E318" i="5"/>
  <c r="C919" i="5"/>
  <c r="E273" i="5"/>
  <c r="C853" i="5"/>
  <c r="C1159" i="5"/>
  <c r="C713" i="5"/>
  <c r="Q27" i="4"/>
  <c r="C20" i="5"/>
  <c r="D925" i="5"/>
  <c r="D926" i="5"/>
  <c r="C1201" i="5"/>
  <c r="P21" i="4"/>
  <c r="C994" i="5"/>
  <c r="C1050" i="5"/>
  <c r="E181" i="5"/>
  <c r="U26" i="4"/>
  <c r="E262" i="5"/>
  <c r="E719" i="5"/>
  <c r="E718" i="5"/>
  <c r="E412" i="5"/>
  <c r="D298" i="5"/>
  <c r="C194" i="5"/>
  <c r="C406" i="5"/>
  <c r="G11" i="4"/>
  <c r="F13" i="4"/>
  <c r="C16" i="5"/>
  <c r="D14" i="5"/>
  <c r="D301" i="5"/>
  <c r="E226" i="5"/>
  <c r="C14" i="5"/>
  <c r="D275" i="5"/>
  <c r="O14" i="4"/>
  <c r="E240" i="5"/>
  <c r="C1104" i="5"/>
  <c r="D1078" i="5"/>
  <c r="E286" i="5"/>
  <c r="D41" i="5"/>
  <c r="C1186" i="5"/>
  <c r="D143" i="5"/>
  <c r="E562" i="5"/>
  <c r="C284" i="5"/>
  <c r="E1125" i="5"/>
  <c r="L11" i="4"/>
  <c r="L18" i="4"/>
  <c r="C1016" i="5"/>
  <c r="P14" i="4"/>
  <c r="E358" i="5"/>
  <c r="D1062" i="5"/>
  <c r="E300" i="5"/>
  <c r="C1154" i="5"/>
  <c r="E1031" i="5"/>
  <c r="C184" i="5"/>
  <c r="N22" i="4"/>
  <c r="E16" i="5"/>
  <c r="E133" i="5"/>
  <c r="C842" i="5"/>
  <c r="C1078" i="5"/>
  <c r="C77" i="5"/>
  <c r="C869" i="5"/>
  <c r="E41" i="5"/>
  <c r="D134" i="5"/>
  <c r="C290" i="5"/>
  <c r="E1094" i="5"/>
  <c r="D100" i="5"/>
  <c r="E308" i="5"/>
  <c r="D210" i="5"/>
  <c r="E1162" i="5"/>
  <c r="E1154" i="5"/>
  <c r="C74" i="5"/>
  <c r="C956" i="5"/>
  <c r="D653" i="5"/>
  <c r="D1027" i="5"/>
  <c r="E427" i="5"/>
  <c r="C394" i="5"/>
  <c r="D981" i="5"/>
  <c r="E976" i="5"/>
  <c r="E793" i="5"/>
  <c r="E794" i="5"/>
  <c r="E640" i="5"/>
  <c r="E641" i="5"/>
  <c r="D689" i="5"/>
  <c r="D690" i="5"/>
  <c r="S17" i="4"/>
  <c r="E931" i="5"/>
  <c r="E372" i="5"/>
  <c r="E371" i="5"/>
  <c r="D265" i="5"/>
  <c r="D266" i="5"/>
  <c r="E1211" i="5"/>
  <c r="E15" i="8"/>
  <c r="D317" i="5"/>
  <c r="D316" i="5"/>
  <c r="D642" i="5"/>
  <c r="D643" i="5"/>
  <c r="C694" i="5"/>
  <c r="C198" i="5"/>
  <c r="D786" i="5"/>
  <c r="D787" i="5"/>
  <c r="C223" i="5"/>
  <c r="D268" i="5"/>
  <c r="P18" i="4"/>
  <c r="E1063" i="5"/>
  <c r="E724" i="5"/>
  <c r="E62" i="8"/>
  <c r="D623" i="5"/>
  <c r="D622" i="5"/>
  <c r="D870" i="5"/>
  <c r="E324" i="5"/>
  <c r="E323" i="5"/>
  <c r="R15" i="4"/>
  <c r="C170" i="5"/>
  <c r="D213" i="5"/>
  <c r="D1123" i="5"/>
  <c r="C71" i="5"/>
  <c r="C70" i="5"/>
  <c r="C483" i="5"/>
  <c r="C289" i="5"/>
  <c r="D1000" i="5"/>
  <c r="C159" i="5"/>
  <c r="C610" i="5"/>
  <c r="C609" i="5"/>
  <c r="E51" i="5"/>
  <c r="E860" i="5"/>
  <c r="D49" i="8"/>
  <c r="D48" i="8"/>
  <c r="D47" i="8"/>
  <c r="C799" i="5"/>
  <c r="C796" i="5"/>
  <c r="I22" i="4"/>
  <c r="C1075" i="5"/>
  <c r="C933" i="5"/>
  <c r="H24" i="4"/>
  <c r="D869" i="5"/>
  <c r="E754" i="5"/>
  <c r="E363" i="5"/>
  <c r="E398" i="5"/>
  <c r="D910" i="5"/>
  <c r="D909" i="5"/>
  <c r="D314" i="5"/>
  <c r="E919" i="5"/>
  <c r="D363" i="5"/>
  <c r="D850" i="5"/>
  <c r="C341" i="5"/>
  <c r="C1122" i="5"/>
  <c r="E1038" i="5"/>
  <c r="C1213" i="5"/>
  <c r="E159" i="5"/>
  <c r="D38" i="5"/>
  <c r="D434" i="5"/>
  <c r="D1105" i="5"/>
  <c r="C775" i="5"/>
  <c r="D341" i="5"/>
  <c r="C935" i="5"/>
  <c r="C934" i="5"/>
  <c r="D898" i="5"/>
  <c r="C536" i="5"/>
  <c r="C535" i="5"/>
  <c r="C894" i="5"/>
  <c r="C723" i="5"/>
  <c r="D183" i="5"/>
  <c r="D453" i="5"/>
  <c r="D365" i="5"/>
  <c r="E970" i="5"/>
  <c r="E29" i="5"/>
  <c r="C364" i="5"/>
  <c r="D234" i="5"/>
  <c r="D233" i="5"/>
  <c r="C1066" i="5"/>
  <c r="C384" i="5"/>
  <c r="E115" i="5"/>
  <c r="D1128" i="5"/>
  <c r="D1120" i="5"/>
  <c r="D583" i="5"/>
  <c r="L19" i="4"/>
  <c r="D1079" i="5"/>
  <c r="C491" i="5"/>
  <c r="C29" i="5"/>
  <c r="E59" i="5"/>
  <c r="D277" i="5"/>
  <c r="E411" i="5"/>
  <c r="J14" i="4"/>
  <c r="D989" i="5"/>
  <c r="D29" i="8"/>
  <c r="Q12" i="4"/>
  <c r="D132" i="5"/>
  <c r="D52" i="5"/>
  <c r="D1129" i="5"/>
  <c r="C358" i="5"/>
  <c r="C183" i="5"/>
  <c r="D1095" i="5"/>
  <c r="E1050" i="5"/>
  <c r="E235" i="5"/>
  <c r="Q24" i="4"/>
  <c r="D1210" i="5"/>
  <c r="C192" i="5"/>
  <c r="C286" i="5"/>
  <c r="C190" i="5"/>
  <c r="C1059" i="5"/>
  <c r="E410" i="5"/>
  <c r="C1015" i="5"/>
  <c r="C1102" i="5"/>
  <c r="C929" i="5"/>
  <c r="F18" i="4"/>
  <c r="C396" i="5"/>
  <c r="C1142" i="5"/>
  <c r="E267" i="5"/>
  <c r="C210" i="5"/>
  <c r="C169" i="5"/>
  <c r="C1031" i="5"/>
  <c r="E73" i="5"/>
  <c r="E714" i="5"/>
  <c r="E248" i="5"/>
  <c r="F32" i="8"/>
  <c r="F31" i="8"/>
  <c r="E70" i="8"/>
  <c r="C1153" i="5"/>
  <c r="D101" i="5"/>
  <c r="D253" i="5"/>
  <c r="E1225" i="5"/>
  <c r="D1111" i="5"/>
  <c r="C665" i="5"/>
  <c r="C664" i="5"/>
  <c r="C663" i="5"/>
  <c r="C411" i="5"/>
  <c r="C268" i="5"/>
  <c r="E62" i="5"/>
  <c r="E61" i="5"/>
  <c r="E60" i="5"/>
  <c r="C132" i="5"/>
  <c r="D125" i="5"/>
  <c r="D980" i="5"/>
  <c r="D276" i="5"/>
  <c r="E396" i="5"/>
  <c r="D832" i="5"/>
  <c r="E12" i="8"/>
  <c r="D573" i="5"/>
  <c r="D572" i="5"/>
  <c r="D1155" i="5"/>
  <c r="C230" i="5"/>
  <c r="E153" i="5"/>
  <c r="D719" i="5"/>
  <c r="D718" i="5"/>
  <c r="D717" i="5"/>
  <c r="C856" i="5"/>
  <c r="C855" i="5"/>
  <c r="C854" i="5"/>
  <c r="D355" i="5"/>
  <c r="C84" i="5"/>
  <c r="D283" i="5"/>
  <c r="D256" i="5"/>
  <c r="E53" i="8"/>
  <c r="F5" i="8"/>
  <c r="F4" i="8"/>
  <c r="D115" i="5"/>
  <c r="D227" i="5"/>
  <c r="E1076" i="5"/>
  <c r="E851" i="5"/>
  <c r="C168" i="5"/>
  <c r="D1122" i="5"/>
  <c r="E227" i="5"/>
  <c r="D895" i="5"/>
  <c r="D21" i="5"/>
  <c r="D437" i="5"/>
  <c r="D290" i="5"/>
  <c r="E1153" i="5"/>
  <c r="E258" i="5"/>
  <c r="E257" i="5"/>
  <c r="E1083" i="5"/>
  <c r="E1000" i="5"/>
  <c r="D402" i="5"/>
  <c r="C313" i="5"/>
  <c r="R21" i="4"/>
  <c r="C526" i="5"/>
  <c r="F14" i="4"/>
  <c r="E1032" i="5"/>
  <c r="E327" i="5"/>
  <c r="C1076" i="5"/>
  <c r="D66" i="5"/>
  <c r="C1103" i="5"/>
  <c r="J10" i="4"/>
  <c r="J17" i="4"/>
  <c r="D427" i="5"/>
  <c r="D177" i="5"/>
  <c r="C1086" i="5"/>
  <c r="D1227" i="5"/>
  <c r="C735" i="5"/>
  <c r="E992" i="5"/>
  <c r="D1070" i="5"/>
  <c r="E404" i="5"/>
  <c r="C777" i="5"/>
  <c r="G22" i="4"/>
  <c r="D255" i="5"/>
  <c r="D1096" i="5"/>
  <c r="N25" i="4"/>
  <c r="E55" i="5"/>
  <c r="E1240" i="5"/>
  <c r="E1239" i="5"/>
  <c r="E1238" i="5"/>
  <c r="C1095" i="5"/>
  <c r="C327" i="5"/>
  <c r="E252" i="5"/>
  <c r="C989" i="5"/>
  <c r="E229" i="5"/>
  <c r="C1218" i="5"/>
  <c r="C362" i="5"/>
  <c r="C395" i="5"/>
  <c r="E1079" i="5"/>
  <c r="E314" i="5"/>
  <c r="C704" i="5"/>
  <c r="E745" i="5"/>
  <c r="D29" i="5"/>
  <c r="E1103" i="5"/>
  <c r="H25" i="4"/>
  <c r="C604" i="5"/>
  <c r="C148" i="5"/>
  <c r="D873" i="5"/>
  <c r="D872" i="5"/>
  <c r="D871" i="5"/>
  <c r="D1156" i="5"/>
  <c r="C1020" i="5"/>
  <c r="E746" i="5"/>
  <c r="C182" i="5"/>
  <c r="E135" i="5"/>
  <c r="E868" i="5"/>
  <c r="C1061" i="5"/>
  <c r="E319" i="5"/>
  <c r="D76" i="5"/>
  <c r="D1106" i="5"/>
  <c r="C557" i="5"/>
  <c r="C28" i="5"/>
  <c r="U21" i="4"/>
  <c r="D34" i="5"/>
  <c r="C114" i="5"/>
  <c r="C711" i="5"/>
  <c r="E340" i="5"/>
  <c r="C946" i="5"/>
  <c r="C1072" i="5"/>
  <c r="E1078" i="5"/>
  <c r="D229" i="5"/>
  <c r="D953" i="5"/>
  <c r="N12" i="4"/>
  <c r="C845" i="5"/>
  <c r="C1143" i="5"/>
  <c r="C1144" i="5"/>
  <c r="C1108" i="5"/>
  <c r="C1109" i="5"/>
  <c r="E557" i="5"/>
  <c r="E21" i="5"/>
  <c r="C1133" i="5"/>
  <c r="E701" i="5"/>
  <c r="C155" i="5"/>
  <c r="C862" i="5"/>
  <c r="E4" i="8"/>
  <c r="E1129" i="5"/>
  <c r="C435" i="5"/>
  <c r="E576" i="5"/>
  <c r="D1228" i="5"/>
  <c r="D1229" i="5"/>
  <c r="C1097" i="5"/>
  <c r="S22" i="4"/>
  <c r="E1058" i="5"/>
  <c r="E833" i="5"/>
  <c r="C1219" i="5"/>
  <c r="C1220" i="5"/>
  <c r="C91" i="5"/>
  <c r="C80" i="5"/>
  <c r="C274" i="5"/>
  <c r="C509" i="5"/>
  <c r="C126" i="5"/>
  <c r="P13" i="4"/>
  <c r="E1080" i="5"/>
  <c r="F47" i="8"/>
  <c r="D175" i="5"/>
  <c r="C992" i="5"/>
  <c r="C328" i="5"/>
  <c r="E201" i="5"/>
  <c r="E43" i="5"/>
  <c r="D1133" i="5"/>
  <c r="E113" i="5"/>
  <c r="D1218" i="5"/>
  <c r="C1120" i="5"/>
  <c r="E946" i="5"/>
  <c r="D146" i="5"/>
  <c r="D803" i="5"/>
  <c r="D1016" i="5"/>
  <c r="E459" i="5"/>
  <c r="D505" i="5"/>
  <c r="E991" i="5"/>
  <c r="E184" i="5"/>
  <c r="E1113" i="5"/>
  <c r="H23" i="4"/>
  <c r="E1144" i="5"/>
  <c r="E1143" i="5"/>
  <c r="E1142" i="5"/>
  <c r="E144" i="5"/>
  <c r="D1086" i="5"/>
  <c r="E453" i="5"/>
  <c r="I16" i="4"/>
  <c r="F40" i="8"/>
  <c r="F39" i="8"/>
  <c r="F38" i="8"/>
  <c r="C293" i="5"/>
  <c r="F26" i="4"/>
  <c r="E775" i="5"/>
  <c r="C453" i="5"/>
  <c r="D36" i="8"/>
  <c r="C597" i="5"/>
  <c r="C596" i="5"/>
  <c r="E170" i="5"/>
  <c r="D226" i="5"/>
  <c r="D294" i="5"/>
  <c r="D410" i="5"/>
  <c r="E1241" i="5"/>
  <c r="C59" i="5"/>
  <c r="D383" i="5"/>
  <c r="E439" i="5"/>
  <c r="R10" i="4"/>
  <c r="R17" i="4"/>
  <c r="D670" i="5"/>
  <c r="D1038" i="5"/>
  <c r="E929" i="5"/>
  <c r="D122" i="5"/>
  <c r="E167" i="5"/>
  <c r="Q26" i="4"/>
  <c r="D750" i="5"/>
  <c r="D292" i="5"/>
  <c r="D15" i="8"/>
  <c r="C324" i="5"/>
  <c r="C323" i="5"/>
  <c r="C386" i="5"/>
  <c r="C385" i="5"/>
  <c r="F12" i="4"/>
  <c r="D302" i="5"/>
  <c r="C45" i="5"/>
  <c r="C44" i="5"/>
  <c r="D396" i="5"/>
  <c r="L27" i="4"/>
  <c r="E1109" i="5"/>
  <c r="E1108" i="5"/>
  <c r="E1107" i="5"/>
  <c r="C1183" i="5"/>
  <c r="D33" i="5"/>
  <c r="C1141" i="5"/>
  <c r="C1022" i="5"/>
  <c r="D610" i="5"/>
  <c r="D609" i="5"/>
  <c r="D162" i="5"/>
  <c r="D1089" i="5"/>
  <c r="E1049" i="5"/>
  <c r="F70" i="8"/>
  <c r="F72" i="8"/>
  <c r="E633" i="5"/>
  <c r="E42" i="5"/>
  <c r="E29" i="8"/>
  <c r="E28" i="8"/>
  <c r="D584" i="5"/>
  <c r="E1002" i="5"/>
  <c r="C1162" i="5"/>
  <c r="C594" i="5"/>
  <c r="C593" i="5"/>
  <c r="D590" i="5"/>
  <c r="D589" i="5"/>
  <c r="D164" i="5"/>
  <c r="E988" i="5"/>
  <c r="D592" i="5"/>
  <c r="H20" i="4"/>
  <c r="E993" i="5"/>
  <c r="C119" i="5"/>
  <c r="E152" i="5"/>
  <c r="E1030" i="5"/>
  <c r="D840" i="5"/>
  <c r="D161" i="5"/>
  <c r="D1136" i="5"/>
  <c r="E421" i="5"/>
  <c r="D267" i="5"/>
  <c r="C355" i="5"/>
  <c r="C243" i="5"/>
  <c r="D544" i="5"/>
  <c r="E561" i="5"/>
  <c r="E202" i="5"/>
  <c r="D198" i="5"/>
  <c r="D1083" i="5"/>
  <c r="D356" i="5"/>
  <c r="R13" i="4"/>
  <c r="D114" i="5"/>
  <c r="M24" i="4"/>
  <c r="D1130" i="5"/>
  <c r="D357" i="5"/>
  <c r="D222" i="5"/>
  <c r="E758" i="5"/>
  <c r="E292" i="5"/>
  <c r="D16" i="8"/>
  <c r="C1161" i="5"/>
  <c r="C1160" i="5"/>
  <c r="C135" i="5"/>
  <c r="C477" i="5"/>
  <c r="C397" i="5"/>
  <c r="D859" i="5"/>
  <c r="C314" i="5"/>
  <c r="D376" i="5"/>
  <c r="D375" i="5"/>
  <c r="J11" i="4"/>
  <c r="J18" i="4"/>
  <c r="E406" i="5"/>
  <c r="D19" i="5"/>
  <c r="F25" i="4"/>
  <c r="N23" i="4"/>
  <c r="E891" i="5"/>
  <c r="D261" i="5"/>
  <c r="F58" i="8"/>
  <c r="E218" i="5"/>
  <c r="C931" i="5"/>
  <c r="D281" i="5"/>
  <c r="D757" i="5"/>
  <c r="E346" i="5"/>
  <c r="E432" i="5"/>
  <c r="E431" i="5"/>
  <c r="E430" i="5"/>
  <c r="C459" i="5"/>
  <c r="C383" i="5"/>
  <c r="E331" i="5"/>
  <c r="S15" i="4"/>
  <c r="E424" i="5"/>
  <c r="E423" i="5"/>
  <c r="E422" i="5"/>
  <c r="D72" i="8"/>
  <c r="C633" i="5"/>
  <c r="C631" i="5"/>
  <c r="C505" i="5"/>
  <c r="O25" i="4"/>
  <c r="C561" i="5"/>
  <c r="C426" i="5"/>
  <c r="D315" i="5"/>
  <c r="D735" i="5"/>
  <c r="C410" i="5"/>
  <c r="J24" i="4"/>
  <c r="D761" i="5"/>
  <c r="D74" i="5"/>
  <c r="D107" i="5"/>
  <c r="P10" i="4"/>
  <c r="D151" i="5"/>
  <c r="E757" i="5"/>
  <c r="E865" i="5"/>
  <c r="D887" i="5"/>
  <c r="C407" i="5"/>
  <c r="C1150" i="5"/>
  <c r="N26" i="4"/>
  <c r="D197" i="5"/>
  <c r="C345" i="5"/>
  <c r="C261" i="5"/>
  <c r="D1104" i="5"/>
  <c r="D1022" i="5"/>
  <c r="E198" i="5"/>
  <c r="M26" i="4"/>
  <c r="C998" i="5"/>
  <c r="E122" i="5"/>
  <c r="C102" i="5"/>
  <c r="D42" i="5"/>
  <c r="D1049" i="5"/>
  <c r="E112" i="5"/>
  <c r="E774" i="5"/>
  <c r="D561" i="5"/>
  <c r="C9" i="5"/>
  <c r="D1195" i="5"/>
  <c r="C177" i="5"/>
  <c r="C528" i="5"/>
  <c r="C527" i="5"/>
  <c r="D774" i="5"/>
  <c r="F20" i="4"/>
  <c r="E31" i="8"/>
  <c r="E33" i="5"/>
  <c r="C714" i="5"/>
  <c r="E1221" i="5"/>
  <c r="E264" i="5"/>
  <c r="F24" i="4"/>
  <c r="I27" i="4"/>
  <c r="C269" i="5"/>
  <c r="E111" i="5"/>
  <c r="D866" i="5"/>
  <c r="C512" i="5"/>
  <c r="E169" i="5"/>
  <c r="E384" i="5"/>
  <c r="D313" i="5"/>
  <c r="D606" i="5"/>
  <c r="D605" i="5"/>
  <c r="D604" i="5"/>
  <c r="E272" i="5"/>
  <c r="E197" i="5"/>
  <c r="M25" i="4"/>
  <c r="E66" i="5"/>
  <c r="D1138" i="5"/>
  <c r="C1131" i="5"/>
  <c r="E386" i="5"/>
  <c r="E385" i="5"/>
  <c r="P12" i="4"/>
  <c r="C753" i="5"/>
  <c r="C281" i="5"/>
  <c r="E207" i="5"/>
  <c r="E1195" i="5"/>
  <c r="C253" i="5"/>
  <c r="C66" i="5"/>
  <c r="C402" i="5"/>
  <c r="E750" i="5"/>
  <c r="D126" i="5"/>
  <c r="C348" i="5"/>
  <c r="D920" i="5"/>
  <c r="E25" i="4"/>
  <c r="U25" i="4"/>
  <c r="D694" i="5"/>
  <c r="C216" i="5"/>
  <c r="S24" i="4"/>
  <c r="C238" i="5"/>
  <c r="D845" i="5"/>
  <c r="E1182" i="5"/>
  <c r="E1181" i="5"/>
  <c r="E1180" i="5"/>
  <c r="D145" i="5"/>
  <c r="E899" i="5"/>
  <c r="D351" i="5"/>
  <c r="D350" i="5"/>
  <c r="D349" i="5"/>
  <c r="S19" i="4"/>
  <c r="E69" i="5"/>
  <c r="C433" i="5"/>
  <c r="C272" i="5"/>
  <c r="C189" i="5"/>
  <c r="E72" i="8"/>
  <c r="D633" i="5"/>
  <c r="D631" i="5"/>
  <c r="O26" i="4"/>
  <c r="E67" i="5"/>
  <c r="D418" i="5"/>
  <c r="C1092" i="5"/>
  <c r="C1091" i="5"/>
  <c r="C1090" i="5"/>
  <c r="C1089" i="5"/>
  <c r="D321" i="5"/>
  <c r="C41" i="5"/>
  <c r="E72" i="5"/>
  <c r="Q20" i="4"/>
  <c r="F33" i="8"/>
  <c r="E590" i="5"/>
  <c r="C719" i="5"/>
  <c r="C718" i="5"/>
  <c r="C717" i="5"/>
  <c r="D733" i="5"/>
  <c r="D240" i="5"/>
  <c r="D99" i="5"/>
  <c r="E134" i="5"/>
  <c r="D16" i="5"/>
  <c r="C859" i="5"/>
  <c r="D245" i="5"/>
  <c r="C1070" i="5"/>
  <c r="D44" i="8"/>
  <c r="E873" i="5"/>
  <c r="E872" i="5"/>
  <c r="E871" i="5"/>
  <c r="E46" i="5"/>
  <c r="D1026" i="5"/>
  <c r="E428" i="5"/>
  <c r="C27" i="5"/>
  <c r="C958" i="5"/>
  <c r="D4" i="5"/>
  <c r="J15" i="4"/>
  <c r="D1010" i="5"/>
  <c r="D1009" i="5"/>
  <c r="D1008" i="5"/>
  <c r="D112" i="5"/>
  <c r="D929" i="5"/>
  <c r="E1095" i="5"/>
  <c r="E943" i="5"/>
  <c r="D739" i="5"/>
  <c r="D738" i="5"/>
  <c r="D737" i="5"/>
  <c r="M21" i="4"/>
  <c r="E484" i="5"/>
  <c r="E315" i="5"/>
  <c r="K19" i="4"/>
  <c r="D259" i="5"/>
  <c r="C275" i="5"/>
  <c r="E344" i="5"/>
  <c r="E518" i="5"/>
  <c r="E517" i="5"/>
  <c r="E516" i="5"/>
  <c r="E1183" i="5"/>
  <c r="D51" i="5"/>
  <c r="C558" i="5"/>
  <c r="E583" i="5"/>
  <c r="Q19" i="4"/>
  <c r="D951" i="5"/>
  <c r="C807" i="5"/>
  <c r="S26" i="4"/>
  <c r="D1148" i="5"/>
  <c r="C866" i="5"/>
  <c r="C1178" i="5"/>
  <c r="C1177" i="5"/>
  <c r="C1176" i="5"/>
  <c r="I26" i="4"/>
  <c r="E206" i="5"/>
  <c r="E980" i="5"/>
  <c r="C352" i="5"/>
  <c r="D9" i="5"/>
  <c r="E121" i="5"/>
  <c r="E791" i="5"/>
  <c r="E790" i="5"/>
  <c r="E789" i="5"/>
  <c r="C549" i="5"/>
  <c r="C248" i="5"/>
  <c r="C530" i="5"/>
  <c r="E1053" i="5"/>
  <c r="D159" i="5"/>
  <c r="D433" i="5"/>
  <c r="D102" i="5"/>
  <c r="C51" i="5"/>
  <c r="E800" i="5"/>
  <c r="C1128" i="5"/>
  <c r="D327" i="5"/>
  <c r="C137" i="5"/>
  <c r="G15" i="4"/>
  <c r="E305" i="5"/>
  <c r="D22" i="5"/>
  <c r="D1142" i="5"/>
  <c r="E1021" i="5"/>
  <c r="D40" i="5"/>
  <c r="D9" i="8"/>
  <c r="C570" i="5"/>
  <c r="C569" i="5"/>
  <c r="E1068" i="5"/>
  <c r="D135" i="5"/>
  <c r="D716" i="5"/>
  <c r="K20" i="4"/>
  <c r="E967" i="5"/>
  <c r="E228" i="5"/>
  <c r="E341" i="5"/>
  <c r="E301" i="5"/>
  <c r="N21" i="4"/>
  <c r="D483" i="5"/>
  <c r="L12" i="4"/>
  <c r="E1136" i="5"/>
  <c r="C298" i="5"/>
  <c r="C1025" i="5"/>
  <c r="D811" i="5"/>
  <c r="G14" i="4"/>
  <c r="C1156" i="5"/>
  <c r="D1220" i="5"/>
  <c r="D1219" i="5"/>
  <c r="D348" i="5"/>
  <c r="C218" i="5"/>
  <c r="C981" i="5"/>
  <c r="O18" i="4"/>
  <c r="E328" i="5"/>
  <c r="D199" i="5"/>
  <c r="D318" i="5"/>
  <c r="C554" i="5"/>
  <c r="U12" i="4"/>
  <c r="H17" i="4"/>
  <c r="C26" i="5"/>
  <c r="C25" i="5"/>
  <c r="C24" i="5"/>
  <c r="Q17" i="4"/>
  <c r="E16" i="8"/>
  <c r="D1147" i="5"/>
  <c r="D67" i="5"/>
  <c r="E857" i="5"/>
  <c r="E1149" i="5"/>
  <c r="C923" i="5"/>
  <c r="F12" i="8"/>
  <c r="E573" i="5"/>
  <c r="E572" i="5"/>
  <c r="D20" i="5"/>
  <c r="C922" i="5"/>
  <c r="D201" i="5"/>
  <c r="C437" i="5"/>
  <c r="C320" i="5"/>
  <c r="C851" i="5"/>
  <c r="C151" i="5"/>
  <c r="U14" i="4"/>
  <c r="C93" i="5"/>
  <c r="D1103" i="5"/>
  <c r="D1143" i="5"/>
  <c r="D1144" i="5"/>
  <c r="E1025" i="5"/>
  <c r="D921" i="5"/>
  <c r="F21" i="4"/>
  <c r="C405" i="5"/>
  <c r="C329" i="5"/>
  <c r="E282" i="5"/>
  <c r="D931" i="5"/>
  <c r="D235" i="5"/>
  <c r="C442" i="5"/>
  <c r="E114" i="5"/>
  <c r="E1145" i="5"/>
  <c r="D993" i="5"/>
  <c r="C309" i="5"/>
  <c r="E380" i="5"/>
  <c r="P11" i="4"/>
  <c r="D269" i="5"/>
  <c r="C339" i="5"/>
  <c r="E171" i="5"/>
  <c r="E131" i="5"/>
  <c r="E1237" i="5"/>
  <c r="D208" i="5"/>
  <c r="D286" i="5"/>
  <c r="D181" i="5"/>
  <c r="D557" i="5"/>
  <c r="E553" i="5"/>
  <c r="D1183" i="5"/>
  <c r="D459" i="5"/>
  <c r="C732" i="5"/>
  <c r="C273" i="5"/>
  <c r="C1060" i="5"/>
  <c r="C237" i="5"/>
  <c r="D740" i="5"/>
  <c r="D66" i="8"/>
  <c r="D67" i="8"/>
  <c r="C628" i="5"/>
  <c r="E79" i="5"/>
  <c r="E78" i="5"/>
  <c r="E77" i="5"/>
  <c r="C55" i="5"/>
  <c r="E383" i="5"/>
  <c r="C280" i="5"/>
  <c r="C279" i="5"/>
  <c r="C278" i="5"/>
  <c r="C277" i="5"/>
  <c r="E168" i="5"/>
  <c r="C816" i="5"/>
  <c r="E161" i="5"/>
  <c r="D424" i="5"/>
  <c r="D423" i="5"/>
  <c r="D422" i="5"/>
  <c r="C1198" i="5"/>
  <c r="D996" i="5"/>
  <c r="D995" i="5"/>
  <c r="D994" i="5"/>
  <c r="C202" i="5"/>
  <c r="D347" i="5"/>
  <c r="D1077" i="5"/>
  <c r="D1221" i="5"/>
  <c r="E513" i="5"/>
  <c r="C209" i="5"/>
  <c r="D666" i="5"/>
  <c r="C976" i="5"/>
  <c r="C351" i="5"/>
  <c r="C350" i="5"/>
  <c r="C349" i="5"/>
  <c r="E1027" i="5"/>
  <c r="D420" i="5"/>
  <c r="D685" i="5"/>
  <c r="E164" i="5"/>
  <c r="E921" i="5"/>
  <c r="D248" i="5"/>
  <c r="E326" i="5"/>
  <c r="C347" i="5"/>
  <c r="E1086" i="5"/>
  <c r="D448" i="5"/>
  <c r="D447" i="5"/>
  <c r="C301" i="5"/>
  <c r="C671" i="5"/>
  <c r="D1063" i="5"/>
  <c r="C870" i="5"/>
  <c r="D529" i="5"/>
  <c r="E434" i="5"/>
  <c r="C1027" i="5"/>
  <c r="E1104" i="5"/>
  <c r="C462" i="5"/>
  <c r="D23" i="8"/>
  <c r="D22" i="8"/>
  <c r="D1140" i="5"/>
  <c r="C1129" i="5"/>
  <c r="D4" i="8"/>
  <c r="E232" i="5"/>
  <c r="O19" i="4"/>
  <c r="C848" i="5"/>
  <c r="E742" i="5"/>
  <c r="S21" i="4"/>
  <c r="E956" i="5"/>
  <c r="F53" i="8"/>
  <c r="F52" i="8"/>
  <c r="E1210" i="5"/>
  <c r="C83" i="5"/>
  <c r="E534" i="5"/>
  <c r="E533" i="5"/>
  <c r="E532" i="5"/>
  <c r="Q14" i="4"/>
  <c r="C240" i="5"/>
  <c r="D775" i="5"/>
  <c r="E355" i="5"/>
  <c r="E49" i="8"/>
  <c r="E48" i="8"/>
  <c r="E47" i="8"/>
  <c r="E90" i="5"/>
  <c r="E302" i="5"/>
  <c r="D565" i="5"/>
  <c r="D237" i="5"/>
  <c r="D1097" i="5"/>
  <c r="C120" i="5"/>
  <c r="E23" i="8"/>
  <c r="E22" i="8"/>
  <c r="E223" i="5"/>
  <c r="D398" i="5"/>
  <c r="C420" i="5"/>
  <c r="E1220" i="5"/>
  <c r="E1219" i="5"/>
  <c r="E1218" i="5"/>
  <c r="E25" i="8"/>
  <c r="E24" i="8"/>
  <c r="C599" i="5"/>
  <c r="D436" i="5"/>
  <c r="D421" i="5"/>
  <c r="E365" i="5"/>
  <c r="C988" i="5"/>
  <c r="D923" i="5"/>
  <c r="D193" i="5"/>
  <c r="C144" i="5"/>
  <c r="C740" i="5"/>
  <c r="D39" i="5"/>
  <c r="E13" i="4"/>
  <c r="C221" i="5"/>
  <c r="C674" i="5"/>
  <c r="C62" i="5"/>
  <c r="C61" i="5"/>
  <c r="C60" i="5"/>
  <c r="E338" i="5"/>
  <c r="E118" i="5"/>
  <c r="E117" i="5"/>
  <c r="E116" i="5"/>
  <c r="E816" i="5"/>
  <c r="D808" i="5"/>
  <c r="L23" i="4"/>
  <c r="C1192" i="5"/>
  <c r="E27" i="4"/>
  <c r="U27" i="4"/>
  <c r="C1063" i="5"/>
  <c r="E599" i="5"/>
  <c r="C185" i="5"/>
  <c r="N20" i="4"/>
  <c r="E107" i="5"/>
  <c r="E199" i="5"/>
  <c r="E183" i="5"/>
  <c r="I25" i="4"/>
  <c r="D419" i="5"/>
  <c r="C23" i="5"/>
  <c r="D1182" i="5"/>
  <c r="D1181" i="5"/>
  <c r="D1180" i="5"/>
  <c r="C590" i="5"/>
  <c r="C589" i="5"/>
  <c r="D403" i="5"/>
  <c r="E646" i="5"/>
  <c r="E645" i="5"/>
  <c r="P20" i="4"/>
  <c r="E542" i="5"/>
  <c r="E543" i="5"/>
  <c r="K13" i="4"/>
  <c r="E309" i="5"/>
  <c r="N16" i="4"/>
  <c r="D894" i="5"/>
  <c r="D118" i="5"/>
  <c r="D117" i="5"/>
  <c r="D116" i="5"/>
  <c r="E505" i="5"/>
  <c r="D148" i="5"/>
  <c r="D558" i="5"/>
  <c r="D1041" i="5"/>
  <c r="C860" i="5"/>
  <c r="E832" i="5"/>
  <c r="D61" i="8"/>
  <c r="D1037" i="5"/>
  <c r="D1036" i="5"/>
  <c r="D1035" i="5"/>
  <c r="J26" i="4"/>
  <c r="C995" i="5"/>
  <c r="C996" i="5"/>
  <c r="C191" i="5"/>
  <c r="E397" i="5"/>
  <c r="E915" i="5"/>
  <c r="E485" i="5"/>
  <c r="E486" i="5"/>
  <c r="C966" i="5"/>
  <c r="C965" i="5"/>
  <c r="C964" i="5"/>
  <c r="E761" i="5"/>
  <c r="C207" i="5"/>
  <c r="D10" i="5"/>
  <c r="E926" i="5"/>
  <c r="E925" i="5"/>
  <c r="E924" i="5"/>
  <c r="E310" i="5"/>
  <c r="D796" i="5"/>
  <c r="D799" i="5"/>
  <c r="E154" i="5"/>
  <c r="C1084" i="5"/>
  <c r="D131" i="5"/>
  <c r="E1114" i="5"/>
  <c r="E276" i="5"/>
  <c r="D679" i="5"/>
  <c r="D1211" i="5"/>
  <c r="E945" i="5"/>
  <c r="E944" i="5"/>
  <c r="D153" i="5"/>
  <c r="C1148" i="5"/>
  <c r="C254" i="5"/>
  <c r="D1060" i="5"/>
  <c r="R19" i="4"/>
  <c r="E208" i="5"/>
  <c r="C1026" i="5"/>
  <c r="D404" i="5"/>
  <c r="C670" i="5"/>
  <c r="D205" i="5"/>
  <c r="C111" i="5"/>
  <c r="C887" i="5"/>
  <c r="C544" i="5"/>
  <c r="D928" i="5"/>
  <c r="E293" i="5"/>
  <c r="E667" i="5"/>
  <c r="E1120" i="5"/>
  <c r="E125" i="5"/>
  <c r="C197" i="5"/>
  <c r="E254" i="5"/>
  <c r="C1233" i="5"/>
  <c r="F15" i="8"/>
  <c r="D930" i="5"/>
  <c r="C456" i="5"/>
  <c r="C734" i="5"/>
  <c r="C921" i="5"/>
  <c r="J20" i="4"/>
  <c r="E210" i="5"/>
  <c r="D1098" i="5"/>
  <c r="D264" i="5"/>
  <c r="E364" i="5"/>
  <c r="D460" i="5"/>
  <c r="D461" i="5"/>
  <c r="F27" i="4"/>
  <c r="D49" i="5"/>
  <c r="E1141" i="5"/>
  <c r="E1102" i="5"/>
  <c r="C645" i="5"/>
  <c r="C646" i="5"/>
  <c r="E920" i="5"/>
  <c r="C835" i="5"/>
  <c r="E1115" i="5"/>
  <c r="C175" i="5"/>
  <c r="D194" i="5"/>
  <c r="D155" i="5"/>
  <c r="E1066" i="5"/>
  <c r="D713" i="5"/>
  <c r="D946" i="5"/>
  <c r="E357" i="5"/>
  <c r="C108" i="5"/>
  <c r="C75" i="5"/>
  <c r="C699" i="5"/>
  <c r="L26" i="4"/>
  <c r="D52" i="8"/>
  <c r="D861" i="5"/>
  <c r="H12" i="4"/>
  <c r="D105" i="5"/>
  <c r="D1015" i="5"/>
  <c r="R26" i="4"/>
  <c r="M23" i="4"/>
  <c r="D189" i="5"/>
  <c r="E36" i="8"/>
  <c r="D597" i="5"/>
  <c r="D596" i="5"/>
  <c r="C811" i="5"/>
  <c r="G19" i="4"/>
  <c r="C40" i="5"/>
  <c r="C1002" i="5"/>
  <c r="E45" i="8"/>
  <c r="E44" i="8"/>
  <c r="E43" i="8"/>
  <c r="E33" i="8"/>
  <c r="E32" i="8"/>
  <c r="H26" i="4"/>
  <c r="E1089" i="5"/>
  <c r="L13" i="4"/>
  <c r="D1176" i="5"/>
  <c r="D456" i="5"/>
  <c r="C659" i="5"/>
  <c r="D202" i="5"/>
  <c r="C841" i="5"/>
  <c r="E402" i="5"/>
  <c r="E419" i="5"/>
  <c r="D95" i="5"/>
  <c r="E799" i="5"/>
  <c r="E796" i="5"/>
  <c r="D77" i="5"/>
  <c r="C722" i="5"/>
  <c r="C660" i="5"/>
  <c r="C661" i="5"/>
  <c r="C1068" i="5"/>
  <c r="E990" i="5"/>
  <c r="D368" i="5"/>
  <c r="E216" i="5"/>
  <c r="D967" i="5"/>
  <c r="D278" i="5"/>
  <c r="E356" i="5"/>
  <c r="E50" i="5"/>
  <c r="U23" i="4"/>
  <c r="E1084" i="5"/>
  <c r="C409" i="5"/>
  <c r="C408" i="5"/>
  <c r="C1210" i="5"/>
  <c r="C1106" i="5"/>
  <c r="D1072" i="5"/>
  <c r="E151" i="5"/>
  <c r="H22" i="4"/>
  <c r="D849" i="5"/>
  <c r="D1159" i="5"/>
  <c r="D384" i="5"/>
  <c r="D831" i="5"/>
  <c r="E222" i="5"/>
  <c r="E600" i="5"/>
  <c r="E83" i="5"/>
  <c r="C302" i="5"/>
  <c r="E172" i="5"/>
  <c r="C310" i="5"/>
  <c r="D990" i="5"/>
  <c r="E870" i="5"/>
  <c r="E221" i="5"/>
  <c r="D58" i="5"/>
  <c r="C424" i="5"/>
  <c r="C423" i="5"/>
  <c r="C422" i="5"/>
  <c r="D947" i="5"/>
  <c r="C200" i="5"/>
  <c r="E548" i="5"/>
  <c r="E547" i="5"/>
  <c r="E546" i="5"/>
  <c r="S14" i="4"/>
  <c r="C779" i="5"/>
  <c r="C778" i="5"/>
  <c r="F44" i="8"/>
  <c r="F43" i="8"/>
  <c r="E1127" i="5"/>
  <c r="E1126" i="5"/>
  <c r="D417" i="5"/>
  <c r="D325" i="5"/>
  <c r="C1105" i="5"/>
  <c r="C79" i="5"/>
  <c r="C78" i="5"/>
  <c r="C1158" i="5"/>
  <c r="C715" i="5"/>
  <c r="E433" i="5"/>
  <c r="E831" i="5"/>
  <c r="E704" i="5"/>
  <c r="F41" i="8"/>
  <c r="E602" i="5"/>
  <c r="E601" i="5"/>
  <c r="C228" i="5"/>
  <c r="E1150" i="5"/>
  <c r="C1118" i="5"/>
  <c r="E957" i="5"/>
  <c r="Q13" i="4"/>
  <c r="E1157" i="5"/>
  <c r="D90" i="5"/>
  <c r="E217" i="5"/>
  <c r="D912" i="5"/>
  <c r="E713" i="5"/>
  <c r="F22" i="8"/>
  <c r="G13" i="4"/>
  <c r="D1145" i="5"/>
  <c r="D168" i="5"/>
  <c r="C924" i="5"/>
  <c r="C1014" i="5"/>
  <c r="C1013" i="5"/>
  <c r="C1012" i="5"/>
  <c r="D297" i="5"/>
  <c r="F62" i="8"/>
  <c r="E623" i="5"/>
  <c r="E622" i="5"/>
  <c r="D992" i="5"/>
  <c r="D119" i="5"/>
  <c r="E849" i="5"/>
  <c r="C910" i="5"/>
  <c r="C909" i="5"/>
  <c r="C1139" i="5"/>
  <c r="C879" i="5"/>
  <c r="C878" i="5"/>
  <c r="C877" i="5"/>
  <c r="C232" i="5"/>
  <c r="C231" i="5"/>
  <c r="C1085" i="5"/>
  <c r="D982" i="5"/>
  <c r="E674" i="5"/>
  <c r="C344" i="5"/>
  <c r="D200" i="5"/>
  <c r="E1148" i="5"/>
  <c r="E378" i="5"/>
  <c r="E377" i="5"/>
  <c r="O12" i="4"/>
  <c r="D254" i="5"/>
  <c r="E20" i="4"/>
  <c r="U20" i="4"/>
  <c r="C952" i="5"/>
  <c r="E879" i="5"/>
  <c r="E878" i="5"/>
  <c r="E877" i="5"/>
  <c r="E15" i="5"/>
  <c r="C1067" i="5"/>
  <c r="D970" i="5"/>
  <c r="C467" i="5"/>
  <c r="C466" i="5"/>
  <c r="C465" i="5"/>
  <c r="E213" i="5"/>
  <c r="C125" i="5"/>
  <c r="C858" i="5"/>
  <c r="D111" i="5"/>
  <c r="E997" i="5"/>
  <c r="C618" i="5"/>
  <c r="I19" i="4"/>
  <c r="D251" i="5"/>
  <c r="D191" i="5"/>
  <c r="C246" i="5"/>
  <c r="E1139" i="5"/>
  <c r="E1026" i="5"/>
  <c r="D27" i="5"/>
  <c r="C199" i="5"/>
  <c r="D822" i="5"/>
  <c r="E723" i="5"/>
  <c r="E361" i="5"/>
  <c r="E549" i="5"/>
  <c r="C750" i="5"/>
  <c r="D1058" i="5"/>
  <c r="F11" i="4"/>
  <c r="E1097" i="5"/>
  <c r="C1021" i="5"/>
  <c r="C652" i="5"/>
  <c r="C651" i="5"/>
  <c r="C650" i="5"/>
  <c r="C504" i="5"/>
  <c r="E205" i="5"/>
  <c r="E890" i="5"/>
  <c r="E725" i="5"/>
  <c r="D62" i="5"/>
  <c r="D61" i="5"/>
  <c r="D60" i="5"/>
  <c r="D853" i="5"/>
  <c r="E670" i="5"/>
  <c r="F23" i="4"/>
  <c r="P25" i="4"/>
  <c r="D362" i="5"/>
  <c r="D5" i="5"/>
  <c r="D1153" i="5"/>
  <c r="E75" i="5"/>
  <c r="C361" i="5"/>
  <c r="C356" i="5"/>
  <c r="D401" i="5"/>
  <c r="G17" i="4"/>
  <c r="C92" i="5"/>
  <c r="E19" i="4"/>
  <c r="C113" i="5"/>
  <c r="E996" i="5"/>
  <c r="E995" i="5"/>
  <c r="E994" i="5"/>
  <c r="D214" i="5"/>
  <c r="E544" i="5"/>
  <c r="C912" i="5"/>
  <c r="D712" i="5"/>
  <c r="C213" i="5"/>
  <c r="E1093" i="5"/>
  <c r="C147" i="5"/>
  <c r="C418" i="5"/>
  <c r="C118" i="5"/>
  <c r="C117" i="5"/>
  <c r="C116" i="5"/>
  <c r="D85" i="5"/>
  <c r="E1229" i="5"/>
  <c r="E1228" i="5"/>
  <c r="E1227" i="5"/>
  <c r="R27" i="4"/>
  <c r="C973" i="5"/>
  <c r="D1107" i="5"/>
  <c r="C953" i="5"/>
  <c r="D857" i="5"/>
  <c r="E441" i="5"/>
  <c r="E440" i="5"/>
  <c r="D207" i="5"/>
  <c r="C1130" i="5"/>
  <c r="C666" i="5"/>
  <c r="C886" i="5"/>
  <c r="D645" i="5"/>
  <c r="D646" i="5"/>
  <c r="D25" i="8"/>
  <c r="D24" i="8"/>
  <c r="E382" i="5"/>
  <c r="E381" i="5"/>
  <c r="D1051" i="5"/>
  <c r="E1186" i="5"/>
  <c r="E822" i="5"/>
  <c r="D160" i="5"/>
  <c r="E22" i="5"/>
  <c r="C171" i="5"/>
  <c r="D1139" i="5"/>
  <c r="D182" i="5"/>
  <c r="F22" i="4"/>
  <c r="C833" i="5"/>
  <c r="C99" i="5"/>
  <c r="D1124" i="5"/>
  <c r="E958" i="5"/>
  <c r="S23" i="4"/>
  <c r="C984" i="5"/>
  <c r="G25" i="4"/>
  <c r="C76" i="5"/>
  <c r="C13" i="5"/>
  <c r="D964" i="5"/>
  <c r="E106" i="5"/>
  <c r="E277" i="5"/>
  <c r="M13" i="4"/>
  <c r="C215" i="5"/>
  <c r="D339" i="5"/>
  <c r="D53" i="8"/>
  <c r="C436" i="5"/>
  <c r="C448" i="5"/>
  <c r="C447" i="5"/>
  <c r="C239" i="5"/>
  <c r="C928" i="5"/>
  <c r="E420" i="5"/>
  <c r="E16" i="4"/>
  <c r="U16" i="4"/>
  <c r="D239" i="5"/>
  <c r="E1201" i="5"/>
  <c r="D667" i="5"/>
  <c r="E462" i="5"/>
  <c r="E613" i="5"/>
  <c r="E1119" i="5"/>
  <c r="D858" i="5"/>
  <c r="E792" i="5"/>
  <c r="E5" i="8"/>
  <c r="D1101" i="5"/>
  <c r="E999" i="5"/>
  <c r="E650" i="5"/>
  <c r="E13" i="5"/>
  <c r="D78" i="5"/>
  <c r="D79" i="5"/>
  <c r="S13" i="4"/>
  <c r="D860" i="5"/>
  <c r="C234" i="5"/>
  <c r="C233" i="5"/>
  <c r="C583" i="5"/>
  <c r="D734" i="5"/>
  <c r="E58" i="5"/>
  <c r="H11" i="4"/>
  <c r="H18" i="4"/>
  <c r="C1088" i="5"/>
  <c r="F54" i="8"/>
  <c r="E615" i="5"/>
  <c r="E614" i="5"/>
  <c r="C1193" i="5"/>
  <c r="C1194" i="5"/>
  <c r="E268" i="5"/>
  <c r="C745" i="5"/>
  <c r="D585" i="5"/>
  <c r="D412" i="5"/>
  <c r="E493" i="5"/>
  <c r="D1179" i="5"/>
  <c r="F19" i="4"/>
  <c r="E476" i="5"/>
  <c r="C283" i="5"/>
  <c r="E733" i="5"/>
  <c r="E1067" i="5"/>
  <c r="D369" i="5"/>
  <c r="D370" i="5"/>
  <c r="C444" i="5"/>
  <c r="C443" i="5"/>
  <c r="E1015" i="5"/>
  <c r="D121" i="5"/>
  <c r="E425" i="5"/>
  <c r="C1017" i="5"/>
  <c r="E1217" i="5"/>
  <c r="N13" i="4"/>
  <c r="C181" i="5"/>
  <c r="C1238" i="5"/>
  <c r="C982" i="5"/>
  <c r="D966" i="5"/>
  <c r="D965" i="5"/>
  <c r="D1150" i="5"/>
  <c r="C1221" i="5"/>
  <c r="D171" i="5"/>
  <c r="E128" i="5"/>
  <c r="E565" i="5"/>
  <c r="E679" i="5"/>
  <c r="E193" i="5"/>
  <c r="D113" i="5"/>
  <c r="C979" i="5"/>
  <c r="C978" i="5"/>
  <c r="D273" i="5"/>
  <c r="C773" i="5"/>
  <c r="C772" i="5"/>
  <c r="C648" i="5"/>
  <c r="E21" i="4"/>
  <c r="E715" i="5"/>
  <c r="D1076" i="5"/>
  <c r="E1176" i="5"/>
  <c r="D1071" i="5"/>
  <c r="E671" i="5"/>
  <c r="C529" i="5"/>
  <c r="E1233" i="5"/>
  <c r="D891" i="5"/>
  <c r="C1096" i="5"/>
  <c r="E1060" i="5"/>
  <c r="C967" i="5"/>
  <c r="C414" i="5"/>
  <c r="D247" i="5"/>
  <c r="D516" i="5"/>
  <c r="D56" i="5"/>
  <c r="C925" i="5"/>
  <c r="C926" i="5"/>
  <c r="Q21" i="4"/>
  <c r="E1123" i="5"/>
  <c r="C550" i="5"/>
  <c r="C193" i="5"/>
  <c r="E291" i="5"/>
  <c r="C146" i="5"/>
  <c r="D364" i="5"/>
  <c r="C285" i="5"/>
  <c r="C905" i="5"/>
  <c r="E10" i="4"/>
  <c r="C1049" i="5"/>
  <c r="D1222" i="5"/>
  <c r="F48" i="8"/>
  <c r="L14" i="4"/>
  <c r="C1124" i="5"/>
  <c r="E842" i="5"/>
  <c r="H19" i="4"/>
  <c r="C488" i="5"/>
  <c r="C1069" i="5"/>
  <c r="C38" i="5"/>
  <c r="E850" i="5"/>
  <c r="E137" i="5"/>
  <c r="Q15" i="4"/>
  <c r="E1137" i="5"/>
  <c r="E651" i="5"/>
  <c r="E652" i="5"/>
  <c r="E245" i="5"/>
  <c r="C1149" i="5"/>
  <c r="E108" i="5"/>
  <c r="F16" i="8"/>
  <c r="E720" i="5"/>
  <c r="E1041" i="5"/>
  <c r="C247" i="5"/>
  <c r="E191" i="5"/>
  <c r="D833" i="5"/>
  <c r="E194" i="5"/>
  <c r="D991" i="5"/>
  <c r="C251" i="5"/>
  <c r="E388" i="5"/>
  <c r="E721" i="5"/>
  <c r="C1241" i="5"/>
  <c r="C947" i="5"/>
  <c r="C107" i="5"/>
  <c r="D639" i="5"/>
  <c r="D638" i="5"/>
  <c r="D637" i="5"/>
  <c r="D329" i="5"/>
  <c r="C1209" i="5"/>
  <c r="C1208" i="5"/>
  <c r="C1207" i="5"/>
  <c r="E1048" i="5"/>
  <c r="E1047" i="5"/>
  <c r="E1046" i="5"/>
  <c r="D1002" i="5"/>
  <c r="C844" i="5"/>
  <c r="D340" i="5"/>
  <c r="E477" i="5"/>
  <c r="D1069" i="5"/>
  <c r="D476" i="5"/>
  <c r="E853" i="5"/>
  <c r="D1044" i="5"/>
  <c r="D958" i="5"/>
  <c r="E160" i="5"/>
  <c r="D310" i="5"/>
  <c r="E91" i="5"/>
  <c r="E38" i="8"/>
  <c r="O22" i="4"/>
  <c r="C205" i="5"/>
  <c r="C89" i="5"/>
  <c r="D952" i="5"/>
  <c r="D671" i="5"/>
  <c r="D886" i="5"/>
  <c r="D804" i="5"/>
  <c r="D1178" i="5"/>
  <c r="D1177" i="5"/>
  <c r="G24" i="4"/>
  <c r="C56" i="5"/>
  <c r="H13" i="4"/>
  <c r="C1180" i="5"/>
  <c r="E285" i="5"/>
  <c r="D228" i="5"/>
  <c r="L20" i="4"/>
  <c r="D45" i="5"/>
  <c r="D44" i="5"/>
  <c r="D43" i="5"/>
  <c r="C206" i="5"/>
  <c r="C1010" i="5"/>
  <c r="C1009" i="5"/>
  <c r="C1008" i="5"/>
  <c r="U22" i="4"/>
  <c r="D28" i="5"/>
  <c r="D280" i="5"/>
  <c r="D279" i="5"/>
  <c r="C1147" i="5"/>
  <c r="E1020" i="5"/>
  <c r="E702" i="5"/>
  <c r="E703" i="5"/>
  <c r="E260" i="5"/>
  <c r="D1059" i="5"/>
  <c r="D618" i="5"/>
  <c r="I18" i="4"/>
  <c r="D285" i="5"/>
  <c r="F49" i="8"/>
  <c r="E610" i="5"/>
  <c r="E609" i="5"/>
  <c r="E1130" i="5"/>
  <c r="C800" i="5"/>
  <c r="F17" i="4"/>
  <c r="E554" i="5"/>
  <c r="E1122" i="5"/>
  <c r="D800" i="5"/>
  <c r="C112" i="5"/>
  <c r="E1096" i="5"/>
  <c r="C429" i="5"/>
  <c r="C1074" i="5"/>
  <c r="C1073" i="5"/>
  <c r="Q10" i="4"/>
  <c r="D185" i="5"/>
  <c r="C22" i="5"/>
  <c r="C857" i="5"/>
  <c r="D309" i="5"/>
  <c r="D509" i="5"/>
  <c r="D26" i="5"/>
  <c r="D25" i="5"/>
  <c r="D24" i="5"/>
  <c r="E162" i="5"/>
  <c r="C1182" i="5"/>
  <c r="C1181" i="5"/>
  <c r="E176" i="5"/>
  <c r="C1038" i="5"/>
  <c r="P27" i="4"/>
  <c r="C236" i="5"/>
  <c r="D397" i="5"/>
  <c r="C1146" i="5"/>
  <c r="D35" i="5"/>
  <c r="E9" i="5"/>
  <c r="D91" i="5"/>
  <c r="C915" i="5"/>
  <c r="E1088" i="5"/>
  <c r="E414" i="5"/>
  <c r="E297" i="5"/>
  <c r="E80" i="5"/>
  <c r="C543" i="5"/>
  <c r="C542" i="5"/>
  <c r="H14" i="4"/>
  <c r="C822" i="5"/>
  <c r="E132" i="5"/>
  <c r="E40" i="8"/>
  <c r="E39" i="8"/>
  <c r="D682" i="5"/>
  <c r="J21" i="4"/>
  <c r="D753" i="5"/>
  <c r="E509" i="5"/>
  <c r="E215" i="5"/>
  <c r="E20" i="5"/>
  <c r="C837" i="5"/>
  <c r="C836" i="5"/>
  <c r="E351" i="5"/>
  <c r="E350" i="5"/>
  <c r="E349" i="5"/>
  <c r="E803" i="5"/>
  <c r="C812" i="5"/>
  <c r="D137" i="5"/>
  <c r="L15" i="4"/>
  <c r="D480" i="5"/>
  <c r="D479" i="5"/>
  <c r="E401" i="5"/>
  <c r="D260" i="5"/>
  <c r="C861" i="5"/>
  <c r="C902" i="5"/>
  <c r="E24" i="4"/>
  <c r="K23" i="4"/>
  <c r="E663" i="5"/>
  <c r="S20" i="4"/>
  <c r="D777" i="5"/>
  <c r="L22" i="4"/>
  <c r="E289" i="5"/>
  <c r="C1111" i="5"/>
  <c r="D1213" i="5"/>
  <c r="E189" i="5"/>
  <c r="D973" i="5"/>
  <c r="D504" i="5"/>
  <c r="E280" i="5"/>
  <c r="E279" i="5"/>
  <c r="E278" i="5"/>
  <c r="D1074" i="5"/>
  <c r="D1073" i="5"/>
  <c r="E436" i="5"/>
  <c r="F45" i="8"/>
  <c r="E606" i="5"/>
  <c r="E605" i="5"/>
  <c r="E604" i="5"/>
  <c r="E495" i="5"/>
  <c r="E494" i="5"/>
  <c r="C1236" i="5"/>
  <c r="C1235" i="5"/>
  <c r="C1234" i="5"/>
  <c r="E1054" i="5"/>
  <c r="D1161" i="5"/>
  <c r="D1160" i="5"/>
  <c r="C321" i="5"/>
  <c r="C121" i="5"/>
  <c r="D152" i="5"/>
  <c r="E952" i="5"/>
  <c r="E41" i="8"/>
  <c r="D602" i="5"/>
  <c r="D601" i="5"/>
  <c r="D600" i="5"/>
  <c r="D244" i="5"/>
  <c r="C67" i="5"/>
  <c r="C138" i="5"/>
  <c r="E39" i="5"/>
  <c r="C534" i="5"/>
  <c r="C533" i="5"/>
  <c r="C532" i="5"/>
  <c r="C267" i="5"/>
  <c r="C128" i="5"/>
  <c r="D1201" i="5"/>
  <c r="D429" i="5"/>
  <c r="D836" i="5"/>
  <c r="D835" i="5"/>
  <c r="D854" i="5"/>
  <c r="D300" i="5"/>
  <c r="D388" i="5"/>
  <c r="D1014" i="5"/>
  <c r="C106" i="5"/>
  <c r="C849" i="5"/>
  <c r="D868" i="5"/>
  <c r="C493" i="5"/>
  <c r="E1070" i="5"/>
  <c r="E905" i="5"/>
  <c r="J23" i="4"/>
  <c r="R11" i="4"/>
  <c r="R18" i="4"/>
  <c r="D428" i="5"/>
  <c r="D922" i="5"/>
  <c r="D170" i="5"/>
  <c r="E947" i="5"/>
  <c r="D674" i="5"/>
  <c r="E1106" i="5"/>
  <c r="E93" i="5"/>
  <c r="D722" i="5"/>
  <c r="D828" i="5"/>
  <c r="C890" i="5"/>
  <c r="D92" i="5"/>
  <c r="E84" i="5"/>
  <c r="D933" i="5"/>
  <c r="N24" i="4"/>
  <c r="D172" i="5"/>
  <c r="C1140" i="5"/>
  <c r="E74" i="5"/>
  <c r="C1030" i="5"/>
  <c r="D1075" i="5"/>
  <c r="E192" i="5"/>
  <c r="E68" i="5"/>
  <c r="E12" i="4"/>
  <c r="C584" i="5"/>
  <c r="D186" i="5"/>
  <c r="C401" i="5"/>
  <c r="E284" i="5"/>
  <c r="C495" i="5"/>
  <c r="C494" i="5"/>
  <c r="C1087" i="5"/>
  <c r="C1110" i="5"/>
  <c r="C1113" i="5"/>
  <c r="C916" i="5"/>
  <c r="D1125" i="5"/>
  <c r="D883" i="5"/>
  <c r="C688" i="5"/>
  <c r="C164" i="5"/>
  <c r="L25" i="4"/>
  <c r="E10" i="5"/>
  <c r="D546" i="5"/>
  <c r="E28" i="5"/>
  <c r="C1138" i="5"/>
  <c r="D508" i="5"/>
  <c r="C69" i="5"/>
  <c r="D238" i="5"/>
  <c r="C346" i="5"/>
  <c r="D1094" i="5"/>
  <c r="E1161" i="5"/>
  <c r="E1160" i="5"/>
  <c r="E1159" i="5"/>
  <c r="C1051" i="5"/>
  <c r="D352" i="5"/>
  <c r="E450" i="5"/>
  <c r="S10" i="4"/>
  <c r="D263" i="5"/>
  <c r="E739" i="5"/>
  <c r="E738" i="5"/>
  <c r="E737" i="5"/>
  <c r="E678" i="5"/>
  <c r="C63" i="5"/>
  <c r="E618" i="5"/>
  <c r="M20" i="4"/>
  <c r="E329" i="5"/>
  <c r="E17" i="8"/>
  <c r="D578" i="5"/>
  <c r="D577" i="5"/>
  <c r="D576" i="5"/>
  <c r="D865" i="5"/>
  <c r="D127" i="5"/>
  <c r="C131" i="5"/>
  <c r="E347" i="5"/>
  <c r="C85" i="5"/>
  <c r="D40" i="8"/>
  <c r="D39" i="8"/>
  <c r="C804" i="5"/>
  <c r="C993" i="5"/>
  <c r="C35" i="5"/>
  <c r="E1016" i="5"/>
  <c r="D927" i="5"/>
  <c r="E734" i="5"/>
  <c r="E653" i="5"/>
  <c r="E185" i="5"/>
  <c r="D190" i="5"/>
  <c r="E861" i="5"/>
  <c r="D31" i="8"/>
  <c r="D648" i="5"/>
  <c r="C201" i="5"/>
  <c r="D1121" i="5"/>
  <c r="E685" i="5"/>
  <c r="D169" i="5"/>
  <c r="E1110" i="5"/>
  <c r="C1041" i="5"/>
  <c r="D274" i="5"/>
  <c r="C830" i="5"/>
  <c r="C829" i="5"/>
  <c r="C828" i="5"/>
  <c r="C1083" i="5"/>
  <c r="E146" i="5"/>
  <c r="D98" i="5"/>
  <c r="D97" i="5"/>
  <c r="D96" i="5"/>
  <c r="E234" i="5"/>
  <c r="E233" i="5"/>
  <c r="E231" i="5"/>
  <c r="E230" i="5"/>
  <c r="D792" i="5"/>
  <c r="E856" i="5"/>
  <c r="E855" i="5"/>
  <c r="E854" i="5"/>
  <c r="D724" i="5"/>
  <c r="D721" i="5"/>
  <c r="E858" i="5"/>
  <c r="E743" i="5"/>
  <c r="E744" i="5"/>
  <c r="D877" i="5"/>
  <c r="D1093" i="5"/>
  <c r="E819" i="5"/>
  <c r="O23" i="4"/>
  <c r="D387" i="5"/>
  <c r="D1141" i="5"/>
  <c r="E244" i="5"/>
  <c r="E120" i="5"/>
  <c r="D879" i="5"/>
  <c r="D878" i="5"/>
  <c r="E44" i="5"/>
  <c r="E45" i="5"/>
  <c r="D720" i="5"/>
  <c r="E773" i="5"/>
  <c r="E772" i="5"/>
  <c r="P22" i="4"/>
  <c r="C260" i="5"/>
  <c r="D144" i="5"/>
  <c r="D512" i="5"/>
  <c r="E1008" i="5"/>
  <c r="R25" i="4"/>
  <c r="C291" i="5"/>
  <c r="M19" i="4"/>
  <c r="C1168" i="5"/>
  <c r="C1167" i="5"/>
  <c r="E306" i="5"/>
  <c r="C808" i="5"/>
  <c r="D319" i="5"/>
  <c r="F17" i="8"/>
  <c r="E578" i="5"/>
  <c r="E577" i="5"/>
  <c r="I14" i="4"/>
  <c r="D93" i="5"/>
  <c r="C439" i="5"/>
  <c r="H10" i="4"/>
  <c r="D50" i="5"/>
  <c r="D1025" i="5"/>
  <c r="C115" i="5"/>
  <c r="C1240" i="5"/>
  <c r="C1239" i="5"/>
  <c r="C338" i="5"/>
  <c r="E85" i="5"/>
  <c r="D63" i="5"/>
  <c r="E953" i="5"/>
  <c r="D55" i="5"/>
  <c r="E845" i="5"/>
  <c r="E1022" i="5"/>
  <c r="C1217" i="5"/>
  <c r="D1112" i="5"/>
  <c r="D1085" i="5"/>
  <c r="C134" i="5"/>
  <c r="E1207" i="5"/>
  <c r="D732" i="5"/>
  <c r="D1149" i="5"/>
  <c r="E89" i="5"/>
  <c r="E1178" i="5"/>
  <c r="E1177" i="5"/>
  <c r="D69" i="5"/>
  <c r="C222" i="5"/>
  <c r="C865" i="5"/>
  <c r="D549" i="5"/>
  <c r="D812" i="5"/>
  <c r="C1071" i="5"/>
  <c r="D1194" i="5"/>
  <c r="D1193" i="5"/>
  <c r="D1192" i="5"/>
  <c r="J27" i="4"/>
  <c r="E930" i="5"/>
  <c r="E978" i="5"/>
  <c r="E979" i="5"/>
  <c r="C839" i="5"/>
  <c r="C838" i="5"/>
  <c r="E989" i="5"/>
  <c r="D518" i="5"/>
  <c r="D517" i="5"/>
  <c r="C33" i="5"/>
  <c r="C720" i="5"/>
  <c r="D1209" i="5"/>
  <c r="D1208" i="5"/>
  <c r="D1207" i="5"/>
  <c r="K27" i="4"/>
  <c r="C562" i="5"/>
  <c r="E182" i="5"/>
  <c r="D7" i="5"/>
  <c r="D6" i="5"/>
  <c r="D742" i="5"/>
  <c r="D482" i="5"/>
  <c r="D481" i="5"/>
  <c r="E594" i="5"/>
  <c r="E593" i="5"/>
  <c r="E592" i="5"/>
  <c r="C904" i="5"/>
  <c r="C903" i="5"/>
  <c r="D246" i="5"/>
  <c r="E665" i="5"/>
  <c r="E664" i="5"/>
  <c r="D779" i="5"/>
  <c r="D778" i="5"/>
  <c r="E14" i="5"/>
  <c r="E14" i="4"/>
  <c r="C911" i="5"/>
  <c r="C58" i="5"/>
  <c r="D236" i="5"/>
  <c r="C19" i="5"/>
  <c r="E749" i="5"/>
  <c r="D1224" i="5"/>
  <c r="D1223" i="5"/>
  <c r="C318" i="5"/>
  <c r="D378" i="5"/>
  <c r="D377" i="5"/>
  <c r="J12" i="4"/>
  <c r="C419" i="5"/>
  <c r="E9" i="8"/>
  <c r="D570" i="5"/>
  <c r="D569" i="5"/>
  <c r="C1145" i="5"/>
  <c r="C490" i="5"/>
  <c r="C489" i="5"/>
  <c r="D1109" i="5"/>
  <c r="D1108" i="5"/>
  <c r="C1224" i="5"/>
  <c r="C1223" i="5"/>
  <c r="C1222" i="5"/>
  <c r="D432" i="5"/>
  <c r="D431" i="5"/>
  <c r="D430" i="5"/>
  <c r="D684" i="5"/>
  <c r="D683" i="5"/>
  <c r="D1050" i="5"/>
  <c r="E138" i="5"/>
  <c r="D1189" i="5"/>
  <c r="C229" i="5"/>
  <c r="C1048" i="5"/>
  <c r="C1047" i="5"/>
  <c r="C1046" i="5"/>
  <c r="E1146" i="5"/>
  <c r="D324" i="5"/>
  <c r="D323" i="5"/>
  <c r="M15" i="4"/>
  <c r="E1128" i="5"/>
  <c r="E1131" i="5"/>
  <c r="D1030" i="5"/>
  <c r="E836" i="5"/>
  <c r="E835" i="5"/>
  <c r="Q23" i="4"/>
  <c r="E256" i="5"/>
  <c r="C1237" i="5"/>
  <c r="C1119" i="5"/>
  <c r="D997" i="5"/>
  <c r="C1211" i="5"/>
  <c r="C1058" i="5"/>
  <c r="C335" i="5"/>
  <c r="D147" i="5"/>
  <c r="D326" i="5"/>
  <c r="D108" i="5"/>
  <c r="D979" i="5"/>
  <c r="D978" i="5"/>
  <c r="K25" i="4"/>
  <c r="D904" i="5"/>
  <c r="D903" i="5"/>
  <c r="D902" i="5"/>
  <c r="D331" i="5"/>
  <c r="N15" i="4"/>
  <c r="E283" i="5"/>
  <c r="C452" i="5"/>
  <c r="C451" i="5"/>
  <c r="C450" i="5"/>
  <c r="I10" i="4"/>
  <c r="I17" i="4"/>
  <c r="C68" i="5"/>
  <c r="D272" i="5"/>
  <c r="E1074" i="5"/>
  <c r="E1073" i="5"/>
  <c r="E1072" i="5"/>
  <c r="D963" i="5"/>
  <c r="D962" i="5"/>
  <c r="D961" i="5"/>
  <c r="D816" i="5"/>
  <c r="C176" i="5"/>
  <c r="E175" i="5"/>
  <c r="D1019" i="5"/>
  <c r="D1018" i="5"/>
  <c r="D1012" i="5"/>
  <c r="E188" i="5"/>
  <c r="E187" i="5"/>
  <c r="E186" i="5"/>
  <c r="E811" i="5"/>
  <c r="C990" i="5"/>
  <c r="D41" i="8"/>
  <c r="C602" i="5"/>
  <c r="C601" i="5"/>
  <c r="C600" i="5"/>
  <c r="E711" i="5"/>
  <c r="C154" i="5"/>
  <c r="D475" i="5"/>
  <c r="D474" i="5"/>
  <c r="D473" i="5"/>
  <c r="C21" i="5"/>
  <c r="C1062" i="5"/>
  <c r="D1031" i="5"/>
  <c r="D62" i="8"/>
  <c r="C623" i="5"/>
  <c r="C622" i="5"/>
  <c r="J13" i="4"/>
  <c r="C52" i="5"/>
  <c r="C620" i="5"/>
  <c r="C619" i="5"/>
  <c r="C1093" i="5"/>
  <c r="G10" i="4"/>
  <c r="D334" i="5"/>
  <c r="D333" i="5"/>
  <c r="D332" i="5"/>
  <c r="D1053" i="5"/>
  <c r="C503" i="5"/>
  <c r="C502" i="5"/>
  <c r="C501" i="5"/>
  <c r="I21" i="4"/>
  <c r="E483" i="5"/>
  <c r="C999" i="5"/>
  <c r="E435" i="5"/>
  <c r="E1017" i="5"/>
  <c r="E688" i="5"/>
  <c r="E99" i="5"/>
  <c r="C162" i="5"/>
  <c r="D72" i="5"/>
  <c r="E812" i="5"/>
  <c r="D217" i="5"/>
  <c r="D905" i="5"/>
  <c r="C180" i="5"/>
  <c r="E1071" i="5"/>
  <c r="E345" i="5"/>
  <c r="C46" i="5"/>
  <c r="D206" i="5"/>
  <c r="D1132" i="5"/>
  <c r="C427" i="5"/>
  <c r="D1170" i="5"/>
  <c r="D1169" i="5"/>
  <c r="D1168" i="5"/>
  <c r="D1167" i="5"/>
  <c r="E405" i="5"/>
  <c r="C1079" i="5"/>
  <c r="D32" i="5"/>
  <c r="F6" i="8"/>
  <c r="E567" i="5"/>
  <c r="E566" i="5"/>
  <c r="E413" i="5"/>
  <c r="D513" i="5"/>
  <c r="E1213" i="5"/>
  <c r="E508" i="5"/>
  <c r="D68" i="5"/>
  <c r="D163" i="5"/>
  <c r="C292" i="5"/>
  <c r="D688" i="5"/>
  <c r="C951" i="5"/>
  <c r="D262" i="5"/>
  <c r="D1158" i="5"/>
  <c r="D33" i="8"/>
  <c r="D32" i="8"/>
  <c r="E885" i="5"/>
  <c r="E884" i="5"/>
  <c r="E883" i="5"/>
  <c r="C403" i="5"/>
  <c r="D426" i="5"/>
  <c r="E1236" i="5"/>
  <c r="E1235" i="5"/>
  <c r="E1234" i="5"/>
  <c r="C263" i="5"/>
  <c r="C160" i="5"/>
  <c r="C331" i="5"/>
  <c r="I15" i="4"/>
  <c r="C513" i="5"/>
  <c r="E448" i="5"/>
  <c r="E447" i="5"/>
  <c r="R12" i="4"/>
  <c r="C710" i="5"/>
  <c r="C709" i="5"/>
  <c r="C708" i="5"/>
  <c r="C707" i="5"/>
  <c r="C706" i="5"/>
  <c r="D562" i="5"/>
  <c r="D138" i="5"/>
  <c r="E706" i="5"/>
  <c r="D1061" i="5"/>
  <c r="E290" i="5"/>
  <c r="D386" i="5"/>
  <c r="D385" i="5"/>
  <c r="K12" i="4"/>
  <c r="D435" i="5"/>
  <c r="E105" i="5"/>
  <c r="D1236" i="5"/>
  <c r="D1235" i="5"/>
  <c r="D1234" i="5"/>
  <c r="D1233" i="5"/>
  <c r="N27" i="4"/>
  <c r="C792" i="5"/>
  <c r="E307" i="5"/>
  <c r="E57" i="5"/>
  <c r="C852" i="5"/>
  <c r="O24" i="4"/>
  <c r="C49" i="5"/>
  <c r="C1127" i="5"/>
  <c r="C1126" i="5"/>
  <c r="C1125" i="5"/>
  <c r="E869" i="5"/>
  <c r="E753" i="5"/>
  <c r="M17" i="4"/>
  <c r="E452" i="5"/>
  <c r="E451" i="5"/>
  <c r="D243" i="5"/>
  <c r="E1208" i="5"/>
  <c r="E1209" i="5"/>
  <c r="D209" i="5"/>
  <c r="E982" i="5"/>
  <c r="D678" i="5"/>
  <c r="D306" i="5"/>
  <c r="F25" i="8"/>
  <c r="F24" i="8"/>
  <c r="F23" i="8"/>
  <c r="D856" i="5"/>
  <c r="D855" i="5"/>
  <c r="C761" i="5"/>
  <c r="E461" i="5"/>
  <c r="E460" i="5"/>
  <c r="S12" i="4"/>
  <c r="E820" i="5"/>
  <c r="E821" i="5"/>
  <c r="E694" i="5"/>
  <c r="C1179" i="5"/>
  <c r="O10" i="4"/>
  <c r="O17" i="4"/>
  <c r="D1131" i="5"/>
  <c r="E1133" i="5"/>
  <c r="E490" i="5"/>
  <c r="E489" i="5"/>
  <c r="E488" i="5"/>
  <c r="D587" i="5"/>
  <c r="D586" i="5"/>
  <c r="C325" i="5"/>
  <c r="E444" i="5"/>
  <c r="E443" i="5"/>
  <c r="D1225" i="5"/>
  <c r="E52" i="5"/>
  <c r="C733" i="5"/>
  <c r="E1112" i="5"/>
  <c r="C227" i="5"/>
  <c r="E86" i="5"/>
  <c r="D1217" i="5"/>
  <c r="D15" i="5"/>
  <c r="E1156" i="5"/>
  <c r="D221" i="5"/>
  <c r="E1189" i="5"/>
  <c r="E1075" i="5"/>
  <c r="D407" i="5"/>
  <c r="D13" i="5"/>
  <c r="C332" i="5"/>
  <c r="G12" i="4"/>
  <c r="E1009" i="5"/>
  <c r="E1010" i="5"/>
  <c r="C1170" i="5"/>
  <c r="C1169" i="5"/>
  <c r="D455" i="5"/>
  <c r="D454" i="5"/>
  <c r="N11" i="4"/>
  <c r="D289" i="5"/>
  <c r="C475" i="5"/>
  <c r="C474" i="5"/>
  <c r="C473" i="5"/>
  <c r="C34" i="5"/>
  <c r="O21" i="4"/>
  <c r="D188" i="5"/>
  <c r="D187" i="5"/>
  <c r="C306" i="5"/>
  <c r="K10" i="4"/>
  <c r="K17" i="4"/>
  <c r="E298" i="5"/>
  <c r="C305" i="5"/>
  <c r="D528" i="5"/>
  <c r="D527" i="5"/>
  <c r="D526" i="5"/>
  <c r="D647" i="5"/>
  <c r="D59" i="5"/>
  <c r="D45" i="8"/>
  <c r="C606" i="5"/>
  <c r="C605" i="5"/>
  <c r="D1126" i="5"/>
  <c r="D1127" i="5"/>
  <c r="C701" i="5"/>
  <c r="D884" i="5"/>
  <c r="D885" i="5"/>
  <c r="C86" i="5"/>
  <c r="C997" i="5"/>
  <c r="C245" i="5"/>
  <c r="E866" i="5"/>
  <c r="C991" i="5"/>
  <c r="C1077" i="5"/>
  <c r="D829" i="5"/>
  <c r="D830" i="5"/>
  <c r="D744" i="5"/>
  <c r="D743" i="5"/>
  <c r="E1214" i="5"/>
  <c r="D328" i="5"/>
  <c r="D934" i="5"/>
  <c r="D935" i="5"/>
  <c r="D1066" i="5"/>
  <c r="D1001" i="5"/>
  <c r="D1198" i="5"/>
  <c r="Q11" i="4"/>
  <c r="Q18" i="4"/>
  <c r="E886" i="5"/>
  <c r="U15" i="4"/>
  <c r="F29" i="8"/>
  <c r="F28" i="8"/>
  <c r="D89" i="5"/>
  <c r="Q22" i="4"/>
  <c r="C1136" i="5"/>
  <c r="D1154" i="5"/>
  <c r="E34" i="5"/>
  <c r="C300" i="5"/>
  <c r="E40" i="5"/>
  <c r="E35" i="5"/>
  <c r="E911" i="5"/>
  <c r="C441" i="5"/>
  <c r="C440" i="5"/>
  <c r="E815" i="5"/>
  <c r="C122" i="5"/>
  <c r="C749" i="5"/>
  <c r="E102" i="5"/>
  <c r="C105" i="5"/>
  <c r="D5" i="8"/>
  <c r="D1087" i="5"/>
  <c r="E913" i="5"/>
  <c r="D652" i="5"/>
  <c r="D651" i="5"/>
  <c r="D650" i="5"/>
  <c r="E675" i="5"/>
  <c r="D1092" i="5"/>
  <c r="D1091" i="5"/>
  <c r="D1090" i="5"/>
  <c r="E38" i="5"/>
  <c r="E843" i="5"/>
  <c r="C803" i="5"/>
  <c r="C1080" i="5"/>
  <c r="C1114" i="5"/>
  <c r="D999" i="5"/>
  <c r="D380" i="5"/>
  <c r="E145" i="5"/>
  <c r="C724" i="5"/>
  <c r="D704" i="5"/>
  <c r="D701" i="5"/>
  <c r="K21" i="4"/>
  <c r="E1179" i="5"/>
  <c r="C647" i="5"/>
  <c r="E27" i="5"/>
  <c r="D503" i="5"/>
  <c r="D502" i="5"/>
  <c r="D501" i="5"/>
  <c r="E391" i="5"/>
  <c r="E390" i="5"/>
  <c r="C682" i="5"/>
  <c r="E1051" i="5"/>
  <c r="D59" i="8"/>
  <c r="D58" i="8"/>
  <c r="D57" i="8"/>
  <c r="E127" i="5"/>
  <c r="D1055" i="5"/>
  <c r="D1054" i="5"/>
  <c r="E1158" i="5"/>
  <c r="D299" i="5"/>
  <c r="D395" i="5"/>
  <c r="E918" i="5"/>
  <c r="E917" i="5"/>
  <c r="E916" i="5"/>
  <c r="E348" i="5"/>
  <c r="D841" i="5"/>
  <c r="N10" i="4"/>
  <c r="N17" i="4"/>
  <c r="E246" i="5"/>
  <c r="E1059" i="5"/>
  <c r="C957" i="5"/>
  <c r="E56" i="5"/>
  <c r="E837" i="5"/>
  <c r="D956" i="5"/>
  <c r="E666" i="5"/>
  <c r="D987" i="5"/>
  <c r="D986" i="5"/>
  <c r="D985" i="5"/>
  <c r="D984" i="5"/>
  <c r="E766" i="5"/>
  <c r="E765" i="5"/>
  <c r="E764" i="5"/>
  <c r="D548" i="5"/>
  <c r="D547" i="5"/>
  <c r="D703" i="5"/>
  <c r="D702" i="5"/>
  <c r="D745" i="5"/>
  <c r="E1062" i="5"/>
  <c r="C895" i="5"/>
  <c r="D54" i="8"/>
  <c r="C615" i="5"/>
  <c r="C614" i="5"/>
  <c r="C613" i="5"/>
  <c r="D176" i="5"/>
  <c r="E973" i="5"/>
  <c r="D764" i="5"/>
  <c r="J22" i="4"/>
  <c r="D84" i="5"/>
  <c r="D409" i="5"/>
  <c r="D408" i="5"/>
  <c r="E1224" i="5"/>
  <c r="E1223" i="5"/>
  <c r="E1222" i="5"/>
  <c r="E839" i="5"/>
  <c r="E838" i="5"/>
  <c r="D120" i="5"/>
  <c r="D358" i="5"/>
  <c r="D6" i="8"/>
  <c r="C567" i="5"/>
  <c r="C566" i="5"/>
  <c r="C565" i="5"/>
  <c r="D839" i="5"/>
  <c r="D838" i="5"/>
  <c r="D837" i="5"/>
  <c r="E54" i="8"/>
  <c r="D615" i="5"/>
  <c r="D614" i="5"/>
  <c r="D613" i="5"/>
  <c r="D714" i="5"/>
  <c r="E985" i="5"/>
  <c r="E984" i="5"/>
  <c r="C188" i="5"/>
  <c r="C187" i="5"/>
  <c r="C186" i="5"/>
  <c r="C15" i="5"/>
  <c r="C980" i="5"/>
  <c r="D1118" i="5"/>
  <c r="E370" i="5"/>
  <c r="E369" i="5"/>
  <c r="E368" i="5"/>
  <c r="E339" i="5"/>
  <c r="C370" i="5"/>
  <c r="C369" i="5"/>
  <c r="C368" i="5"/>
  <c r="C1189" i="5"/>
  <c r="C1137" i="5"/>
  <c r="E708" i="5"/>
  <c r="E707" i="5"/>
  <c r="I11" i="4"/>
  <c r="G26" i="4"/>
  <c r="C430" i="5"/>
  <c r="C1053" i="5"/>
  <c r="C431" i="5"/>
  <c r="C432" i="5"/>
  <c r="C1157" i="5"/>
  <c r="C208" i="5"/>
  <c r="E426" i="5"/>
  <c r="E261" i="5"/>
  <c r="C685" i="5"/>
  <c r="C945" i="5"/>
  <c r="C944" i="5"/>
  <c r="C943" i="5"/>
  <c r="I24" i="4"/>
  <c r="E716" i="5"/>
  <c r="D976" i="5"/>
  <c r="D553" i="5"/>
  <c r="E255" i="5"/>
  <c r="C393" i="5"/>
  <c r="C392" i="5"/>
  <c r="C391" i="5"/>
  <c r="C390" i="5"/>
  <c r="D467" i="5"/>
  <c r="D466" i="5"/>
  <c r="D465" i="5"/>
  <c r="D725" i="5"/>
  <c r="E281" i="5"/>
  <c r="E912" i="5"/>
  <c r="E376" i="5"/>
  <c r="E375" i="5"/>
  <c r="O11" i="4"/>
  <c r="D382" i="5"/>
  <c r="D381" i="5"/>
  <c r="K11" i="4"/>
  <c r="K18" i="4"/>
  <c r="C365" i="5"/>
  <c r="C791" i="5"/>
  <c r="C790" i="5"/>
  <c r="C789" i="5"/>
  <c r="D495" i="5"/>
  <c r="D494" i="5"/>
  <c r="D493" i="5"/>
  <c r="C920" i="5"/>
  <c r="E259" i="5"/>
  <c r="D1110" i="5"/>
  <c r="C832" i="5"/>
  <c r="C518" i="5"/>
  <c r="C517" i="5"/>
  <c r="C516" i="5"/>
  <c r="E119" i="5"/>
  <c r="C376" i="5"/>
  <c r="C375" i="5"/>
  <c r="E11" i="4"/>
  <c r="E18" i="4"/>
  <c r="U18" i="4"/>
  <c r="D911" i="5"/>
  <c r="E237" i="5"/>
  <c r="E530" i="5"/>
  <c r="C299" i="5"/>
  <c r="E63" i="5"/>
  <c r="D252" i="5"/>
  <c r="C675" i="5"/>
  <c r="E142" i="5"/>
  <c r="E141" i="5"/>
  <c r="E140" i="5"/>
  <c r="E139" i="5"/>
  <c r="C758" i="5"/>
  <c r="C142" i="5"/>
  <c r="C141" i="5"/>
  <c r="C140" i="5"/>
  <c r="C139" i="5"/>
  <c r="E1194" i="5"/>
  <c r="E1193" i="5"/>
  <c r="E1192" i="5"/>
  <c r="O27" i="4"/>
  <c r="D1102" i="5"/>
  <c r="C95" i="5"/>
  <c r="F15" i="4"/>
  <c r="C712" i="5"/>
  <c r="C378" i="5"/>
  <c r="C377" i="5"/>
  <c r="C585" i="5"/>
  <c r="C927" i="5"/>
  <c r="E859" i="5"/>
  <c r="E334" i="5"/>
  <c r="E333" i="5"/>
  <c r="E332" i="5"/>
  <c r="E928" i="5"/>
  <c r="C918" i="5"/>
  <c r="C917" i="5"/>
  <c r="C1035" i="5"/>
  <c r="E26" i="4"/>
  <c r="E951" i="5"/>
  <c r="C428" i="5"/>
  <c r="C382" i="5"/>
  <c r="C381" i="5"/>
  <c r="C380" i="5"/>
  <c r="F10" i="4"/>
  <c r="E26" i="8"/>
  <c r="D594" i="5"/>
  <c r="D593" i="5"/>
  <c r="C653" i="5"/>
  <c r="E456" i="5"/>
  <c r="D218" i="5"/>
  <c r="C1229" i="5"/>
  <c r="C1228" i="5"/>
  <c r="C1227" i="5"/>
  <c r="C1115" i="5"/>
  <c r="C548" i="5"/>
  <c r="C547" i="5"/>
  <c r="C546" i="5"/>
  <c r="D1021" i="5"/>
  <c r="C90" i="5"/>
  <c r="D815" i="5"/>
  <c r="D766" i="5"/>
  <c r="D765" i="5"/>
  <c r="E1216" i="5"/>
  <c r="E1215" i="5"/>
  <c r="C684" i="5"/>
  <c r="C683" i="5"/>
  <c r="C1037" i="5"/>
  <c r="C1036" i="5"/>
  <c r="D1057" i="5"/>
  <c r="D1056" i="5"/>
  <c r="C334" i="5"/>
  <c r="C333" i="5"/>
  <c r="E243" i="5"/>
  <c r="E6" i="8"/>
  <c r="D567" i="5"/>
  <c r="D566" i="5"/>
  <c r="D848" i="5"/>
  <c r="E963" i="5"/>
  <c r="E962" i="5"/>
  <c r="E961" i="5"/>
  <c r="E987" i="5"/>
  <c r="E986" i="5"/>
  <c r="E126" i="5"/>
  <c r="C948" i="5"/>
  <c r="D758" i="5"/>
  <c r="D1186" i="5"/>
  <c r="C744" i="5"/>
  <c r="C743" i="5"/>
  <c r="C742" i="5"/>
  <c r="C970" i="5"/>
  <c r="E1198" i="5"/>
  <c r="D723" i="5"/>
  <c r="E482" i="5"/>
  <c r="E481" i="5"/>
  <c r="E480" i="5"/>
  <c r="E479" i="5"/>
  <c r="E393" i="5"/>
  <c r="E392" i="5"/>
  <c r="C50" i="5"/>
  <c r="C639" i="5"/>
  <c r="C638" i="5"/>
  <c r="C637" i="5"/>
  <c r="D486" i="5"/>
  <c r="D485" i="5"/>
  <c r="D484" i="5"/>
  <c r="D142" i="5"/>
  <c r="D141" i="5"/>
  <c r="D140" i="5"/>
  <c r="D139" i="5"/>
  <c r="E830" i="5"/>
  <c r="E829" i="5"/>
  <c r="E828" i="5"/>
  <c r="P23" i="4"/>
  <c r="E710" i="5"/>
  <c r="E709" i="5"/>
  <c r="D293" i="5"/>
  <c r="E58" i="8"/>
  <c r="E57" i="8"/>
  <c r="D1216" i="5"/>
  <c r="D1215" i="5"/>
  <c r="D1214" i="5"/>
  <c r="D26" i="8"/>
  <c r="C587" i="5"/>
  <c r="C586" i="5"/>
  <c r="D789" i="5"/>
  <c r="M22" i="4"/>
  <c r="C703" i="5"/>
  <c r="C702" i="5"/>
  <c r="D754" i="5"/>
  <c r="C821" i="5"/>
  <c r="C820" i="5"/>
  <c r="C819" i="5"/>
  <c r="E23" i="4"/>
  <c r="C98" i="5"/>
  <c r="C97" i="5"/>
  <c r="C96" i="5"/>
  <c r="C883" i="5"/>
  <c r="I23" i="4"/>
  <c r="D791" i="5"/>
  <c r="D790" i="5"/>
  <c r="C455" i="5"/>
  <c r="C454" i="5"/>
  <c r="E1077" i="5"/>
  <c r="D534" i="5"/>
  <c r="D533" i="5"/>
  <c r="D532" i="5"/>
  <c r="C421" i="5"/>
  <c r="D441" i="5"/>
  <c r="D440" i="5"/>
  <c r="D439" i="5"/>
  <c r="M10" i="4"/>
  <c r="E23" i="5"/>
  <c r="C850" i="5"/>
  <c r="E467" i="5"/>
  <c r="E466" i="5"/>
  <c r="E465" i="5"/>
  <c r="O13" i="4"/>
  <c r="E661" i="5"/>
  <c r="E660" i="5"/>
  <c r="E659" i="5"/>
  <c r="R20" i="4"/>
  <c r="E503" i="5"/>
  <c r="E502" i="5"/>
  <c r="E501" i="5"/>
  <c r="E1092" i="5"/>
  <c r="E1091" i="5"/>
  <c r="E1090" i="5"/>
  <c r="F59" i="8"/>
  <c r="E620" i="5"/>
  <c r="E619" i="5"/>
  <c r="C553" i="5"/>
  <c r="D490" i="5"/>
  <c r="D489" i="5"/>
  <c r="D488" i="5"/>
  <c r="D918" i="5"/>
  <c r="D917" i="5"/>
  <c r="D916" i="5"/>
  <c r="D915" i="5"/>
  <c r="L24" i="4"/>
  <c r="D215" i="5"/>
  <c r="E895" i="5"/>
  <c r="E923" i="5"/>
  <c r="D491" i="5"/>
  <c r="C417" i="5"/>
  <c r="K26" i="4"/>
  <c r="D1165" i="5"/>
  <c r="E807" i="5"/>
  <c r="F26" i="8"/>
  <c r="E587" i="5"/>
  <c r="E586" i="5"/>
  <c r="E585" i="5"/>
  <c r="E584" i="5"/>
  <c r="E647" i="5"/>
  <c r="E455" i="5"/>
  <c r="E454" i="5"/>
  <c r="S11" i="4"/>
  <c r="S18" i="4"/>
  <c r="E320" i="5"/>
  <c r="E1170" i="5"/>
  <c r="E1169" i="5"/>
  <c r="E1168" i="5"/>
  <c r="E1167" i="5"/>
  <c r="C1101" i="5"/>
  <c r="C434" i="5"/>
  <c r="C482" i="5"/>
  <c r="C481" i="5"/>
  <c r="C480" i="5"/>
  <c r="C479" i="5"/>
  <c r="D1048" i="5"/>
  <c r="D1047" i="5"/>
  <c r="D1046" i="5"/>
  <c r="E1037" i="5"/>
  <c r="E1036" i="5"/>
  <c r="E1035" i="5"/>
  <c r="C963" i="5"/>
  <c r="C962" i="5"/>
  <c r="C961" i="5"/>
  <c r="E387" i="5"/>
  <c r="E1057" i="5"/>
  <c r="E1056" i="5"/>
  <c r="E1055" i="5"/>
  <c r="C10" i="5"/>
  <c r="E7" i="5"/>
  <c r="E6" i="5"/>
  <c r="E5" i="5"/>
  <c r="E4" i="5"/>
  <c r="O15" i="4"/>
  <c r="C739" i="5"/>
  <c r="C738" i="5"/>
  <c r="C737" i="5"/>
  <c r="H21" i="4"/>
  <c r="E550" i="5"/>
  <c r="E528" i="5"/>
  <c r="E527" i="5"/>
  <c r="E526" i="5"/>
  <c r="D192" i="5"/>
  <c r="C1044" i="5"/>
  <c r="E1019" i="5"/>
  <c r="E1018" i="5"/>
  <c r="E1012" i="5"/>
  <c r="S25" i="4"/>
  <c r="D707" i="5"/>
  <c r="D706" i="5"/>
  <c r="L21" i="4"/>
  <c r="D46" i="5"/>
  <c r="E684" i="5"/>
  <c r="E683" i="5"/>
  <c r="E682" i="5"/>
  <c r="C73" i="5"/>
  <c r="D899" i="5"/>
  <c r="C161" i="5"/>
  <c r="C987" i="5"/>
  <c r="C986" i="5"/>
  <c r="C985" i="5"/>
  <c r="D393" i="5"/>
  <c r="D392" i="5"/>
  <c r="D391" i="5"/>
  <c r="D390" i="5"/>
  <c r="L10" i="4"/>
  <c r="E155" i="5"/>
  <c r="D452" i="5"/>
  <c r="D451" i="5"/>
  <c r="D450" i="5"/>
  <c r="D665" i="5"/>
  <c r="D664" i="5"/>
  <c r="D663" i="5"/>
  <c r="C1216" i="5"/>
  <c r="C1215" i="5"/>
  <c r="C1214" i="5"/>
  <c r="E156" i="5"/>
  <c r="C226" i="5"/>
  <c r="E32" i="5"/>
  <c r="D223" i="5"/>
  <c r="D444" i="5"/>
  <c r="D443" i="5"/>
  <c r="M11" i="4"/>
  <c r="M18" i="4"/>
  <c r="E143" i="5"/>
  <c r="E251" i="5"/>
  <c r="C363" i="5"/>
  <c r="C100" i="5"/>
  <c r="D998" i="5"/>
  <c r="E904" i="5"/>
  <c r="E903" i="5"/>
  <c r="E902" i="5"/>
  <c r="D1240" i="5"/>
  <c r="D1239" i="5"/>
  <c r="D1238" i="5"/>
  <c r="E1044" i="5"/>
  <c r="E867" i="5"/>
  <c r="D957" i="5"/>
  <c r="D17" i="8"/>
  <c r="C578" i="5"/>
  <c r="C577" i="5"/>
  <c r="C576" i="5"/>
  <c r="C264" i="5"/>
  <c r="C7" i="5"/>
  <c r="C6" i="5"/>
  <c r="C5" i="5"/>
  <c r="C4" i="5"/>
  <c r="E15" i="4"/>
  <c r="D710" i="5"/>
  <c r="D709" i="5"/>
  <c r="D708" i="5"/>
  <c r="E779" i="5"/>
  <c r="E778" i="5"/>
  <c r="E777" i="5"/>
  <c r="E740" i="5"/>
  <c r="E274" i="5"/>
  <c r="E639" i="5"/>
  <c r="E638" i="5"/>
  <c r="E637" i="5"/>
  <c r="O20" i="4"/>
  <c r="E935" i="5"/>
  <c r="E934" i="5"/>
  <c r="E933" i="5"/>
  <c r="R24" i="4"/>
  <c r="D807" i="5"/>
  <c r="E475" i="5"/>
  <c r="E474" i="5"/>
  <c r="E473" i="5"/>
  <c r="E59" i="8"/>
  <c r="D620" i="5"/>
  <c r="D619" i="5"/>
  <c r="E437" i="5"/>
  <c r="C508" i="5"/>
  <c r="C766" i="5"/>
  <c r="C765" i="5"/>
  <c r="C764" i="5"/>
  <c r="E22" i="4"/>
  <c r="C757" i="5"/>
  <c r="D821" i="5"/>
  <c r="D820" i="5"/>
  <c r="D819" i="5"/>
  <c r="E200" i="5"/>
  <c r="E26" i="5"/>
  <c r="E25" i="5"/>
  <c r="E24" i="5"/>
  <c r="E491" i="5"/>
  <c r="D699" i="5"/>
  <c r="C868" i="5"/>
  <c r="D945" i="5"/>
  <c r="D944" i="5"/>
  <c r="D943" i="5"/>
  <c r="E313" i="5"/>
  <c r="C1057" i="5"/>
  <c r="C1056" i="5"/>
  <c r="C1055" i="5"/>
  <c r="C1054" i="5"/>
  <c r="D661" i="5"/>
  <c r="D660" i="5"/>
  <c r="D659" i="5"/>
  <c r="C885" i="5"/>
  <c r="C884" i="5"/>
  <c r="E98" i="5"/>
  <c r="E97" i="5"/>
  <c r="E96" i="5"/>
  <c r="E95" i="5"/>
  <c r="P15" i="4"/>
  <c r="E409" i="5"/>
  <c r="E408" i="5"/>
  <c r="E407" i="5"/>
  <c r="C1032" i="5"/>
</calcChain>
</file>

<file path=xl/comments1.xml><?xml version="1.0" encoding="utf-8"?>
<comments xmlns="http://schemas.openxmlformats.org/spreadsheetml/2006/main">
  <authors>
    <author>Piringar Niyang</author>
  </authors>
  <commentList>
    <comment ref="V3" authorId="0" shapeId="0">
      <text>
        <r>
          <rPr>
            <b/>
            <sz val="20"/>
            <color indexed="81"/>
            <rFont val="Tahoma"/>
            <family val="2"/>
          </rPr>
          <t>Piring</t>
        </r>
        <r>
          <rPr>
            <b/>
            <sz val="22"/>
            <color indexed="81"/>
            <rFont val="Tahoma"/>
            <family val="2"/>
          </rPr>
          <t>ar Niyang:</t>
        </r>
        <r>
          <rPr>
            <sz val="22"/>
            <color indexed="81"/>
            <rFont val="Tahoma"/>
            <family val="2"/>
          </rPr>
          <t xml:space="preserve">
to be printed in blank copies and hand filled at the sites with result from the excel based version </t>
        </r>
      </text>
    </comment>
    <comment ref="C29" authorId="0" shapeId="0">
      <text>
        <r>
          <rPr>
            <b/>
            <sz val="18"/>
            <color indexed="81"/>
            <rFont val="Tahoma"/>
            <family val="2"/>
          </rPr>
          <t>Piringar Niyang:</t>
        </r>
        <r>
          <rPr>
            <sz val="18"/>
            <color indexed="81"/>
            <rFont val="Tahoma"/>
            <family val="2"/>
          </rPr>
          <t xml:space="preserve">
to add sign off by facility M &amp; E team </t>
        </r>
      </text>
    </comment>
  </commentList>
</comments>
</file>

<file path=xl/comments2.xml><?xml version="1.0" encoding="utf-8"?>
<comments xmlns="http://schemas.openxmlformats.org/spreadsheetml/2006/main">
  <authors>
    <author>Piringar Niyang</author>
  </authors>
  <commentList>
    <comment ref="F1" authorId="0" shapeId="0">
      <text>
        <r>
          <rPr>
            <b/>
            <sz val="9"/>
            <color indexed="81"/>
            <rFont val="Tahoma"/>
            <family val="2"/>
          </rPr>
          <t>Piringar Niyang:</t>
        </r>
        <r>
          <rPr>
            <sz val="9"/>
            <color indexed="81"/>
            <rFont val="Tahoma"/>
            <family val="2"/>
          </rPr>
          <t xml:space="preserve">
to be counted at the health facility from the source registers </t>
        </r>
      </text>
    </comment>
  </commentList>
</comments>
</file>

<file path=xl/sharedStrings.xml><?xml version="1.0" encoding="utf-8"?>
<sst xmlns="http://schemas.openxmlformats.org/spreadsheetml/2006/main" count="30040" uniqueCount="5109">
  <si>
    <t>State:</t>
  </si>
  <si>
    <t>LGA:</t>
  </si>
  <si>
    <t>Site name:</t>
  </si>
  <si>
    <t>Site M&amp;E focal person:</t>
  </si>
  <si>
    <t>Data Quality Assessment Summary</t>
  </si>
  <si>
    <t>Q1 DATIM Report</t>
  </si>
  <si>
    <t>Completeness</t>
  </si>
  <si>
    <t xml:space="preserve">Consistency </t>
  </si>
  <si>
    <t xml:space="preserve">Precision </t>
  </si>
  <si>
    <t xml:space="preserve">Validty </t>
  </si>
  <si>
    <t>S/N</t>
  </si>
  <si>
    <t xml:space="preserve">HTS_TST:Number of individuals who received HIV Testing Services (HTS) and received their test results </t>
  </si>
  <si>
    <t>Consistency</t>
  </si>
  <si>
    <t>Precision</t>
  </si>
  <si>
    <t>Male</t>
  </si>
  <si>
    <t>Female</t>
  </si>
  <si>
    <t>&lt;1 year</t>
  </si>
  <si>
    <t>1-9years</t>
  </si>
  <si>
    <t>10- 14years</t>
  </si>
  <si>
    <t>15-19years</t>
  </si>
  <si>
    <t>20-24years</t>
  </si>
  <si>
    <t>25-49years</t>
  </si>
  <si>
    <t>50+years</t>
  </si>
  <si>
    <t>Integrity</t>
  </si>
  <si>
    <t>EMR</t>
  </si>
  <si>
    <t>Validity</t>
  </si>
  <si>
    <t>Number of individuals who received HIV Testing Services (HTS) and received their test results.</t>
  </si>
  <si>
    <t>PMTCT_STAT:Percentage of pregnant women with known HIV status at antenatal care (includes those who already knew their HIV status prior to ANC)</t>
  </si>
  <si>
    <t>PMTCT HCT Register</t>
  </si>
  <si>
    <t>Positive</t>
  </si>
  <si>
    <t>Negative</t>
  </si>
  <si>
    <t>&lt;10 years</t>
  </si>
  <si>
    <t>PMTCT_ART:Percentage of HIV-positive pregnant women who received ART to reduce the risk of mother-to-child-transmission (MTCT) during pregnancy</t>
  </si>
  <si>
    <t>PMTCT_EID:Percentage of infants born to HIV-positive women who had a virologic HIV test done within 12 months of birth</t>
  </si>
  <si>
    <t>How many infants had a virologic test (DBS) done within 0-12months of birth as documented In the registers</t>
  </si>
  <si>
    <t>0-2 months</t>
  </si>
  <si>
    <t>2-12months</t>
  </si>
  <si>
    <t xml:space="preserve">PMTCT_FO:Percentage of final outcomes among HIV exposed infants registered in a birth cohort </t>
  </si>
  <si>
    <t>OVC_HIVSTAT:Percentage of orphans and vulnerable children (&lt;18 years old) with HIV status reported to implementing partner</t>
  </si>
  <si>
    <t>ART Register</t>
  </si>
  <si>
    <t>Not on  ART</t>
  </si>
  <si>
    <t>Already on ART</t>
  </si>
  <si>
    <t>What is the number of  orphans and vulnerable children with unknown HIV status reported to implementing partners</t>
  </si>
  <si>
    <t>TX_NEW: Number of adults and children newly enrolled on antiretroviral therapy</t>
  </si>
  <si>
    <t>Precsion</t>
  </si>
  <si>
    <t>1-9 years</t>
  </si>
  <si>
    <t>10-14 years</t>
  </si>
  <si>
    <t>15-19 years</t>
  </si>
  <si>
    <t>20-24 years</t>
  </si>
  <si>
    <t>25-49 years</t>
  </si>
  <si>
    <t>50+ years</t>
  </si>
  <si>
    <t>Pregnant</t>
  </si>
  <si>
    <t>TB_ART: The number of HIV-positive new and relapsed TB cases on ART during TB treatment</t>
  </si>
  <si>
    <t>New on ART</t>
  </si>
  <si>
    <t>TB_STAT: Percentage of new and relapse TB cases with documented HIV status</t>
  </si>
  <si>
    <t>&lt;15</t>
  </si>
  <si>
    <t>&gt;15</t>
  </si>
  <si>
    <t>Known HIV-positive at service entry</t>
  </si>
  <si>
    <t>Newly tested HIV-positive</t>
  </si>
  <si>
    <t>Tested HIV- negative</t>
  </si>
  <si>
    <t>TX_Curr: Number of adults and children currently receiving antiretroviral therapy (ART)</t>
  </si>
  <si>
    <t>Pharmacy Records</t>
  </si>
  <si>
    <t>&lt; 15 yrs</t>
  </si>
  <si>
    <t>&gt; 15 yrs</t>
  </si>
  <si>
    <t>1-9</t>
  </si>
  <si>
    <t>10-14</t>
  </si>
  <si>
    <t>15-19</t>
  </si>
  <si>
    <t>20-24</t>
  </si>
  <si>
    <t>25-49</t>
  </si>
  <si>
    <t>50+</t>
  </si>
  <si>
    <t>TX_RET: Percentage of adults and children known to be on treatment 12 months after initiation of antiretroviral therapy</t>
  </si>
  <si>
    <t>Number of clients who initiated treatment in the twelve months prior to the review period and are still on treatment</t>
  </si>
  <si>
    <t>Number of clients who initiated treatment in the twelve months prior to the review period and are not on treatment</t>
  </si>
  <si>
    <t>LTFU</t>
  </si>
  <si>
    <t>Transferred out</t>
  </si>
  <si>
    <t>Stopped ART</t>
  </si>
  <si>
    <t>Breast feeding</t>
  </si>
  <si>
    <t>TX_PVLS:Percentage of ART patients with a viral load result documented in the medical record and/or laboratory information systems (LIS) within the past 12 months with a suppressed viral load (&lt;1000 copies/ml)</t>
  </si>
  <si>
    <t>Routine</t>
  </si>
  <si>
    <t>Targeted</t>
  </si>
  <si>
    <t>10-14years</t>
  </si>
  <si>
    <t>TX_TB:The proportion of ART patients who were screened who are receiving TB treatment.</t>
  </si>
  <si>
    <t>Reference</t>
  </si>
  <si>
    <t>USAID MER 2.0</t>
  </si>
  <si>
    <t>Oct</t>
  </si>
  <si>
    <t>Nov</t>
  </si>
  <si>
    <t>Dec</t>
  </si>
  <si>
    <t>Number of individuals counseled, tested, and received results 
(HTC Only)</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</si>
  <si>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</si>
  <si>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</si>
  <si>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</si>
  <si>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</si>
  <si>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</si>
  <si>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</si>
  <si>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</si>
  <si>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</si>
  <si>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</si>
  <si>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 xml:space="preserve">Percentage of final outcomes among HIV exposed infants registered in a birth cohort </t>
  </si>
  <si>
    <t>PMTCT_FO</t>
  </si>
  <si>
    <t>Number of individuals tested HIV positive 
(subset of 1 above)</t>
  </si>
  <si>
    <t>HTC_TST</t>
  </si>
  <si>
    <t>Number of pregnant women tested HIV positive
(subset of 2 above)</t>
  </si>
  <si>
    <t>Number of pregnant women with previously known HIV positive status at entry
(subset of 2 above)</t>
  </si>
  <si>
    <t>OVC_HIVSTAT</t>
  </si>
  <si>
    <t>TX_NEW</t>
  </si>
  <si>
    <t>TB_ART</t>
  </si>
  <si>
    <t>TB_STAT</t>
  </si>
  <si>
    <t>TX_CURR</t>
  </si>
  <si>
    <t>TX_RET</t>
  </si>
  <si>
    <t>TX_PVLS</t>
  </si>
  <si>
    <t>TX_TB</t>
  </si>
  <si>
    <t>Client Intake form</t>
  </si>
  <si>
    <t>HTC Client Intake form</t>
  </si>
  <si>
    <t>HCT Register</t>
  </si>
  <si>
    <t>Daily HIV Test Worksheet</t>
  </si>
  <si>
    <t>Request and Result Form</t>
  </si>
  <si>
    <t>Request and Result form</t>
  </si>
  <si>
    <t>General ANC Register</t>
  </si>
  <si>
    <t xml:space="preserve">Number of clients with HIV Test Request and Result Forms available </t>
  </si>
  <si>
    <t>Number of pregnant women with known HIV status at antenatal care (includes those who already knew their HIV status prior to ANC)</t>
  </si>
  <si>
    <t>Child follow up Register</t>
  </si>
  <si>
    <t xml:space="preserve">Child follow up Register </t>
  </si>
  <si>
    <t xml:space="preserve">Number of infants who had first virologic test (DBS) done and  had a postive result documented </t>
  </si>
  <si>
    <t>Number of infants who had first virologic test (DBS) done and  had a negative result documented</t>
  </si>
  <si>
    <t>Number of infants who had a first virologic test done and result documented within 0-12 months of birth during the reporting period</t>
  </si>
  <si>
    <t>Number of HIV exposed infants registered in the birth cohort at any time between 0-18months of age</t>
  </si>
  <si>
    <t xml:space="preserve">Number of HIV-exposed infants with a documented outcome by 18 months of age </t>
  </si>
  <si>
    <t xml:space="preserve">Number of HIV-exposed infants  who died without HIV status documented as outcome by 18 months of age </t>
  </si>
  <si>
    <t>LG Central  TB Register</t>
  </si>
  <si>
    <t>LG Central TB Register</t>
  </si>
  <si>
    <t>OVC enrolment card</t>
  </si>
  <si>
    <t>Number of  orphans and vulnerable children with HIV status reported to implementing partners</t>
  </si>
  <si>
    <t>OVC Enrollment Register</t>
  </si>
  <si>
    <t xml:space="preserve">Oct </t>
  </si>
  <si>
    <t xml:space="preserve">Nov </t>
  </si>
  <si>
    <t>Number of HIV infected women who were pregnant or breastfeeding newly initiated on ART</t>
  </si>
  <si>
    <t>Pharmacy daily worksheet</t>
  </si>
  <si>
    <t>Number of confirmed TB patients receiving treatment and are newly started on ART</t>
  </si>
  <si>
    <t>PMTCT NEW ARV</t>
  </si>
  <si>
    <t>Delivery register</t>
  </si>
  <si>
    <t>PMTCT ARV</t>
  </si>
  <si>
    <t>New PMTCT ARV Register</t>
  </si>
  <si>
    <t>PMTCT HTC Register</t>
  </si>
  <si>
    <t>Number of HIV-positive new and relapsed TB cases on ART during the reporting period</t>
  </si>
  <si>
    <t>Number of TB cases with documented HIV-positive status who start or continue ART during the reporting period</t>
  </si>
  <si>
    <t>Pharmacy Record</t>
  </si>
  <si>
    <t>Patient Care card</t>
  </si>
  <si>
    <t>ART  Register</t>
  </si>
  <si>
    <t>Cohort Analysis Report</t>
  </si>
  <si>
    <t>LG TB Central Register</t>
  </si>
  <si>
    <t xml:space="preserve">Number of ART patients screened for TB and are receiving treatment </t>
  </si>
  <si>
    <t>Number of individuals who received HIV Testing Services (HTS) and received their test results</t>
  </si>
  <si>
    <t>Number of new and relapsed TB cases with HIV status recorded during the reporting period.</t>
  </si>
  <si>
    <t>Number of pregnant women who had ART to reduce mother to child transmission</t>
  </si>
  <si>
    <t>Number of HIV positive pregnant women on ART for prevention of mother to child transmission</t>
  </si>
  <si>
    <t>Number of ART patients with complete fields</t>
  </si>
  <si>
    <t>Number of adult and pediatric ART patients who had viral load suppresssion &lt;1000 copies</t>
  </si>
  <si>
    <t>Number of ART patients who were screened for TB at least once during the reporting period with precise documentation</t>
  </si>
  <si>
    <t xml:space="preserve">Number of current ART patients who were screened for TB and are started on treatment </t>
  </si>
  <si>
    <t>Number of ART patients screened for TB and started on treatment</t>
  </si>
  <si>
    <t>Number of children and adult who initiated ART</t>
  </si>
  <si>
    <t>0ct</t>
  </si>
  <si>
    <t>Total number of individuals tested HIV positive  including PMTCT 
(1i+4i above)</t>
  </si>
  <si>
    <t>Total number of individuals counseled, tested, and received results including PMTCT 
(1+4 above)  [HTC_TST]</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</si>
  <si>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</si>
  <si>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</si>
  <si>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</si>
  <si>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</si>
  <si>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</si>
  <si>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</si>
  <si>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</si>
  <si>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</si>
  <si>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</si>
  <si>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</si>
  <si>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</si>
  <si>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</si>
  <si>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</si>
  <si>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</si>
  <si>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</si>
  <si>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</si>
  <si>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</si>
  <si>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</si>
  <si>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</si>
  <si>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</si>
  <si>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</si>
  <si>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</si>
  <si>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</si>
  <si>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</si>
  <si>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</si>
  <si>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</si>
  <si>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</si>
  <si>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</si>
  <si>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</si>
  <si>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</si>
  <si>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</si>
  <si>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</si>
  <si>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</si>
  <si>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</si>
  <si>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</si>
  <si>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</si>
  <si>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</si>
  <si>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</si>
  <si>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</si>
  <si>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</si>
  <si>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</si>
  <si>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</si>
  <si>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</si>
  <si>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</si>
  <si>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</si>
  <si>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</si>
  <si>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</si>
  <si>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</si>
  <si>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</si>
  <si>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Number of pregnant women with known  HIV status at ANC</t>
  </si>
  <si>
    <t>Number of pregnant women with known HIV status at antenatal care with consistent data</t>
  </si>
  <si>
    <t>Number of pregnant women with complete field with known HIV status at ANC</t>
  </si>
  <si>
    <t>Number of pregnant women with known HIV status at antenatal care with valid data</t>
  </si>
  <si>
    <t>Number of new and relapse TB cases with documented HIV status</t>
  </si>
  <si>
    <t>Number of orphans and vulnerable children &lt; 18 years old with complete fields in the reporting tools</t>
  </si>
  <si>
    <t>Number of orphan and vulnerable children &lt;18 years old with HIV status reported to implementing partner</t>
  </si>
  <si>
    <t>Number of orphans and vulnerable children with valid HIV status reported to implimenting partner</t>
  </si>
  <si>
    <t>Number of orphans and vulnerable children with valid HIV status reported to implementing partner</t>
  </si>
  <si>
    <t>Died</t>
  </si>
  <si>
    <t>Number of adult and children known to be on treatment twelve months after initiation of ART</t>
  </si>
  <si>
    <t xml:space="preserve">How many patients have a documented viral load result of &lt;1000 copies </t>
  </si>
  <si>
    <t>Number of TB/HIV co-infected patients on Septrin</t>
  </si>
  <si>
    <t>1.1.1</t>
  </si>
  <si>
    <t>1.1.1.3</t>
  </si>
  <si>
    <t>1.1.1.4</t>
  </si>
  <si>
    <t>1.1.2.1</t>
  </si>
  <si>
    <t>1.1.2.2</t>
  </si>
  <si>
    <t>1.1.4.1</t>
  </si>
  <si>
    <t>1.1.4.2</t>
  </si>
  <si>
    <t>1.1.5</t>
  </si>
  <si>
    <t>1.1.5.1</t>
  </si>
  <si>
    <t>1.1.3.1.1</t>
  </si>
  <si>
    <t>1.1.3.1.2</t>
  </si>
  <si>
    <t>1.1.5.2</t>
  </si>
  <si>
    <t>1.2.1</t>
  </si>
  <si>
    <t>1.2.1.1</t>
  </si>
  <si>
    <t>1.2.1.2</t>
  </si>
  <si>
    <t>1.2.1.3</t>
  </si>
  <si>
    <t>1.2.1.4</t>
  </si>
  <si>
    <t>1.3.1</t>
  </si>
  <si>
    <t>1.3.1.1</t>
  </si>
  <si>
    <t>1.3.2</t>
  </si>
  <si>
    <t>1.3.2.1</t>
  </si>
  <si>
    <t>1.5.1</t>
  </si>
  <si>
    <t>1.5.2</t>
  </si>
  <si>
    <t>1.5.1.1</t>
  </si>
  <si>
    <t>1.5.1.2</t>
  </si>
  <si>
    <t>1.5.2.2</t>
  </si>
  <si>
    <t>1.4.1</t>
  </si>
  <si>
    <t>1.3.1.1.1</t>
  </si>
  <si>
    <t>1.3.1.1.2</t>
  </si>
  <si>
    <t>1.3.1.1.5</t>
  </si>
  <si>
    <t>1.3.1.1.6</t>
  </si>
  <si>
    <t>1.3.1.1.7</t>
  </si>
  <si>
    <t>1.3.1.1.8</t>
  </si>
  <si>
    <t>1.3.1.1.9</t>
  </si>
  <si>
    <t>1.3.1.2.1</t>
  </si>
  <si>
    <t>1.3.1.2.3</t>
  </si>
  <si>
    <t>1.3.1.2.2</t>
  </si>
  <si>
    <t>1.3.1.2.4</t>
  </si>
  <si>
    <t>1.3.1.2.5</t>
  </si>
  <si>
    <t>1.3.1.2.6</t>
  </si>
  <si>
    <t>1.3.1.2.9</t>
  </si>
  <si>
    <t>1.3.1.2.8</t>
  </si>
  <si>
    <t>1.3.1.2.7</t>
  </si>
  <si>
    <t>1.3.2.1.1</t>
  </si>
  <si>
    <t>1.3.2.2.8</t>
  </si>
  <si>
    <t>1.3.2.2.9</t>
  </si>
  <si>
    <t>2.1.1</t>
  </si>
  <si>
    <t>2.1.2</t>
  </si>
  <si>
    <t>2.1.2.1</t>
  </si>
  <si>
    <t>2.1.3</t>
  </si>
  <si>
    <t>2.1.3.1</t>
  </si>
  <si>
    <t>2.1.4</t>
  </si>
  <si>
    <t>2.1.4.1</t>
  </si>
  <si>
    <t>2.1.5</t>
  </si>
  <si>
    <t>2.1.5.1</t>
  </si>
  <si>
    <t>2.2.1</t>
  </si>
  <si>
    <t>2.2.1.1</t>
  </si>
  <si>
    <t>2.3.1</t>
  </si>
  <si>
    <t>2.3.1.1</t>
  </si>
  <si>
    <t>2.3.1.2</t>
  </si>
  <si>
    <t>2.3.1.3</t>
  </si>
  <si>
    <t>2.3.1.4</t>
  </si>
  <si>
    <t>2.3.1.5</t>
  </si>
  <si>
    <t>2.3.1.6</t>
  </si>
  <si>
    <t>2.3.1.7</t>
  </si>
  <si>
    <t>2.3.1.8</t>
  </si>
  <si>
    <t>2.3.2</t>
  </si>
  <si>
    <t>2.3.2.1</t>
  </si>
  <si>
    <t>2.3.2.2</t>
  </si>
  <si>
    <t>2.3.2.1.1</t>
  </si>
  <si>
    <t>2.3.2.1.2</t>
  </si>
  <si>
    <t>2.3.2.1.3</t>
  </si>
  <si>
    <t>2.3.2.1.4</t>
  </si>
  <si>
    <t>2.3.2.1.5</t>
  </si>
  <si>
    <t>2.3.2.1.6</t>
  </si>
  <si>
    <t>2.3.2.1.7</t>
  </si>
  <si>
    <t>2.3.2.1.8</t>
  </si>
  <si>
    <t>2.3.2.2.1</t>
  </si>
  <si>
    <t>2.3.2.2.2</t>
  </si>
  <si>
    <t>2.3.2.2.3</t>
  </si>
  <si>
    <t>2.3.2.2.4</t>
  </si>
  <si>
    <t>2.3.2.2.5</t>
  </si>
  <si>
    <t>2.3.2.2.6</t>
  </si>
  <si>
    <t>2.3.2.2.7</t>
  </si>
  <si>
    <t>2.3.3</t>
  </si>
  <si>
    <t>2.4.1</t>
  </si>
  <si>
    <t>2.4.2</t>
  </si>
  <si>
    <t>2.4.2.1</t>
  </si>
  <si>
    <t>2.4.2.2</t>
  </si>
  <si>
    <t>2.4.3</t>
  </si>
  <si>
    <t>2.4.3.1</t>
  </si>
  <si>
    <t>2.4.2.2.1</t>
  </si>
  <si>
    <t>2.4.2.1.1</t>
  </si>
  <si>
    <t>2.4.1.1</t>
  </si>
  <si>
    <t>2.5.1</t>
  </si>
  <si>
    <t>2.5.2</t>
  </si>
  <si>
    <t>2.5.3</t>
  </si>
  <si>
    <t>2.5.4</t>
  </si>
  <si>
    <t>2.5.4.1</t>
  </si>
  <si>
    <t>2.5.4.2</t>
  </si>
  <si>
    <t>2.5.3.1</t>
  </si>
  <si>
    <t>2.5.3.2</t>
  </si>
  <si>
    <t>2.5.2.1</t>
  </si>
  <si>
    <t>2.5.2.2</t>
  </si>
  <si>
    <t>2.5.1.1</t>
  </si>
  <si>
    <t>2.5.1.2</t>
  </si>
  <si>
    <t>3.1.1</t>
  </si>
  <si>
    <t>3.1.1.1</t>
  </si>
  <si>
    <t>3.1.2</t>
  </si>
  <si>
    <t>3.1.2.1</t>
  </si>
  <si>
    <t>3.1.3</t>
  </si>
  <si>
    <t>3.1.3.1</t>
  </si>
  <si>
    <t>3.2.1</t>
  </si>
  <si>
    <t>3.2.1.1</t>
  </si>
  <si>
    <t>3.2.1.2</t>
  </si>
  <si>
    <t>3.2.2.1</t>
  </si>
  <si>
    <t>3.3.3</t>
  </si>
  <si>
    <t>3.3.1</t>
  </si>
  <si>
    <t>3.3.1.1</t>
  </si>
  <si>
    <t>3.3.1.1.1</t>
  </si>
  <si>
    <t>3.3.1.1.2</t>
  </si>
  <si>
    <t>3.3.2</t>
  </si>
  <si>
    <t>3.3.2.1</t>
  </si>
  <si>
    <t>3.3.2.1.1</t>
  </si>
  <si>
    <t>3.3.2.1.2</t>
  </si>
  <si>
    <t>3.3.3.1</t>
  </si>
  <si>
    <t>3.3.3.1.1</t>
  </si>
  <si>
    <t>3.3.3.1.2</t>
  </si>
  <si>
    <t>3.5.1</t>
  </si>
  <si>
    <t>3.5.2</t>
  </si>
  <si>
    <t>3.4.1</t>
  </si>
  <si>
    <t>3.4.2</t>
  </si>
  <si>
    <t>3.4.3</t>
  </si>
  <si>
    <t>3.4.3.1</t>
  </si>
  <si>
    <t>3.4.2.1</t>
  </si>
  <si>
    <t>3.4.1.1</t>
  </si>
  <si>
    <t>4.1.1</t>
  </si>
  <si>
    <t>4.1.1.1</t>
  </si>
  <si>
    <t>4.1.2</t>
  </si>
  <si>
    <t>4.1.2.1</t>
  </si>
  <si>
    <t>4.1.3</t>
  </si>
  <si>
    <t>4.1.3.1</t>
  </si>
  <si>
    <t>4.2.1</t>
  </si>
  <si>
    <t>4.2.2</t>
  </si>
  <si>
    <t>4.3.1</t>
  </si>
  <si>
    <t>4.3.1.1</t>
  </si>
  <si>
    <t>4.3.2</t>
  </si>
  <si>
    <t>4.3.2.1</t>
  </si>
  <si>
    <t>4.3.3</t>
  </si>
  <si>
    <t>4.3.3.1</t>
  </si>
  <si>
    <t>4.3.4</t>
  </si>
  <si>
    <t>4.3.4.1</t>
  </si>
  <si>
    <t>4.4.1</t>
  </si>
  <si>
    <t>4.4.1.1</t>
  </si>
  <si>
    <t>4.4.3</t>
  </si>
  <si>
    <t>4.4.3.1</t>
  </si>
  <si>
    <t>4.4.4</t>
  </si>
  <si>
    <t>4.4.3.2</t>
  </si>
  <si>
    <t>4.4.4.1</t>
  </si>
  <si>
    <t>4.4.4.2</t>
  </si>
  <si>
    <t>4.5.1</t>
  </si>
  <si>
    <t>4.5.2</t>
  </si>
  <si>
    <t>5.1.1</t>
  </si>
  <si>
    <t>5.1.2</t>
  </si>
  <si>
    <t>5.2.1</t>
  </si>
  <si>
    <t>5.3.1</t>
  </si>
  <si>
    <t>5.3.1.2.2</t>
  </si>
  <si>
    <t>5.3.1.1</t>
  </si>
  <si>
    <t>5.3.1.1.1</t>
  </si>
  <si>
    <t>5.3.1.2</t>
  </si>
  <si>
    <t>5.3.1.2.1</t>
  </si>
  <si>
    <t>5.3.1.2.3</t>
  </si>
  <si>
    <t>5.3.1.2.4</t>
  </si>
  <si>
    <t>5.3.1.1.2</t>
  </si>
  <si>
    <t>5.3.1.1.3</t>
  </si>
  <si>
    <t>5.3.1.1.4</t>
  </si>
  <si>
    <t>5.3.2</t>
  </si>
  <si>
    <t>5.3.2.1</t>
  </si>
  <si>
    <t>5.3.2.1.1</t>
  </si>
  <si>
    <t>5.3.2.1.2</t>
  </si>
  <si>
    <t>5.3.2.1.3</t>
  </si>
  <si>
    <t>5.3.2.2</t>
  </si>
  <si>
    <t>5.3.2.2.1</t>
  </si>
  <si>
    <t>5.3.2.2.2</t>
  </si>
  <si>
    <t>5.3.2.2.3</t>
  </si>
  <si>
    <t>5.3.2.3</t>
  </si>
  <si>
    <t>5.3.2.3.1</t>
  </si>
  <si>
    <t>5.3.2.3.2</t>
  </si>
  <si>
    <t>5.3.2.3.3</t>
  </si>
  <si>
    <t>5.4.1</t>
  </si>
  <si>
    <t>5.4.1.1</t>
  </si>
  <si>
    <t>5.4.1.2</t>
  </si>
  <si>
    <t>5.5.1</t>
  </si>
  <si>
    <t>5.5.2</t>
  </si>
  <si>
    <t>5.5.3</t>
  </si>
  <si>
    <t>6.2.1</t>
  </si>
  <si>
    <t>6.2.2</t>
  </si>
  <si>
    <t>6.3.1</t>
  </si>
  <si>
    <t>6.3.1.1</t>
  </si>
  <si>
    <t>6.3.1.2</t>
  </si>
  <si>
    <t>6.3.2</t>
  </si>
  <si>
    <t>6.3.2.1</t>
  </si>
  <si>
    <t>6.3.3</t>
  </si>
  <si>
    <t>6.3.3.1</t>
  </si>
  <si>
    <t>6.1.1</t>
  </si>
  <si>
    <t>6.1.1.1</t>
  </si>
  <si>
    <t>6.1.2</t>
  </si>
  <si>
    <t>6.1.2.1</t>
  </si>
  <si>
    <t>6.1.3</t>
  </si>
  <si>
    <t>6.1.3.1</t>
  </si>
  <si>
    <t>6.4.1</t>
  </si>
  <si>
    <t>6.4.1.1</t>
  </si>
  <si>
    <t>6.5.1</t>
  </si>
  <si>
    <t>6.5.1.1</t>
  </si>
  <si>
    <t>6.5.1.2</t>
  </si>
  <si>
    <t>6.5.2</t>
  </si>
  <si>
    <t>6.5.2.1</t>
  </si>
  <si>
    <t>6.5.2.2</t>
  </si>
  <si>
    <t>6.5.3</t>
  </si>
  <si>
    <t>6.5.3.1</t>
  </si>
  <si>
    <t>6.5.3.2</t>
  </si>
  <si>
    <t>6.5.4.1</t>
  </si>
  <si>
    <t>6.5.4.2</t>
  </si>
  <si>
    <t>7.1.1</t>
  </si>
  <si>
    <t>7.1.1.1</t>
  </si>
  <si>
    <t>7.1.1.2</t>
  </si>
  <si>
    <t>7.1.2</t>
  </si>
  <si>
    <t>7.1.2.1</t>
  </si>
  <si>
    <t>7.1.3</t>
  </si>
  <si>
    <t>7.1.3.1</t>
  </si>
  <si>
    <t>7.1.3.2</t>
  </si>
  <si>
    <t>7.2.1</t>
  </si>
  <si>
    <t>7.3.1</t>
  </si>
  <si>
    <t>7.3.1.1</t>
  </si>
  <si>
    <t>7.3.1.1.1</t>
  </si>
  <si>
    <t>7.3.1.1.1.1</t>
  </si>
  <si>
    <t>7.3.1.1.1.2</t>
  </si>
  <si>
    <t>7.3.1.1.1.3</t>
  </si>
  <si>
    <t>7.3.1.1.1.4</t>
  </si>
  <si>
    <t>7.3.1.1.1.5</t>
  </si>
  <si>
    <t>7.3.1.1.1.6</t>
  </si>
  <si>
    <t>7.3.1.1.1.7</t>
  </si>
  <si>
    <t>7.3.1.2</t>
  </si>
  <si>
    <t>7.3.1.2.1</t>
  </si>
  <si>
    <t>7.3.1.2.1.1</t>
  </si>
  <si>
    <t>7.3.1.2.1.2</t>
  </si>
  <si>
    <t>7.3.1.2.1.3</t>
  </si>
  <si>
    <t>7.3.1.2.1.4</t>
  </si>
  <si>
    <t>7.3.1.2.1.5</t>
  </si>
  <si>
    <t>7.3.1.2.1.6</t>
  </si>
  <si>
    <t>7.3.1.2.1.7</t>
  </si>
  <si>
    <t>7.3.2</t>
  </si>
  <si>
    <t>7.3.2.1</t>
  </si>
  <si>
    <t>7.3.3</t>
  </si>
  <si>
    <t>7.3.3.1</t>
  </si>
  <si>
    <t>7.5.1</t>
  </si>
  <si>
    <t>7.5.2</t>
  </si>
  <si>
    <t>8.1.1</t>
  </si>
  <si>
    <t>8.1.1.1</t>
  </si>
  <si>
    <t>8.1.2</t>
  </si>
  <si>
    <t>8.1.2.1</t>
  </si>
  <si>
    <t>8.1.3</t>
  </si>
  <si>
    <t>8.1.3.1</t>
  </si>
  <si>
    <t>8.2.1</t>
  </si>
  <si>
    <t>8.2.2</t>
  </si>
  <si>
    <t>8.3.1</t>
  </si>
  <si>
    <t>8.3.1.1</t>
  </si>
  <si>
    <t>8.3.2</t>
  </si>
  <si>
    <t>8.3.2.1</t>
  </si>
  <si>
    <t>8.3.3</t>
  </si>
  <si>
    <t>8.3.3.1</t>
  </si>
  <si>
    <t>8.3.4</t>
  </si>
  <si>
    <t>8.3.4.1</t>
  </si>
  <si>
    <t>8.3.5</t>
  </si>
  <si>
    <t>8.3.5.1</t>
  </si>
  <si>
    <t>8.4.1</t>
  </si>
  <si>
    <t>8.4.1.1</t>
  </si>
  <si>
    <t>8.4.1.2</t>
  </si>
  <si>
    <t>8.4.2</t>
  </si>
  <si>
    <t>8.4.2.2</t>
  </si>
  <si>
    <t>8.5.1</t>
  </si>
  <si>
    <t>9.1.1</t>
  </si>
  <si>
    <t>9.1.2</t>
  </si>
  <si>
    <t>9.2.1</t>
  </si>
  <si>
    <t>9.3.1</t>
  </si>
  <si>
    <t>9.3.1.1</t>
  </si>
  <si>
    <t>9.3.1.2</t>
  </si>
  <si>
    <t>9.3.2</t>
  </si>
  <si>
    <t>9.3.2.1</t>
  </si>
  <si>
    <t>9.3.2.2</t>
  </si>
  <si>
    <t>9.3.3</t>
  </si>
  <si>
    <t>9.3.3.1</t>
  </si>
  <si>
    <t>9.3.3.1.1</t>
  </si>
  <si>
    <t>9.3.3.2.1</t>
  </si>
  <si>
    <t>9.3.3.2</t>
  </si>
  <si>
    <t>9.4.2</t>
  </si>
  <si>
    <t>9.4.2.1</t>
  </si>
  <si>
    <t>9.5.1</t>
  </si>
  <si>
    <t>10.1.1</t>
  </si>
  <si>
    <t>10.1.1.1</t>
  </si>
  <si>
    <t>10.1.2</t>
  </si>
  <si>
    <t>10.1.2.1</t>
  </si>
  <si>
    <t>10.2.1</t>
  </si>
  <si>
    <t>10.2.2</t>
  </si>
  <si>
    <t>10.3.1</t>
  </si>
  <si>
    <t>10.3.1.1</t>
  </si>
  <si>
    <t>10.3.1.1.1</t>
  </si>
  <si>
    <t>10.3.1.1.2</t>
  </si>
  <si>
    <t>10.3.1.1.3</t>
  </si>
  <si>
    <t>10.3.1.1.4</t>
  </si>
  <si>
    <t>10.3.1.1.5</t>
  </si>
  <si>
    <t>10.3.1.1.6</t>
  </si>
  <si>
    <t>10.3.2</t>
  </si>
  <si>
    <t>10.3.2.1</t>
  </si>
  <si>
    <t>10.3.2.1.1</t>
  </si>
  <si>
    <t>10.3.2.1.2</t>
  </si>
  <si>
    <t>10.3.2.1.3</t>
  </si>
  <si>
    <t>10.3.2.1.4</t>
  </si>
  <si>
    <t>10.3.2.1.5</t>
  </si>
  <si>
    <t>10.3.2.1.6</t>
  </si>
  <si>
    <t>10.4.1</t>
  </si>
  <si>
    <t>10.4.2</t>
  </si>
  <si>
    <t>10.4.3</t>
  </si>
  <si>
    <t>10.4.4</t>
  </si>
  <si>
    <t>10.5.1</t>
  </si>
  <si>
    <t>10.5.2</t>
  </si>
  <si>
    <t>11.1.1</t>
  </si>
  <si>
    <t>11.1.1.1</t>
  </si>
  <si>
    <t>11.2.2</t>
  </si>
  <si>
    <t>11.2.2.1</t>
  </si>
  <si>
    <t>11.2.2.2</t>
  </si>
  <si>
    <t>11.3.1</t>
  </si>
  <si>
    <t>11.3.1.1</t>
  </si>
  <si>
    <t>11.3.1.1.1</t>
  </si>
  <si>
    <t>11.3.1.1.2</t>
  </si>
  <si>
    <t>11.3.1.1.3</t>
  </si>
  <si>
    <t>11.3.1.1.4</t>
  </si>
  <si>
    <t>11.3.1.1.5</t>
  </si>
  <si>
    <t>11.3.1.1.6</t>
  </si>
  <si>
    <t>11.3.1.1.7</t>
  </si>
  <si>
    <t>11.3.2</t>
  </si>
  <si>
    <t>11.3.2.1</t>
  </si>
  <si>
    <t>11.3.2.1.1</t>
  </si>
  <si>
    <t>11.3.2.1.2</t>
  </si>
  <si>
    <t>11.3.2.1.3</t>
  </si>
  <si>
    <t>11.3.2.1.4</t>
  </si>
  <si>
    <t>11.3.2.1.5</t>
  </si>
  <si>
    <t>11.3.2.1.6</t>
  </si>
  <si>
    <t>11.3.2.1.7</t>
  </si>
  <si>
    <t>11.4.1</t>
  </si>
  <si>
    <t>11.4.1.1</t>
  </si>
  <si>
    <t>11.5.1</t>
  </si>
  <si>
    <t>11.5.2</t>
  </si>
  <si>
    <t>12.1.1</t>
  </si>
  <si>
    <t>12.1.1.1</t>
  </si>
  <si>
    <t>12.1.2</t>
  </si>
  <si>
    <t>12.1.2.1</t>
  </si>
  <si>
    <t>12.1.3</t>
  </si>
  <si>
    <t>12.1.3.2</t>
  </si>
  <si>
    <t>12.3.1</t>
  </si>
  <si>
    <t>12.3.1.1</t>
  </si>
  <si>
    <t>12.3.1.1.1</t>
  </si>
  <si>
    <t>12.3.1.1.2</t>
  </si>
  <si>
    <t>12.3.1.1.3</t>
  </si>
  <si>
    <t>12.3.1.1.4</t>
  </si>
  <si>
    <t>12.3.1.1.5</t>
  </si>
  <si>
    <t>12.3.1.1.6</t>
  </si>
  <si>
    <t>12.3.1.1.7</t>
  </si>
  <si>
    <t>12.3.1.1.8</t>
  </si>
  <si>
    <t>12.3.1.1.9</t>
  </si>
  <si>
    <t>12.3.1.2</t>
  </si>
  <si>
    <t>12.3.1.2.1</t>
  </si>
  <si>
    <t>12.3.1.2.2</t>
  </si>
  <si>
    <t>12.3.1.2.3</t>
  </si>
  <si>
    <t>12.3.1.2.4</t>
  </si>
  <si>
    <t>12.3.1.2.5</t>
  </si>
  <si>
    <t>12.3.1.2.6</t>
  </si>
  <si>
    <t>12.3.1.2.7</t>
  </si>
  <si>
    <t>12.3.1.2.8</t>
  </si>
  <si>
    <t>12.3.1.2.9</t>
  </si>
  <si>
    <t>12.3.2</t>
  </si>
  <si>
    <t>12.3.2.1</t>
  </si>
  <si>
    <t>12.3.2.1.1</t>
  </si>
  <si>
    <t>12.3.2.1.2</t>
  </si>
  <si>
    <t>12.3.2.1.3</t>
  </si>
  <si>
    <t>12.3.2.1.4</t>
  </si>
  <si>
    <t>12.3.2.1.5</t>
  </si>
  <si>
    <t>12.3.2.1.6</t>
  </si>
  <si>
    <t>12.3.2.1.7</t>
  </si>
  <si>
    <t>12.3.2.1.8</t>
  </si>
  <si>
    <t>12.3.2.1.9</t>
  </si>
  <si>
    <t>12.3.2.2</t>
  </si>
  <si>
    <t>12.3.2.2.1</t>
  </si>
  <si>
    <t>12.3.2.2.2</t>
  </si>
  <si>
    <t>12.3.2.2.3</t>
  </si>
  <si>
    <t>12.3.2.2.4</t>
  </si>
  <si>
    <t>12.3.2.2.5</t>
  </si>
  <si>
    <t>12.3.2.2.6</t>
  </si>
  <si>
    <t>12.3.2.2.7</t>
  </si>
  <si>
    <t>12.3.2.2.8</t>
  </si>
  <si>
    <t>12.3.2.2.9</t>
  </si>
  <si>
    <t>12.3.3</t>
  </si>
  <si>
    <t>12.3.3.1</t>
  </si>
  <si>
    <t>12.3.3.1.1</t>
  </si>
  <si>
    <t>12.3.3.1.2</t>
  </si>
  <si>
    <t>12.3.3.1.3</t>
  </si>
  <si>
    <t>12.3.3.1.4</t>
  </si>
  <si>
    <t>12.3.3.1.5</t>
  </si>
  <si>
    <t>12.3.3.1.6</t>
  </si>
  <si>
    <t>12.3.3.1.7</t>
  </si>
  <si>
    <t>12.3.3.1.8</t>
  </si>
  <si>
    <t>12.3.3.1.9</t>
  </si>
  <si>
    <t>12.3.3.2</t>
  </si>
  <si>
    <t>12.3.3.2.1</t>
  </si>
  <si>
    <t>12.3.3.2.2</t>
  </si>
  <si>
    <t>12.3.3.2.3</t>
  </si>
  <si>
    <t>12.3.3.2.4</t>
  </si>
  <si>
    <t>12.3.3.2.5</t>
  </si>
  <si>
    <t>12.3.3.2.6</t>
  </si>
  <si>
    <t>12.3.3.2.7</t>
  </si>
  <si>
    <t>12.3.3.2.8</t>
  </si>
  <si>
    <t>12.3.3.2.9</t>
  </si>
  <si>
    <t>12.3.4</t>
  </si>
  <si>
    <t>12.3.4.1</t>
  </si>
  <si>
    <t>12.3.4.1.1</t>
  </si>
  <si>
    <t>12.3.4.1.2</t>
  </si>
  <si>
    <t>12.3.4.2</t>
  </si>
  <si>
    <t>12.3.4.2.1</t>
  </si>
  <si>
    <t>12.3.4.2.2</t>
  </si>
  <si>
    <t>13.1.1</t>
  </si>
  <si>
    <t>13.1.1.1</t>
  </si>
  <si>
    <t>13.1.2</t>
  </si>
  <si>
    <t>13.1.2.1</t>
  </si>
  <si>
    <t>13.1.2.2</t>
  </si>
  <si>
    <t>13.1.3</t>
  </si>
  <si>
    <t>13.1.3.1</t>
  </si>
  <si>
    <t>13.1.3.2</t>
  </si>
  <si>
    <t>13.1.4</t>
  </si>
  <si>
    <t>13.1.4.1</t>
  </si>
  <si>
    <t>13.1.5</t>
  </si>
  <si>
    <t>13.1.5.1</t>
  </si>
  <si>
    <t>13.2.1</t>
  </si>
  <si>
    <t>13.2.1.1</t>
  </si>
  <si>
    <t>13.2.1.2</t>
  </si>
  <si>
    <t>13.2.2</t>
  </si>
  <si>
    <t>13.3.1</t>
  </si>
  <si>
    <t>13.3.1.1</t>
  </si>
  <si>
    <t>13.3.1.1.1</t>
  </si>
  <si>
    <t>13.3.1.1.2</t>
  </si>
  <si>
    <t>13.3.2</t>
  </si>
  <si>
    <t>13.3.2.1</t>
  </si>
  <si>
    <t>13.3.2.1.1</t>
  </si>
  <si>
    <t>13.3.2.1.2</t>
  </si>
  <si>
    <t>13.3.3</t>
  </si>
  <si>
    <t>13.3.3.1</t>
  </si>
  <si>
    <t>13.3.3.1.1</t>
  </si>
  <si>
    <t>13.3.3.1.2</t>
  </si>
  <si>
    <t>13.4.1</t>
  </si>
  <si>
    <t>13.4.1.1</t>
  </si>
  <si>
    <t>13.4.1.2</t>
  </si>
  <si>
    <t>13.4.2</t>
  </si>
  <si>
    <t>Key Populations</t>
  </si>
  <si>
    <t>VMMC</t>
  </si>
  <si>
    <t>VCT</t>
  </si>
  <si>
    <t>Index testing</t>
  </si>
  <si>
    <t>Provider initiated testing and councelling (PITC)</t>
  </si>
  <si>
    <t>Inpatient services</t>
  </si>
  <si>
    <t>Pediatrics services</t>
  </si>
  <si>
    <t>Malnutrition clinics</t>
  </si>
  <si>
    <t>TB clinics</t>
  </si>
  <si>
    <t>MSM</t>
  </si>
  <si>
    <t>PWID</t>
  </si>
  <si>
    <t>Transgender</t>
  </si>
  <si>
    <t>FSW</t>
  </si>
  <si>
    <t>People in prison and other enclosed settings</t>
  </si>
  <si>
    <t>Number of clients in Key Populations that have a test result forms</t>
  </si>
  <si>
    <t>Number of clients in provider initiated testing and counceling that have a test result form</t>
  </si>
  <si>
    <t xml:space="preserve">Number of cliets in VMMC that have a test result form </t>
  </si>
  <si>
    <t>number of clients in index testing that have a test result form</t>
  </si>
  <si>
    <t>NEGATIVE</t>
  </si>
  <si>
    <t>POSITIVE</t>
  </si>
  <si>
    <t>Delivery Register(Unbooked women)</t>
  </si>
  <si>
    <t>Delivery Register (Unbooked women)</t>
  </si>
  <si>
    <t>Patient folder</t>
  </si>
  <si>
    <t>Presumptive TB Register</t>
  </si>
  <si>
    <t>Number of new and relapse Tbcases with documented HIV status</t>
  </si>
  <si>
    <t>Number of client newly initiated on ART within the reporting period</t>
  </si>
  <si>
    <t>PMTCT MSF</t>
  </si>
  <si>
    <t>Number of HIV-positive new and relapsed TB cases already on ART during the reporting period</t>
  </si>
  <si>
    <t>ART MSF</t>
  </si>
  <si>
    <t>Number of TB cases with documented HIV-positive status who are on ART during the reporting period</t>
  </si>
  <si>
    <t>1.1.1.5</t>
  </si>
  <si>
    <t>1.1.1.6</t>
  </si>
  <si>
    <t>1.1.1.7</t>
  </si>
  <si>
    <t>1.1.1.8</t>
  </si>
  <si>
    <t>1.1.1.9</t>
  </si>
  <si>
    <t>1.1.2.0</t>
  </si>
  <si>
    <t>Viral load log</t>
  </si>
  <si>
    <t>Viral load order and result form</t>
  </si>
  <si>
    <t>Number of ART patients with viral load suppression docummented during the reporting period</t>
  </si>
  <si>
    <t>Not documented (Neither targeted nor Routine)</t>
  </si>
  <si>
    <t>Non documented</t>
  </si>
  <si>
    <t>LG TB Central register</t>
  </si>
  <si>
    <t>How many clients have complete fields in the reporting document that showed they were tested ?</t>
  </si>
  <si>
    <t>How many individuals had completed field for test resuls in the reporting documents (i.e positive or negative test result)?</t>
  </si>
  <si>
    <t>How many individuals have complete fields in the reporting tools that showed they had a post-test counselling &amp; received their test results?</t>
  </si>
  <si>
    <t>How many individual have completed fields showing they had clinical TB screening reporte in the tools during the reporting period</t>
  </si>
  <si>
    <t>How many individuals had completed fields showing they had a syndromic STI screening reported in the required tools</t>
  </si>
  <si>
    <t>Number of HCT clients who have all required data fields completely filled in the required data collection tool</t>
  </si>
  <si>
    <t>How many HIV positive clients have data documented in the following reporting tools  during the reporting period?</t>
  </si>
  <si>
    <t>Number of Clients with the same data representation across reporting tools compared with what was reported on DATIM</t>
  </si>
  <si>
    <t>How many HIV negative clients have data documented in the following reporting tools  during the reporting period?</t>
  </si>
  <si>
    <t>How many test kits were used during the reporting period</t>
  </si>
  <si>
    <t>HTS MSF</t>
  </si>
  <si>
    <t>How many pregnant women booked for ANC during the reporting period</t>
  </si>
  <si>
    <t xml:space="preserve">How many pregnant women received post-test counselling &amp; test results and are reported </t>
  </si>
  <si>
    <t>How many pregnant women with HIV negative status at ANC were reported on the register</t>
  </si>
  <si>
    <t>How many HIV positive pregnant women (newly tested/previously known) were reported on the register</t>
  </si>
  <si>
    <t>How many HIV pregnant women were reported with previously known HIV positive status at the start of ANC on the register</t>
  </si>
  <si>
    <t xml:space="preserve">How many pregnant women with known HIV positive status who were documented: </t>
  </si>
  <si>
    <t>How many pregnant women were registered and know their status during the reporting period</t>
  </si>
  <si>
    <t>How many pregnant women were reported with known HIV status at antenatal care (includes those who already knew their HIV status prior to ANC)</t>
  </si>
  <si>
    <t>What is the total number of pregnant women with known HIV status at antenatal care</t>
  </si>
  <si>
    <t>What is the total number of new ANC clients in the reporting period</t>
  </si>
  <si>
    <t>What is the total number of pregnant women with previously known HIV positive status</t>
  </si>
  <si>
    <t>How many pregnant women had post-test counselling and received result</t>
  </si>
  <si>
    <t>How many HIV infected patient previously knew status prior to ANC</t>
  </si>
  <si>
    <t>What is the number of pregnant women with known HIV positive status at antenatal care</t>
  </si>
  <si>
    <t>What is the number of pregnant women with known HIV negative status at antenatal care</t>
  </si>
  <si>
    <t xml:space="preserve">What is the number of pregnant women with previously known HIV status at antenatal care </t>
  </si>
  <si>
    <t>Number of infants with completed data fields in the data collection tool</t>
  </si>
  <si>
    <t>How many infants had a virologic test (DBS) done within 0-12months of birth and received result with complete fields in</t>
  </si>
  <si>
    <t xml:space="preserve">How many infants had their test results returned to the facility and documented in </t>
  </si>
  <si>
    <t>How many infants had first virologic test (DBS) done and results received received by guardian documented</t>
  </si>
  <si>
    <t>How many infants had a virologic test (DBS) done within 0-12months of birth as documented</t>
  </si>
  <si>
    <t>DATIM</t>
  </si>
  <si>
    <t>Number of Infant with data reported across all reporting tools</t>
  </si>
  <si>
    <t>Number of infants who had data reported during the reporting period</t>
  </si>
  <si>
    <t>Number of infants who had samples collected and sent for first virologic test (DBS) without result documented</t>
  </si>
  <si>
    <t>PMTCT HTS Register</t>
  </si>
  <si>
    <t xml:space="preserve">How many infants have a negative virologic test result within 0-12 months of birth as documented </t>
  </si>
  <si>
    <t xml:space="preserve">How many  infants have a positive virologic test result within 0-12 months of birth as documented </t>
  </si>
  <si>
    <t xml:space="preserve">How many infants had first virologic test (DBS) done within the age of 0-12monnths  and had  result received by guardian </t>
  </si>
  <si>
    <t xml:space="preserve">How many infants had first virologic test (DBS) done and  had a postive result documented </t>
  </si>
  <si>
    <t>How many infants had first virologic test (DBS) done and  had a negative result documented</t>
  </si>
  <si>
    <t>What is the number of HIV exposed infant with unknown HIV status, age 0- 18months recorded in the reporting tool</t>
  </si>
  <si>
    <t>What is the number of HIV exposed infants had negative status, age 0 – 18 months recorded in the reporting tool</t>
  </si>
  <si>
    <t>What is the number  of HIV exposed infants had positive status, age 0 – 18 months recorded in the reporting tool</t>
  </si>
  <si>
    <t>What is the number of HIV exposed infant who died with unknown status, age 0- 18months recording in the reporting tool</t>
  </si>
  <si>
    <t>Number of HIV exposed infant with final outcomes recorded during the reporting period</t>
  </si>
  <si>
    <t>How many HIV exposed infants registered in the birth cohort between 0-18months were HIV infected</t>
  </si>
  <si>
    <t>How many HIV exposed infants registered in the birth cohort between 0-18months of age who were HIV Uninfected</t>
  </si>
  <si>
    <t>How many HIV exposed infants registered in the birth cohort between 0-18months of age who had status unknown</t>
  </si>
  <si>
    <t>How many HIV exposed infants registered in the birth cohort between 0-18months of age who died with status unknown</t>
  </si>
  <si>
    <t xml:space="preserve">what number of HIV-exposed infants with a documented outcome by 18 months of age  have final outcome </t>
  </si>
  <si>
    <t>Number of HIV exposed infants registered in the birth cohort at any time between 0-18months of age with final outcomes</t>
  </si>
  <si>
    <t xml:space="preserve">How many HIV-exposed infants with a documented outcome by 18 months of age are HIV infected </t>
  </si>
  <si>
    <t xml:space="preserve">How many HIV-exposed infants with documented outcome by 18 months of age are HIV unfected </t>
  </si>
  <si>
    <t>How many HIV-exposed infants with a documented outcome by 18 months of age have unknown status</t>
  </si>
  <si>
    <t>How many  TB patients screened for HIV were documented during the reporting period.</t>
  </si>
  <si>
    <t>Number of new and relapse TB cases with documented HIV status reported in the tools</t>
  </si>
  <si>
    <t>How many TB patients screened for HIV and were positive documented in the reporting tool during the reporting period.</t>
  </si>
  <si>
    <t>How many TB patients screened for HIV and are negative documented in the reporting tools during the reporting period.</t>
  </si>
  <si>
    <t>How many  TB patients screened for HIV had their HIV status documented during the reporting period.</t>
  </si>
  <si>
    <t>Number of HIV-exposed infant with data seggregated by age and sex recorded in the cohort</t>
  </si>
  <si>
    <t>Number of infants with  virologic (DBS) test result seggregated by age during reporting period</t>
  </si>
  <si>
    <t>Number of pregnant women with known HIV status at antenatal care seggregated during the reporting period</t>
  </si>
  <si>
    <t>How many of individuals tested for HIV and received a test results have sex/ age properly disaggregated</t>
  </si>
  <si>
    <t>How many new and relapsed TB cases have documented HIV test results during the reporting period.</t>
  </si>
  <si>
    <t>How many TB patients screened have HIV status documented  during the reporting period.</t>
  </si>
  <si>
    <t>Number of new and relapsed TB cases have HIV status documented with age and sex properly categorized during the reporting period.</t>
  </si>
  <si>
    <t>How many new and relapse TB cases have documented HIV status during the reporting period.</t>
  </si>
  <si>
    <t>How many new and relapsed TB cases who had HIV positive status during the reporting period</t>
  </si>
  <si>
    <t>PMTCT HTS MSF</t>
  </si>
  <si>
    <t>How many new and relapsed TB cases who had HIV negative status during the reporting period.</t>
  </si>
  <si>
    <t>How many new and relapsed TB cases who had known HIV positive status at serice entry during the reporting period</t>
  </si>
  <si>
    <t>How many new and relapsed TB cases who newly tested HIV-positive during the reporting period.</t>
  </si>
  <si>
    <t>How many orphans and vulnerable children have HIV status reported to implementing partners</t>
  </si>
  <si>
    <t xml:space="preserve">How many orphans and vulnerable children have HIV test and received their results </t>
  </si>
  <si>
    <t>How many orphans and vulnerable children are HIV infected and are on ART reported to implementing partners</t>
  </si>
  <si>
    <t>How many orphans and vulnerable children with HIV positive status reported to implementing partner</t>
  </si>
  <si>
    <t xml:space="preserve">How many orphans and vulnerable children with HIV negative status reported to implementing partners </t>
  </si>
  <si>
    <t>How many orphans and vulnerable children with HIV positive status and are on ART reported to implementing Partners</t>
  </si>
  <si>
    <t>How many orphans and vulnerable children with HIV positive status reported to implementing partners</t>
  </si>
  <si>
    <t>Number of  orphans and vulnerable children with HIV negative status reported to implementing partners</t>
  </si>
  <si>
    <t>How many ophans and vulnerable children with unknown HIV status who died reported to Implementing partners</t>
  </si>
  <si>
    <t>How many orphans and vulnerable children with unknown status reported to Implementing partners</t>
  </si>
  <si>
    <t>Number of adults and children initiated on ART reported data complete fields</t>
  </si>
  <si>
    <t>What is the number of adult and children initiated on ART reported on the reporting tools</t>
  </si>
  <si>
    <t>What is the number of adult and children who have CD4 status at start of treatment</t>
  </si>
  <si>
    <t>Number of children and adult who initiated ART who were initiated</t>
  </si>
  <si>
    <t>How many adult and children initiated on ART drugs reported on Pharmacy record the reporting tools</t>
  </si>
  <si>
    <t>How many adult and children initiated on 2nd line regimen ART drugs reported on the reporting tools</t>
  </si>
  <si>
    <t>How many adult and children initiated on first line regimen ART drugs reported on the reporting tools</t>
  </si>
  <si>
    <t>How many adult and children initiated on 3rd line regimen ART drugs reported on the reporting tools</t>
  </si>
  <si>
    <t>Number of children and adult who initiated ART who are disaggregated by sex and age during the reporting period</t>
  </si>
  <si>
    <t>What is the number of adult and children initiated on ART during the reporting period</t>
  </si>
  <si>
    <t>PMTCT ARV Register</t>
  </si>
  <si>
    <t>What is the number of patients with confirmed diagnoses of TB (New and relapseed) at initiation of ART</t>
  </si>
  <si>
    <t>what is the number of HIV-positive pregnant or breastfeeding women newly initiated on ART</t>
  </si>
  <si>
    <t>What is the number of Key population who are initiated on ART</t>
  </si>
  <si>
    <t>Pharmacy order form</t>
  </si>
  <si>
    <t xml:space="preserve">How many HIV infected patient newly started on ART during the reporting period </t>
  </si>
  <si>
    <t>How many adult and children  were initiated on 2nd line-regimen ART drugs within the reporting period</t>
  </si>
  <si>
    <t>How many adult and children  were initiated on 1st line-regimen ART drugs within the reporting period</t>
  </si>
  <si>
    <t>How many adult and children  were initiated on 3rd line-regimen ART drugs within the reporting period</t>
  </si>
  <si>
    <t>Number of pregnant women with complete fields documented in the reporting tool</t>
  </si>
  <si>
    <t>How many HIV positive pregnant women received ART to reduce mother to child transmission</t>
  </si>
  <si>
    <t>How many HIV positive pregnant women were new on ART to reduce mother to child transmission</t>
  </si>
  <si>
    <t>How many HIV positive pregnant women Already on ART to reduce mother to child transmission</t>
  </si>
  <si>
    <t>Number of HIV positive pregnant women on ART for prevention of mother to child transmission with reports dissagregated</t>
  </si>
  <si>
    <t>How many HIV positive pregnant women were newly started on ART to reduce mother to child transmission</t>
  </si>
  <si>
    <t>How many HIV positive pregnant women were already on ART to reduce mother to child transmission at the start of pregnancy</t>
  </si>
  <si>
    <t>How many HIV positive pregnant women are on 2nd line regimen of ARV to reduce mother to child transmission</t>
  </si>
  <si>
    <t>How many HIV positive pregnant women are on 1st line regimen of ARV to reduce mother to child transmission</t>
  </si>
  <si>
    <t>How many HIV positive pregnant women are on 3rd line regimen of ARV to reduce mother to child transmission</t>
  </si>
  <si>
    <t>How many pregnant women who tested positive in the PMTCT HTC Register, commenced treatment in the PMTCT ARV Register</t>
  </si>
  <si>
    <t xml:space="preserve">How many unbooked HIV positive pregnant women commenced treatment in the L&amp;D Register </t>
  </si>
  <si>
    <t xml:space="preserve">Number of HIV positive women who received ART to reduce mother to child transmission(both new and already on ART) </t>
  </si>
  <si>
    <t>Number of HIV-positive new and relapsed TB cases on ART during TB treatment with reporting fields completely filled in the tool</t>
  </si>
  <si>
    <t>How many HIV-positive (new and relapsed) TB cases are on ART during the reporting period</t>
  </si>
  <si>
    <t>How many HIV-positive (new and relapsed) TB cases are new on ART during the reporting period</t>
  </si>
  <si>
    <t>How many HIV-positive new and relapsed TB cases were on ART during the reporting period</t>
  </si>
  <si>
    <t>How many TB cases with documented HIV-positive status and on ART were age/sex dissagregated</t>
  </si>
  <si>
    <t>What is the total number of TB cases with documented HIV-positive status who start or continue ART during the reporting period</t>
  </si>
  <si>
    <t xml:space="preserve">How many TB cases with documented HIV-positive status are currently on ART </t>
  </si>
  <si>
    <t>How many TB cases with documented HIV-positive status are new on ART</t>
  </si>
  <si>
    <t>How many female HIV-positive new and relapsed TB cases on ART during the reporting period</t>
  </si>
  <si>
    <t>How many male HIV-positive new and relapsed TB cases on ART during the reporting period</t>
  </si>
  <si>
    <t>Number of patients currently receiving ART with complete field reported during the reporting period</t>
  </si>
  <si>
    <t>How many patients had ART refill at least once in the last 3 months</t>
  </si>
  <si>
    <t>How many ART patients had a clinic visit in the last 3 months</t>
  </si>
  <si>
    <t>How many adults and children are currently on ART</t>
  </si>
  <si>
    <t>Number of adults and children currently receiving ART who were disaggregated by age/sex during the reporting period</t>
  </si>
  <si>
    <t>How male clients are currently receiving ART documented in the reporing tools</t>
  </si>
  <si>
    <t>How female clients are currently receiving ART documented in the reporing tools</t>
  </si>
  <si>
    <t>How many clients are currently on ART</t>
  </si>
  <si>
    <t xml:space="preserve">How many HIV infected patients were on first line regimen of ARV during the reporting period </t>
  </si>
  <si>
    <t>How many HIV infected patients were on 2nd line regimen of ARV during the reporting period</t>
  </si>
  <si>
    <t>How many HIV infected patients on Third line/Salvage regimen of ARV during the reporting period</t>
  </si>
  <si>
    <t>Number of adults and children currently on ART during the reporting period</t>
  </si>
  <si>
    <t>Number of adult and children initiated on ART 12 months prior to the reporting period and are still on treatment</t>
  </si>
  <si>
    <t>How many male clients who initiated ART treatment 12 months prior to reporting period are still on treatment</t>
  </si>
  <si>
    <t>Patient Care Card</t>
  </si>
  <si>
    <t>How many female clients who initiated ART treatment 12 months prior to reporting period are still on treatment</t>
  </si>
  <si>
    <t>Number of patients with complete documented fields in the reporting tool</t>
  </si>
  <si>
    <t>How many clients who initiated treatment twelve months prior to the review and are still receiving treatment</t>
  </si>
  <si>
    <t>How many pregnant women initiated treatment twelve months prior to the review period and are still on treatment</t>
  </si>
  <si>
    <t>How many breastfeeding women initiated treatment twelve months prior to the review period and are still on treatment</t>
  </si>
  <si>
    <t xml:space="preserve">How many clients commenced treatment twelve months prior to review period who have stopped ART  </t>
  </si>
  <si>
    <t>How many clients commenced treatment twelve months prior to review and are LTFU</t>
  </si>
  <si>
    <t xml:space="preserve">How many clients commenced treatment twelve months prior to review who have died </t>
  </si>
  <si>
    <t>How many patients commenced treatment twelve months prior to the review period and are still on treatment</t>
  </si>
  <si>
    <t>How many clients commenced treatment twelve months prior to the reporting period</t>
  </si>
  <si>
    <t>What number of adult and pediatric patients on ART have suppressed viral load results (&lt;1,000 copies/ml) documented in the reporting tool within the past 12 months</t>
  </si>
  <si>
    <t>How many pregnant and breastfeeding women had a viral load results &lt;1000 copies/ml documented in medical record</t>
  </si>
  <si>
    <t>How many  samples  collected for viral load test during the reporting period</t>
  </si>
  <si>
    <t>How many viral load results received in the reporting period.</t>
  </si>
  <si>
    <t>How many patients with documented viral load results</t>
  </si>
  <si>
    <t>Number of adult and pediatric patients with a viral load results &lt;1000 copies/ml documented with age/sex disaggregations</t>
  </si>
  <si>
    <t xml:space="preserve">How many patient had blood samples collected for viral load test and had a viral load suppression &lt;1000 copies during the reporting period </t>
  </si>
  <si>
    <t>How many ART patients were screened for TB at least once during the reporting period</t>
  </si>
  <si>
    <t>How many ART patients who were suspected and tested for TB</t>
  </si>
  <si>
    <t>How many ART patients who tested positive for TB</t>
  </si>
  <si>
    <t>How many HIV infected patients who have been commenced on TB treatment</t>
  </si>
  <si>
    <t>Number of ART patients were screened for TB at least once during the reporting period with complete fields captured in thr reporting tools</t>
  </si>
  <si>
    <t>How many ART patients were screened for TB and documented at least once during the reporting period</t>
  </si>
  <si>
    <t>How many ART patients started TB treatment who already started ART during the reporting period</t>
  </si>
  <si>
    <t>How many patients started TB treatment and new on ART</t>
  </si>
  <si>
    <t xml:space="preserve">How many new ART patients who were screened for TB and are started on treatment </t>
  </si>
  <si>
    <t>1.1.3.0</t>
  </si>
  <si>
    <t>1.1.2.1.1</t>
  </si>
  <si>
    <t>1.1.2.1.2</t>
  </si>
  <si>
    <t>1.1.2.1.3</t>
  </si>
  <si>
    <t>1.1.2.1.4</t>
  </si>
  <si>
    <t>1.1.2.1.5</t>
  </si>
  <si>
    <t>1.1.2.1.6</t>
  </si>
  <si>
    <t>1.1.2.1.7</t>
  </si>
  <si>
    <t>1.1.2.1.8</t>
  </si>
  <si>
    <t>1.1.2.1.9</t>
  </si>
  <si>
    <t>1.1.2.2.0</t>
  </si>
  <si>
    <t>1.1.2.2.1</t>
  </si>
  <si>
    <t>1.1.3.2.2</t>
  </si>
  <si>
    <t>1.1.2.2.2</t>
  </si>
  <si>
    <t>1.1.2.2.3</t>
  </si>
  <si>
    <t>1.1.2.2.4</t>
  </si>
  <si>
    <t>1.1.2.2.5</t>
  </si>
  <si>
    <t>1.1.2.2.6</t>
  </si>
  <si>
    <t>1.1.2.2.7</t>
  </si>
  <si>
    <t>1.1.2.2.8</t>
  </si>
  <si>
    <t>1.1.3.1.3</t>
  </si>
  <si>
    <t>1.1.3.1.4</t>
  </si>
  <si>
    <t>1.1.3.1.5</t>
  </si>
  <si>
    <t>1.1.3.1.6</t>
  </si>
  <si>
    <t>1.1.3.1.7</t>
  </si>
  <si>
    <t>1.1.3.1.8</t>
  </si>
  <si>
    <t>1.1.3.1.9</t>
  </si>
  <si>
    <t>1.1.3.2.0</t>
  </si>
  <si>
    <t>1.1.3.2.1</t>
  </si>
  <si>
    <t>1.1.3.2.3</t>
  </si>
  <si>
    <t>1.1.3.2.4</t>
  </si>
  <si>
    <t>1.1.3.2.5</t>
  </si>
  <si>
    <t>1.1.4.7</t>
  </si>
  <si>
    <t>1.1.4.8</t>
  </si>
  <si>
    <t>1.1.4.9</t>
  </si>
  <si>
    <t>1.1.4.2.0</t>
  </si>
  <si>
    <t>1.1.4.2.1</t>
  </si>
  <si>
    <t>1.1.4.2.2</t>
  </si>
  <si>
    <t>1.1.4.2.3</t>
  </si>
  <si>
    <t>1.1.4.2.4</t>
  </si>
  <si>
    <t>1.1.4.2.5</t>
  </si>
  <si>
    <t>1.1.4.2.6</t>
  </si>
  <si>
    <t>1.1.5.3</t>
  </si>
  <si>
    <t>1.1.4.</t>
  </si>
  <si>
    <t>1.1.2.1.0</t>
  </si>
  <si>
    <t>1.1.2.2.9</t>
  </si>
  <si>
    <t>1.1.5.4</t>
  </si>
  <si>
    <t>1.1.5.5</t>
  </si>
  <si>
    <t>1.1.5.6</t>
  </si>
  <si>
    <t>1.1.5.7</t>
  </si>
  <si>
    <t>1.1.5.8</t>
  </si>
  <si>
    <t>1.1.5.9</t>
  </si>
  <si>
    <t>1.1.5.1.1</t>
  </si>
  <si>
    <t>1.1.5.1.2</t>
  </si>
  <si>
    <t>1.1.5.1.3</t>
  </si>
  <si>
    <t>1.1.5.1.4</t>
  </si>
  <si>
    <t>1.1.5.1.5</t>
  </si>
  <si>
    <t>1.1.5.1.6</t>
  </si>
  <si>
    <t>1.1.5.1.7</t>
  </si>
  <si>
    <t>1.2.1.5</t>
  </si>
  <si>
    <t>1.2.1.6</t>
  </si>
  <si>
    <t>1.2.1.7</t>
  </si>
  <si>
    <t>1.2.1.8</t>
  </si>
  <si>
    <t>1.2.1.9</t>
  </si>
  <si>
    <t>1.2.1.1.1</t>
  </si>
  <si>
    <t>1.1.1.2</t>
  </si>
  <si>
    <t>1.2.1.1.2</t>
  </si>
  <si>
    <t>1.2.1.1.3</t>
  </si>
  <si>
    <t>1.2.1.1.4</t>
  </si>
  <si>
    <t>1.2.1.1.5</t>
  </si>
  <si>
    <t>1.2.1.1.6</t>
  </si>
  <si>
    <t>1.2.1.1.7</t>
  </si>
  <si>
    <t>1.2.1.1.8</t>
  </si>
  <si>
    <t>1.2.1.1.9</t>
  </si>
  <si>
    <t>1.2.1.2.0</t>
  </si>
  <si>
    <t>1.2.1.2.1</t>
  </si>
  <si>
    <t>1.2.1.2.2</t>
  </si>
  <si>
    <t>1.2.1.2.3</t>
  </si>
  <si>
    <t>1.2.1.2.4</t>
  </si>
  <si>
    <t>1.2.1.2.5</t>
  </si>
  <si>
    <t>1.2.1.2.6</t>
  </si>
  <si>
    <t>1.2.1.2.7</t>
  </si>
  <si>
    <t>1.2.1.2.8</t>
  </si>
  <si>
    <t>1.2.1.2.9</t>
  </si>
  <si>
    <t>1.2.1.3.0</t>
  </si>
  <si>
    <t>1.2.1.3.1</t>
  </si>
  <si>
    <t>1.2.1.3.2</t>
  </si>
  <si>
    <t>1.2.1.3.4</t>
  </si>
  <si>
    <t>1.2.1.3.5</t>
  </si>
  <si>
    <t>1.2.1.3.6</t>
  </si>
  <si>
    <t>1.2.1.3.7</t>
  </si>
  <si>
    <t>1.2.1.3.8</t>
  </si>
  <si>
    <t>1.2.1.3.9</t>
  </si>
  <si>
    <t>1.2.1.4.0</t>
  </si>
  <si>
    <t>1.3.1.2.0</t>
  </si>
  <si>
    <t>1.2.1.1.0</t>
  </si>
  <si>
    <t>1.3.1.3.0</t>
  </si>
  <si>
    <t>1.3.1.3.1</t>
  </si>
  <si>
    <t>1.3.1.3.2</t>
  </si>
  <si>
    <t>1.3.1.3.3</t>
  </si>
  <si>
    <t>1.3.1.3.4</t>
  </si>
  <si>
    <t>1.3.1.3.5</t>
  </si>
  <si>
    <t>1.3.1.3.6</t>
  </si>
  <si>
    <t>1.3.1.3.7</t>
  </si>
  <si>
    <t>1.3.1.3.8</t>
  </si>
  <si>
    <t>1.3.1.3.9</t>
  </si>
  <si>
    <t>1.3.1.4.0</t>
  </si>
  <si>
    <t>1.3.1.4.1</t>
  </si>
  <si>
    <t>1.3.1.4.2</t>
  </si>
  <si>
    <t>1.3.1.4.3</t>
  </si>
  <si>
    <t>1.3.1.4.4</t>
  </si>
  <si>
    <t>1.3.1.4.5</t>
  </si>
  <si>
    <t>1.3.1.4.6</t>
  </si>
  <si>
    <t>1.3.1.4.7</t>
  </si>
  <si>
    <t>1.3.1.4.8</t>
  </si>
  <si>
    <t>1.3.1.4.9</t>
  </si>
  <si>
    <t>1.3.1.5.1</t>
  </si>
  <si>
    <t>1.3.1.5.0</t>
  </si>
  <si>
    <t>1.3.1.5.2</t>
  </si>
  <si>
    <t>1.3.1.5.3</t>
  </si>
  <si>
    <t>1.3.1.5.4</t>
  </si>
  <si>
    <t>1.3.1.5.5</t>
  </si>
  <si>
    <t>1.3.1.5.6</t>
  </si>
  <si>
    <t>1.3.1.5.7</t>
  </si>
  <si>
    <t>1.3.1.5.8</t>
  </si>
  <si>
    <t>1.3.1.5.9</t>
  </si>
  <si>
    <t>1.3.1.6.0</t>
  </si>
  <si>
    <t>1.3.1.6.1</t>
  </si>
  <si>
    <t>1.3.1.6.2</t>
  </si>
  <si>
    <t>1.3.1.6.3</t>
  </si>
  <si>
    <t>1.3.1.6.4</t>
  </si>
  <si>
    <t>1.3.1.6.5</t>
  </si>
  <si>
    <t>1.3.1.6.6</t>
  </si>
  <si>
    <t>1.3.1.6.7</t>
  </si>
  <si>
    <t>1.3.1.6.8</t>
  </si>
  <si>
    <t>1.3.1.6.9</t>
  </si>
  <si>
    <t>1.3.1.7.0</t>
  </si>
  <si>
    <t>1.3.1.7.1</t>
  </si>
  <si>
    <t>1.3.1.7.2</t>
  </si>
  <si>
    <t>1.3.1.7.3</t>
  </si>
  <si>
    <t>1.3.1.7.4</t>
  </si>
  <si>
    <t>1.3.1.7.5</t>
  </si>
  <si>
    <t>1.3.1.7.6</t>
  </si>
  <si>
    <t>1.3.1.7.7</t>
  </si>
  <si>
    <t>1.3.1.7.8</t>
  </si>
  <si>
    <t>1.3.1.7.9</t>
  </si>
  <si>
    <t>1.3.1.8.0</t>
  </si>
  <si>
    <t>1.3.1.8.1</t>
  </si>
  <si>
    <t>1.3.1.8.2</t>
  </si>
  <si>
    <t>1.3.1.8.3</t>
  </si>
  <si>
    <t>1.3.1.8.4</t>
  </si>
  <si>
    <t>1.3.1.8.5</t>
  </si>
  <si>
    <t>1.3.1.8.6</t>
  </si>
  <si>
    <t>1.3.1.8.7</t>
  </si>
  <si>
    <t>1.3.1.8.8</t>
  </si>
  <si>
    <t>1.3.1.8.9</t>
  </si>
  <si>
    <t>1.3.1.9.0</t>
  </si>
  <si>
    <t>1.3.1.9.1</t>
  </si>
  <si>
    <t>1.3.1.9.2</t>
  </si>
  <si>
    <t>1.3.1.9.3</t>
  </si>
  <si>
    <t>1.3.1.9.4</t>
  </si>
  <si>
    <t>1.3.1.9.5</t>
  </si>
  <si>
    <t>1.3.2.3.0</t>
  </si>
  <si>
    <t>1.3.2.3.1</t>
  </si>
  <si>
    <t>1.3.2.3.2</t>
  </si>
  <si>
    <t>1.3.2.3.3</t>
  </si>
  <si>
    <t>1.3.2.3.4</t>
  </si>
  <si>
    <t>1.3.2.3.5</t>
  </si>
  <si>
    <t>1.3.2.3.6</t>
  </si>
  <si>
    <t>1.3.2.3.7</t>
  </si>
  <si>
    <t>1.3.2.3.8</t>
  </si>
  <si>
    <t>1.3.2.3.9</t>
  </si>
  <si>
    <t>1.3.2.4.0</t>
  </si>
  <si>
    <t>1.3.2.4.1</t>
  </si>
  <si>
    <t>1.3.2.4.2</t>
  </si>
  <si>
    <t>1.3.2.4.3</t>
  </si>
  <si>
    <t>1.3.2.4.4</t>
  </si>
  <si>
    <t>1.3.2.4.5</t>
  </si>
  <si>
    <t>1.3.2.4.6</t>
  </si>
  <si>
    <t>1.3.2.4.7</t>
  </si>
  <si>
    <t>1.3.2.4.8</t>
  </si>
  <si>
    <t>1.3.2.4.9</t>
  </si>
  <si>
    <t>1.3.2.5.0</t>
  </si>
  <si>
    <t>1.3.2.5.1</t>
  </si>
  <si>
    <t>1.3.2.5.2</t>
  </si>
  <si>
    <t>1.3.2.5.3</t>
  </si>
  <si>
    <t>1.3.2.5.4</t>
  </si>
  <si>
    <t>1.3.2.5.5</t>
  </si>
  <si>
    <t>1.3.2.5.6</t>
  </si>
  <si>
    <t>1.3.2.5.7</t>
  </si>
  <si>
    <t>1.3.2.5.8</t>
  </si>
  <si>
    <t>1.3.2.5.9</t>
  </si>
  <si>
    <t>1.3.2.6.0</t>
  </si>
  <si>
    <t>1.3.2.6.1</t>
  </si>
  <si>
    <t>1.3.2.6.2</t>
  </si>
  <si>
    <t>1.3.2.6.3</t>
  </si>
  <si>
    <t>1.3.2.6.4</t>
  </si>
  <si>
    <t>1.3.2.6.5</t>
  </si>
  <si>
    <t>1.3.2.6.6</t>
  </si>
  <si>
    <t>1.3.2.6.7</t>
  </si>
  <si>
    <t>1.3.2.6.8</t>
  </si>
  <si>
    <t>1.5.1.3</t>
  </si>
  <si>
    <t>1.5.1.4</t>
  </si>
  <si>
    <t>1.5.1.5</t>
  </si>
  <si>
    <t>1.5.1.1.1</t>
  </si>
  <si>
    <t>1.5.1.1.2</t>
  </si>
  <si>
    <t>1.5.2.2.1</t>
  </si>
  <si>
    <t>1.5.2.2.2</t>
  </si>
  <si>
    <t>1.5.2.2.3</t>
  </si>
  <si>
    <t>1.5.2.2.4</t>
  </si>
  <si>
    <t>1.5.2.2.5</t>
  </si>
  <si>
    <t>2.3.1.9</t>
  </si>
  <si>
    <t>2.3.1.1.0</t>
  </si>
  <si>
    <t>1.5.2.1.</t>
  </si>
  <si>
    <t>1.5.2.3</t>
  </si>
  <si>
    <t>1.5.2.1.1</t>
  </si>
  <si>
    <t>1.5.2.1.2</t>
  </si>
  <si>
    <t>2.1.1.1</t>
  </si>
  <si>
    <t>2.2.1.2</t>
  </si>
  <si>
    <t>2.2.1.3</t>
  </si>
  <si>
    <t>2.3.1.1.1</t>
  </si>
  <si>
    <t>2.3.1.1.2</t>
  </si>
  <si>
    <t>2.3.1.1.3</t>
  </si>
  <si>
    <t>2.3.1.1.4</t>
  </si>
  <si>
    <t>2.3.2.1.9</t>
  </si>
  <si>
    <t>2.3.2.1.0</t>
  </si>
  <si>
    <t>2.3.3.1</t>
  </si>
  <si>
    <t>2.3.3.1.1</t>
  </si>
  <si>
    <t>2.3.3.1.2</t>
  </si>
  <si>
    <t>2.3.3.1.3</t>
  </si>
  <si>
    <t>2.3.3.1.4</t>
  </si>
  <si>
    <t>2.3.3.1.5</t>
  </si>
  <si>
    <t>2.3.3.1.6</t>
  </si>
  <si>
    <t>3.5.1.1</t>
  </si>
  <si>
    <t>3.5.1.2</t>
  </si>
  <si>
    <t>3.5.1.3</t>
  </si>
  <si>
    <t>3.5.2.1</t>
  </si>
  <si>
    <t>3.5.2.2</t>
  </si>
  <si>
    <t>3.5.2.3</t>
  </si>
  <si>
    <t>3.5.3</t>
  </si>
  <si>
    <t>3.5.3.1</t>
  </si>
  <si>
    <t>3.5.3.2</t>
  </si>
  <si>
    <t>3.5.3.3</t>
  </si>
  <si>
    <t>4.1.4</t>
  </si>
  <si>
    <t>4.1.4.1</t>
  </si>
  <si>
    <t>4.2.3</t>
  </si>
  <si>
    <t>4.2.4</t>
  </si>
  <si>
    <t>4.5.1.1</t>
  </si>
  <si>
    <t>4.5.1.2</t>
  </si>
  <si>
    <t>4.5.1.3</t>
  </si>
  <si>
    <t>4.5.2.1</t>
  </si>
  <si>
    <t>4.5.2.2</t>
  </si>
  <si>
    <t>4.5.2.3</t>
  </si>
  <si>
    <t>4.4.3.3</t>
  </si>
  <si>
    <t>4.4.4.3</t>
  </si>
  <si>
    <t>5.1.1.1</t>
  </si>
  <si>
    <t>5.1.1.2</t>
  </si>
  <si>
    <t>5.1.2.1</t>
  </si>
  <si>
    <t>5.1.2.2</t>
  </si>
  <si>
    <t>5.1.3</t>
  </si>
  <si>
    <t>5.1.3.1</t>
  </si>
  <si>
    <t>5.1.3.2</t>
  </si>
  <si>
    <t>5.2.1.1</t>
  </si>
  <si>
    <t>5.2.1.2</t>
  </si>
  <si>
    <t>5.2.1.3</t>
  </si>
  <si>
    <t>5.2.1.4</t>
  </si>
  <si>
    <t>5.5.2.1</t>
  </si>
  <si>
    <t>5.5.2.2</t>
  </si>
  <si>
    <t>5.5.2.3</t>
  </si>
  <si>
    <t>5.5.4</t>
  </si>
  <si>
    <t>5.5.1.1</t>
  </si>
  <si>
    <t>5.5.1.2</t>
  </si>
  <si>
    <t>5.5.1.3</t>
  </si>
  <si>
    <t>5.5.3.1</t>
  </si>
  <si>
    <t>5.5.3.2</t>
  </si>
  <si>
    <t>5.5.3.3</t>
  </si>
  <si>
    <t>5.5.4.1</t>
  </si>
  <si>
    <t>5.5.4.2</t>
  </si>
  <si>
    <t>5.5.4.3</t>
  </si>
  <si>
    <t>6.2.3</t>
  </si>
  <si>
    <t>6.5.1.3</t>
  </si>
  <si>
    <t>6.5.2.3</t>
  </si>
  <si>
    <t>6.5.3.3</t>
  </si>
  <si>
    <t>6.5.4.3</t>
  </si>
  <si>
    <t>7.1.2.2</t>
  </si>
  <si>
    <t>7.1.4</t>
  </si>
  <si>
    <t>7.1.4.1</t>
  </si>
  <si>
    <t>7.1.4.2</t>
  </si>
  <si>
    <t>7.1.5</t>
  </si>
  <si>
    <t>7.1.5.1</t>
  </si>
  <si>
    <t>7.1.6</t>
  </si>
  <si>
    <t>7.1.6.1</t>
  </si>
  <si>
    <t>7.1.6.2</t>
  </si>
  <si>
    <t>7.2.2</t>
  </si>
  <si>
    <t>7.2.3</t>
  </si>
  <si>
    <t>7.3.4</t>
  </si>
  <si>
    <t>7.3.4.1</t>
  </si>
  <si>
    <t>7.3.4.2</t>
  </si>
  <si>
    <t>7.3.4.3</t>
  </si>
  <si>
    <t>7.3.4.4</t>
  </si>
  <si>
    <t>7.3.4.5</t>
  </si>
  <si>
    <t>7.4.1</t>
  </si>
  <si>
    <t>7.4.1.1</t>
  </si>
  <si>
    <t>7.4.1.2</t>
  </si>
  <si>
    <t>7.5.1.1</t>
  </si>
  <si>
    <t>7.5.1.2</t>
  </si>
  <si>
    <t>7.5.1.3</t>
  </si>
  <si>
    <t>7.5.2.1</t>
  </si>
  <si>
    <t>7.5.2.2</t>
  </si>
  <si>
    <t>7.5.2.3</t>
  </si>
  <si>
    <t>7.5.3</t>
  </si>
  <si>
    <t>7.5.3.1</t>
  </si>
  <si>
    <t>7.5.3.2</t>
  </si>
  <si>
    <t>7.5.3.3</t>
  </si>
  <si>
    <t>7.5.4</t>
  </si>
  <si>
    <t>7.5.4.1</t>
  </si>
  <si>
    <t>7.5.4.2</t>
  </si>
  <si>
    <t>7.5.4.3</t>
  </si>
  <si>
    <t>7.5.5</t>
  </si>
  <si>
    <t>7.5.5.1</t>
  </si>
  <si>
    <t>7.5.5.2</t>
  </si>
  <si>
    <t>8.2.3</t>
  </si>
  <si>
    <t>8.5.1.1</t>
  </si>
  <si>
    <t>8.5.1.2</t>
  </si>
  <si>
    <t>8.5.1.3</t>
  </si>
  <si>
    <t>8.5.2</t>
  </si>
  <si>
    <t>8.5.2.1</t>
  </si>
  <si>
    <t>8.5.2.2</t>
  </si>
  <si>
    <t>8.5.2.3</t>
  </si>
  <si>
    <t>8.5.3</t>
  </si>
  <si>
    <t>8.5.3.1</t>
  </si>
  <si>
    <t>8.5.3.2</t>
  </si>
  <si>
    <t>8.5.3.3</t>
  </si>
  <si>
    <t>8.5.4</t>
  </si>
  <si>
    <t>8.5.4.1</t>
  </si>
  <si>
    <t>8.5.4.2</t>
  </si>
  <si>
    <t>8.5.4.3</t>
  </si>
  <si>
    <t>8.5.5</t>
  </si>
  <si>
    <t>8.5.5.1</t>
  </si>
  <si>
    <t>8.5.5.2</t>
  </si>
  <si>
    <t>8.5.5.3</t>
  </si>
  <si>
    <t>9.1.1.1</t>
  </si>
  <si>
    <t>9.1.1.2</t>
  </si>
  <si>
    <t>9.1.2.1</t>
  </si>
  <si>
    <t>9.1.3</t>
  </si>
  <si>
    <t>9.1.3.1</t>
  </si>
  <si>
    <t>9.2.1.1</t>
  </si>
  <si>
    <t>9.2.1.2</t>
  </si>
  <si>
    <t>9.2.1.3</t>
  </si>
  <si>
    <t>9.2.1.4</t>
  </si>
  <si>
    <t>9.3.1.1.1</t>
  </si>
  <si>
    <t>9.3.1.1.2</t>
  </si>
  <si>
    <t>9.3.1.1.3</t>
  </si>
  <si>
    <t>9.3.1.1.4</t>
  </si>
  <si>
    <t>9.3.1.1.5</t>
  </si>
  <si>
    <t>9.3.1.1.6</t>
  </si>
  <si>
    <t>9.3.1.1.7</t>
  </si>
  <si>
    <t>9.3.1.2.1</t>
  </si>
  <si>
    <t>9.3.1.2.2</t>
  </si>
  <si>
    <t>9.3.1.2.3</t>
  </si>
  <si>
    <t>9.3.1.2.4</t>
  </si>
  <si>
    <t>9.3.1.2.5</t>
  </si>
  <si>
    <t>9.3.1.2.6</t>
  </si>
  <si>
    <t>9.3.1.2.7</t>
  </si>
  <si>
    <t>9.3.2.1.1</t>
  </si>
  <si>
    <t>9.3.2.1.2</t>
  </si>
  <si>
    <t>9.3.2.1.3</t>
  </si>
  <si>
    <t>9.3.2.1.4</t>
  </si>
  <si>
    <t>9.3.2.1.5</t>
  </si>
  <si>
    <t>9.3.2.1.6</t>
  </si>
  <si>
    <t>9.3.2.1.7</t>
  </si>
  <si>
    <t>9.3.2.2.1</t>
  </si>
  <si>
    <t>9.3.2.2.2</t>
  </si>
  <si>
    <t>9.3.2.2.3</t>
  </si>
  <si>
    <t>9.3.2.2.4</t>
  </si>
  <si>
    <t>9.3.2.2.5</t>
  </si>
  <si>
    <t>9.3.2.2.6</t>
  </si>
  <si>
    <t>9.3.2.2.7</t>
  </si>
  <si>
    <t>9.4.1</t>
  </si>
  <si>
    <t>9.4.1.1</t>
  </si>
  <si>
    <t>MSF</t>
  </si>
  <si>
    <t>9.5.1.1</t>
  </si>
  <si>
    <t>9.5.1.2</t>
  </si>
  <si>
    <t>9.5.1.3</t>
  </si>
  <si>
    <t>9.5.2</t>
  </si>
  <si>
    <t>9.5.2.1</t>
  </si>
  <si>
    <t>9.5.2.3</t>
  </si>
  <si>
    <t>9.5.2.2</t>
  </si>
  <si>
    <t>9.5.3</t>
  </si>
  <si>
    <t>9.5.3.1</t>
  </si>
  <si>
    <t>9.5.3.2</t>
  </si>
  <si>
    <t>9.5.3.3</t>
  </si>
  <si>
    <t>9.5.4</t>
  </si>
  <si>
    <t>9.5.4.1</t>
  </si>
  <si>
    <t>9.5.4.2</t>
  </si>
  <si>
    <t>9.5.4.3</t>
  </si>
  <si>
    <t>10.1.1.2</t>
  </si>
  <si>
    <t>10.2.3</t>
  </si>
  <si>
    <t>10.2.4</t>
  </si>
  <si>
    <t>10.4.1.1</t>
  </si>
  <si>
    <t>10.4.2.1</t>
  </si>
  <si>
    <t>10.4.3.1</t>
  </si>
  <si>
    <t>10.4.4.1</t>
  </si>
  <si>
    <t>10.5.1.1</t>
  </si>
  <si>
    <t>10.5.1.2</t>
  </si>
  <si>
    <t>10.5.1.3</t>
  </si>
  <si>
    <t>10.5.1.4</t>
  </si>
  <si>
    <t>10.5.2.1</t>
  </si>
  <si>
    <t>10.5.2.2</t>
  </si>
  <si>
    <t>10.5.2.3</t>
  </si>
  <si>
    <t>10.5.2.4</t>
  </si>
  <si>
    <t>10.5.3</t>
  </si>
  <si>
    <t>10.5.3.1</t>
  </si>
  <si>
    <t>10.5.3.2</t>
  </si>
  <si>
    <t>10.5.3.3</t>
  </si>
  <si>
    <t>10.5.3.4</t>
  </si>
  <si>
    <t>11.1.2</t>
  </si>
  <si>
    <t>11.1.2.1</t>
  </si>
  <si>
    <t>11.1.2.1.1</t>
  </si>
  <si>
    <t>11.1.2.1.2</t>
  </si>
  <si>
    <t>11.1.2.2</t>
  </si>
  <si>
    <t>11.1.2.2.1</t>
  </si>
  <si>
    <t>11.1.2.2.2</t>
  </si>
  <si>
    <t>11.1.2.3</t>
  </si>
  <si>
    <t>11.1.2.3.1</t>
  </si>
  <si>
    <t>11.1.2.3.2</t>
  </si>
  <si>
    <t>11.1.2.4</t>
  </si>
  <si>
    <t>11.1.2.4.1</t>
  </si>
  <si>
    <t>11.1.2.4.2</t>
  </si>
  <si>
    <t xml:space="preserve">How many patients commenced treatment in the twelve months prior to the review period </t>
  </si>
  <si>
    <t>11.2.2.3</t>
  </si>
  <si>
    <t>11.2.2.4</t>
  </si>
  <si>
    <t>11.3.3</t>
  </si>
  <si>
    <t>11.3.3.1</t>
  </si>
  <si>
    <t>11.3.4</t>
  </si>
  <si>
    <t>11.3.4.1</t>
  </si>
  <si>
    <t>11.5.1.1</t>
  </si>
  <si>
    <t>11.5.1.2</t>
  </si>
  <si>
    <t>11.5.1.3</t>
  </si>
  <si>
    <t>11.5.1.4</t>
  </si>
  <si>
    <t>11.5.2.1</t>
  </si>
  <si>
    <t>11.5.2.2</t>
  </si>
  <si>
    <t>11.5.2.3</t>
  </si>
  <si>
    <t>11.5.2.4</t>
  </si>
  <si>
    <t>11.5.3</t>
  </si>
  <si>
    <t>11.5.3.1</t>
  </si>
  <si>
    <t>11.5.3.2</t>
  </si>
  <si>
    <t>11.5.3.3</t>
  </si>
  <si>
    <t>11.5.3.4</t>
  </si>
  <si>
    <t>11.5.5</t>
  </si>
  <si>
    <t>11.5.4.1</t>
  </si>
  <si>
    <t>11.5.4.2</t>
  </si>
  <si>
    <t>11.5.4.3</t>
  </si>
  <si>
    <t>11.5.4.4</t>
  </si>
  <si>
    <t>12.1.1.2</t>
  </si>
  <si>
    <t>12.1.2.2</t>
  </si>
  <si>
    <t>12.1.3.1</t>
  </si>
  <si>
    <t>12.2.1</t>
  </si>
  <si>
    <t>12.2.1.1</t>
  </si>
  <si>
    <t>12.2.1.2</t>
  </si>
  <si>
    <t>12.2.1.3</t>
  </si>
  <si>
    <t>12.2.1.4</t>
  </si>
  <si>
    <t>Number of patient have viral load result &lt;1000 copies/ml during the reporting period</t>
  </si>
  <si>
    <t>13.1.1.2</t>
  </si>
  <si>
    <t>12.4.1</t>
  </si>
  <si>
    <t>12.4.1.1</t>
  </si>
  <si>
    <t>12.4.1.1.1</t>
  </si>
  <si>
    <t>12.4.1.2</t>
  </si>
  <si>
    <t>12.4.1.2.1</t>
  </si>
  <si>
    <t>12.4.1.3</t>
  </si>
  <si>
    <t>12.4.1.3.1</t>
  </si>
  <si>
    <t>12.5.1</t>
  </si>
  <si>
    <t>12.5.1.1</t>
  </si>
  <si>
    <t>12.5.1.2</t>
  </si>
  <si>
    <t>12.5.2</t>
  </si>
  <si>
    <t>12.5.2.1</t>
  </si>
  <si>
    <t>12.5.2.2.1</t>
  </si>
  <si>
    <t>12.5.2.2.2</t>
  </si>
  <si>
    <t>12.5.2.2</t>
  </si>
  <si>
    <t>12.5.2.3</t>
  </si>
  <si>
    <t>12.5.2.3.1</t>
  </si>
  <si>
    <t>12.5.2.3.2</t>
  </si>
  <si>
    <t>1.4.2</t>
  </si>
  <si>
    <t>1.4.3</t>
  </si>
  <si>
    <t>1.4.4</t>
  </si>
  <si>
    <t>1.4.5</t>
  </si>
  <si>
    <t>1.4.6</t>
  </si>
  <si>
    <t>1.5.1.2.1</t>
  </si>
  <si>
    <t>1.5.1.2.2</t>
  </si>
  <si>
    <t>1.5.1.2.3</t>
  </si>
  <si>
    <t>1.5.1.2.4</t>
  </si>
  <si>
    <t>1.5.1.2.5</t>
  </si>
  <si>
    <t>1.5.1.3.1</t>
  </si>
  <si>
    <t>1.5.1.3.2</t>
  </si>
  <si>
    <t>1.5.1.3.3</t>
  </si>
  <si>
    <t>1.5.1.3.4</t>
  </si>
  <si>
    <t>1.5.2.3.1</t>
  </si>
  <si>
    <t>1.5.2.3.2</t>
  </si>
  <si>
    <t>1.5.2.3.3</t>
  </si>
  <si>
    <t>1.5.2.3.4</t>
  </si>
  <si>
    <t>1.5.2.3.5</t>
  </si>
  <si>
    <t>1.5.2.3.6</t>
  </si>
  <si>
    <t>1.3.2.1.1.1.1</t>
  </si>
  <si>
    <t>1.3.2.1.1.1.2</t>
  </si>
  <si>
    <t>1.3.2.1.1.1.3</t>
  </si>
  <si>
    <t>1.3.2.1.1.1.4</t>
  </si>
  <si>
    <t>1.3.2.1.1.1.5</t>
  </si>
  <si>
    <t>1.3.2.1.1.1.6</t>
  </si>
  <si>
    <t>1.3.2.1.1.1.7</t>
  </si>
  <si>
    <t>1.3.2.1.1.1</t>
  </si>
  <si>
    <t>1.3.2.1.1.2</t>
  </si>
  <si>
    <t>1.3.2.1. 1.2</t>
  </si>
  <si>
    <t>1.3.2.1.1.2.1</t>
  </si>
  <si>
    <t>1.3.2.1.1.2.7</t>
  </si>
  <si>
    <t>1.3.2.1.1.2.2</t>
  </si>
  <si>
    <t>1.3.2.1.1.2.3</t>
  </si>
  <si>
    <t>1.3.2.1.1.2.4</t>
  </si>
  <si>
    <t>1.3.2.1.1.2.5</t>
  </si>
  <si>
    <t>1.3.2.1.1.2.6</t>
  </si>
  <si>
    <t>1.3.2.1.1.3</t>
  </si>
  <si>
    <t>1.3.2.1.1.3.1</t>
  </si>
  <si>
    <t>1.3.2.1.1.3.2</t>
  </si>
  <si>
    <t>1.3.2.1.1.3.3</t>
  </si>
  <si>
    <t>1.3.2.1.1.3.4</t>
  </si>
  <si>
    <t>1.3.2.1.1.3.5</t>
  </si>
  <si>
    <t>1.3.2.1.1.3.6</t>
  </si>
  <si>
    <t>1.3.2.1.1.3.7</t>
  </si>
  <si>
    <t>1.3.2.3.1.4</t>
  </si>
  <si>
    <t>1.3.2.1.1.4.1</t>
  </si>
  <si>
    <t>1.3.2.1.1.4.2</t>
  </si>
  <si>
    <t>1.3.2.1.1.4.3</t>
  </si>
  <si>
    <t>1.3.2.1.1.4.4</t>
  </si>
  <si>
    <t>1.3.2.1.1.4.5</t>
  </si>
  <si>
    <t>1.3.2.1.1.4.6</t>
  </si>
  <si>
    <t>1.3.2.1.1.4.7</t>
  </si>
  <si>
    <t>1.3.2.2.1.2.2</t>
  </si>
  <si>
    <t>1.3.2.2.1.2.3</t>
  </si>
  <si>
    <t>1.3.2.2.1.3</t>
  </si>
  <si>
    <t>1.3.2.2.1.3.1</t>
  </si>
  <si>
    <t>1.3.2.2.1.3.2</t>
  </si>
  <si>
    <t>1.3.2.2.1.3.3</t>
  </si>
  <si>
    <t>1.3.2.2.1.3.4</t>
  </si>
  <si>
    <t>1.3.2.2.1.4</t>
  </si>
  <si>
    <t>1.1.4.1.1</t>
  </si>
  <si>
    <t>1.1.4.1.2</t>
  </si>
  <si>
    <t xml:space="preserve">How many pregnant women with previously known HIV positive status who were documented: </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</si>
  <si>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</si>
  <si>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</si>
  <si>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</si>
  <si>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</si>
  <si>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</si>
  <si>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</si>
  <si>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</si>
  <si>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</si>
  <si>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</si>
  <si>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</si>
  <si>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</si>
  <si>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</si>
  <si>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</si>
  <si>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</si>
  <si>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</si>
  <si>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</si>
  <si>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</si>
  <si>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</si>
  <si>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</si>
  <si>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</si>
  <si>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</si>
  <si>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</si>
  <si>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</si>
  <si>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</si>
  <si>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</si>
  <si>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</si>
  <si>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</si>
  <si>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</si>
  <si>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</si>
  <si>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</si>
  <si>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</si>
  <si>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</si>
  <si>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</si>
  <si>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</si>
  <si>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</si>
  <si>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</si>
  <si>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</si>
  <si>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</si>
  <si>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</si>
  <si>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</si>
  <si>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</si>
  <si>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</si>
  <si>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</si>
  <si>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</si>
  <si>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</si>
  <si>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</si>
  <si>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</si>
  <si>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</si>
  <si>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</si>
  <si>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</si>
  <si>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</si>
  <si>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</si>
  <si>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</si>
  <si>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</si>
  <si>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</si>
  <si>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</si>
  <si>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</si>
  <si>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</si>
  <si>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</si>
  <si>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</si>
  <si>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</si>
  <si>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</si>
  <si>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</si>
  <si>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</si>
  <si>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</si>
  <si>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</si>
  <si>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</si>
  <si>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</si>
  <si>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</si>
  <si>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</si>
  <si>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</si>
  <si>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</si>
  <si>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</si>
  <si>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</si>
  <si>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</si>
  <si>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</si>
  <si>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</si>
  <si>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</si>
  <si>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</si>
  <si>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</si>
  <si>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</si>
  <si>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</si>
  <si>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</si>
  <si>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</si>
  <si>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</si>
  <si>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</si>
  <si>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</si>
  <si>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</si>
  <si>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</si>
  <si>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</si>
  <si>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</si>
  <si>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</si>
  <si>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</si>
  <si>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</si>
  <si>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</si>
  <si>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</si>
  <si>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</si>
  <si>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</si>
  <si>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</si>
  <si>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</si>
  <si>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</si>
  <si>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</si>
  <si>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</si>
  <si>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</si>
  <si>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</si>
  <si>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</si>
  <si>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</si>
  <si>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</si>
  <si>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</si>
  <si>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</si>
  <si>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</si>
  <si>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</si>
  <si>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</si>
  <si>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</si>
  <si>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</si>
  <si>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</si>
  <si>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</si>
  <si>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</si>
  <si>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</si>
  <si>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</si>
  <si>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</si>
  <si>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</si>
  <si>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</si>
  <si>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</si>
  <si>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</si>
  <si>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</si>
  <si>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</si>
  <si>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</si>
  <si>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</si>
  <si>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</si>
  <si>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</si>
  <si>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</si>
  <si>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</si>
  <si>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</si>
  <si>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</si>
  <si>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</si>
  <si>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</si>
  <si>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</si>
  <si>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</si>
  <si>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</si>
  <si>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</si>
  <si>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</si>
  <si>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</si>
  <si>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</si>
  <si>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</si>
  <si>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</si>
  <si>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</si>
  <si>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</si>
  <si>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</si>
  <si>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</si>
  <si>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</si>
  <si>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</si>
  <si>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</si>
  <si>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</si>
  <si>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</si>
  <si>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</si>
  <si>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</si>
  <si>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</si>
  <si>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</si>
  <si>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</si>
  <si>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</si>
  <si>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</si>
  <si>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</si>
  <si>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</si>
  <si>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</si>
  <si>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</si>
  <si>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</si>
  <si>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</si>
  <si>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</si>
  <si>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</si>
  <si>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</si>
  <si>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</si>
  <si>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</si>
  <si>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</si>
  <si>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</si>
  <si>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</si>
  <si>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</si>
  <si>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</si>
  <si>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</si>
  <si>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</si>
  <si>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</si>
  <si>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</si>
  <si>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</si>
  <si>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</si>
  <si>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</si>
  <si>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</si>
  <si>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</si>
  <si>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</si>
  <si>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</si>
  <si>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</si>
  <si>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</si>
  <si>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</si>
  <si>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</si>
  <si>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</si>
  <si>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</si>
  <si>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</si>
  <si>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</si>
  <si>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</si>
  <si>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</si>
  <si>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</si>
  <si>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</si>
  <si>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</si>
  <si>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</si>
  <si>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</si>
  <si>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</si>
  <si>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</si>
  <si>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</si>
  <si>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</si>
  <si>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</si>
  <si>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</si>
  <si>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</si>
  <si>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</si>
  <si>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</si>
  <si>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</si>
  <si>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</si>
  <si>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</si>
  <si>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</si>
  <si>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</si>
  <si>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</si>
  <si>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</si>
  <si>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</si>
  <si>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</si>
  <si>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</si>
  <si>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</si>
  <si>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</si>
  <si>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</si>
  <si>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</si>
  <si>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</si>
  <si>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</si>
  <si>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</si>
  <si>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</si>
  <si>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</si>
  <si>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</si>
  <si>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</si>
  <si>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</si>
  <si>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</si>
  <si>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</si>
  <si>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</si>
  <si>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</si>
  <si>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</si>
  <si>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</si>
  <si>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</si>
  <si>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</si>
  <si>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</si>
  <si>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</si>
  <si>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</si>
  <si>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</si>
  <si>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</si>
  <si>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</si>
  <si>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</si>
  <si>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</si>
  <si>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</si>
  <si>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</si>
  <si>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</si>
  <si>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</si>
  <si>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</si>
  <si>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</si>
  <si>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</si>
  <si>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</si>
  <si>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</si>
  <si>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</si>
  <si>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</si>
  <si>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</si>
  <si>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</si>
  <si>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</si>
  <si>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</si>
  <si>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</si>
  <si>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</si>
  <si>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</si>
  <si>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</si>
  <si>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</si>
  <si>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</si>
  <si>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</si>
  <si>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</si>
  <si>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</si>
  <si>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</si>
  <si>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</si>
  <si>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</si>
  <si>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</si>
  <si>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</si>
  <si>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</si>
  <si>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</si>
  <si>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</si>
  <si>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</si>
  <si>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</si>
  <si>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</si>
  <si>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</si>
  <si>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</si>
  <si>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</si>
  <si>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</si>
  <si>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</si>
  <si>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</si>
  <si>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</si>
  <si>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</si>
  <si>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</si>
  <si>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</si>
  <si>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</si>
  <si>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</si>
  <si>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</si>
  <si>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</si>
  <si>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</si>
  <si>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</si>
  <si>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</si>
  <si>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</si>
  <si>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</si>
  <si>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</si>
  <si>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</si>
  <si>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</si>
  <si>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</si>
  <si>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</si>
  <si>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</si>
  <si>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</si>
  <si>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</si>
  <si>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</si>
  <si>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</si>
  <si>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</si>
  <si>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</si>
  <si>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</si>
  <si>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</si>
  <si>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</si>
  <si>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</si>
  <si>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</si>
  <si>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</si>
  <si>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</si>
  <si>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</si>
  <si>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</si>
  <si>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</si>
  <si>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</si>
  <si>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</si>
  <si>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</si>
  <si>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</si>
  <si>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</si>
  <si>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</si>
  <si>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</si>
  <si>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</si>
  <si>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</si>
  <si>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</si>
  <si>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</si>
  <si>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</si>
  <si>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</si>
  <si>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</si>
  <si>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</si>
  <si>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</si>
  <si>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</si>
  <si>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</si>
  <si>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</si>
  <si>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</si>
  <si>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</si>
  <si>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</si>
  <si>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</si>
  <si>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</si>
  <si>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</si>
  <si>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</si>
  <si>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</si>
  <si>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</si>
  <si>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</si>
  <si>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</si>
  <si>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</si>
  <si>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</si>
  <si>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</si>
  <si>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</si>
  <si>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</si>
  <si>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</si>
  <si>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</si>
  <si>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</si>
  <si>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</si>
  <si>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</si>
  <si>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</si>
  <si>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</si>
  <si>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</si>
  <si>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</si>
  <si>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</si>
  <si>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</si>
  <si>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</si>
  <si>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</si>
  <si>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</si>
  <si>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</si>
  <si>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</si>
  <si>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</si>
  <si>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</si>
  <si>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</si>
  <si>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</si>
  <si>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</si>
  <si>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</si>
  <si>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</si>
  <si>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</si>
  <si>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</si>
  <si>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</si>
  <si>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</si>
  <si>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</si>
  <si>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</si>
  <si>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</si>
  <si>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</si>
  <si>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</si>
  <si>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</si>
  <si>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</si>
  <si>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</si>
  <si>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</si>
  <si>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</si>
  <si>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</si>
  <si>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</si>
  <si>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</si>
  <si>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</si>
  <si>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</si>
  <si>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</si>
  <si>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</si>
  <si>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</si>
  <si>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</si>
  <si>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</si>
  <si>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</si>
  <si>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</si>
  <si>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</si>
  <si>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</si>
  <si>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</si>
  <si>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</si>
  <si>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</si>
  <si>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</si>
  <si>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</si>
  <si>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</si>
  <si>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Name &amp; Designation of Assessor</t>
  </si>
  <si>
    <t xml:space="preserve">Name of Site M&amp;E </t>
  </si>
  <si>
    <t>Signature &amp; Date</t>
  </si>
  <si>
    <t xml:space="preserve">Signature: </t>
  </si>
  <si>
    <t>Date of Assessment:</t>
  </si>
  <si>
    <t>Name and Designation of Assessor:</t>
  </si>
  <si>
    <t>John Doe</t>
  </si>
  <si>
    <t>Mary Doe</t>
  </si>
  <si>
    <t>10th Feb 2017</t>
  </si>
  <si>
    <t>John</t>
  </si>
  <si>
    <t xml:space="preserve"> </t>
  </si>
  <si>
    <t>AHNI</t>
  </si>
  <si>
    <t>APIN</t>
  </si>
  <si>
    <t>CIHP</t>
  </si>
  <si>
    <t>FGHI</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</si>
  <si>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</si>
  <si>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</si>
  <si>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</si>
  <si>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</si>
  <si>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</si>
  <si>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</si>
  <si>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</si>
  <si>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</si>
  <si>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</si>
  <si>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</si>
  <si>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</si>
  <si>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</si>
  <si>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</si>
  <si>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</si>
  <si>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</si>
  <si>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</si>
  <si>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</si>
  <si>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</si>
  <si>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</si>
  <si>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</si>
  <si>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</si>
  <si>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</si>
  <si>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</si>
  <si>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</si>
  <si>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</si>
  <si>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</si>
  <si>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</si>
  <si>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</si>
  <si>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</si>
  <si>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</si>
  <si>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</si>
  <si>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</si>
  <si>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</si>
  <si>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</si>
  <si>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</si>
  <si>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</si>
  <si>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</si>
  <si>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</si>
  <si>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</si>
  <si>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</si>
  <si>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</si>
  <si>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</si>
  <si>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</si>
  <si>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</si>
  <si>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</si>
  <si>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</si>
  <si>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</si>
  <si>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</si>
  <si>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</si>
  <si>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</si>
  <si>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</si>
  <si>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</si>
  <si>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</si>
  <si>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</si>
  <si>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</si>
  <si>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</si>
  <si>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</si>
  <si>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</si>
  <si>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</si>
  <si>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</si>
  <si>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</si>
  <si>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</si>
  <si>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</si>
  <si>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</si>
  <si>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</si>
  <si>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</si>
  <si>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</si>
  <si>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</si>
  <si>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</si>
  <si>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</si>
  <si>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</si>
  <si>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</si>
  <si>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</si>
  <si>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</si>
  <si>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</si>
  <si>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</si>
  <si>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</si>
  <si>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</si>
  <si>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</si>
  <si>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</si>
  <si>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</si>
  <si>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</si>
  <si>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</si>
  <si>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</si>
  <si>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</si>
  <si>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</si>
  <si>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</si>
  <si>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</si>
  <si>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</si>
  <si>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</si>
  <si>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</si>
  <si>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</si>
  <si>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</si>
  <si>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</si>
  <si>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</si>
  <si>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</si>
  <si>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</si>
  <si>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</si>
  <si>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</si>
  <si>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</si>
  <si>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</si>
  <si>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</si>
  <si>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</si>
  <si>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</si>
  <si>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</si>
  <si>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</si>
  <si>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</si>
  <si>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</si>
  <si>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</si>
  <si>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</si>
  <si>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</si>
  <si>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</si>
  <si>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</si>
  <si>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</si>
  <si>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</si>
  <si>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</si>
  <si>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</si>
  <si>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</si>
  <si>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</si>
  <si>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</si>
  <si>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</si>
  <si>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</si>
  <si>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</si>
  <si>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</si>
  <si>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</si>
  <si>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</si>
  <si>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</si>
  <si>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</si>
  <si>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</si>
  <si>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</si>
  <si>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</si>
  <si>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</si>
  <si>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</si>
  <si>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</si>
  <si>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</si>
  <si>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</si>
  <si>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</si>
  <si>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</si>
  <si>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</si>
  <si>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</si>
  <si>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</si>
  <si>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</si>
  <si>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</si>
  <si>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</si>
  <si>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</si>
  <si>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</si>
  <si>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</si>
  <si>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</si>
  <si>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</si>
  <si>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</si>
  <si>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</si>
  <si>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</si>
  <si>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</si>
  <si>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</si>
  <si>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</si>
  <si>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</si>
  <si>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</si>
  <si>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</si>
  <si>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</si>
  <si>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</si>
  <si>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</si>
  <si>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</si>
  <si>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</si>
  <si>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</si>
  <si>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</si>
  <si>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</si>
  <si>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</si>
  <si>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</si>
  <si>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</si>
  <si>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</si>
  <si>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</si>
  <si>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</si>
  <si>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</si>
  <si>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</si>
  <si>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</si>
  <si>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</si>
  <si>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</si>
  <si>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</si>
  <si>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</si>
  <si>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</si>
  <si>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</si>
  <si>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</si>
  <si>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</si>
  <si>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</si>
  <si>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</si>
  <si>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</si>
  <si>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</si>
  <si>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</si>
  <si>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</si>
  <si>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</si>
  <si>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</si>
  <si>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</si>
  <si>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</si>
  <si>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</si>
  <si>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</si>
  <si>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</si>
  <si>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</si>
  <si>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</si>
  <si>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</si>
  <si>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</si>
  <si>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</si>
  <si>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</si>
  <si>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</si>
  <si>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</si>
  <si>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</si>
  <si>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</si>
  <si>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</si>
  <si>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</si>
  <si>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</si>
  <si>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</si>
  <si>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</si>
  <si>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</si>
  <si>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</si>
  <si>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</si>
  <si>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</si>
  <si>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</si>
  <si>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</si>
  <si>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</si>
  <si>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</si>
  <si>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</si>
  <si>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</si>
  <si>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</si>
  <si>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</si>
  <si>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</si>
  <si>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</si>
  <si>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</si>
  <si>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</si>
  <si>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</si>
  <si>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</si>
  <si>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</si>
  <si>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</si>
  <si>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</si>
  <si>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</si>
  <si>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</si>
  <si>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</si>
  <si>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</si>
  <si>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</si>
  <si>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</si>
  <si>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</si>
  <si>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</si>
  <si>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</si>
  <si>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</si>
  <si>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</si>
  <si>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</si>
  <si>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</si>
  <si>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</si>
  <si>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</si>
  <si>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</si>
  <si>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</si>
  <si>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</si>
  <si>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</si>
  <si>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</si>
  <si>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</si>
  <si>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</si>
  <si>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</si>
  <si>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</si>
  <si>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</si>
  <si>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</si>
  <si>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</si>
  <si>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</si>
  <si>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</si>
  <si>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</si>
  <si>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</si>
  <si>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</si>
  <si>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</si>
  <si>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</si>
  <si>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</si>
  <si>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</si>
  <si>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</si>
  <si>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</si>
  <si>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</si>
  <si>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</si>
  <si>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</si>
  <si>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</si>
  <si>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</si>
  <si>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</si>
  <si>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</si>
  <si>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</si>
  <si>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</si>
  <si>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</si>
  <si>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</si>
  <si>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</si>
  <si>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</si>
  <si>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</si>
  <si>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</si>
  <si>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</si>
  <si>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</si>
  <si>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</si>
  <si>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</si>
  <si>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</si>
  <si>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</si>
  <si>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</si>
  <si>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</si>
  <si>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</si>
  <si>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</si>
  <si>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</si>
  <si>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</si>
  <si>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</si>
  <si>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</si>
  <si>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</si>
  <si>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</si>
  <si>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</si>
  <si>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</si>
  <si>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</si>
  <si>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</si>
  <si>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</si>
  <si>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</si>
  <si>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</si>
  <si>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</si>
  <si>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</si>
  <si>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</si>
  <si>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</si>
  <si>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</si>
  <si>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</si>
  <si>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</si>
  <si>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</si>
  <si>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</si>
  <si>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</si>
  <si>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</si>
  <si>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</si>
  <si>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</si>
  <si>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</si>
  <si>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</si>
  <si>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</si>
  <si>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</si>
  <si>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</si>
  <si>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</si>
  <si>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</si>
  <si>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</si>
  <si>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</si>
  <si>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</si>
  <si>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</si>
  <si>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</si>
  <si>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</si>
  <si>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</si>
  <si>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</si>
  <si>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</si>
  <si>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</si>
  <si>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</si>
  <si>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</si>
  <si>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</si>
  <si>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</si>
  <si>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</si>
  <si>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</si>
  <si>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</si>
  <si>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</si>
  <si>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</si>
  <si>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</si>
  <si>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</si>
  <si>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</si>
  <si>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</si>
  <si>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</si>
  <si>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</si>
  <si>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</si>
  <si>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</si>
  <si>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</si>
  <si>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</si>
  <si>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</si>
  <si>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</si>
  <si>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</si>
  <si>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</si>
  <si>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</si>
  <si>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</si>
  <si>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</si>
  <si>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</si>
  <si>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</si>
  <si>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</si>
  <si>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</si>
  <si>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</si>
  <si>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</si>
  <si>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</si>
  <si>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</si>
  <si>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</si>
  <si>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</si>
  <si>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</si>
  <si>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</si>
  <si>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</si>
  <si>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</si>
  <si>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</si>
  <si>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</si>
  <si>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</si>
  <si>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</si>
  <si>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</si>
  <si>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</si>
  <si>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</si>
  <si>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</si>
  <si>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</si>
  <si>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</si>
  <si>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</si>
  <si>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</si>
  <si>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</si>
  <si>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</si>
  <si>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</si>
  <si>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</si>
  <si>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</si>
  <si>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</si>
  <si>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</si>
  <si>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</si>
  <si>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</si>
  <si>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</si>
  <si>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</si>
  <si>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</si>
  <si>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</si>
  <si>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</si>
  <si>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</si>
  <si>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</si>
  <si>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</si>
  <si>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</si>
  <si>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</si>
  <si>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</si>
  <si>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</si>
  <si>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</si>
  <si>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</si>
  <si>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</si>
  <si>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</si>
  <si>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</si>
  <si>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</si>
  <si>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</si>
  <si>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</si>
  <si>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</si>
  <si>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</si>
  <si>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</si>
  <si>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</si>
  <si>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</si>
  <si>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</si>
  <si>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</si>
  <si>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</si>
  <si>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</si>
  <si>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</si>
  <si>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</si>
  <si>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</si>
  <si>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</si>
  <si>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</si>
  <si>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</si>
  <si>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</si>
  <si>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</si>
  <si>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</si>
  <si>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</si>
  <si>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</si>
  <si>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</si>
  <si>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</si>
  <si>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</si>
  <si>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</si>
  <si>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</si>
  <si>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</si>
  <si>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</si>
  <si>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</si>
  <si>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</si>
  <si>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</si>
  <si>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</si>
  <si>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</si>
  <si>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</si>
  <si>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</si>
  <si>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</si>
  <si>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</si>
  <si>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</si>
  <si>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</si>
  <si>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</si>
  <si>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</si>
  <si>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</si>
  <si>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</si>
  <si>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</si>
  <si>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</si>
  <si>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</si>
  <si>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</si>
  <si>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</si>
  <si>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</si>
  <si>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</si>
  <si>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</si>
  <si>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</si>
  <si>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</si>
  <si>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</si>
  <si>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</si>
  <si>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</si>
  <si>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</si>
  <si>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</si>
  <si>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</si>
  <si>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</si>
  <si>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</si>
  <si>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</si>
  <si>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</si>
  <si>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</si>
  <si>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</si>
  <si>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</si>
  <si>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</si>
  <si>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</si>
  <si>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</si>
  <si>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</si>
  <si>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</si>
  <si>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</si>
  <si>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</si>
  <si>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</si>
  <si>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</si>
  <si>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</si>
  <si>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</si>
  <si>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</si>
  <si>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</si>
  <si>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</si>
  <si>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</si>
  <si>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</si>
  <si>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</si>
  <si>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</si>
  <si>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</si>
  <si>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</si>
  <si>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</si>
  <si>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</si>
  <si>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</si>
  <si>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</si>
  <si>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</si>
  <si>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</si>
  <si>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</si>
  <si>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</si>
  <si>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</si>
  <si>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</si>
  <si>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</si>
  <si>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</si>
  <si>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</si>
  <si>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</si>
  <si>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</si>
  <si>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</si>
  <si>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</si>
  <si>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</si>
  <si>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</si>
  <si>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</si>
  <si>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</si>
  <si>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</si>
  <si>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</si>
  <si>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</si>
  <si>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</si>
  <si>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</si>
  <si>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</si>
  <si>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</si>
  <si>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</si>
  <si>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</si>
  <si>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</si>
  <si>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</si>
  <si>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</si>
  <si>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</si>
  <si>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</si>
  <si>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</si>
  <si>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</si>
  <si>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</si>
  <si>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</si>
  <si>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</si>
  <si>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</si>
  <si>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</si>
  <si>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</si>
  <si>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</si>
  <si>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</si>
  <si>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</si>
  <si>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</si>
  <si>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</si>
  <si>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</si>
  <si>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</si>
  <si>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</si>
  <si>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</si>
  <si>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</si>
  <si>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</si>
  <si>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</si>
  <si>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</si>
  <si>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</si>
  <si>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</si>
  <si>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</si>
  <si>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</si>
  <si>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</si>
  <si>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</si>
  <si>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</si>
  <si>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</si>
  <si>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</si>
  <si>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</si>
  <si>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</si>
  <si>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</si>
  <si>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</si>
  <si>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</si>
  <si>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</si>
  <si>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</si>
  <si>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</si>
  <si>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</si>
  <si>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</si>
  <si>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</si>
  <si>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</si>
  <si>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</si>
  <si>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</si>
  <si>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</si>
  <si>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</si>
  <si>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</si>
  <si>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</si>
  <si>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</si>
  <si>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</si>
  <si>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</si>
  <si>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</si>
  <si>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</si>
  <si>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</si>
  <si>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</si>
  <si>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</si>
  <si>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</si>
  <si>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</si>
  <si>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</si>
  <si>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</si>
  <si>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</si>
  <si>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</si>
  <si>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</si>
  <si>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</si>
  <si>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</si>
  <si>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</si>
  <si>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</si>
  <si>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</si>
  <si>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</si>
  <si>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</si>
  <si>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</si>
  <si>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</si>
  <si>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</si>
  <si>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</si>
  <si>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</si>
  <si>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</si>
  <si>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</si>
  <si>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</si>
  <si>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</si>
  <si>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</si>
  <si>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</si>
  <si>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</si>
  <si>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</si>
  <si>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</si>
  <si>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</si>
  <si>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</si>
  <si>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</si>
  <si>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</si>
  <si>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</si>
  <si>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</si>
  <si>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</si>
  <si>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</si>
  <si>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</si>
  <si>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</si>
  <si>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</si>
  <si>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</si>
  <si>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</si>
  <si>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</si>
  <si>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</si>
  <si>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</si>
  <si>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</si>
  <si>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</si>
  <si>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</si>
  <si>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</si>
  <si>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</si>
  <si>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</si>
  <si>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</si>
  <si>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</si>
  <si>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</si>
  <si>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</si>
  <si>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</si>
  <si>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</si>
  <si>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</si>
  <si>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</si>
  <si>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</si>
  <si>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</si>
  <si>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</si>
  <si>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</si>
  <si>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</si>
  <si>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</si>
  <si>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</si>
  <si>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</si>
  <si>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</si>
  <si>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</si>
  <si>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</si>
  <si>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</si>
  <si>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</si>
  <si>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</si>
  <si>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</si>
  <si>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</si>
  <si>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</si>
  <si>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</si>
  <si>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</si>
  <si>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</si>
  <si>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</si>
  <si>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</si>
  <si>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</si>
  <si>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</si>
  <si>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</si>
  <si>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</si>
  <si>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</si>
  <si>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</si>
  <si>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</si>
  <si>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</si>
  <si>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</si>
  <si>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</si>
  <si>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</si>
  <si>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</si>
  <si>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</si>
  <si>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</si>
  <si>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</si>
  <si>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</si>
  <si>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</si>
  <si>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</si>
  <si>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</si>
  <si>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</si>
  <si>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</si>
  <si>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</si>
  <si>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</si>
  <si>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</si>
  <si>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</si>
  <si>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</si>
  <si>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</si>
  <si>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</si>
  <si>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</si>
  <si>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</si>
  <si>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</si>
  <si>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</si>
  <si>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</si>
  <si>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</si>
  <si>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</si>
  <si>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</si>
  <si>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</si>
  <si>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</si>
  <si>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</si>
  <si>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</si>
  <si>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</si>
  <si>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</si>
  <si>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</si>
  <si>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</si>
  <si>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</si>
  <si>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</si>
  <si>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</si>
  <si>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</si>
  <si>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</si>
  <si>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</si>
  <si>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</si>
  <si>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</si>
  <si>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</si>
  <si>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</si>
  <si>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</si>
  <si>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</si>
  <si>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</si>
  <si>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</si>
  <si>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</si>
  <si>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</si>
  <si>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</si>
  <si>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</si>
  <si>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</si>
  <si>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</si>
  <si>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</si>
  <si>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</si>
  <si>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</si>
  <si>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</si>
  <si>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</si>
  <si>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</si>
  <si>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</si>
  <si>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</si>
  <si>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</si>
  <si>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</si>
  <si>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</si>
  <si>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</si>
  <si>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</si>
  <si>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</si>
  <si>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</si>
  <si>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</si>
  <si>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</si>
  <si>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</si>
  <si>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</si>
  <si>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</si>
  <si>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</si>
  <si>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</si>
  <si>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</si>
  <si>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</si>
  <si>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</si>
  <si>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</si>
  <si>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</si>
  <si>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</si>
  <si>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</si>
  <si>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</si>
  <si>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</si>
  <si>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</si>
  <si>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</si>
  <si>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</si>
  <si>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</si>
  <si>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</si>
  <si>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</si>
  <si>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</si>
  <si>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</si>
  <si>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</si>
  <si>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</si>
  <si>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</si>
  <si>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</si>
  <si>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</si>
  <si>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</si>
  <si>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</si>
  <si>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</si>
  <si>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</si>
  <si>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</si>
  <si>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</si>
  <si>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</si>
  <si>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</si>
  <si>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</si>
  <si>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</si>
  <si>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</si>
  <si>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</si>
  <si>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</si>
  <si>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</si>
  <si>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</si>
  <si>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</si>
  <si>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</si>
  <si>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</si>
  <si>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</si>
  <si>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</si>
  <si>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</si>
  <si>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</si>
  <si>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</si>
  <si>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</si>
  <si>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</si>
  <si>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</si>
  <si>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</si>
  <si>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</si>
  <si>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</si>
  <si>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</si>
  <si>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</si>
  <si>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</si>
  <si>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</si>
  <si>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</si>
  <si>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</si>
  <si>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</si>
  <si>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</si>
  <si>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</si>
  <si>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</si>
  <si>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</si>
  <si>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</si>
  <si>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</si>
  <si>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</si>
  <si>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</si>
  <si>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</si>
  <si>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</si>
  <si>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</si>
  <si>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</si>
  <si>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</si>
  <si>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</si>
  <si>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</si>
  <si>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</si>
  <si>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</si>
  <si>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</si>
  <si>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</si>
  <si>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</si>
  <si>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</si>
  <si>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</si>
  <si>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</si>
  <si>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</si>
  <si>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</si>
  <si>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</si>
  <si>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</si>
  <si>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</si>
  <si>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</si>
  <si>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</si>
  <si>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</si>
  <si>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</si>
  <si>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</si>
  <si>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</si>
  <si>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</si>
  <si>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</si>
  <si>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</si>
  <si>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</si>
  <si>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</si>
  <si>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</si>
  <si>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</si>
  <si>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</si>
  <si>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</si>
  <si>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</si>
  <si>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</si>
  <si>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</si>
  <si>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</si>
  <si>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</si>
  <si>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</si>
  <si>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</si>
  <si>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</si>
  <si>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</si>
  <si>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</si>
  <si>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</si>
  <si>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</si>
  <si>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</si>
  <si>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</si>
  <si>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</si>
  <si>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</si>
  <si>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</si>
  <si>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</si>
  <si>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</si>
  <si>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</si>
  <si>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</si>
  <si>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</si>
  <si>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</si>
  <si>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</si>
  <si>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</si>
  <si>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</si>
  <si>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</si>
  <si>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</si>
  <si>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</si>
  <si>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</si>
  <si>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</si>
  <si>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</si>
  <si>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</si>
  <si>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</si>
  <si>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</si>
  <si>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</si>
  <si>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</si>
  <si>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</si>
  <si>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</si>
  <si>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</si>
  <si>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</si>
  <si>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</si>
  <si>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</si>
  <si>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</si>
  <si>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</si>
  <si>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</si>
  <si>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</si>
  <si>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</si>
  <si>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</si>
  <si>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</si>
  <si>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</si>
  <si>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</si>
  <si>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</si>
  <si>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</si>
  <si>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</si>
  <si>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</si>
  <si>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</si>
  <si>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</si>
  <si>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</si>
  <si>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</si>
  <si>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</si>
  <si>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</si>
  <si>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</si>
  <si>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</si>
  <si>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</si>
  <si>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</si>
  <si>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</si>
  <si>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</si>
  <si>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</si>
  <si>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</si>
  <si>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</si>
  <si>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</si>
  <si>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</si>
  <si>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</si>
  <si>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</si>
  <si>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</si>
  <si>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</si>
  <si>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</si>
  <si>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</si>
  <si>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</si>
  <si>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</si>
  <si>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</si>
  <si>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</si>
  <si>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</si>
  <si>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</si>
  <si>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</si>
  <si>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</si>
  <si>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</si>
  <si>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</si>
  <si>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</si>
  <si>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</si>
  <si>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</si>
  <si>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</si>
  <si>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</si>
  <si>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</si>
  <si>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</si>
  <si>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</si>
  <si>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</si>
  <si>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</si>
  <si>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</si>
  <si>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</si>
  <si>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</si>
  <si>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</si>
  <si>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</si>
  <si>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</si>
  <si>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</si>
  <si>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</si>
  <si>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</si>
  <si>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</si>
  <si>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</si>
  <si>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</si>
  <si>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</si>
  <si>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</si>
  <si>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</si>
  <si>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</si>
  <si>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</si>
  <si>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</si>
  <si>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</si>
  <si>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</si>
  <si>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</si>
  <si>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</si>
  <si>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</si>
  <si>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</si>
  <si>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</si>
  <si>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</si>
  <si>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</si>
  <si>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</si>
  <si>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</si>
  <si>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</si>
  <si>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</si>
  <si>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</si>
  <si>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</si>
  <si>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</si>
  <si>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</si>
  <si>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</si>
  <si>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</si>
  <si>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</si>
  <si>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</si>
  <si>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</si>
  <si>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</si>
  <si>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</si>
  <si>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</si>
  <si>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</si>
  <si>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</si>
  <si>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</si>
  <si>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</si>
  <si>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</si>
  <si>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</si>
  <si>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</si>
  <si>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</si>
  <si>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</si>
  <si>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</si>
  <si>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</si>
  <si>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</si>
  <si>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</si>
  <si>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</si>
  <si>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</si>
  <si>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</si>
  <si>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</si>
  <si>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</si>
  <si>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</si>
  <si>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</si>
  <si>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</si>
  <si>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</si>
  <si>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</si>
  <si>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</si>
  <si>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</si>
  <si>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</si>
  <si>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</si>
  <si>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</si>
  <si>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</si>
  <si>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</si>
  <si>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</si>
  <si>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</si>
  <si>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</si>
  <si>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</si>
  <si>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</si>
  <si>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</si>
  <si>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</si>
  <si>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</si>
  <si>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</si>
  <si>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</si>
  <si>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</si>
  <si>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</si>
  <si>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</si>
  <si>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</si>
  <si>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</si>
  <si>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</si>
  <si>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</si>
  <si>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</si>
  <si>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</si>
  <si>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</si>
  <si>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</si>
  <si>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</si>
  <si>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</si>
  <si>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</si>
  <si>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</si>
  <si>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</si>
  <si>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</si>
  <si>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</si>
  <si>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</si>
  <si>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</si>
  <si>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</si>
  <si>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</si>
  <si>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</si>
  <si>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</si>
  <si>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</si>
  <si>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</si>
  <si>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</si>
  <si>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</si>
  <si>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</si>
  <si>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</si>
  <si>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</si>
  <si>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</si>
  <si>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</si>
  <si>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</si>
  <si>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</si>
  <si>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</si>
  <si>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</si>
  <si>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</si>
  <si>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</si>
  <si>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</si>
  <si>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</si>
  <si>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</si>
  <si>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</si>
  <si>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</si>
  <si>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</si>
  <si>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</si>
  <si>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</si>
  <si>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</si>
  <si>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</si>
  <si>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</si>
  <si>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</si>
  <si>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</si>
  <si>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</si>
  <si>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</si>
  <si>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</si>
  <si>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</si>
  <si>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</si>
  <si>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</si>
  <si>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</si>
  <si>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</si>
  <si>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</si>
  <si>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</si>
  <si>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</si>
  <si>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</si>
  <si>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</si>
  <si>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</si>
  <si>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</si>
  <si>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</si>
  <si>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</si>
  <si>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</si>
  <si>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</si>
  <si>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</si>
  <si>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</si>
  <si>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</si>
  <si>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</si>
  <si>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</si>
  <si>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</si>
  <si>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</si>
  <si>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</si>
  <si>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</si>
  <si>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</si>
  <si>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</si>
  <si>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</si>
  <si>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</si>
  <si>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</si>
  <si>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</si>
  <si>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</si>
  <si>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</si>
  <si>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</si>
  <si>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</si>
  <si>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</si>
  <si>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</si>
  <si>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</si>
  <si>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</si>
  <si>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</si>
  <si>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</si>
  <si>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</si>
  <si>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</si>
  <si>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</si>
  <si>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</si>
  <si>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</si>
  <si>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</si>
  <si>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</si>
  <si>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</si>
  <si>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</si>
  <si>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</si>
  <si>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</si>
  <si>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</si>
  <si>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</si>
  <si>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</si>
  <si>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</si>
  <si>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</si>
  <si>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</si>
  <si>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</si>
  <si>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</si>
  <si>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</si>
  <si>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</si>
  <si>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</si>
  <si>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</si>
  <si>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</si>
  <si>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</si>
  <si>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</si>
  <si>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</si>
  <si>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</si>
  <si>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</si>
  <si>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</si>
  <si>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</si>
  <si>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</si>
  <si>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</si>
  <si>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</si>
  <si>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</si>
  <si>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</si>
  <si>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</si>
  <si>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</si>
  <si>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</si>
  <si>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</si>
  <si>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</si>
  <si>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</si>
  <si>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</si>
  <si>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</si>
  <si>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</si>
  <si>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</si>
  <si>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</si>
  <si>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</si>
  <si>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</si>
  <si>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</si>
  <si>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</si>
  <si>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</si>
  <si>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</si>
  <si>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</si>
  <si>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</si>
  <si>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</si>
  <si>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</si>
  <si>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</si>
  <si>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</si>
  <si>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</si>
  <si>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</si>
  <si>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</si>
  <si>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</si>
  <si>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</si>
  <si>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</si>
  <si>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</si>
  <si>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</si>
  <si>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</si>
  <si>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</si>
  <si>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</si>
  <si>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</si>
  <si>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</si>
  <si>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</si>
  <si>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</si>
  <si>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</si>
  <si>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</si>
  <si>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</si>
  <si>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</si>
  <si>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</si>
  <si>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</si>
  <si>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</si>
  <si>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</si>
  <si>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</si>
  <si>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</si>
  <si>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</si>
  <si>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</si>
  <si>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</si>
  <si>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</si>
  <si>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</si>
  <si>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</si>
  <si>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</si>
  <si>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</si>
  <si>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</si>
  <si>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</si>
  <si>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</si>
  <si>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</si>
  <si>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</si>
  <si>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</si>
  <si>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</si>
  <si>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</si>
  <si>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</si>
  <si>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</si>
  <si>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</si>
  <si>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</si>
  <si>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</si>
  <si>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</si>
  <si>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</si>
  <si>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</si>
  <si>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</si>
  <si>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</si>
  <si>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</si>
  <si>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</si>
  <si>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</si>
  <si>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</si>
  <si>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</si>
  <si>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</si>
  <si>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</si>
  <si>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</si>
  <si>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</si>
  <si>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</si>
  <si>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</si>
  <si>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</si>
  <si>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</si>
  <si>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</si>
  <si>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</si>
  <si>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</si>
  <si>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</si>
  <si>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</si>
  <si>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</si>
  <si>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</si>
  <si>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</si>
  <si>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</si>
  <si>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</si>
  <si>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</si>
  <si>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</si>
  <si>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</si>
  <si>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</si>
  <si>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</si>
  <si>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</si>
  <si>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</si>
  <si>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</si>
  <si>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</si>
  <si>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</si>
  <si>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</si>
  <si>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</si>
  <si>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</si>
  <si>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</si>
  <si>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</si>
  <si>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</si>
  <si>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</si>
  <si>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</si>
  <si>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</si>
  <si>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</si>
  <si>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</si>
  <si>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</si>
  <si>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</si>
  <si>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</si>
  <si>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</si>
  <si>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</si>
  <si>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</si>
  <si>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</si>
  <si>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</si>
  <si>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</si>
  <si>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</si>
  <si>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</si>
  <si>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</si>
  <si>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</si>
  <si>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</si>
  <si>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</si>
  <si>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</si>
  <si>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</si>
  <si>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</si>
  <si>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</si>
  <si>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</si>
  <si>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</si>
  <si>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</si>
  <si>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</si>
  <si>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</si>
  <si>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</si>
  <si>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</si>
  <si>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</si>
  <si>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</si>
  <si>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</si>
  <si>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</si>
  <si>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</si>
  <si>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</si>
  <si>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</si>
  <si>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</si>
  <si>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</si>
  <si>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</si>
  <si>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</si>
  <si>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</si>
  <si>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</si>
  <si>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</si>
  <si>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</si>
  <si>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</si>
  <si>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</si>
  <si>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</si>
  <si>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</si>
  <si>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</si>
  <si>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</si>
  <si>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</si>
  <si>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</si>
  <si>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</si>
  <si>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</si>
  <si>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</si>
  <si>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</si>
  <si>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</si>
  <si>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</si>
  <si>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</si>
  <si>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</si>
  <si>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</si>
  <si>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</si>
  <si>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</si>
  <si>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</si>
  <si>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</si>
  <si>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</si>
  <si>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</si>
  <si>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</si>
  <si>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</si>
  <si>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</si>
  <si>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</si>
  <si>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</si>
  <si>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</si>
  <si>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</si>
  <si>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</si>
  <si>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</si>
  <si>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</si>
  <si>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</si>
  <si>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</si>
  <si>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</si>
  <si>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</si>
  <si>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</si>
  <si>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</si>
  <si>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</si>
  <si>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</si>
  <si>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</si>
  <si>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</si>
  <si>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</si>
  <si>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</si>
  <si>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</si>
  <si>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</si>
  <si>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</si>
  <si>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</si>
  <si>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</si>
  <si>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</si>
  <si>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</si>
  <si>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</si>
  <si>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</si>
  <si>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</si>
  <si>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</si>
  <si>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</si>
  <si>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</si>
  <si>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</si>
  <si>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</si>
  <si>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</si>
  <si>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</si>
  <si>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</si>
  <si>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</si>
  <si>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</si>
  <si>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</si>
  <si>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</si>
  <si>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</si>
  <si>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</si>
  <si>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</si>
  <si>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</si>
  <si>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</si>
  <si>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</si>
  <si>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</si>
  <si>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</si>
  <si>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</si>
  <si>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</si>
  <si>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</si>
  <si>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</si>
  <si>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</si>
  <si>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</si>
  <si>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</si>
  <si>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</si>
  <si>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</si>
  <si>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</si>
  <si>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</si>
  <si>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</si>
  <si>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</si>
  <si>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</si>
  <si>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</si>
  <si>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</si>
  <si>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</si>
  <si>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</si>
  <si>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</si>
  <si>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</si>
  <si>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</si>
  <si>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</si>
  <si>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</si>
  <si>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</si>
  <si>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</si>
  <si>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</si>
  <si>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</si>
  <si>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</si>
  <si>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</si>
  <si>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</si>
  <si>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</si>
  <si>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</si>
  <si>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</si>
  <si>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</si>
  <si>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</si>
  <si>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</si>
  <si>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</si>
  <si>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</si>
  <si>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</si>
  <si>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</si>
  <si>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</si>
  <si>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</si>
  <si>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</si>
  <si>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</si>
  <si>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</si>
  <si>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</si>
  <si>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</si>
  <si>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</si>
  <si>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</si>
  <si>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</si>
  <si>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</si>
  <si>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</si>
  <si>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</si>
  <si>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</si>
  <si>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</si>
  <si>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</si>
  <si>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</si>
  <si>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</si>
  <si>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</si>
  <si>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</si>
  <si>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</si>
  <si>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</si>
  <si>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</si>
  <si>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</si>
  <si>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</si>
  <si>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</si>
  <si>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</si>
  <si>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</si>
  <si>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</si>
  <si>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</si>
  <si>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</si>
  <si>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</si>
  <si>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</si>
  <si>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</si>
  <si>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</si>
  <si>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</si>
  <si>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</si>
  <si>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</si>
  <si>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</si>
  <si>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</si>
  <si>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</si>
  <si>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</si>
  <si>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</si>
  <si>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</si>
  <si>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</si>
  <si>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</si>
  <si>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</si>
  <si>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</si>
  <si>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</si>
  <si>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</si>
  <si>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</si>
  <si>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</si>
  <si>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</si>
  <si>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</si>
  <si>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</si>
  <si>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</si>
  <si>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</si>
  <si>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</si>
  <si>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</si>
  <si>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</si>
  <si>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</si>
  <si>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</si>
  <si>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</si>
  <si>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</si>
  <si>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</si>
  <si>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</si>
  <si>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</si>
  <si>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</si>
  <si>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</si>
  <si>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</si>
  <si>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</si>
  <si>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</si>
  <si>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</si>
  <si>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</si>
  <si>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</si>
  <si>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</si>
  <si>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</si>
  <si>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</si>
  <si>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</si>
  <si>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</si>
  <si>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</si>
  <si>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</si>
  <si>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</si>
  <si>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</si>
  <si>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</si>
  <si>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</si>
  <si>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</si>
  <si>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</si>
  <si>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</si>
  <si>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</si>
  <si>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</si>
  <si>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</si>
  <si>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</si>
  <si>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</si>
  <si>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</si>
  <si>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</si>
  <si>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</si>
  <si>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</si>
  <si>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</si>
  <si>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</si>
  <si>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</si>
  <si>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</si>
  <si>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</si>
  <si>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</si>
  <si>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</si>
  <si>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</si>
  <si>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</si>
  <si>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</si>
  <si>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</si>
  <si>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</si>
  <si>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</si>
  <si>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</si>
  <si>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</si>
  <si>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</si>
  <si>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</si>
  <si>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</si>
  <si>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</si>
  <si>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</si>
  <si>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</si>
  <si>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</si>
  <si>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</si>
  <si>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</si>
  <si>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</si>
  <si>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</si>
  <si>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</si>
  <si>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</si>
  <si>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</si>
  <si>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</si>
  <si>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</si>
  <si>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</si>
  <si>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</si>
  <si>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</si>
  <si>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</si>
  <si>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</si>
  <si>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</si>
  <si>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</si>
  <si>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</si>
  <si>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</si>
  <si>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</si>
  <si>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</si>
  <si>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</si>
  <si>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</si>
  <si>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</si>
  <si>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</si>
  <si>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</si>
  <si>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</si>
  <si>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</si>
  <si>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</si>
  <si>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</si>
  <si>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</si>
  <si>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</si>
  <si>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</si>
  <si>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</si>
  <si>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</si>
  <si>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</si>
  <si>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</si>
  <si>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</si>
  <si>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</si>
  <si>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</si>
  <si>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</si>
  <si>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</si>
  <si>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</si>
  <si>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</si>
  <si>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</si>
  <si>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</si>
  <si>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</si>
  <si>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</si>
  <si>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</si>
  <si>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</si>
  <si>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</si>
  <si>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</si>
  <si>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</si>
  <si>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</si>
  <si>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</si>
  <si>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</si>
  <si>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</si>
  <si>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</si>
  <si>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</si>
  <si>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</si>
  <si>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</si>
  <si>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</si>
  <si>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</si>
  <si>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</si>
  <si>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</si>
  <si>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</si>
  <si>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</si>
  <si>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</si>
  <si>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</si>
  <si>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</si>
  <si>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</si>
  <si>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</si>
  <si>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</si>
  <si>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</si>
  <si>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</si>
  <si>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</si>
  <si>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</si>
  <si>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</si>
  <si>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</si>
  <si>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</si>
  <si>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</si>
  <si>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</si>
  <si>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</si>
  <si>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</si>
  <si>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</si>
  <si>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</si>
  <si>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</si>
  <si>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</si>
  <si>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</si>
  <si>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</si>
  <si>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</si>
  <si>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</si>
  <si>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</si>
  <si>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</si>
  <si>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</si>
  <si>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</si>
  <si>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</si>
  <si>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</si>
  <si>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</si>
  <si>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</si>
  <si>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</si>
  <si>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</si>
  <si>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</si>
  <si>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</si>
  <si>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</si>
  <si>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</si>
  <si>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</si>
  <si>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</si>
  <si>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</si>
  <si>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</si>
  <si>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</si>
  <si>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</si>
  <si>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</si>
  <si>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</si>
  <si>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</si>
  <si>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</si>
  <si>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</si>
  <si>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</si>
  <si>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</si>
  <si>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</si>
  <si>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</si>
  <si>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</si>
  <si>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</si>
  <si>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</si>
  <si>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</si>
  <si>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</si>
  <si>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</si>
  <si>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</si>
  <si>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</si>
  <si>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</si>
  <si>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</si>
  <si>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</si>
  <si>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</si>
  <si>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</si>
  <si>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</si>
  <si>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</si>
  <si>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</si>
  <si>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</si>
  <si>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</si>
  <si>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</si>
  <si>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</si>
  <si>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</si>
  <si>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</si>
  <si>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</si>
  <si>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</si>
  <si>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</si>
  <si>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</si>
  <si>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</si>
  <si>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</si>
  <si>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</si>
  <si>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</si>
  <si>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</si>
  <si>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</si>
  <si>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</si>
  <si>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</si>
  <si>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</si>
  <si>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</si>
  <si>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</si>
  <si>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</si>
  <si>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</si>
  <si>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</si>
  <si>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</si>
  <si>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</si>
  <si>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</si>
  <si>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</si>
  <si>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</si>
  <si>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</si>
  <si>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</si>
  <si>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</si>
  <si>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</si>
  <si>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</si>
  <si>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</si>
  <si>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</si>
  <si>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</si>
  <si>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</si>
  <si>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</si>
  <si>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</si>
  <si>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</si>
  <si>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</si>
  <si>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</si>
  <si>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</si>
  <si>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</si>
  <si>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</si>
  <si>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</si>
  <si>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</si>
  <si>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</si>
  <si>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</si>
  <si>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</si>
  <si>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</si>
  <si>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</si>
  <si>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</si>
  <si>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</si>
  <si>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</si>
  <si>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</si>
  <si>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</si>
  <si>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</si>
  <si>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</si>
  <si>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</si>
  <si>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</si>
  <si>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</si>
  <si>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</si>
  <si>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</si>
  <si>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</si>
  <si>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</si>
  <si>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</si>
  <si>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</si>
  <si>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</si>
  <si>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</si>
  <si>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</si>
  <si>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</si>
  <si>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</si>
  <si>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</si>
  <si>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</si>
  <si>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</si>
  <si>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</si>
  <si>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</si>
  <si>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</si>
  <si>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</si>
  <si>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</si>
  <si>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</si>
  <si>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</si>
  <si>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</si>
  <si>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</si>
  <si>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</si>
  <si>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</si>
  <si>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</si>
  <si>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</si>
  <si>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</si>
  <si>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</si>
  <si>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</si>
  <si>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</si>
  <si>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</si>
  <si>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</si>
  <si>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</si>
  <si>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</si>
  <si>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</si>
  <si>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</si>
  <si>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</si>
  <si>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</si>
  <si>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</si>
  <si>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</si>
  <si>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</si>
  <si>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</si>
  <si>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</si>
  <si>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</si>
  <si>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</si>
  <si>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</si>
  <si>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</si>
  <si>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</si>
  <si>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</si>
  <si>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</si>
  <si>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</si>
  <si>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</si>
  <si>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</si>
  <si>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</si>
  <si>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</si>
  <si>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</si>
  <si>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</si>
  <si>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</si>
  <si>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</si>
  <si>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</si>
  <si>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</si>
  <si>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</si>
  <si>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</si>
  <si>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</si>
  <si>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</si>
  <si>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</si>
  <si>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</si>
  <si>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</si>
  <si>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</si>
  <si>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</si>
  <si>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</si>
  <si>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</si>
  <si>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</si>
  <si>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</si>
  <si>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</si>
  <si>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</si>
  <si>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</si>
  <si>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</si>
  <si>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</si>
  <si>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</si>
  <si>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</si>
  <si>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</si>
  <si>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</si>
  <si>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</si>
  <si>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</si>
  <si>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</si>
  <si>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</si>
  <si>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</si>
  <si>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</si>
  <si>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</si>
  <si>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</si>
  <si>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</si>
  <si>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</si>
  <si>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</si>
  <si>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</si>
  <si>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</si>
  <si>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</si>
  <si>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</si>
  <si>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</si>
  <si>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</si>
  <si>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</si>
  <si>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</si>
  <si>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</si>
  <si>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</si>
  <si>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</si>
  <si>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</si>
  <si>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</si>
  <si>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</si>
  <si>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</si>
  <si>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</si>
  <si>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</si>
  <si>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</si>
  <si>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</si>
  <si>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</si>
  <si>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</si>
  <si>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</si>
  <si>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</si>
  <si>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</si>
  <si>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</si>
  <si>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</si>
  <si>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</si>
  <si>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</si>
  <si>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</si>
  <si>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</si>
  <si>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</si>
  <si>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</si>
  <si>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</si>
  <si>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</si>
  <si>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</si>
  <si>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</si>
  <si>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</si>
  <si>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</si>
  <si>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</si>
  <si>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</si>
  <si>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</si>
  <si>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</si>
  <si>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</si>
  <si>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</si>
  <si>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</si>
  <si>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</si>
  <si>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</si>
  <si>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</si>
  <si>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</si>
  <si>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</si>
  <si>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</si>
  <si>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</si>
  <si>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</si>
  <si>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</si>
  <si>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</si>
  <si>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</si>
  <si>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</si>
  <si>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</si>
  <si>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</si>
  <si>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</si>
  <si>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</si>
  <si>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</si>
  <si>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</si>
  <si>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</si>
  <si>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</si>
  <si>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</si>
  <si>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</si>
  <si>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</si>
  <si>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</si>
  <si>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</si>
  <si>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</si>
  <si>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</si>
  <si>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</si>
  <si>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</si>
  <si>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</si>
  <si>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</si>
  <si>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</si>
  <si>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</si>
  <si>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</si>
  <si>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</si>
  <si>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</si>
  <si>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</si>
  <si>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</si>
  <si>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</si>
  <si>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</si>
  <si>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</si>
  <si>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</si>
  <si>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</si>
  <si>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</si>
  <si>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</si>
  <si>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</si>
  <si>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</si>
  <si>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</si>
  <si>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</si>
  <si>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</si>
  <si>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</si>
  <si>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</si>
  <si>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</si>
  <si>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</si>
  <si>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</si>
  <si>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</si>
  <si>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</si>
  <si>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</si>
  <si>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</si>
  <si>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</si>
  <si>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</si>
  <si>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</si>
  <si>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</si>
  <si>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</si>
  <si>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</si>
  <si>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</si>
  <si>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</si>
  <si>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</si>
  <si>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</si>
  <si>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</si>
  <si>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</si>
  <si>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</si>
  <si>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</si>
  <si>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</si>
  <si>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</si>
  <si>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</si>
  <si>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</si>
  <si>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</si>
  <si>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</si>
  <si>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</si>
  <si>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</si>
  <si>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</si>
  <si>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</si>
  <si>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</si>
  <si>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</si>
  <si>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</si>
  <si>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</si>
  <si>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</si>
  <si>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</si>
  <si>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</si>
  <si>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</si>
  <si>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</si>
  <si>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</si>
  <si>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</si>
  <si>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</si>
  <si>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</si>
  <si>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</si>
  <si>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</si>
  <si>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</si>
  <si>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</si>
  <si>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</si>
  <si>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</si>
  <si>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</si>
  <si>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</si>
  <si>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</si>
  <si>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</si>
  <si>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</si>
  <si>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</si>
  <si>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</si>
  <si>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</si>
  <si>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</si>
  <si>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</si>
  <si>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</si>
  <si>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</si>
  <si>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</si>
  <si>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</si>
  <si>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</si>
  <si>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</si>
  <si>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</si>
  <si>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</si>
  <si>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</si>
  <si>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</si>
  <si>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</si>
  <si>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</si>
  <si>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</si>
  <si>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</si>
  <si>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</si>
  <si>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</si>
  <si>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</si>
  <si>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</si>
  <si>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</si>
  <si>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</si>
  <si>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</si>
  <si>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</si>
  <si>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</si>
  <si>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</si>
  <si>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</si>
  <si>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</si>
  <si>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</si>
  <si>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</si>
  <si>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</si>
  <si>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</si>
  <si>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</si>
  <si>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</si>
  <si>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</si>
  <si>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</si>
  <si>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</si>
  <si>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</si>
  <si>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</si>
  <si>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</si>
  <si>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</si>
  <si>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</si>
  <si>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</si>
  <si>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</si>
  <si>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</si>
  <si>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</si>
  <si>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</si>
  <si>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</si>
  <si>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</si>
  <si>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</si>
  <si>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</si>
  <si>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</si>
  <si>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</si>
  <si>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</si>
  <si>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</si>
  <si>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</si>
  <si>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</si>
  <si>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</si>
  <si>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</si>
  <si>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</si>
  <si>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</si>
  <si>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</si>
  <si>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</si>
  <si>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</si>
  <si>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</si>
  <si>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</si>
  <si>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</si>
  <si>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</si>
  <si>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</si>
  <si>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</si>
  <si>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</si>
  <si>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</si>
  <si>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</si>
  <si>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</si>
  <si>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</si>
  <si>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</si>
  <si>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</si>
  <si>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</si>
  <si>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</si>
  <si>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</si>
  <si>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</si>
  <si>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</si>
  <si>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</si>
  <si>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</si>
  <si>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</si>
  <si>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</si>
  <si>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</si>
  <si>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</si>
  <si>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</si>
  <si>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</si>
  <si>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</si>
  <si>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</si>
  <si>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</si>
  <si>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</si>
  <si>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</si>
  <si>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</si>
  <si>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</si>
  <si>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</si>
  <si>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</si>
  <si>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</si>
  <si>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</si>
  <si>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</si>
  <si>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</si>
  <si>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</si>
  <si>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</si>
  <si>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</si>
  <si>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</si>
  <si>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</si>
  <si>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</si>
  <si>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</si>
  <si>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</si>
  <si>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</si>
  <si>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</si>
  <si>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</si>
  <si>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</si>
  <si>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</si>
  <si>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</si>
  <si>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</si>
  <si>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</si>
  <si>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</si>
  <si>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</si>
  <si>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</si>
  <si>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</si>
  <si>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</si>
  <si>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</si>
  <si>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</si>
  <si>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</si>
  <si>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</si>
  <si>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</si>
  <si>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</si>
  <si>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</si>
  <si>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</si>
  <si>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</si>
  <si>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</si>
  <si>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</si>
  <si>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</si>
  <si>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</si>
  <si>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</si>
  <si>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</si>
  <si>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</si>
  <si>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</si>
  <si>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</si>
  <si>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</si>
  <si>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</si>
  <si>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</si>
  <si>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</si>
  <si>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</si>
  <si>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</si>
  <si>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</si>
  <si>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</si>
  <si>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</si>
  <si>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</si>
  <si>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</si>
  <si>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</si>
  <si>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</si>
  <si>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</si>
  <si>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</si>
  <si>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</si>
  <si>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</si>
  <si>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</si>
  <si>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</si>
  <si>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</si>
  <si>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</si>
  <si>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</si>
  <si>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</si>
  <si>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</si>
  <si>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</si>
  <si>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</si>
  <si>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</si>
  <si>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</si>
  <si>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</si>
  <si>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</si>
  <si>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</si>
  <si>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</si>
  <si>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</si>
  <si>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</si>
  <si>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</si>
  <si>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</si>
  <si>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</si>
  <si>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</si>
  <si>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</si>
  <si>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</si>
  <si>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</si>
  <si>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</si>
  <si>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</si>
  <si>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</si>
  <si>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</si>
  <si>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</si>
  <si>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</si>
  <si>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</si>
  <si>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</si>
  <si>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</si>
  <si>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</si>
  <si>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</si>
  <si>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</si>
  <si>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</si>
  <si>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</si>
  <si>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</si>
  <si>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</si>
  <si>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</si>
  <si>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</si>
  <si>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</si>
  <si>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</si>
  <si>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</si>
  <si>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</si>
  <si>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</si>
  <si>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</si>
  <si>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</si>
  <si>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</si>
  <si>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</si>
  <si>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</si>
  <si>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</si>
  <si>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</si>
  <si>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</si>
  <si>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</si>
  <si>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</si>
  <si>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</si>
  <si>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</si>
  <si>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</si>
  <si>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</si>
  <si>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</si>
  <si>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</si>
  <si>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</si>
  <si>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</si>
  <si>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</si>
  <si>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</si>
  <si>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</si>
  <si>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</si>
  <si>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</si>
  <si>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</si>
  <si>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</si>
  <si>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</si>
  <si>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</si>
  <si>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</si>
  <si>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</si>
  <si>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</si>
  <si>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</si>
  <si>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</si>
  <si>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</si>
  <si>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</si>
  <si>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</si>
  <si>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</si>
  <si>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</si>
  <si>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</si>
  <si>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</si>
  <si>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</si>
  <si>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</si>
  <si>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</si>
  <si>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</si>
  <si>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</si>
  <si>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</si>
  <si>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</si>
  <si>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</si>
  <si>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</si>
  <si>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</si>
  <si>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</si>
  <si>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</si>
  <si>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</si>
  <si>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</si>
  <si>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</si>
  <si>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</si>
  <si>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</si>
  <si>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</si>
  <si>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</si>
  <si>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</si>
  <si>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</si>
  <si>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</si>
  <si>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</si>
  <si>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</si>
  <si>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</si>
  <si>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</si>
  <si>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</si>
  <si>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</si>
  <si>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</si>
  <si>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</si>
  <si>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</si>
  <si>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</si>
  <si>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</si>
  <si>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</si>
  <si>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</si>
  <si>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</si>
  <si>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</si>
  <si>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</si>
  <si>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</si>
  <si>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</si>
  <si>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</si>
  <si>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</si>
  <si>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</si>
  <si>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</si>
  <si>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</si>
  <si>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</si>
  <si>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</si>
  <si>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</si>
  <si>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</si>
  <si>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</si>
  <si>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</si>
  <si>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</si>
  <si>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</si>
  <si>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</si>
  <si>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</si>
  <si>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</si>
  <si>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</si>
  <si>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</si>
  <si>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</si>
  <si>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</si>
  <si>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</si>
  <si>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</si>
  <si>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</si>
  <si>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</si>
  <si>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</si>
  <si>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</si>
  <si>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</si>
  <si>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</si>
  <si>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</si>
  <si>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</si>
  <si>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</si>
  <si>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</si>
  <si>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</si>
  <si>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</si>
  <si>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</si>
  <si>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</si>
  <si>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</si>
  <si>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</si>
  <si>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</si>
  <si>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</si>
  <si>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</si>
  <si>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</si>
  <si>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</si>
  <si>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</si>
  <si>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</si>
  <si>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</si>
  <si>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</si>
  <si>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</si>
  <si>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</si>
  <si>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</si>
  <si>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</si>
  <si>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</si>
  <si>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</si>
  <si>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</si>
  <si>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</si>
  <si>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</si>
  <si>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</si>
  <si>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</si>
  <si>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</si>
  <si>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</si>
  <si>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</si>
  <si>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</si>
  <si>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</si>
  <si>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</si>
  <si>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</si>
  <si>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</si>
  <si>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</si>
  <si>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</si>
  <si>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</si>
  <si>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</si>
  <si>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</si>
  <si>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</si>
  <si>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</si>
  <si>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</si>
  <si>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</si>
  <si>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</si>
  <si>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</si>
  <si>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</si>
  <si>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</si>
  <si>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</si>
  <si>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</si>
  <si>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</si>
  <si>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</si>
  <si>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</si>
  <si>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</si>
  <si>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</si>
  <si>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</si>
  <si>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</si>
  <si>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</si>
  <si>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</si>
  <si>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</si>
  <si>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</si>
  <si>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</si>
  <si>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</si>
  <si>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</si>
  <si>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</si>
  <si>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</si>
  <si>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</si>
  <si>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</si>
  <si>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</si>
  <si>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</si>
  <si>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</si>
  <si>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</si>
  <si>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</si>
  <si>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</si>
  <si>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</si>
  <si>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</si>
  <si>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</si>
  <si>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</si>
  <si>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</si>
  <si>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</si>
  <si>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</si>
  <si>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</si>
  <si>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</si>
  <si>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</si>
  <si>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</si>
  <si>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</si>
  <si>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</si>
  <si>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</si>
  <si>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</si>
  <si>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</si>
  <si>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</si>
  <si>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</si>
  <si>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</si>
  <si>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</si>
  <si>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</si>
  <si>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</si>
  <si>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</si>
  <si>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</si>
  <si>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</si>
  <si>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</si>
  <si>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</si>
  <si>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</si>
  <si>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</si>
  <si>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</si>
  <si>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</si>
  <si>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</si>
  <si>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</si>
  <si>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</si>
  <si>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</si>
  <si>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</si>
  <si>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</si>
  <si>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</si>
  <si>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</si>
  <si>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</si>
  <si>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</si>
  <si>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</si>
  <si>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</si>
  <si>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</si>
  <si>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</si>
  <si>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</si>
  <si>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</si>
  <si>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</si>
  <si>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</si>
  <si>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</si>
  <si>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</si>
  <si>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</si>
  <si>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</si>
  <si>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</si>
  <si>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</si>
  <si>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</si>
  <si>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</si>
  <si>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</si>
  <si>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</si>
  <si>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</si>
  <si>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</si>
  <si>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</si>
  <si>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</si>
  <si>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</si>
  <si>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</si>
  <si>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</si>
  <si>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</si>
  <si>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</si>
  <si>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</si>
  <si>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</si>
  <si>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</si>
  <si>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</si>
  <si>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</si>
  <si>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</si>
  <si>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</si>
  <si>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</si>
  <si>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</si>
  <si>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</si>
  <si>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</si>
  <si>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</si>
  <si>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</si>
  <si>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</si>
  <si>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</si>
  <si>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</si>
  <si>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</si>
  <si>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</si>
  <si>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</si>
  <si>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</si>
  <si>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</si>
  <si>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</si>
  <si>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</si>
  <si>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</si>
  <si>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</si>
  <si>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</si>
  <si>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</si>
  <si>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</si>
  <si>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</si>
  <si>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</si>
  <si>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</si>
  <si>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</si>
  <si>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</si>
  <si>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</si>
  <si>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</si>
  <si>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</si>
  <si>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</si>
  <si>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</si>
  <si>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</si>
  <si>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</si>
  <si>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</si>
  <si>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</si>
  <si>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</si>
  <si>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</si>
  <si>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</si>
  <si>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</si>
  <si>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</si>
  <si>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</si>
  <si>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</si>
  <si>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</si>
  <si>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</si>
  <si>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</si>
  <si>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</si>
  <si>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</si>
  <si>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</si>
  <si>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</si>
  <si>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</si>
  <si>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</si>
  <si>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</si>
  <si>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</si>
  <si>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</si>
  <si>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</si>
  <si>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</si>
  <si>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</si>
  <si>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</si>
  <si>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</si>
  <si>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</si>
  <si>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</si>
  <si>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</si>
  <si>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</si>
  <si>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</si>
  <si>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</si>
  <si>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</si>
  <si>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</si>
  <si>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</si>
  <si>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</si>
  <si>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</si>
  <si>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</si>
  <si>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</si>
  <si>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</si>
  <si>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</si>
  <si>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</si>
  <si>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</si>
  <si>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</si>
  <si>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</si>
  <si>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</si>
  <si>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</si>
  <si>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</si>
  <si>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</si>
  <si>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</si>
  <si>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</si>
  <si>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</si>
  <si>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</si>
  <si>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</si>
  <si>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</si>
  <si>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</si>
  <si>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</si>
  <si>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</si>
  <si>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</si>
  <si>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</si>
  <si>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</si>
  <si>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</si>
  <si>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</si>
  <si>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</si>
  <si>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</si>
  <si>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</si>
  <si>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</si>
  <si>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</si>
  <si>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</si>
  <si>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</si>
  <si>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</si>
  <si>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</si>
  <si>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</si>
  <si>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</si>
  <si>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</si>
  <si>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</si>
  <si>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</si>
  <si>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</si>
  <si>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</si>
  <si>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</si>
  <si>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</si>
  <si>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</si>
  <si>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</si>
  <si>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</si>
  <si>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</si>
  <si>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</si>
  <si>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</si>
  <si>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</si>
  <si>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</si>
  <si>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</si>
  <si>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</si>
  <si>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</si>
  <si>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</si>
  <si>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</si>
  <si>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</si>
  <si>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</si>
  <si>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</si>
  <si>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</si>
  <si>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</si>
  <si>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</si>
  <si>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</si>
  <si>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</si>
  <si>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</si>
  <si>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</si>
  <si>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</si>
  <si>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</si>
  <si>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</si>
  <si>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</si>
  <si>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</si>
  <si>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</si>
  <si>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</si>
  <si>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</si>
  <si>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</si>
  <si>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</si>
  <si>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</si>
  <si>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</si>
  <si>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</si>
  <si>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</si>
  <si>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</si>
  <si>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</si>
  <si>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</si>
  <si>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</si>
  <si>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</si>
  <si>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</si>
  <si>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</si>
  <si>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</si>
  <si>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</si>
  <si>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</si>
  <si>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</si>
  <si>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</si>
  <si>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</si>
  <si>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</si>
  <si>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</si>
  <si>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</si>
  <si>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</si>
  <si>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</si>
  <si>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</si>
  <si>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</si>
  <si>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</si>
  <si>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</si>
  <si>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</si>
  <si>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</si>
  <si>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</si>
  <si>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</si>
  <si>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</si>
  <si>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</si>
  <si>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</si>
  <si>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</si>
  <si>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</si>
  <si>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</si>
  <si>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</si>
  <si>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</si>
  <si>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</si>
  <si>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</si>
  <si>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</si>
  <si>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</si>
  <si>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</si>
  <si>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</si>
  <si>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</si>
  <si>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</si>
  <si>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</si>
  <si>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</si>
  <si>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</si>
  <si>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</si>
  <si>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</si>
  <si>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</si>
  <si>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</si>
  <si>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</si>
  <si>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</si>
  <si>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</si>
  <si>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</si>
  <si>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</si>
  <si>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</si>
  <si>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</si>
  <si>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</si>
  <si>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</si>
  <si>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</si>
  <si>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</si>
  <si>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</si>
  <si>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</si>
  <si>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</si>
  <si>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</si>
  <si>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</si>
  <si>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</si>
  <si>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</si>
  <si>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</si>
  <si>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</si>
  <si>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</si>
  <si>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</si>
  <si>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</si>
  <si>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</si>
  <si>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</si>
  <si>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</si>
  <si>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</si>
  <si>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</si>
  <si>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</si>
  <si>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</si>
  <si>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</si>
  <si>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</si>
  <si>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</si>
  <si>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</si>
  <si>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</si>
  <si>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</si>
  <si>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</si>
  <si>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</si>
  <si>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</si>
  <si>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</si>
  <si>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</si>
  <si>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</si>
  <si>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</si>
  <si>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</si>
  <si>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</si>
  <si>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</si>
  <si>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</si>
  <si>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</si>
  <si>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</si>
  <si>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</si>
  <si>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</si>
  <si>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</si>
  <si>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</si>
  <si>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</si>
  <si>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</si>
  <si>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</si>
  <si>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</si>
  <si>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</si>
  <si>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</si>
  <si>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</si>
  <si>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</si>
  <si>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</si>
  <si>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</si>
  <si>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</si>
  <si>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</si>
  <si>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</si>
  <si>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</si>
  <si>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</si>
  <si>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</si>
  <si>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</si>
  <si>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</si>
  <si>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</si>
  <si>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</si>
  <si>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</si>
  <si>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</si>
  <si>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</si>
  <si>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</si>
  <si>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</si>
  <si>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</si>
  <si>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</si>
  <si>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</si>
  <si>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</si>
  <si>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</si>
  <si>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</si>
  <si>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</si>
  <si>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</si>
  <si>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</si>
  <si>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</si>
  <si>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</si>
  <si>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</si>
  <si>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</si>
  <si>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</si>
  <si>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</si>
  <si>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</si>
  <si>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</si>
  <si>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</si>
  <si>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</si>
  <si>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</si>
  <si>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</si>
  <si>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</si>
  <si>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</si>
  <si>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</si>
  <si>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</si>
  <si>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</si>
  <si>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</si>
  <si>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</si>
  <si>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</si>
  <si>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</si>
  <si>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</si>
  <si>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</si>
  <si>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</si>
  <si>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</si>
  <si>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</si>
  <si>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</si>
  <si>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</si>
  <si>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</si>
  <si>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</si>
  <si>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</si>
  <si>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</si>
  <si>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</si>
  <si>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</si>
  <si>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</si>
  <si>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</si>
  <si>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</si>
  <si>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</si>
  <si>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</si>
  <si>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</si>
  <si>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</si>
  <si>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</si>
  <si>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</si>
  <si>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</si>
  <si>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</si>
  <si>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</si>
  <si>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</si>
  <si>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</si>
  <si>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</si>
  <si>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</si>
  <si>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</si>
  <si>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</si>
  <si>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</si>
  <si>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</si>
  <si>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</si>
  <si>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</si>
  <si>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</si>
  <si>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</si>
  <si>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</si>
  <si>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</si>
  <si>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</si>
  <si>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</si>
  <si>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</si>
  <si>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</si>
  <si>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</si>
  <si>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</si>
  <si>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</si>
  <si>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</si>
  <si>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</si>
  <si>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</si>
  <si>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</si>
  <si>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</si>
  <si>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</si>
  <si>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</si>
  <si>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</si>
  <si>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</si>
  <si>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</si>
  <si>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</si>
  <si>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</si>
  <si>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</si>
  <si>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</si>
  <si>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</si>
  <si>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</si>
  <si>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</si>
  <si>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</si>
  <si>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</si>
  <si>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</si>
  <si>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</si>
  <si>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</si>
  <si>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</si>
  <si>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</si>
  <si>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</si>
  <si>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</si>
  <si>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</si>
  <si>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</si>
  <si>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</si>
  <si>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</si>
  <si>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</si>
  <si>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</si>
  <si>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</si>
  <si>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</si>
  <si>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</si>
  <si>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</si>
  <si>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</si>
  <si>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</si>
  <si>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</si>
  <si>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</si>
  <si>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</si>
  <si>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</si>
  <si>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</si>
  <si>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</si>
  <si>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</si>
  <si>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</si>
  <si>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</si>
  <si>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</si>
  <si>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</si>
  <si>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</si>
  <si>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</si>
  <si>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</si>
  <si>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</si>
  <si>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</si>
  <si>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</si>
  <si>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</si>
  <si>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</si>
  <si>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</si>
  <si>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</si>
  <si>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</si>
  <si>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</si>
  <si>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</si>
  <si>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</si>
  <si>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</si>
  <si>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</si>
  <si>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</si>
  <si>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</si>
  <si>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</si>
  <si>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</si>
  <si>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</si>
  <si>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</si>
  <si>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</si>
  <si>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</si>
  <si>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</si>
  <si>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</si>
  <si>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</si>
  <si>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</si>
  <si>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</si>
  <si>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</si>
  <si>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</si>
  <si>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</si>
  <si>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</si>
  <si>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</si>
  <si>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</si>
  <si>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</si>
  <si>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</si>
  <si>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</si>
  <si>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</si>
  <si>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</si>
  <si>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</si>
  <si>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</si>
  <si>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</si>
  <si>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</si>
  <si>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</si>
  <si>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</si>
  <si>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</si>
  <si>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</si>
  <si>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</si>
  <si>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</si>
  <si>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</si>
  <si>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</si>
  <si>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</si>
  <si>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</si>
  <si>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</si>
  <si>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</si>
  <si>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</si>
  <si>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</si>
  <si>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</si>
  <si>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</si>
  <si>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</si>
  <si>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</si>
  <si>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</si>
  <si>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</si>
  <si>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</si>
  <si>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</si>
  <si>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</si>
  <si>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</si>
  <si>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</si>
  <si>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</si>
  <si>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</si>
  <si>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</si>
  <si>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</si>
  <si>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</si>
  <si>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</si>
  <si>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</si>
  <si>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</si>
  <si>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</si>
  <si>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</si>
  <si>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</si>
  <si>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</si>
  <si>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</si>
  <si>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</si>
  <si>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</si>
  <si>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</si>
  <si>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</si>
  <si>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</si>
  <si>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</si>
  <si>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</si>
  <si>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</si>
  <si>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</si>
  <si>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</si>
  <si>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</si>
  <si>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</si>
  <si>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</si>
  <si>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</si>
  <si>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</si>
  <si>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</si>
  <si>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</si>
  <si>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</si>
  <si>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</si>
  <si>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</si>
  <si>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</si>
  <si>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</si>
  <si>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</si>
  <si>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</si>
  <si>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</si>
  <si>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</si>
  <si>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</si>
  <si>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</si>
  <si>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</si>
  <si>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</si>
  <si>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</si>
  <si>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</si>
  <si>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</si>
  <si>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</si>
  <si>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</si>
  <si>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</si>
  <si>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</si>
  <si>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</si>
  <si>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</si>
  <si>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</si>
  <si>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</si>
  <si>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</si>
  <si>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</si>
  <si>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</si>
  <si>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</si>
  <si>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</si>
  <si>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</si>
  <si>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</si>
  <si>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</si>
  <si>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</si>
  <si>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</si>
  <si>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</si>
  <si>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</si>
  <si>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</si>
  <si>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</si>
  <si>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</si>
  <si>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</si>
  <si>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</si>
  <si>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</si>
  <si>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</si>
  <si>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</si>
  <si>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</si>
  <si>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</si>
  <si>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</si>
  <si>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</si>
  <si>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</si>
  <si>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</si>
  <si>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</si>
  <si>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</si>
  <si>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</si>
  <si>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</si>
  <si>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</si>
  <si>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</si>
  <si>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</si>
  <si>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</si>
  <si>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</si>
  <si>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</si>
  <si>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</si>
  <si>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</si>
  <si>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</si>
  <si>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</si>
  <si>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</si>
  <si>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</si>
  <si>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</si>
  <si>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</si>
  <si>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</si>
  <si>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</si>
  <si>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</si>
  <si>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</si>
  <si>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</si>
  <si>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</si>
  <si>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</si>
  <si>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</si>
  <si>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</si>
  <si>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</si>
  <si>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</si>
  <si>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</si>
  <si>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</si>
  <si>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</si>
  <si>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</si>
  <si>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</si>
  <si>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</si>
  <si>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</si>
  <si>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</si>
  <si>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</si>
  <si>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</si>
  <si>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</si>
  <si>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</si>
  <si>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</si>
  <si>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</si>
  <si>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</si>
  <si>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</si>
  <si>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</si>
  <si>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</si>
  <si>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</si>
  <si>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</si>
  <si>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</si>
  <si>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</si>
  <si>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</si>
  <si>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</si>
  <si>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</si>
  <si>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</si>
  <si>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</si>
  <si>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</si>
  <si>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</si>
  <si>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</si>
  <si>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</si>
  <si>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</si>
  <si>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</si>
  <si>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</si>
  <si>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</si>
  <si>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</si>
  <si>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</si>
  <si>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</si>
  <si>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</si>
  <si>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</si>
  <si>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</si>
  <si>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</si>
  <si>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</si>
  <si>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</si>
  <si>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</si>
  <si>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</si>
  <si>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</si>
  <si>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</si>
  <si>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</si>
  <si>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</si>
  <si>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</si>
  <si>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</si>
  <si>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</si>
  <si>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</si>
  <si>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</si>
  <si>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</si>
  <si>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</si>
  <si>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</si>
  <si>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</si>
  <si>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</si>
  <si>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</si>
  <si>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</si>
  <si>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</si>
  <si>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</si>
  <si>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</si>
  <si>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</si>
  <si>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</si>
  <si>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</si>
  <si>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</si>
  <si>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</si>
  <si>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</si>
  <si>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</si>
  <si>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</si>
  <si>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</si>
  <si>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</si>
  <si>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</si>
  <si>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</si>
  <si>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</si>
  <si>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</si>
  <si>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</si>
  <si>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</si>
  <si>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</si>
  <si>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</si>
  <si>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</si>
  <si>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</si>
  <si>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</si>
  <si>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</si>
  <si>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</si>
  <si>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</si>
  <si>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</si>
  <si>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</si>
  <si>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</si>
  <si>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</si>
  <si>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</si>
  <si>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</si>
  <si>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</si>
  <si>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</si>
  <si>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</si>
  <si>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</si>
  <si>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</si>
  <si>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</si>
  <si>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</si>
  <si>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ProHealth</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</si>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</sst>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40"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sz val="11"/>
      <color theme="1"/>
      <name val="Corbel"/>
      <family val="2"/>
    </font>
    <font>
      <b/>
      <sz val="24"/>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sz val="8"/>
      <color theme="1"/>
      <name val="Corbel"/>
      <family val="2"/>
    </font>
    <font>
      <sz val="10"/>
      <color theme="1"/>
      <name val="Corbel"/>
      <family val="2"/>
    </font>
    <font>
      <sz val="17"/>
      <color theme="1"/>
      <name val="Corbel"/>
      <family val="2"/>
    </font>
    <font>
      <b/>
      <sz val="14"/>
      <color theme="1"/>
      <name val="Corbel"/>
      <family val="2"/>
    </font>
    <font>
      <sz val="10"/>
      <name val="Arial"/>
      <family val="2"/>
    </font>
    <font>
      <b/>
      <sz val="20"/>
      <color theme="1"/>
      <name val="Calibri"/>
      <family val="2"/>
      <scheme val="minor"/>
    </font>
    <font>
      <sz val="18"/>
      <color theme="1"/>
      <name val="Corbel"/>
      <family val="2"/>
    </font>
    <font>
      <sz val="16"/>
      <color theme="1"/>
      <name val="Corbel"/>
      <family val="2"/>
    </font>
    <font>
      <b/>
      <sz val="12"/>
      <color rgb="FFC00000"/>
      <name val="Corbel"/>
      <family val="2"/>
    </font>
    <font>
      <b/>
      <sz val="11"/>
      <color rgb="FFC00000"/>
      <name val="Corbel"/>
      <family val="2"/>
    </font>
    <font>
      <sz val="9"/>
      <color indexed="81"/>
      <name val="Tahoma"/>
      <family val="2"/>
    </font>
    <font>
      <b/>
      <sz val="9"/>
      <color indexed="81"/>
      <name val="Tahoma"/>
      <family val="2"/>
    </font>
    <font>
      <b/>
      <sz val="18"/>
      <color indexed="81"/>
      <name val="Tahoma"/>
      <family val="2"/>
    </font>
    <font>
      <sz val="18"/>
      <color indexed="81"/>
      <name val="Tahoma"/>
      <family val="2"/>
    </font>
    <font>
      <b/>
      <sz val="20"/>
      <color indexed="81"/>
      <name val="Tahoma"/>
      <family val="2"/>
    </font>
    <font>
      <b/>
      <sz val="22"/>
      <color indexed="81"/>
      <name val="Tahoma"/>
      <family val="2"/>
    </font>
    <font>
      <sz val="22"/>
      <color indexed="81"/>
      <name val="Tahoma"/>
      <family val="2"/>
    </font>
    <font>
      <b/>
      <sz val="11"/>
      <color rgb="FF292934"/>
      <name val="Calibri"/>
      <family val="2"/>
      <scheme val="minor"/>
    </font>
    <font>
      <sz val="11"/>
      <color rgb="FF292934"/>
      <name val="Calibri"/>
      <family val="2"/>
      <scheme val="minor"/>
    </font>
    <font>
      <sz val="11"/>
      <color theme="3" tint="0.79998168889431442"/>
      <name val="Calibri"/>
      <family val="2"/>
      <scheme val="minor"/>
    </font>
    <font>
      <sz val="14"/>
      <color rgb="FF000000"/>
      <name val="Calibri"/>
      <family val="2"/>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s>
  <fills count="9">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s>
  <borders count="6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theme="0"/>
      </top>
      <bottom/>
      <diagonal/>
    </border>
    <border>
      <left/>
      <right style="thin">
        <color indexed="64"/>
      </right>
      <top style="thin">
        <color theme="0"/>
      </top>
      <bottom style="thin">
        <color theme="0"/>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theme="0"/>
      </bottom>
      <diagonal/>
    </border>
    <border>
      <left style="thin">
        <color indexed="64"/>
      </left>
      <right/>
      <top style="thin">
        <color theme="0"/>
      </top>
      <bottom style="thin">
        <color indexed="64"/>
      </bottom>
      <diagonal/>
    </border>
    <border>
      <left style="thin">
        <color indexed="64"/>
      </left>
      <right/>
      <top style="thin">
        <color theme="0"/>
      </top>
      <bottom/>
      <diagonal/>
    </border>
    <border>
      <left style="thin">
        <color indexed="64"/>
      </left>
      <right style="thin">
        <color indexed="64"/>
      </right>
      <top/>
      <bottom/>
      <diagonal/>
    </border>
    <border>
      <left style="thin">
        <color indexed="64"/>
      </left>
      <right style="thin">
        <color theme="1"/>
      </right>
      <top/>
      <bottom style="thin">
        <color theme="1"/>
      </bottom>
      <diagonal/>
    </border>
    <border>
      <left style="thin">
        <color indexed="64"/>
      </left>
      <right style="thin">
        <color theme="1"/>
      </right>
      <top style="thin">
        <color theme="1"/>
      </top>
      <bottom style="thin">
        <color theme="1"/>
      </bottom>
      <diagonal/>
    </border>
    <border>
      <left style="thin">
        <color indexed="64"/>
      </left>
      <right style="thin">
        <color theme="1"/>
      </right>
      <top style="thin">
        <color theme="1"/>
      </top>
      <bottom/>
      <diagonal/>
    </border>
    <border>
      <left style="thin">
        <color indexed="64"/>
      </left>
      <right style="thin">
        <color theme="1"/>
      </right>
      <top/>
      <bottom/>
      <diagonal/>
    </border>
  </borders>
  <cellStyleXfs count="4">
    <xf numFmtId="0" fontId="0" fillId="0" borderId="0"/>
    <xf numFmtId="9" fontId="1" fillId="0" borderId="0" applyFont="0" applyFill="0" applyBorder="0" applyAlignment="0" applyProtection="0"/>
    <xf numFmtId="0" fontId="17" fillId="0" borderId="0" applyNumberFormat="0" applyFill="0" applyBorder="0" applyAlignment="0" applyProtection="0"/>
    <xf numFmtId="9" fontId="17" fillId="0" borderId="0" applyFont="0" applyFill="0" applyBorder="0" applyAlignment="0" applyProtection="0"/>
  </cellStyleXfs>
  <cellXfs count="300">
    <xf numFmtId="0" fontId="0" fillId="0" borderId="0" xfId="0"/>
    <xf numFmtId="0" fontId="0" fillId="4" borderId="0" xfId="0" applyFill="1"/>
    <xf numFmtId="0" fontId="3" fillId="0" borderId="0" xfId="0" applyFont="1"/>
    <xf numFmtId="0" fontId="0" fillId="0" borderId="0" xfId="0" applyAlignment="1">
      <alignment wrapText="1"/>
    </xf>
    <xf numFmtId="0" fontId="0" fillId="0" borderId="0" xfId="0" applyFill="1"/>
    <xf numFmtId="0" fontId="2" fillId="0" borderId="0" xfId="0" applyFont="1" applyFill="1" applyBorder="1"/>
    <xf numFmtId="0" fontId="0" fillId="0" borderId="0" xfId="0" applyFill="1" applyAlignment="1">
      <alignment wrapText="1"/>
    </xf>
    <xf numFmtId="0" fontId="3" fillId="0" borderId="0" xfId="0" applyFont="1" applyAlignment="1"/>
    <xf numFmtId="0" fontId="0" fillId="6" borderId="0" xfId="0" applyFill="1"/>
    <xf numFmtId="1" fontId="0" fillId="0" borderId="0" xfId="0" applyNumberFormat="1"/>
    <xf numFmtId="0" fontId="7" fillId="0" borderId="0" xfId="0" applyFont="1"/>
    <xf numFmtId="0" fontId="9" fillId="0" borderId="6" xfId="0" applyFont="1" applyBorder="1" applyAlignment="1" applyProtection="1">
      <alignment horizontal="center" vertical="center"/>
    </xf>
    <xf numFmtId="0" fontId="12" fillId="0" borderId="6" xfId="0" applyFont="1" applyBorder="1" applyAlignment="1" applyProtection="1">
      <alignment horizontal="center" vertical="center"/>
    </xf>
    <xf numFmtId="0" fontId="13" fillId="0" borderId="0" xfId="0" applyFont="1"/>
    <xf numFmtId="0" fontId="14" fillId="0" borderId="28" xfId="0" applyFont="1" applyBorder="1" applyAlignment="1" applyProtection="1">
      <alignment horizontal="left" vertical="center" wrapText="1"/>
    </xf>
    <xf numFmtId="0" fontId="16" fillId="0" borderId="8" xfId="0" applyFont="1" applyBorder="1" applyAlignment="1" applyProtection="1">
      <alignment vertical="center"/>
    </xf>
    <xf numFmtId="0" fontId="16" fillId="0" borderId="21" xfId="0" applyFont="1" applyBorder="1" applyAlignment="1" applyProtection="1">
      <alignment vertical="center"/>
    </xf>
    <xf numFmtId="0" fontId="14" fillId="0" borderId="17" xfId="0" applyFont="1" applyBorder="1" applyAlignment="1" applyProtection="1">
      <alignment horizontal="left" vertical="center" wrapText="1"/>
    </xf>
    <xf numFmtId="0" fontId="9" fillId="0" borderId="7" xfId="0" applyFont="1" applyBorder="1" applyAlignment="1" applyProtection="1">
      <alignment horizontal="center" vertical="center"/>
    </xf>
    <xf numFmtId="0" fontId="12" fillId="0" borderId="7" xfId="0" applyFont="1" applyBorder="1" applyAlignment="1" applyProtection="1">
      <alignment horizontal="center" vertical="center"/>
    </xf>
    <xf numFmtId="0" fontId="14" fillId="0" borderId="7" xfId="0" applyFont="1" applyBorder="1" applyAlignment="1" applyProtection="1">
      <alignment horizontal="left" vertical="center" wrapText="1"/>
    </xf>
    <xf numFmtId="17" fontId="12" fillId="3" borderId="8" xfId="0" applyNumberFormat="1" applyFont="1" applyFill="1" applyBorder="1" applyAlignment="1" applyProtection="1">
      <alignment vertical="center" wrapText="1"/>
    </xf>
    <xf numFmtId="0" fontId="0" fillId="5" borderId="15" xfId="0" applyFill="1" applyBorder="1" applyAlignment="1">
      <alignment vertical="center"/>
    </xf>
    <xf numFmtId="0" fontId="0" fillId="0" borderId="0" xfId="0" applyAlignment="1"/>
    <xf numFmtId="1" fontId="3" fillId="0" borderId="0" xfId="0" applyNumberFormat="1" applyFont="1"/>
    <xf numFmtId="38" fontId="9" fillId="4" borderId="27" xfId="0" applyNumberFormat="1" applyFont="1" applyFill="1" applyBorder="1" applyAlignment="1" applyProtection="1">
      <alignment horizontal="center" vertical="center"/>
    </xf>
    <xf numFmtId="38" fontId="9" fillId="4" borderId="13" xfId="0" applyNumberFormat="1" applyFont="1" applyFill="1" applyBorder="1" applyAlignment="1" applyProtection="1">
      <alignment horizontal="center" vertical="center"/>
    </xf>
    <xf numFmtId="38" fontId="9" fillId="4" borderId="29" xfId="0" applyNumberFormat="1" applyFont="1" applyFill="1" applyBorder="1" applyAlignment="1" applyProtection="1">
      <alignment horizontal="center" vertical="center"/>
    </xf>
    <xf numFmtId="0" fontId="21" fillId="0" borderId="34" xfId="0" applyFont="1" applyBorder="1" applyAlignment="1">
      <alignment vertical="center" wrapText="1"/>
    </xf>
    <xf numFmtId="0" fontId="22" fillId="0" borderId="35" xfId="0" applyFont="1" applyBorder="1" applyAlignment="1">
      <alignment vertical="center" wrapText="1"/>
    </xf>
    <xf numFmtId="0" fontId="7" fillId="0" borderId="39" xfId="0" applyFont="1" applyBorder="1" applyAlignment="1">
      <alignment vertical="center" wrapText="1"/>
    </xf>
    <xf numFmtId="0" fontId="7" fillId="0" borderId="38" xfId="0" applyFont="1" applyBorder="1" applyAlignment="1">
      <alignment vertical="center" wrapText="1"/>
    </xf>
    <xf numFmtId="0" fontId="10" fillId="0" borderId="38" xfId="0" applyFont="1" applyBorder="1" applyAlignment="1">
      <alignment vertical="center" wrapText="1"/>
    </xf>
    <xf numFmtId="0" fontId="7" fillId="0" borderId="38" xfId="0" applyFont="1" applyBorder="1" applyAlignment="1">
      <alignment vertical="top" wrapText="1"/>
    </xf>
    <xf numFmtId="164" fontId="11" fillId="7" borderId="13" xfId="1" applyNumberFormat="1" applyFont="1" applyFill="1" applyBorder="1" applyAlignment="1" applyProtection="1">
      <alignment horizontal="center" vertical="center"/>
    </xf>
    <xf numFmtId="164" fontId="11" fillId="7" borderId="29" xfId="1" applyNumberFormat="1" applyFont="1" applyFill="1" applyBorder="1" applyAlignment="1" applyProtection="1">
      <alignment horizontal="center" vertical="center"/>
    </xf>
    <xf numFmtId="0" fontId="0" fillId="4" borderId="0" xfId="0" applyFill="1" applyAlignment="1">
      <alignment horizontal="left"/>
    </xf>
    <xf numFmtId="0" fontId="0" fillId="4" borderId="0" xfId="0" applyFill="1" applyAlignment="1">
      <alignment horizontal="left" wrapText="1"/>
    </xf>
    <xf numFmtId="0" fontId="3" fillId="4" borderId="0" xfId="0" applyFont="1" applyFill="1" applyAlignment="1">
      <alignment horizontal="left"/>
    </xf>
    <xf numFmtId="0" fontId="0" fillId="4" borderId="0" xfId="0" applyFill="1" applyBorder="1"/>
    <xf numFmtId="0" fontId="0" fillId="0" borderId="15" xfId="0" applyFill="1" applyBorder="1" applyAlignment="1">
      <alignment vertical="center"/>
    </xf>
    <xf numFmtId="0" fontId="0" fillId="0" borderId="14" xfId="0" applyFill="1" applyBorder="1" applyAlignment="1">
      <alignment vertical="center"/>
    </xf>
    <xf numFmtId="0" fontId="0" fillId="0" borderId="0" xfId="0" applyFill="1" applyBorder="1" applyAlignment="1">
      <alignment vertical="center"/>
    </xf>
    <xf numFmtId="0" fontId="0" fillId="0" borderId="0" xfId="0" applyFill="1" applyBorder="1"/>
    <xf numFmtId="0" fontId="0" fillId="0" borderId="0" xfId="0" applyBorder="1"/>
    <xf numFmtId="0" fontId="0" fillId="4" borderId="0" xfId="0" applyFont="1" applyFill="1" applyAlignment="1">
      <alignment horizontal="left"/>
    </xf>
    <xf numFmtId="0" fontId="0" fillId="4" borderId="0" xfId="0" applyFill="1" applyBorder="1" applyAlignment="1">
      <alignment horizontal="left"/>
    </xf>
    <xf numFmtId="0" fontId="3" fillId="0" borderId="0" xfId="0" applyFont="1" applyBorder="1" applyAlignment="1">
      <alignment vertical="center" wrapText="1"/>
    </xf>
    <xf numFmtId="0" fontId="0" fillId="5" borderId="0" xfId="0" applyFill="1"/>
    <xf numFmtId="1" fontId="0" fillId="0" borderId="0" xfId="0" applyNumberFormat="1" applyFont="1" applyBorder="1" applyAlignment="1">
      <alignment horizontal="center"/>
    </xf>
    <xf numFmtId="0" fontId="0" fillId="6" borderId="0" xfId="0" applyFont="1" applyFill="1" applyBorder="1"/>
    <xf numFmtId="1" fontId="0" fillId="6" borderId="0" xfId="0" applyNumberFormat="1" applyFont="1" applyFill="1" applyBorder="1" applyAlignment="1">
      <alignment horizontal="center"/>
    </xf>
    <xf numFmtId="0" fontId="0" fillId="0" borderId="0" xfId="0" applyFont="1" applyBorder="1"/>
    <xf numFmtId="1" fontId="0" fillId="8" borderId="0" xfId="0" applyNumberFormat="1" applyFont="1" applyFill="1" applyBorder="1" applyAlignment="1" applyProtection="1">
      <alignment horizontal="center" wrapText="1"/>
      <protection hidden="1"/>
    </xf>
    <xf numFmtId="1" fontId="0" fillId="8" borderId="44" xfId="0" applyNumberFormat="1" applyFont="1" applyFill="1" applyBorder="1" applyAlignment="1" applyProtection="1">
      <alignment horizontal="center" wrapText="1"/>
      <protection hidden="1"/>
    </xf>
    <xf numFmtId="1" fontId="0" fillId="8" borderId="43" xfId="0" applyNumberFormat="1" applyFont="1" applyFill="1" applyBorder="1" applyAlignment="1" applyProtection="1">
      <alignment horizontal="center"/>
      <protection hidden="1"/>
    </xf>
    <xf numFmtId="1" fontId="0" fillId="8" borderId="46" xfId="0" applyNumberFormat="1" applyFont="1" applyFill="1" applyBorder="1" applyAlignment="1" applyProtection="1">
      <alignment horizontal="center"/>
      <protection hidden="1"/>
    </xf>
    <xf numFmtId="1" fontId="0" fillId="8" borderId="19" xfId="0" applyNumberFormat="1" applyFont="1" applyFill="1" applyBorder="1" applyAlignment="1" applyProtection="1">
      <alignment horizontal="center"/>
      <protection hidden="1"/>
    </xf>
    <xf numFmtId="1" fontId="0" fillId="8" borderId="14" xfId="0" applyNumberFormat="1" applyFont="1" applyFill="1" applyBorder="1" applyAlignment="1" applyProtection="1">
      <alignment horizontal="center"/>
      <protection hidden="1"/>
    </xf>
    <xf numFmtId="1" fontId="0" fillId="8" borderId="19" xfId="0" applyNumberFormat="1" applyFont="1" applyFill="1" applyBorder="1" applyAlignment="1" applyProtection="1">
      <alignment horizontal="center" wrapText="1"/>
      <protection hidden="1"/>
    </xf>
    <xf numFmtId="1" fontId="0" fillId="8" borderId="14" xfId="0" applyNumberFormat="1" applyFont="1" applyFill="1" applyBorder="1" applyAlignment="1" applyProtection="1">
      <alignment horizontal="center" wrapText="1"/>
      <protection hidden="1"/>
    </xf>
    <xf numFmtId="1" fontId="3" fillId="8" borderId="19" xfId="0" applyNumberFormat="1" applyFont="1" applyFill="1" applyBorder="1" applyAlignment="1" applyProtection="1">
      <alignment horizontal="center" wrapText="1"/>
      <protection hidden="1"/>
    </xf>
    <xf numFmtId="1" fontId="3" fillId="8" borderId="14" xfId="0" applyNumberFormat="1" applyFont="1" applyFill="1" applyBorder="1" applyAlignment="1" applyProtection="1">
      <alignment horizontal="center"/>
      <protection hidden="1"/>
    </xf>
    <xf numFmtId="1" fontId="2" fillId="0" borderId="42" xfId="0" applyNumberFormat="1" applyFont="1" applyFill="1" applyBorder="1" applyAlignment="1">
      <alignment horizontal="center"/>
    </xf>
    <xf numFmtId="0" fontId="0" fillId="4" borderId="41" xfId="0" applyFill="1" applyBorder="1" applyAlignment="1">
      <alignment vertical="center"/>
    </xf>
    <xf numFmtId="0" fontId="0" fillId="0" borderId="0" xfId="0" applyAlignment="1">
      <alignment vertical="center" wrapText="1"/>
    </xf>
    <xf numFmtId="0" fontId="0" fillId="0" borderId="0" xfId="0" applyAlignment="1">
      <alignment vertical="center"/>
    </xf>
    <xf numFmtId="0" fontId="3" fillId="0" borderId="0" xfId="0" applyFont="1" applyAlignment="1">
      <alignment vertical="center" wrapText="1"/>
    </xf>
    <xf numFmtId="0" fontId="3" fillId="8" borderId="44" xfId="0" applyFont="1" applyFill="1" applyBorder="1" applyAlignment="1" applyProtection="1">
      <alignment horizontal="right" vertical="center"/>
      <protection hidden="1"/>
    </xf>
    <xf numFmtId="0" fontId="3" fillId="8" borderId="22" xfId="0" applyFont="1" applyFill="1" applyBorder="1" applyAlignment="1" applyProtection="1">
      <alignment horizontal="right" vertical="center"/>
      <protection hidden="1"/>
    </xf>
    <xf numFmtId="0" fontId="3" fillId="8" borderId="15" xfId="0" applyFont="1" applyFill="1" applyBorder="1" applyAlignment="1" applyProtection="1">
      <alignment horizontal="right" vertical="center"/>
      <protection hidden="1"/>
    </xf>
    <xf numFmtId="0" fontId="3" fillId="8" borderId="41" xfId="0" applyFont="1" applyFill="1" applyBorder="1" applyAlignment="1" applyProtection="1">
      <alignment horizontal="center" vertical="center"/>
      <protection hidden="1"/>
    </xf>
    <xf numFmtId="1" fontId="15" fillId="0" borderId="10" xfId="0" applyNumberFormat="1" applyFont="1" applyBorder="1" applyAlignment="1" applyProtection="1">
      <alignment horizontal="center" vertical="center" wrapText="1"/>
    </xf>
    <xf numFmtId="1" fontId="15" fillId="0" borderId="11" xfId="0" applyNumberFormat="1" applyFont="1" applyBorder="1" applyAlignment="1" applyProtection="1">
      <alignment horizontal="center" vertical="center" wrapText="1"/>
    </xf>
    <xf numFmtId="1" fontId="19" fillId="3" borderId="11" xfId="0" applyNumberFormat="1" applyFont="1" applyFill="1" applyBorder="1" applyAlignment="1" applyProtection="1">
      <alignment horizontal="center" vertical="center" wrapText="1"/>
    </xf>
    <xf numFmtId="1" fontId="19" fillId="3" borderId="12" xfId="0" applyNumberFormat="1" applyFont="1" applyFill="1" applyBorder="1" applyAlignment="1" applyProtection="1">
      <alignment horizontal="center" vertical="center" wrapText="1"/>
    </xf>
    <xf numFmtId="1" fontId="15" fillId="0" borderId="18" xfId="0" applyNumberFormat="1" applyFont="1" applyBorder="1" applyAlignment="1" applyProtection="1">
      <alignment horizontal="center" vertical="center" wrapText="1"/>
    </xf>
    <xf numFmtId="1" fontId="15" fillId="0" borderId="15" xfId="0" applyNumberFormat="1" applyFont="1" applyBorder="1" applyAlignment="1" applyProtection="1">
      <alignment horizontal="center" vertical="center" wrapText="1"/>
    </xf>
    <xf numFmtId="1" fontId="19" fillId="3" borderId="15" xfId="0" applyNumberFormat="1" applyFont="1" applyFill="1" applyBorder="1" applyAlignment="1" applyProtection="1">
      <alignment horizontal="center" vertical="center" wrapText="1"/>
    </xf>
    <xf numFmtId="1" fontId="19" fillId="3" borderId="16" xfId="0" applyNumberFormat="1" applyFont="1" applyFill="1" applyBorder="1" applyAlignment="1" applyProtection="1">
      <alignment horizontal="center" vertical="center" wrapText="1"/>
    </xf>
    <xf numFmtId="38" fontId="20" fillId="0" borderId="15" xfId="0" applyNumberFormat="1" applyFont="1" applyFill="1" applyBorder="1" applyAlignment="1" applyProtection="1">
      <alignment horizontal="center" vertical="center"/>
    </xf>
    <xf numFmtId="38" fontId="20" fillId="0" borderId="16" xfId="0" applyNumberFormat="1" applyFont="1" applyFill="1" applyBorder="1" applyAlignment="1" applyProtection="1">
      <alignment horizontal="center" vertical="center"/>
    </xf>
    <xf numFmtId="1" fontId="15" fillId="0" borderId="23" xfId="0" applyNumberFormat="1" applyFont="1" applyBorder="1" applyAlignment="1" applyProtection="1">
      <alignment horizontal="center" vertical="center" wrapText="1"/>
    </xf>
    <xf numFmtId="1" fontId="15" fillId="0" borderId="24" xfId="0" applyNumberFormat="1" applyFont="1" applyBorder="1" applyAlignment="1" applyProtection="1">
      <alignment horizontal="center" vertical="center" wrapText="1"/>
    </xf>
    <xf numFmtId="1" fontId="19" fillId="3" borderId="24" xfId="0" applyNumberFormat="1" applyFont="1" applyFill="1" applyBorder="1" applyAlignment="1" applyProtection="1">
      <alignment horizontal="center" vertical="center" wrapText="1"/>
    </xf>
    <xf numFmtId="1" fontId="19" fillId="3" borderId="25" xfId="0" applyNumberFormat="1" applyFont="1" applyFill="1" applyBorder="1" applyAlignment="1" applyProtection="1">
      <alignment horizontal="center" vertical="center" wrapText="1"/>
    </xf>
    <xf numFmtId="0" fontId="3" fillId="8" borderId="19" xfId="0" applyFont="1" applyFill="1" applyBorder="1" applyAlignment="1" applyProtection="1">
      <alignment horizontal="center" vertical="center"/>
      <protection hidden="1"/>
    </xf>
    <xf numFmtId="17" fontId="3" fillId="8" borderId="14" xfId="0" applyNumberFormat="1" applyFont="1" applyFill="1" applyBorder="1" applyAlignment="1" applyProtection="1">
      <alignment horizontal="center" vertical="center" wrapText="1"/>
      <protection hidden="1"/>
    </xf>
    <xf numFmtId="0" fontId="0" fillId="5" borderId="0" xfId="0" applyFill="1" applyProtection="1">
      <protection hidden="1"/>
    </xf>
    <xf numFmtId="1" fontId="0" fillId="5" borderId="0" xfId="0" applyNumberFormat="1" applyFont="1" applyFill="1" applyBorder="1" applyAlignment="1" applyProtection="1">
      <alignment horizontal="center"/>
      <protection hidden="1"/>
    </xf>
    <xf numFmtId="0" fontId="0" fillId="0" borderId="0" xfId="0" applyProtection="1">
      <protection hidden="1"/>
    </xf>
    <xf numFmtId="0" fontId="4" fillId="5" borderId="0" xfId="0" applyFont="1" applyFill="1" applyBorder="1" applyAlignment="1" applyProtection="1">
      <alignment horizontal="right"/>
      <protection hidden="1"/>
    </xf>
    <xf numFmtId="0" fontId="0" fillId="5" borderId="0" xfId="0" applyFill="1" applyBorder="1" applyAlignment="1" applyProtection="1">
      <protection hidden="1"/>
    </xf>
    <xf numFmtId="0" fontId="0" fillId="5" borderId="0" xfId="0" applyFill="1" applyBorder="1" applyProtection="1">
      <protection hidden="1"/>
    </xf>
    <xf numFmtId="1" fontId="0" fillId="5" borderId="43" xfId="0" applyNumberFormat="1" applyFill="1" applyBorder="1" applyAlignment="1" applyProtection="1">
      <protection hidden="1"/>
    </xf>
    <xf numFmtId="1" fontId="3" fillId="5" borderId="43" xfId="0" applyNumberFormat="1" applyFont="1" applyFill="1" applyBorder="1" applyAlignment="1" applyProtection="1">
      <alignment horizontal="right"/>
      <protection hidden="1"/>
    </xf>
    <xf numFmtId="0" fontId="3" fillId="5" borderId="43" xfId="0" applyFont="1" applyFill="1" applyBorder="1" applyAlignment="1" applyProtection="1">
      <alignment horizontal="right"/>
      <protection hidden="1"/>
    </xf>
    <xf numFmtId="0" fontId="0" fillId="5" borderId="43" xfId="0" applyFill="1" applyBorder="1" applyProtection="1">
      <protection hidden="1"/>
    </xf>
    <xf numFmtId="0" fontId="0" fillId="5" borderId="19" xfId="0" applyFill="1" applyBorder="1" applyProtection="1">
      <protection hidden="1"/>
    </xf>
    <xf numFmtId="0" fontId="0" fillId="5" borderId="44" xfId="0" applyFill="1" applyBorder="1" applyProtection="1">
      <protection hidden="1"/>
    </xf>
    <xf numFmtId="1" fontId="5" fillId="3" borderId="0" xfId="0" applyNumberFormat="1" applyFont="1" applyFill="1" applyBorder="1" applyAlignment="1" applyProtection="1">
      <alignment horizontal="center" vertical="center" wrapText="1"/>
      <protection hidden="1"/>
    </xf>
    <xf numFmtId="1" fontId="5" fillId="3" borderId="44" xfId="0" applyNumberFormat="1" applyFont="1" applyFill="1" applyBorder="1" applyAlignment="1" applyProtection="1">
      <alignment horizontal="center" vertical="center" wrapText="1"/>
      <protection hidden="1"/>
    </xf>
    <xf numFmtId="38" fontId="9" fillId="4" borderId="20" xfId="0" applyNumberFormat="1" applyFont="1" applyFill="1" applyBorder="1" applyAlignment="1" applyProtection="1">
      <alignment horizontal="center" vertical="center"/>
      <protection hidden="1"/>
    </xf>
    <xf numFmtId="164" fontId="11" fillId="7" borderId="45" xfId="1" applyNumberFormat="1" applyFont="1" applyFill="1" applyBorder="1" applyAlignment="1" applyProtection="1">
      <alignment horizontal="center" vertical="center"/>
      <protection hidden="1"/>
    </xf>
    <xf numFmtId="38" fontId="9" fillId="4" borderId="55" xfId="0" applyNumberFormat="1" applyFont="1" applyFill="1" applyBorder="1" applyAlignment="1" applyProtection="1">
      <alignment horizontal="center" vertical="center"/>
      <protection hidden="1"/>
    </xf>
    <xf numFmtId="164" fontId="11" fillId="7" borderId="44" xfId="1" applyNumberFormat="1" applyFont="1" applyFill="1" applyBorder="1" applyAlignment="1" applyProtection="1">
      <alignment horizontal="center" vertical="center"/>
      <protection hidden="1"/>
    </xf>
    <xf numFmtId="1" fontId="5" fillId="3" borderId="49" xfId="0" applyNumberFormat="1" applyFont="1" applyFill="1" applyBorder="1" applyAlignment="1" applyProtection="1">
      <alignment horizontal="center" vertical="center" wrapText="1"/>
      <protection hidden="1"/>
    </xf>
    <xf numFmtId="1" fontId="5" fillId="3" borderId="43" xfId="0" applyNumberFormat="1" applyFont="1" applyFill="1" applyBorder="1" applyAlignment="1" applyProtection="1">
      <alignment horizontal="center" vertical="center" wrapText="1"/>
      <protection hidden="1"/>
    </xf>
    <xf numFmtId="1" fontId="5" fillId="3" borderId="46" xfId="0" applyNumberFormat="1" applyFont="1" applyFill="1" applyBorder="1" applyAlignment="1" applyProtection="1">
      <alignment horizontal="center" vertical="center" wrapText="1"/>
      <protection hidden="1"/>
    </xf>
    <xf numFmtId="38" fontId="9" fillId="4" borderId="22" xfId="0" applyNumberFormat="1" applyFont="1" applyFill="1" applyBorder="1" applyAlignment="1" applyProtection="1">
      <alignment horizontal="center" vertical="center"/>
      <protection hidden="1"/>
    </xf>
    <xf numFmtId="164" fontId="11" fillId="7" borderId="46" xfId="1" applyNumberFormat="1" applyFont="1" applyFill="1" applyBorder="1" applyAlignment="1" applyProtection="1">
      <alignment horizontal="center" vertical="center"/>
      <protection hidden="1"/>
    </xf>
    <xf numFmtId="1" fontId="5" fillId="3" borderId="41" xfId="0" applyNumberFormat="1" applyFont="1" applyFill="1" applyBorder="1" applyAlignment="1" applyProtection="1">
      <alignment horizontal="center" vertical="center" wrapText="1"/>
      <protection hidden="1"/>
    </xf>
    <xf numFmtId="1" fontId="5" fillId="3" borderId="19" xfId="0" applyNumberFormat="1" applyFont="1" applyFill="1" applyBorder="1" applyAlignment="1" applyProtection="1">
      <alignment horizontal="center" vertical="center" wrapText="1"/>
      <protection hidden="1"/>
    </xf>
    <xf numFmtId="1" fontId="5" fillId="3" borderId="14" xfId="0" applyNumberFormat="1" applyFont="1" applyFill="1" applyBorder="1" applyAlignment="1" applyProtection="1">
      <alignment horizontal="center" vertical="center" wrapText="1"/>
      <protection hidden="1"/>
    </xf>
    <xf numFmtId="38" fontId="9" fillId="4" borderId="15" xfId="0" applyNumberFormat="1" applyFont="1" applyFill="1" applyBorder="1" applyAlignment="1" applyProtection="1">
      <alignment horizontal="center" vertical="center"/>
      <protection hidden="1"/>
    </xf>
    <xf numFmtId="164" fontId="11" fillId="7" borderId="14" xfId="1" applyNumberFormat="1" applyFont="1" applyFill="1" applyBorder="1" applyAlignment="1" applyProtection="1">
      <alignment horizontal="center" vertical="center"/>
      <protection hidden="1"/>
    </xf>
    <xf numFmtId="1" fontId="32" fillId="5" borderId="0" xfId="0" applyNumberFormat="1" applyFont="1" applyFill="1" applyProtection="1">
      <protection hidden="1"/>
    </xf>
    <xf numFmtId="0" fontId="32" fillId="5" borderId="0" xfId="0" applyFont="1" applyFill="1" applyProtection="1">
      <protection hidden="1"/>
    </xf>
    <xf numFmtId="0" fontId="12" fillId="5" borderId="0" xfId="0" applyFont="1" applyFill="1" applyBorder="1" applyAlignment="1" applyProtection="1">
      <alignment horizontal="left" vertical="center"/>
      <protection hidden="1"/>
    </xf>
    <xf numFmtId="17" fontId="12" fillId="5" borderId="0" xfId="0" applyNumberFormat="1" applyFont="1" applyFill="1" applyBorder="1" applyAlignment="1" applyProtection="1">
      <alignment horizontal="left" vertical="center" wrapText="1"/>
      <protection hidden="1"/>
    </xf>
    <xf numFmtId="17" fontId="16" fillId="5" borderId="0" xfId="0" applyNumberFormat="1" applyFont="1" applyFill="1" applyBorder="1" applyAlignment="1" applyProtection="1">
      <alignment vertical="center"/>
      <protection hidden="1"/>
    </xf>
    <xf numFmtId="1" fontId="12" fillId="5" borderId="0" xfId="0" applyNumberFormat="1" applyFont="1" applyFill="1" applyBorder="1" applyAlignment="1" applyProtection="1">
      <alignment horizontal="left" vertical="center"/>
      <protection hidden="1"/>
    </xf>
    <xf numFmtId="1" fontId="0" fillId="5" borderId="0" xfId="0" applyNumberFormat="1" applyFill="1" applyProtection="1">
      <protection hidden="1"/>
    </xf>
    <xf numFmtId="0" fontId="0" fillId="7" borderId="0" xfId="0" applyFill="1" applyProtection="1">
      <protection hidden="1"/>
    </xf>
    <xf numFmtId="1" fontId="0" fillId="0" borderId="0" xfId="0" applyNumberFormat="1" applyFont="1" applyBorder="1" applyAlignment="1" applyProtection="1">
      <alignment horizontal="center" wrapText="1"/>
      <protection locked="0" hidden="1"/>
    </xf>
    <xf numFmtId="1" fontId="0" fillId="0" borderId="44" xfId="0" applyNumberFormat="1" applyFont="1" applyBorder="1" applyAlignment="1" applyProtection="1">
      <alignment horizontal="center" wrapText="1"/>
      <protection locked="0" hidden="1"/>
    </xf>
    <xf numFmtId="1" fontId="0" fillId="0" borderId="43" xfId="0" applyNumberFormat="1" applyFont="1" applyBorder="1" applyAlignment="1" applyProtection="1">
      <alignment horizontal="center" wrapText="1"/>
      <protection locked="0" hidden="1"/>
    </xf>
    <xf numFmtId="1" fontId="0" fillId="0" borderId="46" xfId="0" applyNumberFormat="1" applyFont="1" applyBorder="1" applyAlignment="1" applyProtection="1">
      <alignment horizontal="center" wrapText="1"/>
      <protection locked="0" hidden="1"/>
    </xf>
    <xf numFmtId="1" fontId="0" fillId="0" borderId="0" xfId="0" applyNumberFormat="1" applyFont="1" applyFill="1" applyBorder="1" applyAlignment="1" applyProtection="1">
      <alignment horizontal="center" wrapText="1"/>
      <protection locked="0" hidden="1"/>
    </xf>
    <xf numFmtId="1" fontId="0" fillId="0" borderId="44" xfId="0" applyNumberFormat="1" applyFont="1" applyFill="1" applyBorder="1" applyAlignment="1" applyProtection="1">
      <alignment horizontal="center" wrapText="1"/>
      <protection locked="0" hidden="1"/>
    </xf>
    <xf numFmtId="1" fontId="0" fillId="0" borderId="43" xfId="0" applyNumberFormat="1" applyFont="1" applyFill="1" applyBorder="1" applyAlignment="1" applyProtection="1">
      <alignment horizontal="center" wrapText="1"/>
      <protection locked="0" hidden="1"/>
    </xf>
    <xf numFmtId="1" fontId="0" fillId="0" borderId="46" xfId="0" applyNumberFormat="1" applyFont="1" applyFill="1" applyBorder="1" applyAlignment="1" applyProtection="1">
      <alignment horizontal="center" wrapText="1"/>
      <protection locked="0" hidden="1"/>
    </xf>
    <xf numFmtId="1" fontId="0" fillId="0" borderId="43" xfId="0" applyNumberFormat="1" applyFont="1" applyFill="1" applyBorder="1" applyAlignment="1" applyProtection="1">
      <alignment horizontal="center"/>
      <protection locked="0" hidden="1"/>
    </xf>
    <xf numFmtId="1" fontId="0" fillId="0" borderId="46" xfId="0" applyNumberFormat="1" applyFont="1" applyFill="1" applyBorder="1" applyAlignment="1" applyProtection="1">
      <alignment horizontal="center"/>
      <protection locked="0" hidden="1"/>
    </xf>
    <xf numFmtId="0" fontId="34" fillId="5" borderId="0" xfId="0" applyFont="1" applyFill="1" applyProtection="1">
      <protection hidden="1"/>
    </xf>
    <xf numFmtId="0" fontId="35" fillId="5" borderId="0" xfId="0" applyFont="1" applyFill="1" applyAlignment="1" applyProtection="1">
      <alignment horizontal="right"/>
      <protection hidden="1"/>
    </xf>
    <xf numFmtId="0" fontId="6" fillId="5" borderId="43" xfId="0" applyFont="1" applyFill="1" applyBorder="1" applyProtection="1">
      <protection locked="0" hidden="1"/>
    </xf>
    <xf numFmtId="0" fontId="36" fillId="5" borderId="43" xfId="0" applyFont="1" applyFill="1" applyBorder="1" applyAlignment="1" applyProtection="1">
      <alignment horizontal="right"/>
      <protection locked="0" hidden="1"/>
    </xf>
    <xf numFmtId="0" fontId="37" fillId="5" borderId="43" xfId="0" applyFont="1" applyFill="1" applyBorder="1" applyProtection="1">
      <protection locked="0" hidden="1"/>
    </xf>
    <xf numFmtId="0" fontId="39" fillId="5" borderId="43" xfId="0" applyFont="1" applyFill="1" applyBorder="1" applyProtection="1">
      <protection locked="0" hidden="1"/>
    </xf>
    <xf numFmtId="0" fontId="34" fillId="5" borderId="43" xfId="0" applyFont="1" applyFill="1" applyBorder="1" applyProtection="1">
      <protection locked="0" hidden="1"/>
    </xf>
    <xf numFmtId="0" fontId="38" fillId="5" borderId="43" xfId="0" applyFont="1" applyFill="1" applyBorder="1" applyProtection="1">
      <protection locked="0" hidden="1"/>
    </xf>
    <xf numFmtId="1" fontId="3" fillId="8" borderId="43" xfId="0" applyNumberFormat="1" applyFont="1" applyFill="1" applyBorder="1" applyAlignment="1" applyProtection="1">
      <alignment horizontal="center"/>
      <protection hidden="1"/>
    </xf>
    <xf numFmtId="1" fontId="3" fillId="8" borderId="46" xfId="0" applyNumberFormat="1" applyFont="1" applyFill="1" applyBorder="1" applyAlignment="1" applyProtection="1">
      <alignment horizontal="center"/>
      <protection hidden="1"/>
    </xf>
    <xf numFmtId="1" fontId="3" fillId="8" borderId="43" xfId="0" applyNumberFormat="1" applyFont="1" applyFill="1" applyBorder="1" applyAlignment="1" applyProtection="1">
      <alignment horizontal="center" wrapText="1"/>
      <protection hidden="1"/>
    </xf>
    <xf numFmtId="1" fontId="3" fillId="8" borderId="46" xfId="0" applyNumberFormat="1" applyFont="1" applyFill="1" applyBorder="1" applyAlignment="1" applyProtection="1">
      <alignment horizontal="center" wrapText="1"/>
      <protection hidden="1"/>
    </xf>
    <xf numFmtId="1" fontId="0" fillId="8" borderId="43" xfId="0" applyNumberFormat="1" applyFont="1" applyFill="1" applyBorder="1" applyAlignment="1" applyProtection="1">
      <alignment horizontal="center" wrapText="1"/>
      <protection hidden="1"/>
    </xf>
    <xf numFmtId="1" fontId="0" fillId="8" borderId="46" xfId="0" applyNumberFormat="1" applyFont="1" applyFill="1" applyBorder="1" applyAlignment="1" applyProtection="1">
      <alignment horizontal="center" wrapText="1"/>
      <protection hidden="1"/>
    </xf>
    <xf numFmtId="1" fontId="3" fillId="8" borderId="46" xfId="0" applyNumberFormat="1" applyFont="1" applyFill="1" applyBorder="1" applyAlignment="1" applyProtection="1">
      <alignment horizontal="center" vertical="center" wrapText="1"/>
      <protection hidden="1"/>
    </xf>
    <xf numFmtId="1" fontId="3" fillId="8" borderId="19" xfId="0" applyNumberFormat="1" applyFont="1" applyFill="1" applyBorder="1" applyAlignment="1" applyProtection="1">
      <alignment horizontal="center"/>
      <protection hidden="1"/>
    </xf>
    <xf numFmtId="1" fontId="3" fillId="8" borderId="41" xfId="0" applyNumberFormat="1" applyFont="1" applyFill="1" applyBorder="1" applyAlignment="1" applyProtection="1">
      <alignment horizontal="center"/>
      <protection hidden="1"/>
    </xf>
    <xf numFmtId="0" fontId="3" fillId="2" borderId="22" xfId="0" applyFont="1" applyFill="1" applyBorder="1" applyAlignment="1" applyProtection="1">
      <alignment vertical="center" wrapText="1"/>
      <protection hidden="1"/>
    </xf>
    <xf numFmtId="0" fontId="3" fillId="2" borderId="15" xfId="0" applyFont="1" applyFill="1" applyBorder="1" applyAlignment="1" applyProtection="1">
      <alignment wrapText="1"/>
      <protection hidden="1"/>
    </xf>
    <xf numFmtId="0" fontId="0" fillId="2" borderId="15" xfId="0" applyFont="1" applyFill="1" applyBorder="1" applyAlignment="1" applyProtection="1">
      <alignment vertical="center" wrapText="1"/>
      <protection hidden="1"/>
    </xf>
    <xf numFmtId="0" fontId="3" fillId="2" borderId="15" xfId="0" applyFont="1" applyFill="1" applyBorder="1" applyAlignment="1" applyProtection="1">
      <alignment vertical="center" wrapText="1"/>
      <protection hidden="1"/>
    </xf>
    <xf numFmtId="0" fontId="3" fillId="2" borderId="22" xfId="0" applyFont="1" applyFill="1" applyBorder="1" applyProtection="1">
      <protection hidden="1"/>
    </xf>
    <xf numFmtId="0" fontId="0" fillId="2" borderId="15" xfId="0" applyFont="1" applyFill="1" applyBorder="1" applyAlignment="1" applyProtection="1">
      <alignment wrapText="1"/>
      <protection hidden="1"/>
    </xf>
    <xf numFmtId="0" fontId="3" fillId="2" borderId="22" xfId="0" applyFont="1" applyFill="1" applyBorder="1" applyAlignment="1" applyProtection="1">
      <alignment wrapText="1"/>
      <protection hidden="1"/>
    </xf>
    <xf numFmtId="0" fontId="0" fillId="2" borderId="15" xfId="0" applyFont="1" applyFill="1" applyBorder="1" applyProtection="1">
      <protection hidden="1"/>
    </xf>
    <xf numFmtId="1" fontId="0" fillId="2" borderId="0" xfId="0" applyNumberFormat="1" applyFont="1" applyFill="1" applyBorder="1" applyAlignment="1" applyProtection="1">
      <alignment horizontal="center"/>
      <protection hidden="1"/>
    </xf>
    <xf numFmtId="0" fontId="0" fillId="2" borderId="20" xfId="0" applyFont="1" applyFill="1" applyBorder="1" applyProtection="1">
      <protection hidden="1"/>
    </xf>
    <xf numFmtId="0" fontId="30" fillId="2" borderId="15" xfId="0" applyFont="1" applyFill="1" applyBorder="1" applyAlignment="1" applyProtection="1">
      <alignment horizontal="left" vertical="center" wrapText="1" readingOrder="1"/>
      <protection hidden="1"/>
    </xf>
    <xf numFmtId="0" fontId="31" fillId="2" borderId="15" xfId="0" applyFont="1" applyFill="1" applyBorder="1" applyAlignment="1" applyProtection="1">
      <alignment horizontal="left" vertical="center" wrapText="1" readingOrder="1"/>
      <protection hidden="1"/>
    </xf>
    <xf numFmtId="1" fontId="3" fillId="8" borderId="14" xfId="0" applyNumberFormat="1" applyFont="1" applyFill="1" applyBorder="1" applyAlignment="1" applyProtection="1">
      <alignment horizontal="center" wrapText="1"/>
      <protection hidden="1"/>
    </xf>
    <xf numFmtId="1" fontId="0" fillId="8" borderId="41" xfId="0" applyNumberFormat="1" applyFont="1" applyFill="1" applyBorder="1" applyAlignment="1" applyProtection="1">
      <alignment horizontal="center"/>
      <protection hidden="1"/>
    </xf>
    <xf numFmtId="1" fontId="3" fillId="2" borderId="32" xfId="0" applyNumberFormat="1" applyFont="1" applyFill="1" applyBorder="1" applyAlignment="1" applyProtection="1">
      <alignment horizontal="center" wrapText="1"/>
      <protection hidden="1"/>
    </xf>
    <xf numFmtId="1" fontId="3" fillId="2" borderId="0" xfId="0" applyNumberFormat="1" applyFont="1" applyFill="1" applyBorder="1" applyAlignment="1" applyProtection="1">
      <alignment horizontal="center"/>
      <protection hidden="1"/>
    </xf>
    <xf numFmtId="0" fontId="0" fillId="2" borderId="20" xfId="0" applyFont="1" applyFill="1" applyBorder="1" applyAlignment="1" applyProtection="1">
      <alignment wrapText="1"/>
      <protection hidden="1"/>
    </xf>
    <xf numFmtId="0" fontId="3" fillId="2" borderId="15" xfId="0" applyFont="1" applyFill="1" applyBorder="1" applyAlignment="1" applyProtection="1">
      <alignment horizontal="left" wrapText="1"/>
      <protection hidden="1"/>
    </xf>
    <xf numFmtId="0" fontId="0" fillId="2" borderId="15" xfId="0" applyFont="1" applyFill="1" applyBorder="1" applyAlignment="1" applyProtection="1">
      <alignment horizontal="left" wrapText="1"/>
      <protection hidden="1"/>
    </xf>
    <xf numFmtId="0" fontId="0" fillId="2" borderId="20" xfId="0" applyFont="1" applyFill="1" applyBorder="1" applyAlignment="1" applyProtection="1">
      <alignment horizontal="left" wrapText="1"/>
      <protection hidden="1"/>
    </xf>
    <xf numFmtId="1" fontId="0" fillId="0" borderId="19" xfId="0" applyNumberFormat="1" applyFont="1" applyBorder="1" applyAlignment="1" applyProtection="1">
      <alignment horizontal="center" wrapText="1"/>
      <protection locked="0" hidden="1"/>
    </xf>
    <xf numFmtId="1" fontId="0" fillId="0" borderId="14" xfId="0" applyNumberFormat="1" applyFont="1" applyBorder="1" applyAlignment="1" applyProtection="1">
      <alignment horizontal="center" wrapText="1"/>
      <protection locked="0" hidden="1"/>
    </xf>
    <xf numFmtId="1" fontId="3" fillId="0" borderId="0" xfId="0" applyNumberFormat="1" applyFont="1" applyBorder="1" applyAlignment="1" applyProtection="1">
      <alignment horizontal="center" wrapText="1"/>
      <protection locked="0" hidden="1"/>
    </xf>
    <xf numFmtId="1" fontId="3" fillId="0" borderId="44" xfId="0" applyNumberFormat="1" applyFont="1" applyBorder="1" applyAlignment="1" applyProtection="1">
      <alignment horizontal="center" wrapText="1"/>
      <protection locked="0" hidden="1"/>
    </xf>
    <xf numFmtId="1" fontId="0" fillId="0" borderId="0" xfId="0" applyNumberFormat="1" applyFont="1" applyBorder="1" applyAlignment="1" applyProtection="1">
      <alignment horizontal="center"/>
      <protection locked="0" hidden="1"/>
    </xf>
    <xf numFmtId="1" fontId="0" fillId="0" borderId="44" xfId="0" applyNumberFormat="1" applyFont="1" applyBorder="1" applyAlignment="1" applyProtection="1">
      <alignment horizontal="center"/>
      <protection locked="0" hidden="1"/>
    </xf>
    <xf numFmtId="1" fontId="0" fillId="0" borderId="0" xfId="0" applyNumberFormat="1" applyFont="1" applyFill="1" applyBorder="1" applyAlignment="1" applyProtection="1">
      <alignment horizontal="center"/>
      <protection locked="0" hidden="1"/>
    </xf>
    <xf numFmtId="1" fontId="0" fillId="0" borderId="44" xfId="0" applyNumberFormat="1" applyFont="1" applyFill="1" applyBorder="1" applyAlignment="1" applyProtection="1">
      <alignment horizontal="center"/>
      <protection locked="0" hidden="1"/>
    </xf>
    <xf numFmtId="1" fontId="3" fillId="0" borderId="0" xfId="0" applyNumberFormat="1" applyFont="1" applyFill="1" applyBorder="1" applyAlignment="1" applyProtection="1">
      <alignment horizontal="center"/>
      <protection locked="0" hidden="1"/>
    </xf>
    <xf numFmtId="1" fontId="0" fillId="0" borderId="43" xfId="0" applyNumberFormat="1" applyFont="1" applyBorder="1" applyAlignment="1" applyProtection="1">
      <alignment horizontal="center"/>
      <protection locked="0" hidden="1"/>
    </xf>
    <xf numFmtId="1" fontId="0" fillId="0" borderId="46" xfId="0" applyNumberFormat="1" applyFont="1" applyBorder="1" applyAlignment="1" applyProtection="1">
      <alignment horizontal="center"/>
      <protection locked="0" hidden="1"/>
    </xf>
    <xf numFmtId="1" fontId="0" fillId="0" borderId="49" xfId="0" applyNumberFormat="1" applyFont="1" applyBorder="1" applyAlignment="1" applyProtection="1">
      <alignment horizontal="center" wrapText="1"/>
      <protection locked="0" hidden="1"/>
    </xf>
    <xf numFmtId="1" fontId="3" fillId="0" borderId="31" xfId="0" applyNumberFormat="1" applyFont="1" applyFill="1" applyBorder="1" applyAlignment="1" applyProtection="1">
      <alignment horizontal="center" wrapText="1"/>
      <protection locked="0" hidden="1"/>
    </xf>
    <xf numFmtId="1" fontId="0" fillId="5" borderId="43" xfId="0" applyNumberFormat="1" applyFill="1" applyBorder="1" applyAlignment="1" applyProtection="1">
      <protection locked="0" hidden="1"/>
    </xf>
    <xf numFmtId="0" fontId="0" fillId="5" borderId="51" xfId="0" applyFont="1" applyFill="1" applyBorder="1" applyProtection="1">
      <protection hidden="1"/>
    </xf>
    <xf numFmtId="0" fontId="3" fillId="8" borderId="15" xfId="0" applyFont="1" applyFill="1" applyBorder="1" applyProtection="1">
      <protection hidden="1"/>
    </xf>
    <xf numFmtId="0" fontId="0" fillId="8" borderId="22" xfId="0" applyFont="1" applyFill="1" applyBorder="1" applyAlignment="1" applyProtection="1">
      <alignment wrapText="1"/>
      <protection hidden="1"/>
    </xf>
    <xf numFmtId="0" fontId="0" fillId="8" borderId="22" xfId="0" applyFont="1" applyFill="1" applyBorder="1" applyProtection="1">
      <protection hidden="1"/>
    </xf>
    <xf numFmtId="0" fontId="0" fillId="8" borderId="55" xfId="0" applyFont="1" applyFill="1" applyBorder="1" applyProtection="1">
      <protection hidden="1"/>
    </xf>
    <xf numFmtId="0" fontId="0" fillId="8" borderId="55" xfId="0" applyFont="1" applyFill="1" applyBorder="1" applyAlignment="1" applyProtection="1">
      <alignment wrapText="1"/>
      <protection hidden="1"/>
    </xf>
    <xf numFmtId="0" fontId="3" fillId="8" borderId="49" xfId="0" applyFont="1" applyFill="1" applyBorder="1" applyProtection="1">
      <protection hidden="1"/>
    </xf>
    <xf numFmtId="0" fontId="0" fillId="8" borderId="15" xfId="0" applyFont="1" applyFill="1" applyBorder="1" applyAlignment="1" applyProtection="1">
      <alignment wrapText="1"/>
      <protection hidden="1"/>
    </xf>
    <xf numFmtId="0" fontId="3" fillId="8" borderId="41" xfId="0" applyFont="1" applyFill="1" applyBorder="1" applyProtection="1">
      <protection hidden="1"/>
    </xf>
    <xf numFmtId="0" fontId="0" fillId="8" borderId="55" xfId="0" applyFont="1" applyFill="1" applyBorder="1" applyAlignment="1" applyProtection="1">
      <alignment vertical="center" wrapText="1"/>
      <protection hidden="1"/>
    </xf>
    <xf numFmtId="0" fontId="0" fillId="8" borderId="15" xfId="0" applyFont="1" applyFill="1" applyBorder="1" applyAlignment="1" applyProtection="1">
      <alignment horizontal="left" vertical="center" wrapText="1"/>
      <protection hidden="1"/>
    </xf>
    <xf numFmtId="0" fontId="0" fillId="8" borderId="22" xfId="0" applyFont="1" applyFill="1" applyBorder="1" applyAlignment="1" applyProtection="1">
      <alignment horizontal="left" vertical="center" wrapText="1"/>
      <protection hidden="1"/>
    </xf>
    <xf numFmtId="0" fontId="0" fillId="8" borderId="20" xfId="0" applyFont="1" applyFill="1" applyBorder="1" applyAlignment="1" applyProtection="1">
      <alignment wrapText="1"/>
      <protection hidden="1"/>
    </xf>
    <xf numFmtId="0" fontId="3" fillId="8" borderId="49" xfId="0" applyFont="1" applyFill="1" applyBorder="1" applyAlignment="1" applyProtection="1">
      <alignment wrapText="1"/>
      <protection hidden="1"/>
    </xf>
    <xf numFmtId="0" fontId="0" fillId="8" borderId="22" xfId="0" applyFont="1" applyFill="1" applyBorder="1" applyAlignment="1" applyProtection="1">
      <alignment vertical="center" wrapText="1"/>
      <protection hidden="1"/>
    </xf>
    <xf numFmtId="0" fontId="3" fillId="2" borderId="56" xfId="0" applyFont="1" applyFill="1" applyBorder="1" applyProtection="1">
      <protection hidden="1"/>
    </xf>
    <xf numFmtId="1" fontId="3" fillId="2" borderId="0" xfId="0" applyNumberFormat="1" applyFont="1" applyFill="1" applyBorder="1" applyAlignment="1" applyProtection="1">
      <alignment horizontal="center" wrapText="1"/>
      <protection hidden="1"/>
    </xf>
    <xf numFmtId="1" fontId="3" fillId="0" borderId="0" xfId="0" applyNumberFormat="1" applyFont="1" applyBorder="1" applyAlignment="1" applyProtection="1">
      <alignment horizontal="center"/>
      <protection locked="0" hidden="1"/>
    </xf>
    <xf numFmtId="0" fontId="3" fillId="2" borderId="57" xfId="0" applyFont="1" applyFill="1" applyBorder="1" applyProtection="1">
      <protection hidden="1"/>
    </xf>
    <xf numFmtId="1" fontId="3" fillId="0" borderId="0" xfId="0" applyNumberFormat="1" applyFont="1" applyFill="1" applyBorder="1" applyAlignment="1" applyProtection="1">
      <alignment horizontal="center" wrapText="1"/>
      <protection locked="0" hidden="1"/>
    </xf>
    <xf numFmtId="0" fontId="0" fillId="8" borderId="15" xfId="0" applyFont="1" applyFill="1" applyBorder="1" applyProtection="1">
      <protection hidden="1"/>
    </xf>
    <xf numFmtId="0" fontId="0" fillId="8" borderId="15" xfId="0" applyFont="1" applyFill="1" applyBorder="1" applyAlignment="1" applyProtection="1">
      <alignment vertical="center" wrapText="1"/>
      <protection hidden="1"/>
    </xf>
    <xf numFmtId="0" fontId="0" fillId="8" borderId="55" xfId="0" applyFont="1" applyFill="1" applyBorder="1" applyAlignment="1" applyProtection="1">
      <alignment vertical="center"/>
      <protection hidden="1"/>
    </xf>
    <xf numFmtId="49" fontId="0" fillId="8" borderId="55" xfId="0" applyNumberFormat="1" applyFont="1" applyFill="1" applyBorder="1" applyAlignment="1" applyProtection="1">
      <alignment vertical="center"/>
      <protection hidden="1"/>
    </xf>
    <xf numFmtId="0" fontId="0" fillId="8" borderId="22" xfId="0" applyFont="1" applyFill="1" applyBorder="1" applyAlignment="1" applyProtection="1">
      <alignment vertical="center"/>
      <protection hidden="1"/>
    </xf>
    <xf numFmtId="0" fontId="0" fillId="8" borderId="15" xfId="0" applyFont="1" applyFill="1" applyBorder="1" applyAlignment="1" applyProtection="1">
      <alignment horizontal="left" wrapText="1"/>
      <protection hidden="1"/>
    </xf>
    <xf numFmtId="0" fontId="0" fillId="8" borderId="49" xfId="0" applyFont="1" applyFill="1" applyBorder="1" applyProtection="1">
      <protection hidden="1"/>
    </xf>
    <xf numFmtId="0" fontId="0" fillId="8" borderId="22" xfId="0" applyFont="1" applyFill="1" applyBorder="1" applyAlignment="1" applyProtection="1">
      <protection hidden="1"/>
    </xf>
    <xf numFmtId="0" fontId="0" fillId="8" borderId="22" xfId="0" applyFont="1" applyFill="1" applyBorder="1" applyAlignment="1" applyProtection="1">
      <alignment horizontal="left" wrapText="1"/>
      <protection hidden="1"/>
    </xf>
    <xf numFmtId="0" fontId="3" fillId="2" borderId="57" xfId="0" applyFont="1" applyFill="1" applyBorder="1" applyAlignment="1" applyProtection="1">
      <alignment wrapText="1"/>
      <protection hidden="1"/>
    </xf>
    <xf numFmtId="0" fontId="3" fillId="2" borderId="56" xfId="0" applyFont="1" applyFill="1" applyBorder="1" applyAlignment="1" applyProtection="1">
      <alignment vertical="center" wrapText="1"/>
      <protection hidden="1"/>
    </xf>
    <xf numFmtId="1" fontId="0" fillId="0" borderId="0" xfId="0" applyNumberFormat="1" applyFont="1" applyBorder="1" applyAlignment="1" applyProtection="1">
      <alignment horizontal="center" vertical="center" wrapText="1"/>
      <protection locked="0" hidden="1"/>
    </xf>
    <xf numFmtId="0" fontId="0" fillId="2" borderId="57" xfId="0" applyFont="1" applyFill="1" applyBorder="1" applyAlignment="1" applyProtection="1">
      <alignment vertical="center" wrapText="1"/>
      <protection hidden="1"/>
    </xf>
    <xf numFmtId="0" fontId="3" fillId="2" borderId="57" xfId="0" applyFont="1" applyFill="1" applyBorder="1" applyAlignment="1" applyProtection="1">
      <alignment vertical="center" wrapText="1"/>
      <protection hidden="1"/>
    </xf>
    <xf numFmtId="0" fontId="0" fillId="2" borderId="57" xfId="0" applyFont="1" applyFill="1" applyBorder="1" applyProtection="1">
      <protection hidden="1"/>
    </xf>
    <xf numFmtId="0" fontId="0" fillId="2" borderId="58" xfId="0" applyFont="1" applyFill="1" applyBorder="1" applyAlignment="1" applyProtection="1">
      <alignment wrapText="1"/>
      <protection hidden="1"/>
    </xf>
    <xf numFmtId="0" fontId="0" fillId="2" borderId="57" xfId="0" applyFont="1" applyFill="1" applyBorder="1" applyAlignment="1" applyProtection="1">
      <alignment vertical="center"/>
      <protection hidden="1"/>
    </xf>
    <xf numFmtId="49" fontId="0" fillId="2" borderId="57" xfId="0" applyNumberFormat="1" applyFont="1" applyFill="1" applyBorder="1" applyAlignment="1" applyProtection="1">
      <alignment vertical="center"/>
      <protection hidden="1"/>
    </xf>
    <xf numFmtId="0" fontId="0" fillId="2" borderId="57" xfId="0" applyFont="1" applyFill="1" applyBorder="1" applyAlignment="1" applyProtection="1">
      <alignment wrapText="1"/>
      <protection hidden="1"/>
    </xf>
    <xf numFmtId="0" fontId="3" fillId="2" borderId="51" xfId="0" applyFont="1" applyFill="1" applyBorder="1" applyProtection="1">
      <protection hidden="1"/>
    </xf>
    <xf numFmtId="0" fontId="3" fillId="2" borderId="56" xfId="0" applyFont="1" applyFill="1" applyBorder="1" applyAlignment="1" applyProtection="1">
      <alignment wrapText="1"/>
      <protection hidden="1"/>
    </xf>
    <xf numFmtId="0" fontId="0" fillId="2" borderId="56" xfId="0" applyFont="1" applyFill="1" applyBorder="1" applyAlignment="1" applyProtection="1">
      <alignment wrapText="1"/>
      <protection hidden="1"/>
    </xf>
    <xf numFmtId="0" fontId="0" fillId="2" borderId="58" xfId="0" applyFont="1" applyFill="1" applyBorder="1" applyProtection="1">
      <protection hidden="1"/>
    </xf>
    <xf numFmtId="0" fontId="3" fillId="2" borderId="57" xfId="0" applyFont="1" applyFill="1" applyBorder="1" applyAlignment="1" applyProtection="1">
      <alignment horizontal="left" wrapText="1"/>
      <protection hidden="1"/>
    </xf>
    <xf numFmtId="0" fontId="0" fillId="2" borderId="57" xfId="0" applyFont="1" applyFill="1" applyBorder="1" applyAlignment="1" applyProtection="1">
      <alignment horizontal="left" wrapText="1"/>
      <protection hidden="1"/>
    </xf>
    <xf numFmtId="0" fontId="0" fillId="2" borderId="58" xfId="0" applyFont="1" applyFill="1" applyBorder="1" applyAlignment="1" applyProtection="1">
      <alignment horizontal="left" wrapText="1"/>
      <protection hidden="1"/>
    </xf>
    <xf numFmtId="0" fontId="0" fillId="2" borderId="57" xfId="0" applyFont="1" applyFill="1" applyBorder="1" applyAlignment="1" applyProtection="1">
      <alignment horizontal="left" vertical="center" wrapText="1"/>
      <protection hidden="1"/>
    </xf>
    <xf numFmtId="0" fontId="3" fillId="2" borderId="58" xfId="0" applyFont="1" applyFill="1" applyBorder="1" applyAlignment="1" applyProtection="1">
      <alignment horizontal="left" wrapText="1"/>
      <protection hidden="1"/>
    </xf>
    <xf numFmtId="0" fontId="3" fillId="2" borderId="59" xfId="0" applyFont="1" applyFill="1" applyBorder="1" applyProtection="1">
      <protection hidden="1"/>
    </xf>
    <xf numFmtId="0" fontId="34" fillId="0" borderId="0" xfId="0" applyNumberFormat="1" applyFont="1" applyFill="1" applyBorder="1" applyAlignment="1"/>
    <xf numFmtId="0" fontId="3" fillId="5" borderId="43" xfId="0" applyFont="1" applyFill="1" applyBorder="1" applyProtection="1">
      <protection hidden="1"/>
    </xf>
    <xf numFmtId="0" fontId="7" fillId="0" borderId="40" xfId="0" applyFont="1" applyBorder="1" applyAlignment="1">
      <alignment vertical="center" wrapText="1"/>
    </xf>
    <xf numFmtId="0" fontId="7" fillId="0" borderId="37" xfId="0" applyFont="1" applyBorder="1" applyAlignment="1">
      <alignment vertical="center" wrapText="1"/>
    </xf>
    <xf numFmtId="0" fontId="7" fillId="0" borderId="36" xfId="0" applyFont="1" applyBorder="1" applyAlignment="1">
      <alignment vertical="center" wrapText="1"/>
    </xf>
    <xf numFmtId="0" fontId="10" fillId="0" borderId="40" xfId="0" applyFont="1" applyBorder="1" applyAlignment="1">
      <alignment vertical="center" wrapText="1"/>
    </xf>
    <xf numFmtId="0" fontId="10" fillId="0" borderId="37" xfId="0" applyFont="1" applyBorder="1" applyAlignment="1">
      <alignment vertical="center" wrapText="1"/>
    </xf>
    <xf numFmtId="0" fontId="10" fillId="0" borderId="36" xfId="0" applyFont="1" applyBorder="1" applyAlignment="1">
      <alignment vertical="center" wrapText="1"/>
    </xf>
    <xf numFmtId="0" fontId="8" fillId="2" borderId="3" xfId="0" applyFont="1" applyFill="1" applyBorder="1" applyAlignment="1" applyProtection="1">
      <alignment horizontal="center" vertical="center"/>
    </xf>
    <xf numFmtId="0" fontId="8" fillId="2" borderId="5"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9" fillId="4" borderId="8" xfId="0" applyFont="1" applyFill="1" applyBorder="1" applyAlignment="1" applyProtection="1">
      <alignment horizontal="center" vertical="center" wrapText="1"/>
    </xf>
    <xf numFmtId="0" fontId="9" fillId="4" borderId="26" xfId="0" applyFont="1" applyFill="1" applyBorder="1" applyAlignment="1" applyProtection="1">
      <alignment horizontal="center" vertical="center" wrapText="1"/>
    </xf>
    <xf numFmtId="0" fontId="11" fillId="7" borderId="8" xfId="0" applyFont="1" applyFill="1" applyBorder="1" applyAlignment="1" applyProtection="1">
      <alignment horizontal="center" vertical="center" wrapText="1"/>
    </xf>
    <xf numFmtId="0" fontId="11" fillId="7" borderId="26" xfId="0" applyFont="1" applyFill="1" applyBorder="1" applyAlignment="1" applyProtection="1">
      <alignment horizontal="center" vertical="center" wrapText="1"/>
    </xf>
    <xf numFmtId="0" fontId="12" fillId="0" borderId="8" xfId="0" applyFont="1" applyBorder="1" applyAlignment="1" applyProtection="1">
      <alignment horizontal="center"/>
    </xf>
    <xf numFmtId="0" fontId="12" fillId="0" borderId="9" xfId="0" applyFont="1" applyBorder="1" applyAlignment="1" applyProtection="1">
      <alignment horizontal="center"/>
    </xf>
    <xf numFmtId="0" fontId="10" fillId="0" borderId="8" xfId="0" applyFont="1" applyBorder="1" applyAlignment="1" applyProtection="1">
      <alignment horizontal="center"/>
    </xf>
    <xf numFmtId="0" fontId="10" fillId="0" borderId="9" xfId="0" applyFont="1" applyBorder="1" applyAlignment="1" applyProtection="1">
      <alignment horizontal="center"/>
    </xf>
    <xf numFmtId="17" fontId="16" fillId="0" borderId="3" xfId="0" applyNumberFormat="1" applyFont="1" applyBorder="1" applyAlignment="1" applyProtection="1">
      <alignment horizontal="center" vertical="center"/>
    </xf>
    <xf numFmtId="17" fontId="16" fillId="0" borderId="5" xfId="0" applyNumberFormat="1" applyFont="1" applyBorder="1" applyAlignment="1" applyProtection="1">
      <alignment horizontal="center" vertical="center"/>
    </xf>
    <xf numFmtId="17" fontId="16" fillId="0" borderId="4" xfId="0" applyNumberFormat="1" applyFont="1" applyBorder="1" applyAlignment="1" applyProtection="1">
      <alignment horizontal="center" vertical="center"/>
    </xf>
    <xf numFmtId="0" fontId="16" fillId="0" borderId="5" xfId="0" applyFont="1" applyBorder="1" applyAlignment="1" applyProtection="1">
      <alignment horizontal="center" vertical="center"/>
    </xf>
    <xf numFmtId="0" fontId="16" fillId="0" borderId="4" xfId="0" applyFont="1" applyBorder="1" applyAlignment="1" applyProtection="1">
      <alignment horizontal="center" vertical="center"/>
    </xf>
    <xf numFmtId="1" fontId="8" fillId="2" borderId="33" xfId="0" applyNumberFormat="1" applyFont="1" applyFill="1" applyBorder="1" applyAlignment="1" applyProtection="1">
      <alignment horizontal="center" vertical="center"/>
    </xf>
    <xf numFmtId="0" fontId="8" fillId="2" borderId="33" xfId="0" applyFont="1" applyFill="1" applyBorder="1" applyAlignment="1" applyProtection="1">
      <alignment horizontal="center" vertical="center"/>
    </xf>
    <xf numFmtId="0" fontId="18" fillId="0" borderId="1" xfId="0" applyFont="1" applyBorder="1" applyAlignment="1">
      <alignment horizontal="right"/>
    </xf>
    <xf numFmtId="0" fontId="18" fillId="0" borderId="2" xfId="0" applyFont="1" applyBorder="1" applyAlignment="1">
      <alignment horizontal="right"/>
    </xf>
    <xf numFmtId="0" fontId="18" fillId="0" borderId="30" xfId="0" applyFont="1" applyBorder="1" applyAlignment="1">
      <alignment horizontal="right"/>
    </xf>
    <xf numFmtId="0" fontId="18" fillId="0" borderId="3" xfId="0" applyFont="1" applyBorder="1" applyAlignment="1">
      <alignment horizontal="right"/>
    </xf>
    <xf numFmtId="0" fontId="18" fillId="0" borderId="5" xfId="0" applyFont="1" applyBorder="1" applyAlignment="1">
      <alignment horizontal="right"/>
    </xf>
    <xf numFmtId="0" fontId="3" fillId="2" borderId="49" xfId="0" applyFont="1" applyFill="1" applyBorder="1" applyAlignment="1" applyProtection="1">
      <alignment horizontal="left" wrapText="1"/>
      <protection hidden="1"/>
    </xf>
    <xf numFmtId="0" fontId="3" fillId="2" borderId="43" xfId="0" applyFont="1" applyFill="1" applyBorder="1" applyAlignment="1" applyProtection="1">
      <alignment horizontal="left" wrapText="1"/>
      <protection hidden="1"/>
    </xf>
    <xf numFmtId="0" fontId="3" fillId="8" borderId="41" xfId="0" applyFont="1" applyFill="1" applyBorder="1" applyAlignment="1" applyProtection="1">
      <alignment horizontal="left" wrapText="1"/>
      <protection hidden="1"/>
    </xf>
    <xf numFmtId="0" fontId="3" fillId="8" borderId="19" xfId="0" applyFont="1" applyFill="1" applyBorder="1" applyAlignment="1" applyProtection="1">
      <alignment horizontal="left" wrapText="1"/>
      <protection hidden="1"/>
    </xf>
    <xf numFmtId="0" fontId="3" fillId="8" borderId="14" xfId="0" applyFont="1" applyFill="1" applyBorder="1" applyAlignment="1" applyProtection="1">
      <alignment horizontal="left" wrapText="1"/>
      <protection hidden="1"/>
    </xf>
    <xf numFmtId="0" fontId="3" fillId="8" borderId="41" xfId="0" applyFont="1" applyFill="1" applyBorder="1" applyAlignment="1" applyProtection="1">
      <alignment horizontal="left" vertical="center" wrapText="1"/>
      <protection hidden="1"/>
    </xf>
    <xf numFmtId="0" fontId="3" fillId="8" borderId="19" xfId="0" applyFont="1" applyFill="1" applyBorder="1" applyAlignment="1" applyProtection="1">
      <alignment horizontal="left" vertical="center" wrapText="1"/>
      <protection hidden="1"/>
    </xf>
    <xf numFmtId="0" fontId="3" fillId="8" borderId="14" xfId="0" applyFont="1" applyFill="1" applyBorder="1" applyAlignment="1" applyProtection="1">
      <alignment horizontal="left" vertical="center" wrapText="1"/>
      <protection hidden="1"/>
    </xf>
    <xf numFmtId="0" fontId="3" fillId="2" borderId="49" xfId="0" applyFont="1" applyFill="1" applyBorder="1" applyAlignment="1" applyProtection="1">
      <alignment horizontal="left" vertical="center" wrapText="1"/>
      <protection hidden="1"/>
    </xf>
    <xf numFmtId="0" fontId="3" fillId="2" borderId="43" xfId="0" applyFont="1" applyFill="1" applyBorder="1" applyAlignment="1" applyProtection="1">
      <alignment horizontal="left" vertical="center" wrapText="1"/>
      <protection hidden="1"/>
    </xf>
    <xf numFmtId="0" fontId="0" fillId="0" borderId="51" xfId="0" applyFont="1" applyFill="1" applyBorder="1" applyAlignment="1" applyProtection="1">
      <alignment horizontal="left" vertical="center" wrapText="1"/>
      <protection hidden="1"/>
    </xf>
    <xf numFmtId="0" fontId="0" fillId="0" borderId="44" xfId="0" applyFont="1" applyFill="1" applyBorder="1" applyAlignment="1" applyProtection="1">
      <alignment horizontal="left" vertical="center" wrapText="1"/>
      <protection hidden="1"/>
    </xf>
    <xf numFmtId="0" fontId="0" fillId="0" borderId="52" xfId="0" applyFont="1" applyFill="1" applyBorder="1" applyAlignment="1" applyProtection="1">
      <alignment horizontal="left" vertical="center" wrapText="1"/>
      <protection hidden="1"/>
    </xf>
    <xf numFmtId="0" fontId="0" fillId="0" borderId="48" xfId="0" applyFont="1" applyFill="1" applyBorder="1" applyAlignment="1" applyProtection="1">
      <alignment horizontal="left" vertical="center" wrapText="1"/>
      <protection hidden="1"/>
    </xf>
    <xf numFmtId="0" fontId="35" fillId="5" borderId="0" xfId="0" applyFont="1" applyFill="1" applyAlignment="1" applyProtection="1">
      <alignment horizontal="right"/>
      <protection hidden="1"/>
    </xf>
    <xf numFmtId="0" fontId="3" fillId="5" borderId="0" xfId="0" applyFont="1" applyFill="1" applyAlignment="1" applyProtection="1">
      <alignment horizontal="right"/>
      <protection hidden="1"/>
    </xf>
    <xf numFmtId="0" fontId="3" fillId="5" borderId="0" xfId="0" applyFont="1" applyFill="1" applyBorder="1" applyAlignment="1" applyProtection="1">
      <alignment horizontal="right"/>
      <protection hidden="1"/>
    </xf>
    <xf numFmtId="0" fontId="0" fillId="0" borderId="53" xfId="0" applyFont="1" applyFill="1" applyBorder="1" applyAlignment="1" applyProtection="1">
      <alignment horizontal="left" vertical="center" wrapText="1"/>
      <protection hidden="1"/>
    </xf>
    <xf numFmtId="0" fontId="0" fillId="0" borderId="50" xfId="0" applyFont="1" applyFill="1" applyBorder="1" applyAlignment="1" applyProtection="1">
      <alignment horizontal="left" vertical="center" wrapText="1"/>
      <protection hidden="1"/>
    </xf>
    <xf numFmtId="0" fontId="0" fillId="0" borderId="54" xfId="0" applyFont="1" applyFill="1" applyBorder="1" applyAlignment="1" applyProtection="1">
      <alignment horizontal="left" vertical="center" wrapText="1"/>
      <protection hidden="1"/>
    </xf>
    <xf numFmtId="0" fontId="0" fillId="0" borderId="47" xfId="0" applyFont="1" applyFill="1" applyBorder="1" applyAlignment="1" applyProtection="1">
      <alignment horizontal="left" vertical="center" wrapText="1"/>
      <protection hidden="1"/>
    </xf>
    <xf numFmtId="0" fontId="0" fillId="0" borderId="41" xfId="0" applyFont="1" applyFill="1" applyBorder="1" applyAlignment="1" applyProtection="1">
      <alignment horizontal="left" vertical="center" wrapText="1"/>
      <protection hidden="1"/>
    </xf>
    <xf numFmtId="0" fontId="0" fillId="0" borderId="14" xfId="0" applyFont="1" applyFill="1" applyBorder="1" applyAlignment="1" applyProtection="1">
      <alignment horizontal="left" vertical="center" wrapText="1"/>
      <protection hidden="1"/>
    </xf>
    <xf numFmtId="0" fontId="3" fillId="8" borderId="20" xfId="0" applyFont="1" applyFill="1" applyBorder="1" applyAlignment="1" applyProtection="1">
      <alignment horizontal="center" vertical="center" wrapText="1"/>
      <protection hidden="1"/>
    </xf>
    <xf numFmtId="0" fontId="3" fillId="8" borderId="44" xfId="0" applyFont="1" applyFill="1" applyBorder="1" applyAlignment="1" applyProtection="1">
      <alignment horizontal="center" vertical="center" wrapText="1"/>
      <protection hidden="1"/>
    </xf>
    <xf numFmtId="0" fontId="3" fillId="8" borderId="55" xfId="0" applyFont="1" applyFill="1" applyBorder="1" applyAlignment="1" applyProtection="1">
      <alignment horizontal="center" vertical="center" wrapText="1"/>
      <protection hidden="1"/>
    </xf>
    <xf numFmtId="17" fontId="3" fillId="8" borderId="41" xfId="0" applyNumberFormat="1" applyFont="1" applyFill="1" applyBorder="1" applyAlignment="1" applyProtection="1">
      <alignment horizontal="center" vertical="center"/>
      <protection hidden="1"/>
    </xf>
    <xf numFmtId="17" fontId="3" fillId="8" borderId="19" xfId="0" applyNumberFormat="1" applyFont="1" applyFill="1" applyBorder="1" applyAlignment="1" applyProtection="1">
      <alignment horizontal="center" vertical="center"/>
      <protection hidden="1"/>
    </xf>
    <xf numFmtId="17" fontId="3" fillId="8" borderId="14" xfId="0" applyNumberFormat="1" applyFont="1" applyFill="1" applyBorder="1" applyAlignment="1" applyProtection="1">
      <alignment horizontal="center" vertical="center"/>
      <protection hidden="1"/>
    </xf>
    <xf numFmtId="1" fontId="0" fillId="5" borderId="0" xfId="0" applyNumberFormat="1" applyFill="1" applyBorder="1" applyAlignment="1" applyProtection="1">
      <alignment horizontal="left"/>
      <protection hidden="1"/>
    </xf>
    <xf numFmtId="0" fontId="4" fillId="5" borderId="0" xfId="0" applyFont="1" applyFill="1" applyBorder="1" applyAlignment="1" applyProtection="1">
      <alignment horizontal="center"/>
      <protection hidden="1"/>
    </xf>
    <xf numFmtId="0" fontId="3" fillId="8" borderId="15" xfId="0" applyFont="1" applyFill="1" applyBorder="1" applyAlignment="1" applyProtection="1">
      <alignment horizontal="right"/>
      <protection hidden="1"/>
    </xf>
    <xf numFmtId="1" fontId="3" fillId="5" borderId="43" xfId="0" applyNumberFormat="1" applyFont="1" applyFill="1" applyBorder="1" applyAlignment="1" applyProtection="1">
      <alignment horizontal="right"/>
      <protection hidden="1"/>
    </xf>
    <xf numFmtId="0" fontId="3" fillId="8" borderId="41" xfId="0" applyFont="1" applyFill="1" applyBorder="1" applyAlignment="1" applyProtection="1">
      <alignment horizontal="center" vertical="center"/>
      <protection hidden="1"/>
    </xf>
    <xf numFmtId="0" fontId="3" fillId="8" borderId="14" xfId="0" applyFont="1" applyFill="1" applyBorder="1" applyAlignment="1" applyProtection="1">
      <alignment horizontal="center" vertical="center"/>
      <protection hidden="1"/>
    </xf>
  </cellXfs>
  <cellStyles count="4">
    <cellStyle name="Normal" xfId="0" builtinId="0"/>
    <cellStyle name="Normal 2" xfId="2"/>
    <cellStyle name="Percent" xfId="1" builtinId="5"/>
    <cellStyle name="Percent 2" xfId="3"/>
  </cellStyles>
  <dxfs count="26">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Worksheet!$N$33</c:f>
              <c:strCache>
                <c:ptCount val="1"/>
                <c:pt idx="0">
                  <c:v>Oct-16</c:v>
                </c:pt>
              </c:strCache>
            </c:strRef>
          </c:tx>
          <c:spPr>
            <a:ln w="28575" cap="rnd">
              <a:solidFill>
                <a:schemeClr val="accent1"/>
              </a:solidFill>
              <a:round/>
            </a:ln>
            <a:effectLst/>
          </c:spPr>
          <c:marker>
            <c:symbol val="none"/>
          </c:marker>
          <c:cat>
            <c:strRef>
              <c:f>Worksheet!$O$32:$S$32</c:f>
              <c:strCache>
                <c:ptCount val="5"/>
                <c:pt idx="0">
                  <c:v>Completeness</c:v>
                </c:pt>
                <c:pt idx="1">
                  <c:v>Consistency </c:v>
                </c:pt>
                <c:pt idx="2">
                  <c:v>Precision </c:v>
                </c:pt>
                <c:pt idx="3">
                  <c:v>Integrity </c:v>
                </c:pt>
                <c:pt idx="4">
                  <c:v>Validty </c:v>
                </c:pt>
              </c:strCache>
            </c:strRef>
          </c:cat>
          <c:val>
            <c:numRef>
              <c:f>Worksheet!$O$33:$S$33</c:f>
              <c:numCache>
                <c:formatCode>0</c:formatCode>
                <c:ptCount val="5"/>
                <c:pt idx="0">
                  <c:v>1.8611111111111112</c:v>
                </c:pt>
                <c:pt idx="1">
                  <c:v>18.129629629629633</c:v>
                </c:pt>
                <c:pt idx="2">
                  <c:v>4.666666666666667</c:v>
                </c:pt>
                <c:pt idx="3">
                  <c:v>3.6388888888888888</c:v>
                </c:pt>
                <c:pt idx="4">
                  <c:v>49.638888888888886</c:v>
                </c:pt>
              </c:numCache>
            </c:numRef>
          </c:val>
          <c:extLst xmlns:c16r2="http://schemas.microsoft.com/office/drawing/2015/06/chart">
            <c:ext xmlns:c16="http://schemas.microsoft.com/office/drawing/2014/chart" uri="{C3380CC4-5D6E-409C-BE32-E72D297353CC}">
              <c16:uniqueId val="{00000000-5D84-4A27-9642-13459CE06818}"/>
            </c:ext>
          </c:extLst>
        </c:ser>
        <c:ser>
          <c:idx val="1"/>
          <c:order val="1"/>
          <c:tx>
            <c:strRef>
              <c:f>Worksheet!$N$34</c:f>
              <c:strCache>
                <c:ptCount val="1"/>
                <c:pt idx="0">
                  <c:v>Nov-16</c:v>
                </c:pt>
              </c:strCache>
            </c:strRef>
          </c:tx>
          <c:spPr>
            <a:ln w="28575" cap="rnd">
              <a:solidFill>
                <a:schemeClr val="accent2"/>
              </a:solidFill>
              <a:round/>
            </a:ln>
            <a:effectLst/>
          </c:spPr>
          <c:marker>
            <c:symbol val="none"/>
          </c:marker>
          <c:cat>
            <c:strRef>
              <c:f>Worksheet!$O$32:$S$32</c:f>
              <c:strCache>
                <c:ptCount val="5"/>
                <c:pt idx="0">
                  <c:v>Completeness</c:v>
                </c:pt>
                <c:pt idx="1">
                  <c:v>Consistency </c:v>
                </c:pt>
                <c:pt idx="2">
                  <c:v>Precision </c:v>
                </c:pt>
                <c:pt idx="3">
                  <c:v>Integrity </c:v>
                </c:pt>
                <c:pt idx="4">
                  <c:v>Validty </c:v>
                </c:pt>
              </c:strCache>
            </c:strRef>
          </c:cat>
          <c:val>
            <c:numRef>
              <c:f>Worksheet!$O$34:$S$34</c:f>
              <c:numCache>
                <c:formatCode>0</c:formatCode>
                <c:ptCount val="5"/>
                <c:pt idx="0">
                  <c:v>2.7777777777777777</c:v>
                </c:pt>
                <c:pt idx="1">
                  <c:v>18.342592592592592</c:v>
                </c:pt>
                <c:pt idx="2">
                  <c:v>3.75</c:v>
                </c:pt>
                <c:pt idx="3">
                  <c:v>4.3796296296296298</c:v>
                </c:pt>
                <c:pt idx="4">
                  <c:v>88.31481481481481</c:v>
                </c:pt>
              </c:numCache>
            </c:numRef>
          </c:val>
          <c:extLst xmlns:c16r2="http://schemas.microsoft.com/office/drawing/2015/06/chart">
            <c:ext xmlns:c16="http://schemas.microsoft.com/office/drawing/2014/chart" uri="{C3380CC4-5D6E-409C-BE32-E72D297353CC}">
              <c16:uniqueId val="{00000001-5D84-4A27-9642-13459CE06818}"/>
            </c:ext>
          </c:extLst>
        </c:ser>
        <c:ser>
          <c:idx val="2"/>
          <c:order val="2"/>
          <c:tx>
            <c:strRef>
              <c:f>Worksheet!$N$35</c:f>
              <c:strCache>
                <c:ptCount val="1"/>
                <c:pt idx="0">
                  <c:v>Dec-16</c:v>
                </c:pt>
              </c:strCache>
            </c:strRef>
          </c:tx>
          <c:spPr>
            <a:ln w="28575" cap="rnd">
              <a:solidFill>
                <a:schemeClr val="accent3"/>
              </a:solidFill>
              <a:round/>
            </a:ln>
            <a:effectLst/>
          </c:spPr>
          <c:marker>
            <c:symbol val="none"/>
          </c:marker>
          <c:cat>
            <c:strRef>
              <c:f>Worksheet!$O$32:$S$32</c:f>
              <c:strCache>
                <c:ptCount val="5"/>
                <c:pt idx="0">
                  <c:v>Completeness</c:v>
                </c:pt>
                <c:pt idx="1">
                  <c:v>Consistency </c:v>
                </c:pt>
                <c:pt idx="2">
                  <c:v>Precision </c:v>
                </c:pt>
                <c:pt idx="3">
                  <c:v>Integrity </c:v>
                </c:pt>
                <c:pt idx="4">
                  <c:v>Validty </c:v>
                </c:pt>
              </c:strCache>
            </c:strRef>
          </c:cat>
          <c:val>
            <c:numRef>
              <c:f>Worksheet!$O$35:$S$35</c:f>
              <c:numCache>
                <c:formatCode>0</c:formatCode>
                <c:ptCount val="5"/>
                <c:pt idx="0">
                  <c:v>2.1111111111111112</c:v>
                </c:pt>
                <c:pt idx="1">
                  <c:v>24.212962962962962</c:v>
                </c:pt>
                <c:pt idx="2">
                  <c:v>4.166666666666667</c:v>
                </c:pt>
                <c:pt idx="3">
                  <c:v>4.916666666666667</c:v>
                </c:pt>
                <c:pt idx="4">
                  <c:v>50.305555555555557</c:v>
                </c:pt>
              </c:numCache>
            </c:numRef>
          </c:val>
          <c:extLst xmlns:c16r2="http://schemas.microsoft.com/office/drawing/2015/06/chart">
            <c:ext xmlns:c16="http://schemas.microsoft.com/office/drawing/2014/chart" uri="{C3380CC4-5D6E-409C-BE32-E72D297353CC}">
              <c16:uniqueId val="{00000002-5D84-4A27-9642-13459CE06818}"/>
            </c:ext>
          </c:extLst>
        </c:ser>
        <c:dLbls>
          <c:showLegendKey val="0"/>
          <c:showVal val="0"/>
          <c:showCatName val="0"/>
          <c:showSerName val="0"/>
          <c:showPercent val="0"/>
          <c:showBubbleSize val="0"/>
        </c:dLbls>
        <c:axId val="433110920"/>
        <c:axId val="433108960"/>
      </c:radarChart>
      <c:catAx>
        <c:axId val="433110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33108960"/>
        <c:crosses val="autoZero"/>
        <c:auto val="1"/>
        <c:lblAlgn val="ctr"/>
        <c:lblOffset val="100"/>
        <c:noMultiLvlLbl val="0"/>
      </c:catAx>
      <c:valAx>
        <c:axId val="43310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11092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127000</xdr:colOff>
      <xdr:row>30</xdr:row>
      <xdr:rowOff>101600</xdr:rowOff>
    </xdr:from>
    <xdr:to>
      <xdr:col>21</xdr:col>
      <xdr:colOff>431800</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819150</xdr:colOff>
          <xdr:row>1</xdr:row>
          <xdr:rowOff>228600</xdr:rowOff>
        </xdr:from>
        <xdr:to>
          <xdr:col>10</xdr:col>
          <xdr:colOff>304800</xdr:colOff>
          <xdr:row>1</xdr:row>
          <xdr:rowOff>552450</xdr:rowOff>
        </xdr:to>
        <xdr:sp macro="" textlink="">
          <xdr:nvSpPr>
            <xdr:cNvPr id="7170" name="Button 2" descr="Complete"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28" t="s">
        <v>212</v>
      </c>
      <c r="D1" s="29" t="s">
        <v>169</v>
      </c>
      <c r="E1" s="29" t="s">
        <v>170</v>
      </c>
    </row>
    <row r="2" spans="3:5" x14ac:dyDescent="0.25">
      <c r="C2" s="239" t="s">
        <v>6</v>
      </c>
      <c r="D2" s="236" t="s">
        <v>171</v>
      </c>
      <c r="E2" s="30" t="s">
        <v>172</v>
      </c>
    </row>
    <row r="3" spans="3:5" x14ac:dyDescent="0.25">
      <c r="C3" s="240"/>
      <c r="D3" s="237"/>
      <c r="E3" s="30"/>
    </row>
    <row r="4" spans="3:5" ht="30.75" thickBot="1" x14ac:dyDescent="0.3">
      <c r="C4" s="240"/>
      <c r="D4" s="238"/>
      <c r="E4" s="31" t="s">
        <v>173</v>
      </c>
    </row>
    <row r="5" spans="3:5" x14ac:dyDescent="0.25">
      <c r="C5" s="240"/>
      <c r="D5" s="236" t="s">
        <v>174</v>
      </c>
      <c r="E5" s="30" t="s">
        <v>175</v>
      </c>
    </row>
    <row r="6" spans="3:5" ht="15.75" thickBot="1" x14ac:dyDescent="0.3">
      <c r="C6" s="240"/>
      <c r="D6" s="238"/>
      <c r="E6" s="31" t="s">
        <v>176</v>
      </c>
    </row>
    <row r="7" spans="3:5" ht="60.75" thickBot="1" x14ac:dyDescent="0.3">
      <c r="C7" s="240"/>
      <c r="D7" s="31" t="s">
        <v>177</v>
      </c>
      <c r="E7" s="31" t="s">
        <v>178</v>
      </c>
    </row>
    <row r="8" spans="3:5" ht="30.75" thickBot="1" x14ac:dyDescent="0.3">
      <c r="C8" s="240"/>
      <c r="D8" s="32" t="s">
        <v>179</v>
      </c>
      <c r="E8" s="31" t="s">
        <v>180</v>
      </c>
    </row>
    <row r="9" spans="3:5" x14ac:dyDescent="0.25">
      <c r="C9" s="240"/>
      <c r="D9" s="236" t="s">
        <v>181</v>
      </c>
      <c r="E9" s="30" t="s">
        <v>182</v>
      </c>
    </row>
    <row r="10" spans="3:5" ht="45.75" thickBot="1" x14ac:dyDescent="0.3">
      <c r="C10" s="241"/>
      <c r="D10" s="238"/>
      <c r="E10" s="31" t="s">
        <v>183</v>
      </c>
    </row>
    <row r="11" spans="3:5" ht="45.75" thickBot="1" x14ac:dyDescent="0.3">
      <c r="C11" s="239" t="s">
        <v>13</v>
      </c>
      <c r="D11" s="31" t="s">
        <v>184</v>
      </c>
      <c r="E11" s="31" t="s">
        <v>185</v>
      </c>
    </row>
    <row r="12" spans="3:5" ht="60.75" thickBot="1" x14ac:dyDescent="0.3">
      <c r="C12" s="240"/>
      <c r="D12" s="31" t="s">
        <v>186</v>
      </c>
      <c r="E12" s="31" t="s">
        <v>187</v>
      </c>
    </row>
    <row r="13" spans="3:5" x14ac:dyDescent="0.25">
      <c r="C13" s="240"/>
      <c r="D13" s="30"/>
      <c r="E13" s="30" t="s">
        <v>189</v>
      </c>
    </row>
    <row r="14" spans="3:5" ht="105.75" thickBot="1" x14ac:dyDescent="0.3">
      <c r="C14" s="240"/>
      <c r="D14" s="32" t="s">
        <v>188</v>
      </c>
      <c r="E14" s="31" t="s">
        <v>190</v>
      </c>
    </row>
    <row r="15" spans="3:5" x14ac:dyDescent="0.25">
      <c r="C15" s="240"/>
      <c r="D15" s="30"/>
      <c r="E15" s="236" t="s">
        <v>194</v>
      </c>
    </row>
    <row r="16" spans="3:5" ht="30" x14ac:dyDescent="0.25">
      <c r="C16" s="240"/>
      <c r="D16" s="30" t="s">
        <v>191</v>
      </c>
      <c r="E16" s="237"/>
    </row>
    <row r="17" spans="3:5" ht="30" x14ac:dyDescent="0.25">
      <c r="C17" s="240"/>
      <c r="D17" s="30" t="s">
        <v>192</v>
      </c>
      <c r="E17" s="237"/>
    </row>
    <row r="18" spans="3:5" ht="15.75" thickBot="1" x14ac:dyDescent="0.3">
      <c r="C18" s="241"/>
      <c r="D18" s="31" t="s">
        <v>193</v>
      </c>
      <c r="E18" s="238"/>
    </row>
    <row r="19" spans="3:5" ht="45.75" thickBot="1" x14ac:dyDescent="0.3">
      <c r="C19" s="239" t="s">
        <v>25</v>
      </c>
      <c r="D19" s="31" t="s">
        <v>195</v>
      </c>
      <c r="E19" s="31" t="s">
        <v>194</v>
      </c>
    </row>
    <row r="20" spans="3:5" x14ac:dyDescent="0.25">
      <c r="C20" s="240"/>
      <c r="D20" s="30" t="s">
        <v>196</v>
      </c>
      <c r="E20" s="30" t="s">
        <v>199</v>
      </c>
    </row>
    <row r="21" spans="3:5" ht="30" x14ac:dyDescent="0.25">
      <c r="C21" s="240"/>
      <c r="D21" s="30" t="s">
        <v>197</v>
      </c>
      <c r="E21" s="30" t="s">
        <v>200</v>
      </c>
    </row>
    <row r="22" spans="3:5" ht="30.75" thickBot="1" x14ac:dyDescent="0.3">
      <c r="C22" s="240"/>
      <c r="D22" s="31" t="s">
        <v>198</v>
      </c>
      <c r="E22" s="33"/>
    </row>
    <row r="23" spans="3:5" ht="30.75" thickBot="1" x14ac:dyDescent="0.3">
      <c r="C23" s="241"/>
      <c r="D23" s="32" t="s">
        <v>201</v>
      </c>
      <c r="E23" s="31" t="s">
        <v>173</v>
      </c>
    </row>
    <row r="24" spans="3:5" ht="60.75" thickBot="1" x14ac:dyDescent="0.3">
      <c r="C24" s="239" t="s">
        <v>23</v>
      </c>
      <c r="D24" s="32" t="s">
        <v>202</v>
      </c>
      <c r="E24" s="31" t="s">
        <v>203</v>
      </c>
    </row>
    <row r="25" spans="3:5" ht="30" x14ac:dyDescent="0.25">
      <c r="C25" s="240"/>
      <c r="D25" s="30" t="s">
        <v>204</v>
      </c>
      <c r="E25" s="236" t="s">
        <v>194</v>
      </c>
    </row>
    <row r="26" spans="3:5" ht="30" x14ac:dyDescent="0.25">
      <c r="C26" s="240"/>
      <c r="D26" s="30" t="s">
        <v>205</v>
      </c>
      <c r="E26" s="237"/>
    </row>
    <row r="27" spans="3:5" ht="15.75" thickBot="1" x14ac:dyDescent="0.3">
      <c r="C27" s="240"/>
      <c r="D27" s="31" t="s">
        <v>206</v>
      </c>
      <c r="E27" s="238"/>
    </row>
    <row r="28" spans="3:5" ht="45.75" thickBot="1" x14ac:dyDescent="0.3">
      <c r="C28" s="241"/>
      <c r="D28" s="31" t="s">
        <v>207</v>
      </c>
      <c r="E28" s="31" t="s">
        <v>183</v>
      </c>
    </row>
    <row r="29" spans="3:5" ht="45.75" thickBot="1" x14ac:dyDescent="0.3">
      <c r="C29" s="239" t="s">
        <v>12</v>
      </c>
      <c r="D29" s="32" t="s">
        <v>208</v>
      </c>
      <c r="E29" s="31" t="s">
        <v>203</v>
      </c>
    </row>
    <row r="30" spans="3:5" ht="30" x14ac:dyDescent="0.25">
      <c r="C30" s="240"/>
      <c r="D30" s="30" t="s">
        <v>209</v>
      </c>
      <c r="E30" s="236" t="s">
        <v>173</v>
      </c>
    </row>
    <row r="31" spans="3:5" ht="15.75" thickBot="1" x14ac:dyDescent="0.3">
      <c r="C31" s="240"/>
      <c r="D31" s="31" t="s">
        <v>210</v>
      </c>
      <c r="E31" s="238"/>
    </row>
    <row r="32" spans="3:5" ht="45.75" thickBot="1" x14ac:dyDescent="0.3">
      <c r="C32" s="241"/>
      <c r="D32" s="31" t="s">
        <v>211</v>
      </c>
      <c r="E32" s="31" t="s">
        <v>180</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V29"/>
  <sheetViews>
    <sheetView zoomScale="62" zoomScaleNormal="62" workbookViewId="0">
      <pane xSplit="3" ySplit="9" topLeftCell="D10" activePane="bottomRight" state="frozen"/>
      <selection pane="topRight" activeCell="D1" sqref="D1"/>
      <selection pane="bottomLeft" activeCell="A10" sqref="A10"/>
      <selection pane="bottomRight" activeCell="AA12" sqref="AA12"/>
    </sheetView>
  </sheetViews>
  <sheetFormatPr defaultColWidth="9.140625" defaultRowHeight="15" x14ac:dyDescent="0.25"/>
  <cols>
    <col min="1" max="1" width="4.85546875" style="10" customWidth="1"/>
    <col min="2" max="2" width="7" style="10" customWidth="1"/>
    <col min="3" max="3" width="14.7109375" style="10" customWidth="1"/>
    <col min="4" max="4" width="50.28515625" style="10" customWidth="1"/>
    <col min="5" max="19" width="13" style="10" customWidth="1"/>
    <col min="20" max="20" width="12.140625" style="10" customWidth="1"/>
    <col min="21" max="21" width="19.140625" style="10" customWidth="1"/>
    <col min="22" max="16384" width="9.140625" style="10"/>
  </cols>
  <sheetData>
    <row r="1" spans="2:22" x14ac:dyDescent="0.25">
      <c r="J1" s="10">
        <v>51</v>
      </c>
      <c r="O1" s="10">
        <v>25</v>
      </c>
    </row>
    <row r="2" spans="2:22" ht="15.75" thickBot="1" x14ac:dyDescent="0.3"/>
    <row r="3" spans="2:22" ht="32.25" thickBot="1" x14ac:dyDescent="0.3">
      <c r="B3" s="242" t="s">
        <v>4</v>
      </c>
      <c r="C3" s="243"/>
      <c r="D3" s="243"/>
      <c r="E3" s="243"/>
      <c r="F3" s="243"/>
      <c r="G3" s="243"/>
      <c r="H3" s="243"/>
      <c r="I3" s="243"/>
      <c r="J3" s="243"/>
      <c r="K3" s="243"/>
      <c r="L3" s="243"/>
      <c r="M3" s="243"/>
      <c r="N3" s="243"/>
      <c r="O3" s="243"/>
      <c r="P3" s="243"/>
      <c r="Q3" s="243"/>
      <c r="R3" s="243"/>
      <c r="S3" s="243"/>
      <c r="T3" s="243"/>
      <c r="U3" s="244"/>
    </row>
    <row r="4" spans="2:22" ht="32.25" thickBot="1" x14ac:dyDescent="0.45">
      <c r="B4" s="260" t="s">
        <v>167</v>
      </c>
      <c r="C4" s="261"/>
      <c r="D4" s="262"/>
      <c r="E4" s="258" t="str">
        <f>Worksheet!O3</f>
        <v>CCCRN</v>
      </c>
      <c r="F4" s="243"/>
      <c r="G4" s="243"/>
      <c r="H4" s="243"/>
      <c r="I4" s="243"/>
      <c r="J4" s="243"/>
      <c r="K4" s="244"/>
      <c r="L4" s="263" t="s">
        <v>1861</v>
      </c>
      <c r="M4" s="264"/>
      <c r="N4" s="264"/>
      <c r="O4" s="264"/>
      <c r="P4" s="242" t="str">
        <f>Worksheet!L27</f>
        <v>John Doe</v>
      </c>
      <c r="Q4" s="243"/>
      <c r="R4" s="243"/>
      <c r="S4" s="243"/>
      <c r="T4" s="243"/>
      <c r="U4" s="244"/>
    </row>
    <row r="5" spans="2:22" ht="32.25" thickBot="1" x14ac:dyDescent="0.45">
      <c r="B5" s="260" t="s">
        <v>166</v>
      </c>
      <c r="C5" s="261" t="s">
        <v>0</v>
      </c>
      <c r="D5" s="262"/>
      <c r="E5" s="258" t="str">
        <f>Worksheet!Q3</f>
        <v>Ebonyi</v>
      </c>
      <c r="F5" s="243"/>
      <c r="G5" s="243"/>
      <c r="H5" s="243"/>
      <c r="I5" s="243"/>
      <c r="J5" s="243"/>
      <c r="K5" s="244"/>
      <c r="L5" s="263" t="s">
        <v>1863</v>
      </c>
      <c r="M5" s="264"/>
      <c r="N5" s="264"/>
      <c r="O5" s="264"/>
      <c r="P5" s="242" t="str">
        <f>(Worksheet!R27&amp;" :- "&amp;Worksheet!V27)</f>
        <v>John :- 10th Feb 2017</v>
      </c>
      <c r="Q5" s="243"/>
      <c r="R5" s="243"/>
      <c r="S5" s="243"/>
      <c r="T5" s="243"/>
      <c r="U5" s="244"/>
    </row>
    <row r="6" spans="2:22" ht="32.25" thickBot="1" x14ac:dyDescent="0.45">
      <c r="B6" s="260" t="s">
        <v>165</v>
      </c>
      <c r="C6" s="261"/>
      <c r="D6" s="262" t="s">
        <v>1</v>
      </c>
      <c r="E6" s="258" t="str">
        <f>Worksheet!S3</f>
        <v>eb Abakaliki</v>
      </c>
      <c r="F6" s="243"/>
      <c r="G6" s="243"/>
      <c r="H6" s="243"/>
      <c r="I6" s="243"/>
      <c r="J6" s="243"/>
      <c r="K6" s="244"/>
      <c r="L6" s="263" t="s">
        <v>1862</v>
      </c>
      <c r="M6" s="264"/>
      <c r="N6" s="264"/>
      <c r="O6" s="264"/>
      <c r="P6" s="242" t="str">
        <f>Worksheet!L29</f>
        <v>Mary Doe</v>
      </c>
      <c r="Q6" s="243"/>
      <c r="R6" s="243"/>
      <c r="S6" s="243"/>
      <c r="T6" s="243"/>
      <c r="U6" s="244"/>
    </row>
    <row r="7" spans="2:22" ht="32.25" thickBot="1" x14ac:dyDescent="0.45">
      <c r="B7" s="260" t="s">
        <v>164</v>
      </c>
      <c r="C7" s="261"/>
      <c r="D7" s="262" t="s">
        <v>2</v>
      </c>
      <c r="E7" s="259" t="str">
        <f>Worksheet!U3</f>
        <v>Mercy Hospital and Maternity</v>
      </c>
      <c r="F7" s="243"/>
      <c r="G7" s="243"/>
      <c r="H7" s="243"/>
      <c r="I7" s="243"/>
      <c r="J7" s="243"/>
      <c r="K7" s="244"/>
      <c r="L7" s="263" t="s">
        <v>1863</v>
      </c>
      <c r="M7" s="264"/>
      <c r="N7" s="264"/>
      <c r="O7" s="264"/>
      <c r="P7" s="242" t="str">
        <f>(Worksheet!R29&amp;" :- "&amp;Worksheet!V29)</f>
        <v xml:space="preserve"> :- </v>
      </c>
      <c r="Q7" s="243"/>
      <c r="R7" s="243"/>
      <c r="S7" s="243"/>
      <c r="T7" s="243"/>
      <c r="U7" s="244"/>
    </row>
    <row r="8" spans="2:22" ht="23.25" customHeight="1" thickBot="1" x14ac:dyDescent="0.3">
      <c r="B8" s="249" t="s">
        <v>10</v>
      </c>
      <c r="C8" s="251" t="s">
        <v>89</v>
      </c>
      <c r="D8" s="15" t="s">
        <v>90</v>
      </c>
      <c r="E8" s="253">
        <v>42644</v>
      </c>
      <c r="F8" s="254"/>
      <c r="G8" s="254"/>
      <c r="H8" s="254"/>
      <c r="I8" s="255"/>
      <c r="J8" s="253">
        <v>42675</v>
      </c>
      <c r="K8" s="256"/>
      <c r="L8" s="256"/>
      <c r="M8" s="256"/>
      <c r="N8" s="257"/>
      <c r="O8" s="253">
        <v>42705</v>
      </c>
      <c r="P8" s="256"/>
      <c r="Q8" s="256"/>
      <c r="R8" s="256"/>
      <c r="S8" s="257"/>
      <c r="T8" s="245" t="s">
        <v>5</v>
      </c>
      <c r="U8" s="247" t="s">
        <v>168</v>
      </c>
    </row>
    <row r="9" spans="2:22" s="13" customFormat="1" ht="29.25" customHeight="1" thickBot="1" x14ac:dyDescent="0.25">
      <c r="B9" s="250"/>
      <c r="C9" s="252"/>
      <c r="D9" s="16" t="s">
        <v>91</v>
      </c>
      <c r="E9" s="12" t="s">
        <v>6</v>
      </c>
      <c r="F9" s="12" t="s">
        <v>7</v>
      </c>
      <c r="G9" s="12" t="s">
        <v>8</v>
      </c>
      <c r="H9" s="12" t="s">
        <v>1442</v>
      </c>
      <c r="I9" s="21" t="s">
        <v>9</v>
      </c>
      <c r="J9" s="12" t="s">
        <v>6</v>
      </c>
      <c r="K9" s="12" t="s">
        <v>7</v>
      </c>
      <c r="L9" s="12" t="s">
        <v>8</v>
      </c>
      <c r="M9" s="12" t="s">
        <v>1442</v>
      </c>
      <c r="N9" s="21" t="s">
        <v>9</v>
      </c>
      <c r="O9" s="12" t="s">
        <v>6</v>
      </c>
      <c r="P9" s="12" t="s">
        <v>7</v>
      </c>
      <c r="Q9" s="12" t="s">
        <v>8</v>
      </c>
      <c r="R9" s="12" t="s">
        <v>1442</v>
      </c>
      <c r="S9" s="21" t="s">
        <v>9</v>
      </c>
      <c r="T9" s="246"/>
      <c r="U9" s="248"/>
    </row>
    <row r="10" spans="2:22" ht="54" customHeight="1" thickBot="1" x14ac:dyDescent="0.3">
      <c r="B10" s="11">
        <v>1</v>
      </c>
      <c r="C10" s="12" t="s">
        <v>92</v>
      </c>
      <c r="D10" s="14" t="s">
        <v>119</v>
      </c>
      <c r="E10" s="72">
        <f ca="1">'Data entry'!C368</f>
        <v>14.666666666666666</v>
      </c>
      <c r="F10" s="73">
        <f ca="1">'Data entry'!C380</f>
        <v>0</v>
      </c>
      <c r="G10" s="73">
        <f ca="1">'Data entry'!C390</f>
        <v>0</v>
      </c>
      <c r="H10" s="73">
        <f ca="1">'Data entry'!C439</f>
        <v>0</v>
      </c>
      <c r="I10" s="73">
        <f ca="1">'Data entry'!C450</f>
        <v>0</v>
      </c>
      <c r="J10" s="74">
        <f ca="1">'Data entry'!D368</f>
        <v>38</v>
      </c>
      <c r="K10" s="74">
        <f ca="1">'Data entry'!D380</f>
        <v>0</v>
      </c>
      <c r="L10" s="74">
        <f ca="1">'Data entry'!D390</f>
        <v>0</v>
      </c>
      <c r="M10" s="74">
        <f ca="1">'Data entry'!D439</f>
        <v>0</v>
      </c>
      <c r="N10" s="74">
        <f ca="1">'Data entry'!D450</f>
        <v>0</v>
      </c>
      <c r="O10" s="74">
        <f ca="1">'Data entry'!E368</f>
        <v>14.666666666666666</v>
      </c>
      <c r="P10" s="74">
        <f ca="1">'Data entry'!E380</f>
        <v>0</v>
      </c>
      <c r="Q10" s="74">
        <f ca="1">'Data entry'!E390</f>
        <v>0</v>
      </c>
      <c r="R10" s="74">
        <f ca="1">'Data entry'!E439</f>
        <v>0</v>
      </c>
      <c r="S10" s="75">
        <f ca="1">'Data entry'!E450</f>
        <v>0</v>
      </c>
      <c r="T10" s="25">
        <v>200</v>
      </c>
      <c r="U10" s="34">
        <f ca="1">(((SUM(E10:I10)/5)+(SUM(J10:N10)/5)+(SUM(O10:S10)/5)))/T10</f>
        <v>6.7333333333333328E-2</v>
      </c>
    </row>
    <row r="11" spans="2:22" ht="54" customHeight="1" thickBot="1" x14ac:dyDescent="0.3">
      <c r="B11" s="11">
        <v>1.1000000000000001</v>
      </c>
      <c r="C11" s="12" t="s">
        <v>92</v>
      </c>
      <c r="D11" s="14" t="s">
        <v>101</v>
      </c>
      <c r="E11" s="76">
        <f ca="1">'Data entry'!C375</f>
        <v>0</v>
      </c>
      <c r="F11" s="77">
        <f ca="1">'Data entry'!C381</f>
        <v>0</v>
      </c>
      <c r="G11" s="77">
        <f ca="1">'Data entry'!C407</f>
        <v>0</v>
      </c>
      <c r="H11" s="77">
        <f ca="1">'Data entry'!C443</f>
        <v>0</v>
      </c>
      <c r="I11" s="77">
        <f ca="1">'Data entry'!C454</f>
        <v>0</v>
      </c>
      <c r="J11" s="78">
        <f ca="1">'Data entry'!D375</f>
        <v>0</v>
      </c>
      <c r="K11" s="78">
        <f ca="1">'Data entry'!D381</f>
        <v>0</v>
      </c>
      <c r="L11" s="78">
        <f ca="1">'Data entry'!D407</f>
        <v>0</v>
      </c>
      <c r="M11" s="78">
        <f ca="1">'Data entry'!D443</f>
        <v>0</v>
      </c>
      <c r="N11" s="78">
        <f ca="1">'Data entry'!D454</f>
        <v>0</v>
      </c>
      <c r="O11" s="78">
        <f ca="1">'Data entry'!E375</f>
        <v>0</v>
      </c>
      <c r="P11" s="78">
        <f ca="1">'Data entry'!E381</f>
        <v>0</v>
      </c>
      <c r="Q11" s="78">
        <f ca="1">'Data entry'!E407</f>
        <v>0</v>
      </c>
      <c r="R11" s="78">
        <f ca="1">'Data entry'!E443</f>
        <v>0</v>
      </c>
      <c r="S11" s="79">
        <f ca="1">'Data entry'!E454</f>
        <v>0</v>
      </c>
      <c r="T11" s="26"/>
      <c r="U11" s="34" t="e">
        <f ca="1">(((SUM(E11:I11)/5)+(SUM(J11:N11)/5)+(SUM(O11:S11)/5)))/T11</f>
        <v>#DIV/0!</v>
      </c>
    </row>
    <row r="12" spans="2:22" ht="54" customHeight="1" thickBot="1" x14ac:dyDescent="0.3">
      <c r="B12" s="11">
        <v>1.2</v>
      </c>
      <c r="C12" s="12" t="s">
        <v>92</v>
      </c>
      <c r="D12" s="14" t="s">
        <v>102</v>
      </c>
      <c r="E12" s="76">
        <f ca="1">'Data entry'!C377</f>
        <v>0</v>
      </c>
      <c r="F12" s="77">
        <f ca="1">'Data entry'!C385</f>
        <v>0</v>
      </c>
      <c r="G12" s="77">
        <f ca="1">'Data entry'!C430</f>
        <v>0</v>
      </c>
      <c r="H12" s="77">
        <f ca="1">'Data entry'!C447</f>
        <v>0</v>
      </c>
      <c r="I12" s="77">
        <f ca="1">'Data entry'!C460</f>
        <v>0</v>
      </c>
      <c r="J12" s="78">
        <f ca="1">'Data entry'!D377</f>
        <v>0</v>
      </c>
      <c r="K12" s="78">
        <f ca="1">'Data entry'!D385</f>
        <v>0</v>
      </c>
      <c r="L12" s="78">
        <f ca="1">'Data entry'!D430</f>
        <v>0</v>
      </c>
      <c r="M12" s="78">
        <f ca="1">'Data entry'!D447</f>
        <v>0</v>
      </c>
      <c r="N12" s="78">
        <f ca="1">'Data entry'!D460</f>
        <v>0</v>
      </c>
      <c r="O12" s="78">
        <f ca="1">'Data entry'!E377</f>
        <v>0</v>
      </c>
      <c r="P12" s="78">
        <f ca="1">'Data entry'!E385</f>
        <v>0</v>
      </c>
      <c r="Q12" s="78">
        <f ca="1">'Data entry'!E430</f>
        <v>0</v>
      </c>
      <c r="R12" s="78">
        <f ca="1">'Data entry'!E447</f>
        <v>0</v>
      </c>
      <c r="S12" s="79">
        <f ca="1">'Data entry'!E460</f>
        <v>0</v>
      </c>
      <c r="T12" s="26"/>
      <c r="U12" s="34" t="e">
        <f ca="1">(((SUM(E12:I12)/5)+(SUM(J12:N12)/5)+(SUM(O12:S12)/5)))/T12</f>
        <v>#DIV/0!</v>
      </c>
    </row>
    <row r="13" spans="2:22" ht="54" customHeight="1" thickBot="1" x14ac:dyDescent="0.3">
      <c r="B13" s="11">
        <v>2</v>
      </c>
      <c r="C13" s="12" t="s">
        <v>95</v>
      </c>
      <c r="D13" s="14" t="s">
        <v>96</v>
      </c>
      <c r="E13" s="76">
        <f ca="1">'Data entry'!C465</f>
        <v>4.666666666666667</v>
      </c>
      <c r="F13" s="77">
        <f ca="1">'Data entry'!C473</f>
        <v>1.3333333333333333</v>
      </c>
      <c r="G13" s="77">
        <f ca="1">'Data entry'!C479</f>
        <v>0</v>
      </c>
      <c r="H13" s="77">
        <f ca="1">'Data entry'!C493</f>
        <v>0</v>
      </c>
      <c r="I13" s="77">
        <f ca="1">'Data entry'!C501</f>
        <v>0</v>
      </c>
      <c r="J13" s="78">
        <f ca="1">'Data entry'!D465</f>
        <v>1.3333333333333333</v>
      </c>
      <c r="K13" s="78">
        <f ca="1">'Data entry'!D473</f>
        <v>1.6666666666666667</v>
      </c>
      <c r="L13" s="78">
        <f ca="1">'Data entry'!D479</f>
        <v>0</v>
      </c>
      <c r="M13" s="78">
        <f ca="1">'Data entry'!D493</f>
        <v>0</v>
      </c>
      <c r="N13" s="78">
        <f ca="1">'Data entry'!D501</f>
        <v>0</v>
      </c>
      <c r="O13" s="78">
        <f ca="1">'Data entry'!E465</f>
        <v>1.3333333333333333</v>
      </c>
      <c r="P13" s="78">
        <f ca="1">'Data entry'!E473</f>
        <v>0</v>
      </c>
      <c r="Q13" s="78">
        <f ca="1">'Data entry'!E479</f>
        <v>0</v>
      </c>
      <c r="R13" s="78">
        <f ca="1">'Data entry'!E493</f>
        <v>0</v>
      </c>
      <c r="S13" s="79">
        <f ca="1">'Data entry'!E501</f>
        <v>1.3333333333333333</v>
      </c>
      <c r="T13" s="26">
        <v>200</v>
      </c>
      <c r="U13" s="34">
        <f t="shared" ref="U13:U15" ca="1" si="0">(((SUM(E13:I13)/5)+(SUM(J13:N13)/5)+(SUM(O13:S13)/5)))/T13</f>
        <v>1.1666666666666665E-2</v>
      </c>
    </row>
    <row r="14" spans="2:22" ht="54" customHeight="1" thickBot="1" x14ac:dyDescent="0.3">
      <c r="B14" s="11">
        <v>3</v>
      </c>
      <c r="C14" s="12" t="s">
        <v>98</v>
      </c>
      <c r="D14" s="14" t="s">
        <v>97</v>
      </c>
      <c r="E14" s="76">
        <f ca="1">'Data entry'!C516</f>
        <v>0</v>
      </c>
      <c r="F14" s="77">
        <f ca="1">'Data entry'!C526</f>
        <v>33</v>
      </c>
      <c r="G14" s="77">
        <f ca="1">'Data entry'!C532</f>
        <v>67</v>
      </c>
      <c r="H14" s="77">
        <f ca="1">'Data entry'!C542</f>
        <v>14.5</v>
      </c>
      <c r="I14" s="77">
        <f ca="1">'Data entry'!C546</f>
        <v>50</v>
      </c>
      <c r="J14" s="78">
        <f ca="1">'Data entry'!D516</f>
        <v>0</v>
      </c>
      <c r="K14" s="78">
        <f ca="1">'Data entry'!D526</f>
        <v>43.5</v>
      </c>
      <c r="L14" s="78">
        <f ca="1">'Data entry'!D532</f>
        <v>46</v>
      </c>
      <c r="M14" s="78">
        <f ca="1">'Data entry'!D542</f>
        <v>24.5</v>
      </c>
      <c r="N14" s="78">
        <f ca="1">'Data entry'!D546</f>
        <v>62.5</v>
      </c>
      <c r="O14" s="78">
        <f ca="1">'Data entry'!E516</f>
        <v>0</v>
      </c>
      <c r="P14" s="78">
        <f ca="1">'Data entry'!E526</f>
        <v>32.5</v>
      </c>
      <c r="Q14" s="78">
        <f ca="1">'Data entry'!E532</f>
        <v>58</v>
      </c>
      <c r="R14" s="78">
        <f ca="1">'Data entry'!E542</f>
        <v>27.5</v>
      </c>
      <c r="S14" s="79">
        <f ca="1">'Data entry'!E546</f>
        <v>71</v>
      </c>
      <c r="T14" s="26">
        <v>200</v>
      </c>
      <c r="U14" s="34">
        <f t="shared" ca="1" si="0"/>
        <v>0.52999999999999992</v>
      </c>
    </row>
    <row r="15" spans="2:22" ht="54" customHeight="1" thickBot="1" x14ac:dyDescent="0.3">
      <c r="B15" s="11">
        <v>4.0999999999999996</v>
      </c>
      <c r="C15" s="12" t="s">
        <v>88</v>
      </c>
      <c r="D15" s="14" t="s">
        <v>87</v>
      </c>
      <c r="E15" s="76">
        <f ca="1">'Data entry'!C4</f>
        <v>0</v>
      </c>
      <c r="F15" s="77">
        <f ca="1">'Data entry'!C95</f>
        <v>0</v>
      </c>
      <c r="G15" s="77">
        <f ca="1">'Data entry'!C137</f>
        <v>0</v>
      </c>
      <c r="H15" s="77">
        <f ca="1">'Data entry'!C323</f>
        <v>0</v>
      </c>
      <c r="I15" s="77">
        <f ca="1">'Data entry'!C331</f>
        <v>0</v>
      </c>
      <c r="J15" s="78">
        <f ca="1">'Data entry'!D4</f>
        <v>0</v>
      </c>
      <c r="K15" s="78">
        <f ca="1">'Data entry'!D95</f>
        <v>0</v>
      </c>
      <c r="L15" s="78">
        <f ca="1">'Data entry'!D137</f>
        <v>0</v>
      </c>
      <c r="M15" s="78">
        <f ca="1">'Data entry'!D323</f>
        <v>0</v>
      </c>
      <c r="N15" s="78">
        <f ca="1">'Data entry'!D331</f>
        <v>0</v>
      </c>
      <c r="O15" s="78">
        <f ca="1">'Data entry'!E4</f>
        <v>3</v>
      </c>
      <c r="P15" s="78">
        <f ca="1">'Data entry'!E95</f>
        <v>0</v>
      </c>
      <c r="Q15" s="78">
        <f ca="1">'Data entry'!E137</f>
        <v>0</v>
      </c>
      <c r="R15" s="78">
        <f ca="1">'Data entry'!E323</f>
        <v>0</v>
      </c>
      <c r="S15" s="79">
        <f ca="1">'Data entry'!E331</f>
        <v>0</v>
      </c>
      <c r="T15" s="26">
        <v>200</v>
      </c>
      <c r="U15" s="34">
        <f t="shared" ca="1" si="0"/>
        <v>0.87849999999999995</v>
      </c>
    </row>
    <row r="16" spans="2:22" ht="54" customHeight="1" thickBot="1" x14ac:dyDescent="0.3">
      <c r="B16" s="11">
        <v>4.2</v>
      </c>
      <c r="C16" s="12" t="s">
        <v>88</v>
      </c>
      <c r="D16" s="14" t="s">
        <v>99</v>
      </c>
      <c r="E16" s="76">
        <f ca="1">'Data entry'!C138</f>
        <v>0</v>
      </c>
      <c r="F16" s="77">
        <f ca="1">'Data entry'!C138</f>
        <v>0</v>
      </c>
      <c r="G16" s="77">
        <f ca="1">'Data entry'!C138</f>
        <v>0</v>
      </c>
      <c r="H16" s="77">
        <f ca="1">'Data entry'!C138</f>
        <v>0</v>
      </c>
      <c r="I16" s="77">
        <f ca="1">'Data entry'!C332</f>
        <v>0</v>
      </c>
      <c r="J16" s="78">
        <f ca="1">'Data entry'!D138</f>
        <v>0</v>
      </c>
      <c r="K16" s="78">
        <f ca="1">'Data entry'!D138</f>
        <v>0</v>
      </c>
      <c r="L16" s="78">
        <f ca="1">'Data entry'!D138</f>
        <v>0</v>
      </c>
      <c r="M16" s="78">
        <f ca="1">'Data entry'!D138</f>
        <v>0</v>
      </c>
      <c r="N16" s="78">
        <f ca="1">'Data entry'!D332</f>
        <v>0</v>
      </c>
      <c r="O16" s="78">
        <f ca="1">'Data entry'!E138</f>
        <v>0</v>
      </c>
      <c r="P16" s="78">
        <f ca="1">'Data entry'!E138</f>
        <v>0</v>
      </c>
      <c r="Q16" s="78">
        <f ca="1">'Data entry'!E138</f>
        <v>0</v>
      </c>
      <c r="R16" s="78">
        <f ca="1">'Data entry'!E138</f>
        <v>0</v>
      </c>
      <c r="S16" s="79">
        <f ca="1">'Data entry'!E332</f>
        <v>0</v>
      </c>
      <c r="T16" s="26"/>
      <c r="U16" s="34" t="e">
        <f t="shared" ref="U16:U27" ca="1" si="1">(((SUM(E16:I16)/5)+(SUM(J16:N16)/5)+(SUM(O16:S16)/5)))/T16</f>
        <v>#DIV/0!</v>
      </c>
    </row>
    <row r="17" spans="2:21" ht="54" customHeight="1" thickBot="1" x14ac:dyDescent="0.3">
      <c r="B17" s="11">
        <v>4.3</v>
      </c>
      <c r="C17" s="12" t="s">
        <v>100</v>
      </c>
      <c r="D17" s="14" t="s">
        <v>163</v>
      </c>
      <c r="E17" s="77">
        <f ca="1">E10+E15</f>
        <v>0</v>
      </c>
      <c r="F17" s="77">
        <f t="shared" ref="F17:S17" ca="1" si="2">F10+F15</f>
        <v>0</v>
      </c>
      <c r="G17" s="77">
        <f t="shared" ca="1" si="2"/>
        <v>0</v>
      </c>
      <c r="H17" s="77">
        <f t="shared" ca="1" si="2"/>
        <v>19</v>
      </c>
      <c r="I17" s="77">
        <f t="shared" ca="1" si="2"/>
        <v>244</v>
      </c>
      <c r="J17" s="77">
        <f t="shared" ca="1" si="2"/>
        <v>0</v>
      </c>
      <c r="K17" s="77">
        <f t="shared" ca="1" si="2"/>
        <v>0</v>
      </c>
      <c r="L17" s="77">
        <f ca="1">L10+L15</f>
        <v>0</v>
      </c>
      <c r="M17" s="77">
        <f t="shared" ca="1" si="2"/>
        <v>22.333333333333332</v>
      </c>
      <c r="N17" s="77">
        <f t="shared" ca="1" si="2"/>
        <v>263</v>
      </c>
      <c r="O17" s="77">
        <f t="shared" ca="1" si="2"/>
        <v>3</v>
      </c>
      <c r="P17" s="77">
        <f t="shared" ca="1" si="2"/>
        <v>0</v>
      </c>
      <c r="Q17" s="77">
        <f ca="1">Q10+Q15</f>
        <v>0</v>
      </c>
      <c r="R17" s="77">
        <f t="shared" ca="1" si="2"/>
        <v>29</v>
      </c>
      <c r="S17" s="77">
        <f t="shared" ca="1" si="2"/>
        <v>263</v>
      </c>
      <c r="T17" s="26"/>
      <c r="U17" s="34" t="e">
        <f t="shared" ca="1" si="1"/>
        <v>#DIV/0!</v>
      </c>
    </row>
    <row r="18" spans="2:21" ht="54" customHeight="1" x14ac:dyDescent="0.25">
      <c r="B18" s="11">
        <v>4.4000000000000004</v>
      </c>
      <c r="C18" s="12" t="s">
        <v>100</v>
      </c>
      <c r="D18" s="14" t="s">
        <v>162</v>
      </c>
      <c r="E18" s="76">
        <f ca="1">E11+E16</f>
        <v>0</v>
      </c>
      <c r="F18" s="77">
        <f t="shared" ref="F18:K18" ca="1" si="3">F11+F16</f>
        <v>0</v>
      </c>
      <c r="G18" s="77">
        <f t="shared" ca="1" si="3"/>
        <v>0</v>
      </c>
      <c r="H18" s="77">
        <f t="shared" ca="1" si="3"/>
        <v>0</v>
      </c>
      <c r="I18" s="77">
        <f t="shared" ca="1" si="3"/>
        <v>111</v>
      </c>
      <c r="J18" s="77">
        <f t="shared" ca="1" si="3"/>
        <v>0</v>
      </c>
      <c r="K18" s="77">
        <f t="shared" ca="1" si="3"/>
        <v>0</v>
      </c>
      <c r="L18" s="77">
        <f ca="1">L11+L16</f>
        <v>0</v>
      </c>
      <c r="M18" s="77">
        <f ca="1">M11+M16</f>
        <v>0</v>
      </c>
      <c r="N18" s="77">
        <f ca="1">N11+N16</f>
        <v>109</v>
      </c>
      <c r="O18" s="77">
        <f ca="1">O11+O16</f>
        <v>0</v>
      </c>
      <c r="P18" s="77">
        <f ca="1">P11+P16</f>
        <v>0</v>
      </c>
      <c r="Q18" s="77">
        <f ca="1">Q11+Q16</f>
        <v>0</v>
      </c>
      <c r="R18" s="77">
        <f ca="1">R11+R16</f>
        <v>0</v>
      </c>
      <c r="S18" s="77">
        <f ca="1">S11+S16</f>
        <v>109</v>
      </c>
      <c r="T18" s="26"/>
      <c r="U18" s="34" t="e">
        <f t="shared" ca="1" si="1"/>
        <v>#DIV/0!</v>
      </c>
    </row>
    <row r="19" spans="2:21" ht="54" customHeight="1" x14ac:dyDescent="0.25">
      <c r="B19" s="11">
        <v>5</v>
      </c>
      <c r="C19" s="12" t="s">
        <v>106</v>
      </c>
      <c r="D19" s="17" t="s">
        <v>54</v>
      </c>
      <c r="E19" s="76">
        <f ca="1">'Data entry'!C565</f>
        <v>0</v>
      </c>
      <c r="F19" s="77">
        <f ca="1">'Data entry'!C576</f>
        <v>0</v>
      </c>
      <c r="G19" s="77">
        <f ca="1">'Data entry'!C583</f>
        <v>0</v>
      </c>
      <c r="H19" s="77">
        <f ca="1">'Data entry'!C613</f>
        <v>0</v>
      </c>
      <c r="I19" s="78">
        <f ca="1">'Data entry'!C618</f>
        <v>0</v>
      </c>
      <c r="J19" s="78">
        <f ca="1">'Data entry'!D565</f>
        <v>0</v>
      </c>
      <c r="K19" s="78">
        <f ca="1">'Data entry'!D576</f>
        <v>0</v>
      </c>
      <c r="L19" s="78">
        <f ca="1">'Data entry'!D583</f>
        <v>0</v>
      </c>
      <c r="M19" s="78">
        <f ca="1">'Data entry'!D613</f>
        <v>0</v>
      </c>
      <c r="N19" s="78">
        <f ca="1">'Data entry'!D618</f>
        <v>0</v>
      </c>
      <c r="O19" s="78">
        <f ca="1">'Data entry'!E565</f>
        <v>0</v>
      </c>
      <c r="P19" s="78">
        <f ca="1">'Data entry'!E576</f>
        <v>0</v>
      </c>
      <c r="Q19" s="78">
        <f ca="1">'Data entry'!E583</f>
        <v>0</v>
      </c>
      <c r="R19" s="78">
        <f ca="1">'Data entry'!E613</f>
        <v>0</v>
      </c>
      <c r="S19" s="79">
        <f ca="1">'Data entry'!E618</f>
        <v>0</v>
      </c>
      <c r="T19" s="26"/>
      <c r="U19" s="34" t="e">
        <f t="shared" ca="1" si="1"/>
        <v>#DIV/0!</v>
      </c>
    </row>
    <row r="20" spans="2:21" ht="54" customHeight="1" x14ac:dyDescent="0.25">
      <c r="B20" s="11">
        <v>6</v>
      </c>
      <c r="C20" s="12" t="s">
        <v>103</v>
      </c>
      <c r="D20" s="17" t="s">
        <v>38</v>
      </c>
      <c r="E20" s="76">
        <f ca="1">'Data entry'!C637</f>
        <v>0</v>
      </c>
      <c r="F20" s="77">
        <f ca="1">'Data entry'!C645</f>
        <v>17.666666666666668</v>
      </c>
      <c r="G20" s="77">
        <f ca="1">'Data entry'!C650</f>
        <v>0</v>
      </c>
      <c r="H20" s="77">
        <f ca="1">'Data entry'!C659</f>
        <v>32</v>
      </c>
      <c r="I20" s="78">
        <f ca="1">'Data entry'!C663</f>
        <v>91</v>
      </c>
      <c r="J20" s="78">
        <f ca="1">'Data entry'!D637</f>
        <v>0</v>
      </c>
      <c r="K20" s="78">
        <f ca="1">'Data entry'!D645</f>
        <v>23</v>
      </c>
      <c r="L20" s="78">
        <f ca="1">'Data entry'!D650</f>
        <v>0</v>
      </c>
      <c r="M20" s="78">
        <f ca="1">'Data entry'!D659</f>
        <v>32</v>
      </c>
      <c r="N20" s="78">
        <f ca="1">'Data entry'!D663</f>
        <v>90.666666666666671</v>
      </c>
      <c r="O20" s="78">
        <f ca="1">'Data entry'!E637</f>
        <v>0</v>
      </c>
      <c r="P20" s="78">
        <f ca="1">'Data entry'!E645</f>
        <v>29.333333333333332</v>
      </c>
      <c r="Q20" s="78">
        <f ca="1">'Data entry'!E650</f>
        <v>0</v>
      </c>
      <c r="R20" s="78">
        <f ca="1">'Data entry'!E659</f>
        <v>32</v>
      </c>
      <c r="S20" s="79">
        <f ca="1">'Data entry'!E663</f>
        <v>98.666666666666671</v>
      </c>
      <c r="T20" s="26"/>
      <c r="U20" s="34" t="e">
        <f t="shared" ca="1" si="1"/>
        <v>#DIV/0!</v>
      </c>
    </row>
    <row r="21" spans="2:21" ht="54" customHeight="1" thickBot="1" x14ac:dyDescent="0.3">
      <c r="B21" s="11">
        <v>7</v>
      </c>
      <c r="C21" s="12" t="s">
        <v>104</v>
      </c>
      <c r="D21" s="17" t="s">
        <v>43</v>
      </c>
      <c r="E21" s="76">
        <f ca="1">'Data entry'!C682</f>
        <v>12.666666666666666</v>
      </c>
      <c r="F21" s="77">
        <f ca="1">'Data entry'!C701</f>
        <v>0</v>
      </c>
      <c r="G21" s="77">
        <f ca="1">'Data entry'!C706</f>
        <v>0</v>
      </c>
      <c r="H21" s="77">
        <f ca="1">'Data entry'!C737</f>
        <v>0</v>
      </c>
      <c r="I21" s="78">
        <f ca="1">'Data entry'!C742</f>
        <v>0</v>
      </c>
      <c r="J21" s="78">
        <f ca="1">'Data entry'!D682</f>
        <v>9.1666666666666661</v>
      </c>
      <c r="K21" s="78">
        <f ca="1">'Data entry'!D701</f>
        <v>0</v>
      </c>
      <c r="L21" s="78">
        <f ca="1">'Data entry'!D706</f>
        <v>0</v>
      </c>
      <c r="M21" s="78">
        <f ca="1">'Data entry'!D737</f>
        <v>0</v>
      </c>
      <c r="N21" s="78">
        <f ca="1">'Data entry'!D742</f>
        <v>0</v>
      </c>
      <c r="O21" s="78">
        <f ca="1">'Data entry'!E682</f>
        <v>0</v>
      </c>
      <c r="P21" s="78">
        <f ca="1">'Data entry'!E701</f>
        <v>0</v>
      </c>
      <c r="Q21" s="78">
        <f ca="1">'Data entry'!E706</f>
        <v>0</v>
      </c>
      <c r="R21" s="78">
        <f ca="1">'Data entry'!E737</f>
        <v>0</v>
      </c>
      <c r="S21" s="79">
        <f ca="1">'Data entry'!E742</f>
        <v>0</v>
      </c>
      <c r="T21" s="26"/>
      <c r="U21" s="34" t="e">
        <f t="shared" ca="1" si="1"/>
        <v>#DIV/0!</v>
      </c>
    </row>
    <row r="22" spans="2:21" ht="54" customHeight="1" x14ac:dyDescent="0.25">
      <c r="B22" s="11">
        <v>8</v>
      </c>
      <c r="C22" s="12" t="s">
        <v>93</v>
      </c>
      <c r="D22" s="14" t="s">
        <v>94</v>
      </c>
      <c r="E22" s="76">
        <f ca="1">'Data entry'!C764</f>
        <v>0</v>
      </c>
      <c r="F22" s="77">
        <f ca="1">'Data entry'!C772</f>
        <v>5.333333333333333</v>
      </c>
      <c r="G22" s="77">
        <f ca="1">'Data entry'!C777</f>
        <v>17</v>
      </c>
      <c r="H22" s="77">
        <f ca="1">'Data entry'!C789</f>
        <v>0</v>
      </c>
      <c r="I22" s="77">
        <f ca="1">'Data entry'!C796</f>
        <v>0</v>
      </c>
      <c r="J22" s="78">
        <f ca="1">'Data entry'!D764</f>
        <v>0</v>
      </c>
      <c r="K22" s="78">
        <f ca="1">'Data entry'!D772</f>
        <v>1.6666666666666667</v>
      </c>
      <c r="L22" s="78">
        <f ca="1">'Data entry'!D777</f>
        <v>21.5</v>
      </c>
      <c r="M22" s="78">
        <f ca="1">'Data entry'!D789</f>
        <v>0</v>
      </c>
      <c r="N22" s="78">
        <f ca="1">'Data entry'!D796</f>
        <v>0</v>
      </c>
      <c r="O22" s="78">
        <f ca="1">'Data entry'!E764</f>
        <v>0</v>
      </c>
      <c r="P22" s="78">
        <f ca="1">'Data entry'!E772</f>
        <v>4.333333333333333</v>
      </c>
      <c r="Q22" s="78">
        <f ca="1">'Data entry'!E777</f>
        <v>17</v>
      </c>
      <c r="R22" s="78">
        <f ca="1">'Data entry'!E789</f>
        <v>0</v>
      </c>
      <c r="S22" s="79">
        <f ca="1">'Data entry'!E796</f>
        <v>0</v>
      </c>
      <c r="T22" s="26">
        <v>125</v>
      </c>
      <c r="U22" s="34">
        <f t="shared" ca="1" si="1"/>
        <v>0.10693333333333334</v>
      </c>
    </row>
    <row r="23" spans="2:21" ht="54" customHeight="1" x14ac:dyDescent="0.25">
      <c r="B23" s="11">
        <v>9</v>
      </c>
      <c r="C23" s="12" t="s">
        <v>105</v>
      </c>
      <c r="D23" s="17" t="s">
        <v>52</v>
      </c>
      <c r="E23" s="76">
        <f ca="1">'Data entry'!C819</f>
        <v>1.5</v>
      </c>
      <c r="F23" s="77">
        <f ca="1">'Data entry'!C828</f>
        <v>15</v>
      </c>
      <c r="G23" s="77">
        <f ca="1">'Data entry'!C835</f>
        <v>0</v>
      </c>
      <c r="H23" s="77">
        <f ca="1">'Data entry'!C877</f>
        <v>0</v>
      </c>
      <c r="I23" s="78">
        <f ca="1">'Data entry'!C883</f>
        <v>352</v>
      </c>
      <c r="J23" s="78">
        <f ca="1">'Data entry'!D819</f>
        <v>1.5</v>
      </c>
      <c r="K23" s="78">
        <f ca="1">'Data entry'!D828</f>
        <v>5.333333333333333</v>
      </c>
      <c r="L23" s="78">
        <f ca="1">'Data entry'!D835</f>
        <v>0</v>
      </c>
      <c r="M23" s="78">
        <f ca="1">'Data entry'!D877</f>
        <v>0</v>
      </c>
      <c r="N23" s="78">
        <f ca="1">'Data entry'!D883</f>
        <v>323.5</v>
      </c>
      <c r="O23" s="78">
        <f ca="1">'Data entry'!E819</f>
        <v>16</v>
      </c>
      <c r="P23" s="78">
        <f ca="1">'Data entry'!E828</f>
        <v>3.6666666666666665</v>
      </c>
      <c r="Q23" s="78">
        <f ca="1">'Data entry'!E835</f>
        <v>0</v>
      </c>
      <c r="R23" s="78">
        <f ca="1">'Data entry'!E877</f>
        <v>0</v>
      </c>
      <c r="S23" s="79">
        <f ca="1">'Data entry'!E883</f>
        <v>317.5</v>
      </c>
      <c r="T23" s="26"/>
      <c r="U23" s="34" t="e">
        <f t="shared" ca="1" si="1"/>
        <v>#DIV/0!</v>
      </c>
    </row>
    <row r="24" spans="2:21" ht="54" customHeight="1" x14ac:dyDescent="0.25">
      <c r="B24" s="11">
        <v>10</v>
      </c>
      <c r="C24" s="12" t="s">
        <v>107</v>
      </c>
      <c r="D24" s="17" t="s">
        <v>60</v>
      </c>
      <c r="E24" s="76">
        <f ca="1">'Data entry'!C902</f>
        <v>0</v>
      </c>
      <c r="F24" s="77">
        <f ca="1">'Data entry'!C909</f>
        <v>0</v>
      </c>
      <c r="G24" s="77">
        <f ca="1">'Data entry'!C915</f>
        <v>0</v>
      </c>
      <c r="H24" s="77">
        <f ca="1">'Data entry'!C933</f>
        <v>0</v>
      </c>
      <c r="I24" s="80">
        <f ca="1">'Data entry'!C943</f>
        <v>0</v>
      </c>
      <c r="J24" s="80">
        <f ca="1">'Data entry'!D902</f>
        <v>0</v>
      </c>
      <c r="K24" s="80">
        <f ca="1">'Data entry'!D909</f>
        <v>0</v>
      </c>
      <c r="L24" s="80">
        <f ca="1">'Data entry'!D915</f>
        <v>0</v>
      </c>
      <c r="M24" s="80">
        <f ca="1">'Data entry'!D933</f>
        <v>0</v>
      </c>
      <c r="N24" s="80">
        <f ca="1">'Data entry'!D943</f>
        <v>0</v>
      </c>
      <c r="O24" s="80">
        <f ca="1">'Data entry'!E902</f>
        <v>0</v>
      </c>
      <c r="P24" s="80">
        <f ca="1">'Data entry'!E909</f>
        <v>0</v>
      </c>
      <c r="Q24" s="80">
        <f ca="1">'Data entry'!E915</f>
        <v>0</v>
      </c>
      <c r="R24" s="80">
        <f ca="1">'Data entry'!E933</f>
        <v>0</v>
      </c>
      <c r="S24" s="81">
        <f ca="1">'Data entry'!E943</f>
        <v>0</v>
      </c>
      <c r="T24" s="26"/>
      <c r="U24" s="34" t="e">
        <f t="shared" ca="1" si="1"/>
        <v>#DIV/0!</v>
      </c>
    </row>
    <row r="25" spans="2:21" ht="54" customHeight="1" x14ac:dyDescent="0.25">
      <c r="B25" s="11">
        <v>11</v>
      </c>
      <c r="C25" s="12" t="s">
        <v>108</v>
      </c>
      <c r="D25" s="17" t="s">
        <v>70</v>
      </c>
      <c r="E25" s="76">
        <f ca="1">'Data entry'!C961</f>
        <v>0</v>
      </c>
      <c r="F25" s="77">
        <f ca="1">'Data entry'!C978</f>
        <v>32</v>
      </c>
      <c r="G25" s="77">
        <f ca="1">'Data entry'!C984</f>
        <v>0</v>
      </c>
      <c r="H25" s="77">
        <f ca="1">'Data entry'!C1008</f>
        <v>0</v>
      </c>
      <c r="I25" s="80">
        <f ca="1">'Data entry'!C1012</f>
        <v>11</v>
      </c>
      <c r="J25" s="80">
        <f ca="1">'Data entry'!D961</f>
        <v>0</v>
      </c>
      <c r="K25" s="80">
        <f ca="1">'Data entry'!D978</f>
        <v>32</v>
      </c>
      <c r="L25" s="80">
        <f ca="1">'Data entry'!D984</f>
        <v>0</v>
      </c>
      <c r="M25" s="80">
        <f ca="1">'Data entry'!D1008</f>
        <v>0</v>
      </c>
      <c r="N25" s="80">
        <f ca="1">'Data entry'!D1012</f>
        <v>698</v>
      </c>
      <c r="O25" s="80">
        <f ca="1">'Data entry'!E961</f>
        <v>0</v>
      </c>
      <c r="P25" s="80">
        <f ca="1">'Data entry'!E978</f>
        <v>22</v>
      </c>
      <c r="Q25" s="80">
        <f ca="1">'Data entry'!E984</f>
        <v>0</v>
      </c>
      <c r="R25" s="80">
        <f ca="1">'Data entry'!E1008</f>
        <v>0</v>
      </c>
      <c r="S25" s="81">
        <f ca="1">'Data entry'!E1012</f>
        <v>1</v>
      </c>
      <c r="T25" s="26"/>
      <c r="U25" s="34" t="e">
        <f t="shared" ca="1" si="1"/>
        <v>#DIV/0!</v>
      </c>
    </row>
    <row r="26" spans="2:21" ht="54" customHeight="1" x14ac:dyDescent="0.25">
      <c r="B26" s="11">
        <v>12</v>
      </c>
      <c r="C26" s="12" t="s">
        <v>109</v>
      </c>
      <c r="D26" s="17" t="s">
        <v>77</v>
      </c>
      <c r="E26" s="76">
        <f ca="1">'Data entry'!C1035</f>
        <v>0</v>
      </c>
      <c r="F26" s="77">
        <f ca="1">'Data entry'!C1046</f>
        <v>222</v>
      </c>
      <c r="G26" s="77">
        <f ca="1">'Data entry'!C1053</f>
        <v>0</v>
      </c>
      <c r="H26" s="77">
        <f ca="1">'Data entry'!C1167</f>
        <v>0</v>
      </c>
      <c r="I26" s="78">
        <f ca="1">'Data entry'!C1176</f>
        <v>34.5</v>
      </c>
      <c r="J26" s="78">
        <f ca="1">'Data entry'!D1035</f>
        <v>0</v>
      </c>
      <c r="K26" s="78">
        <f ca="1">'Data entry'!D1046</f>
        <v>223</v>
      </c>
      <c r="L26" s="78">
        <f ca="1">'Data entry'!D1053</f>
        <v>0</v>
      </c>
      <c r="M26" s="78">
        <f ca="1">'Data entry'!D1167</f>
        <v>0</v>
      </c>
      <c r="N26" s="78">
        <f ca="1">'Data entry'!D1176</f>
        <v>43</v>
      </c>
      <c r="O26" s="78">
        <f ca="1">'Data entry'!E1035</f>
        <v>0</v>
      </c>
      <c r="P26" s="78">
        <f ca="1">'Data entry'!E1046</f>
        <v>344</v>
      </c>
      <c r="Q26" s="78">
        <f ca="1">'Data entry'!E1053</f>
        <v>0</v>
      </c>
      <c r="R26" s="78">
        <f ca="1">'Data entry'!E1167</f>
        <v>0</v>
      </c>
      <c r="S26" s="79">
        <f ca="1">'Data entry'!E1176</f>
        <v>44</v>
      </c>
      <c r="T26" s="26"/>
      <c r="U26" s="34" t="e">
        <f t="shared" ca="1" si="1"/>
        <v>#DIV/0!</v>
      </c>
    </row>
    <row r="27" spans="2:21" ht="54" customHeight="1" thickBot="1" x14ac:dyDescent="0.3">
      <c r="B27" s="18">
        <v>13</v>
      </c>
      <c r="C27" s="19" t="s">
        <v>110</v>
      </c>
      <c r="D27" s="20" t="s">
        <v>81</v>
      </c>
      <c r="E27" s="82">
        <f ca="1">'Data entry'!C1192</f>
        <v>0</v>
      </c>
      <c r="F27" s="83">
        <f ca="1">'Data entry'!C1207</f>
        <v>0</v>
      </c>
      <c r="G27" s="83">
        <f ca="1">'Data entry'!C1213</f>
        <v>0</v>
      </c>
      <c r="H27" s="83">
        <f ca="1">'Data entry'!C1227</f>
        <v>0</v>
      </c>
      <c r="I27" s="84">
        <f ca="1">'Data entry'!C1233</f>
        <v>0</v>
      </c>
      <c r="J27" s="84">
        <f ca="1">'Data entry'!D1192</f>
        <v>0</v>
      </c>
      <c r="K27" s="84">
        <f ca="1">'Data entry'!D1207</f>
        <v>0</v>
      </c>
      <c r="L27" s="84">
        <f ca="1">'Data entry'!D1213</f>
        <v>0</v>
      </c>
      <c r="M27" s="84">
        <f ca="1">'Data entry'!D1227</f>
        <v>0</v>
      </c>
      <c r="N27" s="84">
        <f ca="1">'Data entry'!D1233</f>
        <v>0</v>
      </c>
      <c r="O27" s="84">
        <f ca="1">'Data entry'!E1192</f>
        <v>0</v>
      </c>
      <c r="P27" s="84">
        <f ca="1">'Data entry'!E1207</f>
        <v>0</v>
      </c>
      <c r="Q27" s="84">
        <f ca="1">'Data entry'!E1213</f>
        <v>0</v>
      </c>
      <c r="R27" s="84">
        <f ca="1">'Data entry'!E1227</f>
        <v>0</v>
      </c>
      <c r="S27" s="85">
        <f ca="1">'Data entry'!E1233</f>
        <v>0</v>
      </c>
      <c r="T27" s="27"/>
      <c r="U27" s="35" t="e">
        <f t="shared" ca="1" si="1"/>
        <v>#DIV/0!</v>
      </c>
    </row>
    <row r="29" spans="2:21" x14ac:dyDescent="0.25"/>
  </sheetData>
  <mergeCells count="24">
    <mergeCell ref="P4:U4"/>
    <mergeCell ref="P5:U5"/>
    <mergeCell ref="P6:U6"/>
    <mergeCell ref="P7:U7"/>
    <mergeCell ref="L5:O5"/>
    <mergeCell ref="L6:O6"/>
    <mergeCell ref="L7:O7"/>
    <mergeCell ref="L4:O4"/>
    <mergeCell ref="B3:U3"/>
    <mergeCell ref="T8:T9"/>
    <mergeCell ref="U8:U9"/>
    <mergeCell ref="B8:B9"/>
    <mergeCell ref="C8:C9"/>
    <mergeCell ref="E8:I8"/>
    <mergeCell ref="O8:S8"/>
    <mergeCell ref="J8:N8"/>
    <mergeCell ref="E4:K4"/>
    <mergeCell ref="E5:K5"/>
    <mergeCell ref="E6:K6"/>
    <mergeCell ref="E7:K7"/>
    <mergeCell ref="B4:D4"/>
    <mergeCell ref="B5:D5"/>
    <mergeCell ref="B6:D6"/>
    <mergeCell ref="B7:D7"/>
  </mergeCells>
  <conditionalFormatting sqref="D9:S9 B8:C8 E19:N19 B15:B21 R23 P23 B23:B27 D20:N23 T10:T25 R19:R21 P19:P21 D10:N16 D17:S18">
    <cfRule type="cellIs" dxfId="25" priority="7" operator="equal">
      <formula>"check"</formula>
    </cfRule>
  </conditionalFormatting>
  <conditionalFormatting sqref="B3:C3 I26:N27 P26:P27 R26:R27 T26:T27 D8:E8 J8 O8 E24:N24 E25:H26">
    <cfRule type="cellIs" dxfId="24" priority="21" operator="equal">
      <formula>"check"</formula>
    </cfRule>
  </conditionalFormatting>
  <conditionalFormatting sqref="E27:H27">
    <cfRule type="cellIs" dxfId="23" priority="20" operator="equal">
      <formula>"check"</formula>
    </cfRule>
  </conditionalFormatting>
  <conditionalFormatting sqref="P15:S16">
    <cfRule type="cellIs" dxfId="22" priority="17" operator="equal">
      <formula>"check"</formula>
    </cfRule>
  </conditionalFormatting>
  <conditionalFormatting sqref="P24">
    <cfRule type="cellIs" dxfId="21" priority="12" operator="equal">
      <formula>"check"</formula>
    </cfRule>
  </conditionalFormatting>
  <conditionalFormatting sqref="I25:N25">
    <cfRule type="cellIs" dxfId="20" priority="11" operator="equal">
      <formula>"check"</formula>
    </cfRule>
  </conditionalFormatting>
  <conditionalFormatting sqref="R24">
    <cfRule type="cellIs" dxfId="19" priority="10" operator="equal">
      <formula>"check"</formula>
    </cfRule>
  </conditionalFormatting>
  <conditionalFormatting sqref="P25">
    <cfRule type="cellIs" dxfId="18" priority="9" operator="equal">
      <formula>"check"</formula>
    </cfRule>
  </conditionalFormatting>
  <conditionalFormatting sqref="R25">
    <cfRule type="cellIs" dxfId="17" priority="8" operator="equal">
      <formula>"check"</formula>
    </cfRule>
  </conditionalFormatting>
  <conditionalFormatting sqref="D19 D24:D27">
    <cfRule type="cellIs" dxfId="16" priority="4" operator="equal">
      <formula>"check"</formula>
    </cfRule>
  </conditionalFormatting>
  <conditionalFormatting sqref="U8">
    <cfRule type="cellIs" dxfId="15" priority="3" operator="equal">
      <formula>"check"</formula>
    </cfRule>
  </conditionalFormatting>
  <conditionalFormatting sqref="T8">
    <cfRule type="cellIs" dxfId="14" priority="2" operator="equal">
      <formula>"check"</formula>
    </cfRule>
  </conditionalFormatting>
  <conditionalFormatting sqref="U10:U27">
    <cfRule type="iconSet" priority="69">
      <iconSet iconSet="3Symbols">
        <cfvo type="percent" val="0"/>
        <cfvo type="percent" val="33"/>
        <cfvo type="percent" val="67"/>
      </iconSet>
    </cfRule>
  </conditionalFormatting>
  <pageMargins left="0.25" right="0.25" top="0.25" bottom="0.25" header="0" footer="0.3"/>
  <pageSetup scale="50"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filterMode="1"/>
  <dimension ref="A1:XFD1248"/>
  <sheetViews>
    <sheetView topLeftCell="A1242" zoomScale="60" zoomScaleNormal="60" workbookViewId="0">
      <selection activeCell="C26" sqref="C26"/>
    </sheetView>
  </sheetViews>
  <sheetFormatPr defaultRowHeight="15" x14ac:dyDescent="0.25"/>
  <cols>
    <col min="1" max="1" width="12.28515625" customWidth="1"/>
    <col min="2" max="2" width="126.28515625" style="52" bestFit="1" customWidth="1"/>
    <col min="3" max="3" width="8.7109375" style="49" bestFit="1" customWidth="1"/>
    <col min="4" max="4" width="10.28515625" style="49" bestFit="1" customWidth="1"/>
    <col min="5" max="5" width="9.5703125" style="49" bestFit="1" customWidth="1"/>
    <col min="6" max="6" width="14" customWidth="1"/>
  </cols>
  <sheetData>
    <row r="1" spans="1:6" x14ac:dyDescent="0.25">
      <c r="A1" s="48"/>
      <c r="B1" s="185"/>
      <c r="C1" s="89"/>
      <c r="D1" s="89"/>
      <c r="E1" s="89"/>
      <c r="F1" s="48"/>
    </row>
    <row r="2" spans="1:6" hidden="1" x14ac:dyDescent="0.25">
      <c r="A2" s="46">
        <v>1</v>
      </c>
      <c r="B2" s="267" t="s">
        <v>11</v>
      </c>
      <c r="C2" s="268"/>
      <c r="D2" s="268"/>
      <c r="E2" s="269"/>
      <c r="F2" t="s">
        <v>1450</v>
      </c>
    </row>
    <row r="3" spans="1:6" hidden="1" x14ac:dyDescent="0.25">
      <c r="A3" s="1"/>
      <c r="B3" s="186" t="s">
        <v>6</v>
      </c>
      <c r="C3" s="142" t="s">
        <v>84</v>
      </c>
      <c r="D3" s="142" t="s">
        <v>85</v>
      </c>
      <c r="E3" s="143" t="s">
        <v>86</v>
      </c>
      <c r="F3" t="s">
        <v>1450</v>
      </c>
    </row>
    <row r="4" spans="1:6" hidden="1" x14ac:dyDescent="0.25">
      <c r="A4" s="36">
        <v>1.1000000000000001</v>
      </c>
      <c r="B4" s="187" t="s">
        <v>734</v>
      </c>
      <c r="C4" s="142">
        <f ca="1">SUM(C5,C24,C43,C60,C77)/5</f>
        <v>0</v>
      </c>
      <c r="D4" s="142">
        <f t="shared" ref="D4:E4" ca="1" si="0">SUM(D5,D24,D43,D60,D77)/5</f>
        <v>0</v>
      </c>
      <c r="E4" s="143">
        <f t="shared" ca="1" si="0"/>
        <v>3</v>
      </c>
      <c r="F4" t="s">
        <v>1450</v>
      </c>
    </row>
    <row r="5" spans="1:6" hidden="1" x14ac:dyDescent="0.25">
      <c r="A5" s="1" t="s">
        <v>226</v>
      </c>
      <c r="B5" s="188" t="s">
        <v>729</v>
      </c>
      <c r="C5" s="144">
        <f ca="1">SUM(C6,C11,C17,C22,C23)</f>
        <v>0</v>
      </c>
      <c r="D5" s="144">
        <f t="shared" ref="D5:E5" ca="1" si="1">SUM(D6,D11,D17,D22,D23)</f>
        <v>0</v>
      </c>
      <c r="E5" s="145">
        <f t="shared" ca="1" si="1"/>
        <v>15</v>
      </c>
      <c r="F5" t="s">
        <v>1450</v>
      </c>
    </row>
    <row r="6" spans="1:6" hidden="1" x14ac:dyDescent="0.25">
      <c r="A6" s="1" t="s">
        <v>961</v>
      </c>
      <c r="B6" s="188" t="s">
        <v>689</v>
      </c>
      <c r="C6" s="144">
        <f ca="1">SUM(C7:C10)/4</f>
        <v>0.75</v>
      </c>
      <c r="D6" s="144">
        <f t="shared" ref="D6:E6" ca="1" si="2">SUM(D7:D10)/4</f>
        <v>8.5</v>
      </c>
      <c r="E6" s="145">
        <f t="shared" ca="1" si="2"/>
        <v>2.75</v>
      </c>
      <c r="F6" t="s">
        <v>1450</v>
      </c>
    </row>
    <row r="7" spans="1:6" hidden="1" x14ac:dyDescent="0.25">
      <c r="A7" s="1" t="s">
        <v>227</v>
      </c>
      <c r="B7" s="189" t="s">
        <v>112</v>
      </c>
      <c r="C7" s="124">
        <f ca="1">_xlfn.IFNA(VLOOKUP(A7,Worksheet!$B$1:$G$600,3,FALSE),C7)</f>
        <v>0</v>
      </c>
      <c r="D7" s="124">
        <f ca="1">_xlfn.IFNA(VLOOKUP(A7,Worksheet!$B$1:$G$600,4,FALSE),D7)</f>
        <v>0</v>
      </c>
      <c r="E7" s="125">
        <f ca="1">_xlfn.IFNA(VLOOKUP(A7,Worksheet!$B$1:$G$600,5,FALSE),E7)</f>
        <v>6</v>
      </c>
      <c r="F7" t="s">
        <v>1450</v>
      </c>
    </row>
    <row r="8" spans="1:6" hidden="1" x14ac:dyDescent="0.25">
      <c r="A8" s="1" t="s">
        <v>228</v>
      </c>
      <c r="B8" s="189" t="s">
        <v>113</v>
      </c>
      <c r="C8" s="124">
        <f ca="1">_xlfn.IFNA(VLOOKUP(A8,Worksheet!$B$1:$G$600,3,FALSE),C8)</f>
        <v>0</v>
      </c>
      <c r="D8" s="124">
        <f ca="1">_xlfn.IFNA(VLOOKUP(A8,Worksheet!$B$1:$G$600,4,FALSE),D8)</f>
        <v>0</v>
      </c>
      <c r="E8" s="125">
        <f ca="1">_xlfn.IFNA(VLOOKUP(A8,Worksheet!$B$1:$G$600,5,FALSE),E8)</f>
        <v>0</v>
      </c>
      <c r="F8" t="s">
        <v>1450</v>
      </c>
    </row>
    <row r="9" spans="1:6" hidden="1" x14ac:dyDescent="0.25">
      <c r="A9" s="1" t="s">
        <v>717</v>
      </c>
      <c r="B9" s="189" t="s">
        <v>114</v>
      </c>
      <c r="C9" s="124">
        <f ca="1">_xlfn.IFNA(VLOOKUP(A9,Worksheet!$B$1:$G$600,3,FALSE),C9)</f>
        <v>3</v>
      </c>
      <c r="D9" s="124">
        <f ca="1">_xlfn.IFNA(VLOOKUP(A9,Worksheet!$B$1:$G$600,4,FALSE),D9)</f>
        <v>34</v>
      </c>
      <c r="E9" s="125">
        <f ca="1">_xlfn.IFNA(VLOOKUP(A9,Worksheet!$B$1:$G$600,5,FALSE),E9)</f>
        <v>5</v>
      </c>
      <c r="F9" t="s">
        <v>1450</v>
      </c>
    </row>
    <row r="10" spans="1:6" hidden="1" x14ac:dyDescent="0.25">
      <c r="A10" s="1" t="s">
        <v>718</v>
      </c>
      <c r="B10" s="188" t="s">
        <v>115</v>
      </c>
      <c r="C10" s="126">
        <f ca="1">_xlfn.IFNA(VLOOKUP(A10,Worksheet!$B$1:$G$600,3,FALSE),C10)</f>
        <v>0</v>
      </c>
      <c r="D10" s="126">
        <f ca="1">_xlfn.IFNA(VLOOKUP(A10,Worksheet!$B$1:$G$600,4,FALSE),D10)</f>
        <v>0</v>
      </c>
      <c r="E10" s="127">
        <f ca="1">_xlfn.IFNA(VLOOKUP(A10,Worksheet!$B$1:$G$600,5,FALSE),E10)</f>
        <v>0</v>
      </c>
      <c r="F10" t="s">
        <v>1450</v>
      </c>
    </row>
    <row r="11" spans="1:6" hidden="1" x14ac:dyDescent="0.25">
      <c r="A11" s="1" t="s">
        <v>719</v>
      </c>
      <c r="B11" s="188" t="s">
        <v>687</v>
      </c>
      <c r="C11" s="146">
        <f ca="1">SUM(C12:C16)</f>
        <v>0</v>
      </c>
      <c r="D11" s="146">
        <f t="shared" ref="D11:E11" ca="1" si="3">SUM(D12:D16)</f>
        <v>0</v>
      </c>
      <c r="E11" s="147">
        <f t="shared" ca="1" si="3"/>
        <v>5</v>
      </c>
      <c r="F11" t="s">
        <v>1450</v>
      </c>
    </row>
    <row r="12" spans="1:6" hidden="1" x14ac:dyDescent="0.25">
      <c r="A12" s="1" t="s">
        <v>720</v>
      </c>
      <c r="B12" s="189" t="s">
        <v>696</v>
      </c>
      <c r="C12" s="124">
        <f ca="1">_xlfn.IFNA(VLOOKUP(A12,Worksheet!$B$1:$G$600,3,FALSE),C12)</f>
        <v>0</v>
      </c>
      <c r="D12" s="124">
        <f ca="1">_xlfn.IFNA(VLOOKUP(A12,Worksheet!$B$1:$G$600,4,FALSE),D12)</f>
        <v>0</v>
      </c>
      <c r="E12" s="125">
        <f ca="1">_xlfn.IFNA(VLOOKUP(A12,Worksheet!$B$1:$G$600,5,FALSE),E12)</f>
        <v>0</v>
      </c>
      <c r="F12" t="s">
        <v>1450</v>
      </c>
    </row>
    <row r="13" spans="1:6" hidden="1" x14ac:dyDescent="0.25">
      <c r="A13" s="1" t="s">
        <v>721</v>
      </c>
      <c r="B13" s="189" t="s">
        <v>697</v>
      </c>
      <c r="C13" s="124">
        <f ca="1">_xlfn.IFNA(VLOOKUP(A13,Worksheet!$B$1:$G$600,3,FALSE),C13)</f>
        <v>0</v>
      </c>
      <c r="D13" s="124">
        <f ca="1">_xlfn.IFNA(VLOOKUP(A13,Worksheet!$B$1:$G$600,4,FALSE),D13)</f>
        <v>0</v>
      </c>
      <c r="E13" s="125">
        <f ca="1">_xlfn.IFNA(VLOOKUP(A13,Worksheet!$B$1:$G$600,5,FALSE),E13)</f>
        <v>0</v>
      </c>
      <c r="F13" t="s">
        <v>1450</v>
      </c>
    </row>
    <row r="14" spans="1:6" hidden="1" x14ac:dyDescent="0.25">
      <c r="A14" s="1" t="s">
        <v>722</v>
      </c>
      <c r="B14" s="189" t="s">
        <v>698</v>
      </c>
      <c r="C14" s="124">
        <f ca="1">_xlfn.IFNA(VLOOKUP(A14,Worksheet!$B$1:$G$600,3,FALSE),C14)</f>
        <v>0</v>
      </c>
      <c r="D14" s="124">
        <f ca="1">_xlfn.IFNA(VLOOKUP(A14,Worksheet!$B$1:$G$600,4,FALSE),D14)</f>
        <v>0</v>
      </c>
      <c r="E14" s="125">
        <f ca="1">_xlfn.IFNA(VLOOKUP(A14,Worksheet!$B$1:$G$600,5,FALSE),E14)</f>
        <v>0</v>
      </c>
      <c r="F14" t="s">
        <v>1450</v>
      </c>
    </row>
    <row r="15" spans="1:6" hidden="1" x14ac:dyDescent="0.25">
      <c r="A15" s="1" t="s">
        <v>229</v>
      </c>
      <c r="B15" s="189" t="s">
        <v>699</v>
      </c>
      <c r="C15" s="124">
        <f ca="1">_xlfn.IFNA(VLOOKUP(A15,Worksheet!$B$1:$G$600,3,FALSE),C15)</f>
        <v>0</v>
      </c>
      <c r="D15" s="124">
        <f ca="1">_xlfn.IFNA(VLOOKUP(A15,Worksheet!$B$1:$G$600,4,FALSE),D15)</f>
        <v>0</v>
      </c>
      <c r="E15" s="125">
        <f ca="1">_xlfn.IFNA(VLOOKUP(A15,Worksheet!$B$1:$G$600,5,FALSE),E15)</f>
        <v>5</v>
      </c>
      <c r="F15" t="s">
        <v>1450</v>
      </c>
    </row>
    <row r="16" spans="1:6" hidden="1" x14ac:dyDescent="0.25">
      <c r="A16" s="1" t="s">
        <v>230</v>
      </c>
      <c r="B16" s="188" t="s">
        <v>700</v>
      </c>
      <c r="C16" s="126">
        <f ca="1">_xlfn.IFNA(VLOOKUP(A16,Worksheet!$B$1:$G$600,3,FALSE),C16)</f>
        <v>0</v>
      </c>
      <c r="D16" s="126">
        <f ca="1">_xlfn.IFNA(VLOOKUP(A16,Worksheet!$B$1:$G$600,4,FALSE),D16)</f>
        <v>0</v>
      </c>
      <c r="E16" s="127">
        <f ca="1">_xlfn.IFNA(VLOOKUP(A16,Worksheet!$B$1:$G$600,5,FALSE),E16)</f>
        <v>0</v>
      </c>
      <c r="F16" t="s">
        <v>1450</v>
      </c>
    </row>
    <row r="17" spans="1:6" hidden="1" x14ac:dyDescent="0.25">
      <c r="A17" s="1" t="s">
        <v>227</v>
      </c>
      <c r="B17" s="188" t="s">
        <v>691</v>
      </c>
      <c r="C17" s="146">
        <f ca="1">SUM(C18,C19,C20,C21,C369)</f>
        <v>0</v>
      </c>
      <c r="D17" s="146">
        <f ca="1">SUM(D18,D19,D20,D21,D369)</f>
        <v>0</v>
      </c>
      <c r="E17" s="147">
        <f ca="1">SUM(E18,E19,E20,E21,E369)</f>
        <v>0</v>
      </c>
      <c r="F17" t="s">
        <v>1450</v>
      </c>
    </row>
    <row r="18" spans="1:6" hidden="1" x14ac:dyDescent="0.25">
      <c r="A18" s="1" t="s">
        <v>228</v>
      </c>
      <c r="B18" s="189" t="s">
        <v>692</v>
      </c>
      <c r="C18" s="124">
        <f ca="1">_xlfn.IFNA(VLOOKUP(A18,Worksheet!$B$1:$G$600,3,FALSE),C18)</f>
        <v>0</v>
      </c>
      <c r="D18" s="124">
        <f ca="1">_xlfn.IFNA(VLOOKUP(A18,Worksheet!$B$1:$G$600,4,FALSE),D18)</f>
        <v>0</v>
      </c>
      <c r="E18" s="125">
        <f ca="1">_xlfn.IFNA(VLOOKUP(A18,Worksheet!$B$1:$G$600,5,FALSE),E18)</f>
        <v>0</v>
      </c>
      <c r="F18" t="s">
        <v>1450</v>
      </c>
    </row>
    <row r="19" spans="1:6" hidden="1" x14ac:dyDescent="0.25">
      <c r="A19" s="1" t="s">
        <v>717</v>
      </c>
      <c r="B19" s="189" t="s">
        <v>693</v>
      </c>
      <c r="C19" s="124">
        <f ca="1">_xlfn.IFNA(VLOOKUP(A19,Worksheet!$B$1:$G$600,3,FALSE),C19)</f>
        <v>3</v>
      </c>
      <c r="D19" s="124">
        <f ca="1">_xlfn.IFNA(VLOOKUP(A19,Worksheet!$B$1:$G$600,4,FALSE),D19)</f>
        <v>34</v>
      </c>
      <c r="E19" s="125">
        <f ca="1">_xlfn.IFNA(VLOOKUP(A19,Worksheet!$B$1:$G$600,5,FALSE),E19)</f>
        <v>5</v>
      </c>
      <c r="F19" t="s">
        <v>1450</v>
      </c>
    </row>
    <row r="20" spans="1:6" hidden="1" x14ac:dyDescent="0.25">
      <c r="A20" s="1" t="s">
        <v>718</v>
      </c>
      <c r="B20" s="189" t="s">
        <v>694</v>
      </c>
      <c r="C20" s="124">
        <f ca="1">_xlfn.IFNA(VLOOKUP(A20,Worksheet!$B$1:$G$600,3,FALSE),C20)</f>
        <v>0</v>
      </c>
      <c r="D20" s="124">
        <f ca="1">_xlfn.IFNA(VLOOKUP(A20,Worksheet!$B$1:$G$600,4,FALSE),D20)</f>
        <v>0</v>
      </c>
      <c r="E20" s="125">
        <f ca="1">_xlfn.IFNA(VLOOKUP(A20,Worksheet!$B$1:$G$600,5,FALSE),E20)</f>
        <v>0</v>
      </c>
      <c r="F20" t="s">
        <v>1450</v>
      </c>
    </row>
    <row r="21" spans="1:6" hidden="1" x14ac:dyDescent="0.25">
      <c r="A21" s="1" t="s">
        <v>719</v>
      </c>
      <c r="B21" s="189" t="s">
        <v>695</v>
      </c>
      <c r="C21" s="128">
        <f ca="1">_xlfn.IFNA(VLOOKUP(A21,Worksheet!$B$1:$G$600,3,FALSE),C21)</f>
        <v>0</v>
      </c>
      <c r="D21" s="128">
        <f ca="1">_xlfn.IFNA(VLOOKUP(A21,Worksheet!$B$1:$G$600,4,FALSE),D21)</f>
        <v>0</v>
      </c>
      <c r="E21" s="129">
        <f ca="1">_xlfn.IFNA(VLOOKUP(A21,Worksheet!$B$1:$G$600,5,FALSE),E21)</f>
        <v>5</v>
      </c>
      <c r="F21" t="s">
        <v>1450</v>
      </c>
    </row>
    <row r="22" spans="1:6" hidden="1" x14ac:dyDescent="0.25">
      <c r="A22" s="1" t="s">
        <v>720</v>
      </c>
      <c r="B22" s="189" t="s">
        <v>688</v>
      </c>
      <c r="C22" s="128">
        <f ca="1">_xlfn.IFNA(VLOOKUP(A22,Worksheet!$B$1:$G$600,3,FALSE),C22)</f>
        <v>0</v>
      </c>
      <c r="D22" s="128">
        <f ca="1">_xlfn.IFNA(VLOOKUP(A22,Worksheet!$B$1:$G$600,4,FALSE),D22)</f>
        <v>0</v>
      </c>
      <c r="E22" s="129">
        <f ca="1">_xlfn.IFNA(VLOOKUP(A22,Worksheet!$B$1:$G$600,5,FALSE),E22)</f>
        <v>0</v>
      </c>
      <c r="F22" t="s">
        <v>1450</v>
      </c>
    </row>
    <row r="23" spans="1:6" hidden="1" x14ac:dyDescent="0.25">
      <c r="A23" s="1" t="s">
        <v>721</v>
      </c>
      <c r="B23" s="188" t="s">
        <v>690</v>
      </c>
      <c r="C23" s="130">
        <f ca="1">_xlfn.IFNA(VLOOKUP(A23,Worksheet!$B$1:$G$600,3,FALSE),C23)</f>
        <v>0</v>
      </c>
      <c r="D23" s="130">
        <f ca="1">_xlfn.IFNA(VLOOKUP(A23,Worksheet!$B$1:$G$600,4,FALSE),D23)</f>
        <v>0</v>
      </c>
      <c r="E23" s="131">
        <f ca="1">_xlfn.IFNA(VLOOKUP(A23,Worksheet!$B$1:$G$600,5,FALSE),E23)</f>
        <v>0</v>
      </c>
      <c r="F23" t="s">
        <v>1450</v>
      </c>
    </row>
    <row r="24" spans="1:6" hidden="1" x14ac:dyDescent="0.25">
      <c r="A24" s="1" t="s">
        <v>940</v>
      </c>
      <c r="B24" s="187" t="s">
        <v>730</v>
      </c>
      <c r="C24" s="142">
        <f ca="1">SUM(C25,C30,C36,C41,C42)</f>
        <v>0</v>
      </c>
      <c r="D24" s="142">
        <f t="shared" ref="D24:E24" ca="1" si="4">SUM(D25,D30,D36,D41,D42)</f>
        <v>0</v>
      </c>
      <c r="E24" s="143">
        <f t="shared" ca="1" si="4"/>
        <v>0</v>
      </c>
      <c r="F24" t="s">
        <v>1450</v>
      </c>
    </row>
    <row r="25" spans="1:6" hidden="1" x14ac:dyDescent="0.25">
      <c r="A25" s="1" t="s">
        <v>897</v>
      </c>
      <c r="B25" s="187" t="s">
        <v>689</v>
      </c>
      <c r="C25" s="142">
        <f ca="1">SUM(C26:C29)/4</f>
        <v>0</v>
      </c>
      <c r="D25" s="142">
        <f t="shared" ref="D25:E25" ca="1" si="5">SUM(D26:D29)/4</f>
        <v>0</v>
      </c>
      <c r="E25" s="143">
        <f t="shared" ca="1" si="5"/>
        <v>0</v>
      </c>
      <c r="F25" t="s">
        <v>1450</v>
      </c>
    </row>
    <row r="26" spans="1:6" hidden="1" x14ac:dyDescent="0.25">
      <c r="A26" s="1" t="s">
        <v>898</v>
      </c>
      <c r="B26" s="190" t="s">
        <v>112</v>
      </c>
      <c r="C26" s="124">
        <f ca="1">_xlfn.IFNA(VLOOKUP(A26,Worksheet!$B$1:$G$600,3,FALSE),C26)</f>
        <v>0</v>
      </c>
      <c r="D26" s="124">
        <f ca="1">_xlfn.IFNA(VLOOKUP(A26,Worksheet!$B$1:$G$600,4,FALSE),D26)</f>
        <v>0</v>
      </c>
      <c r="E26" s="125">
        <f ca="1">_xlfn.IFNA(VLOOKUP(A26,Worksheet!$B$1:$G$600,5,FALSE),E26)</f>
        <v>0</v>
      </c>
      <c r="F26" t="s">
        <v>1450</v>
      </c>
    </row>
    <row r="27" spans="1:6" hidden="1" x14ac:dyDescent="0.25">
      <c r="A27" s="1" t="s">
        <v>899</v>
      </c>
      <c r="B27" s="190" t="s">
        <v>113</v>
      </c>
      <c r="C27" s="124">
        <f ca="1">_xlfn.IFNA(VLOOKUP(A27,Worksheet!$B$1:$G$600,3,FALSE),C27)</f>
        <v>0</v>
      </c>
      <c r="D27" s="124">
        <f ca="1">_xlfn.IFNA(VLOOKUP(A27,Worksheet!$B$1:$G$600,4,FALSE),D27)</f>
        <v>0</v>
      </c>
      <c r="E27" s="125">
        <f ca="1">_xlfn.IFNA(VLOOKUP(A27,Worksheet!$B$1:$G$600,5,FALSE),E27)</f>
        <v>0</v>
      </c>
      <c r="F27" t="s">
        <v>1450</v>
      </c>
    </row>
    <row r="28" spans="1:6" hidden="1" x14ac:dyDescent="0.25">
      <c r="A28" s="1" t="s">
        <v>900</v>
      </c>
      <c r="B28" s="190" t="s">
        <v>114</v>
      </c>
      <c r="C28" s="124">
        <f ca="1">_xlfn.IFNA(VLOOKUP(A28,Worksheet!$B$1:$G$600,3,FALSE),C28)</f>
        <v>0</v>
      </c>
      <c r="D28" s="124">
        <f ca="1">_xlfn.IFNA(VLOOKUP(A28,Worksheet!$B$1:$G$600,4,FALSE),D28)</f>
        <v>0</v>
      </c>
      <c r="E28" s="125">
        <f ca="1">_xlfn.IFNA(VLOOKUP(A28,Worksheet!$B$1:$G$600,5,FALSE),E28)</f>
        <v>0</v>
      </c>
      <c r="F28" t="s">
        <v>1450</v>
      </c>
    </row>
    <row r="29" spans="1:6" hidden="1" x14ac:dyDescent="0.25">
      <c r="A29" s="1" t="s">
        <v>901</v>
      </c>
      <c r="B29" s="187" t="s">
        <v>115</v>
      </c>
      <c r="C29" s="126">
        <f ca="1">_xlfn.IFNA(VLOOKUP(A29,Worksheet!$B$1:$G$600,3,FALSE),C29)</f>
        <v>0</v>
      </c>
      <c r="D29" s="126">
        <f ca="1">_xlfn.IFNA(VLOOKUP(A29,Worksheet!$B$1:$G$600,4,FALSE),D29)</f>
        <v>0</v>
      </c>
      <c r="E29" s="127">
        <f ca="1">_xlfn.IFNA(VLOOKUP(A29,Worksheet!$B$1:$G$600,5,FALSE),E29)</f>
        <v>0</v>
      </c>
      <c r="F29" t="s">
        <v>1450</v>
      </c>
    </row>
    <row r="30" spans="1:6" hidden="1" x14ac:dyDescent="0.25">
      <c r="A30" s="1" t="s">
        <v>902</v>
      </c>
      <c r="B30" s="188" t="s">
        <v>687</v>
      </c>
      <c r="C30" s="55">
        <f ca="1">SUM(C31:C35)</f>
        <v>0</v>
      </c>
      <c r="D30" s="55">
        <f t="shared" ref="D30:E30" ca="1" si="6">SUM(D31:D35)</f>
        <v>0</v>
      </c>
      <c r="E30" s="56">
        <f t="shared" ca="1" si="6"/>
        <v>0</v>
      </c>
      <c r="F30" t="s">
        <v>1450</v>
      </c>
    </row>
    <row r="31" spans="1:6" hidden="1" x14ac:dyDescent="0.25">
      <c r="A31" s="1" t="s">
        <v>903</v>
      </c>
      <c r="B31" s="189" t="s">
        <v>696</v>
      </c>
      <c r="C31" s="124">
        <f ca="1">_xlfn.IFNA(VLOOKUP(A31,Worksheet!$B$1:$G$600,3,FALSE),C31)</f>
        <v>0</v>
      </c>
      <c r="D31" s="124">
        <f ca="1">_xlfn.IFNA(VLOOKUP(A31,Worksheet!$B$1:$G$600,4,FALSE),D31)</f>
        <v>0</v>
      </c>
      <c r="E31" s="125">
        <f ca="1">_xlfn.IFNA(VLOOKUP(A31,Worksheet!$B$1:$G$600,5,FALSE),E31)</f>
        <v>0</v>
      </c>
      <c r="F31" t="s">
        <v>1450</v>
      </c>
    </row>
    <row r="32" spans="1:6" hidden="1" x14ac:dyDescent="0.25">
      <c r="A32" s="1" t="s">
        <v>904</v>
      </c>
      <c r="B32" s="189" t="s">
        <v>697</v>
      </c>
      <c r="C32" s="124">
        <f ca="1">_xlfn.IFNA(VLOOKUP(A32,Worksheet!$B$1:$G$600,3,FALSE),C32)</f>
        <v>0</v>
      </c>
      <c r="D32" s="124">
        <f ca="1">_xlfn.IFNA(VLOOKUP(A32,Worksheet!$B$1:$G$600,4,FALSE),D32)</f>
        <v>0</v>
      </c>
      <c r="E32" s="125">
        <f ca="1">_xlfn.IFNA(VLOOKUP(A32,Worksheet!$B$1:$G$600,5,FALSE),E32)</f>
        <v>0</v>
      </c>
      <c r="F32" t="s">
        <v>1450</v>
      </c>
    </row>
    <row r="33" spans="1:12" hidden="1" x14ac:dyDescent="0.25">
      <c r="A33" s="1" t="s">
        <v>905</v>
      </c>
      <c r="B33" s="189" t="s">
        <v>698</v>
      </c>
      <c r="C33" s="124">
        <f ca="1">_xlfn.IFNA(VLOOKUP(A33,Worksheet!$B$1:$G$600,3,FALSE),C33)</f>
        <v>0</v>
      </c>
      <c r="D33" s="124">
        <f ca="1">_xlfn.IFNA(VLOOKUP(A33,Worksheet!$B$1:$G$600,4,FALSE),D33)</f>
        <v>0</v>
      </c>
      <c r="E33" s="125">
        <f ca="1">_xlfn.IFNA(VLOOKUP(A33,Worksheet!$B$1:$G$600,5,FALSE),E33)</f>
        <v>0</v>
      </c>
      <c r="F33" t="s">
        <v>1450</v>
      </c>
    </row>
    <row r="34" spans="1:12" hidden="1" x14ac:dyDescent="0.25">
      <c r="A34" s="1" t="s">
        <v>906</v>
      </c>
      <c r="B34" s="189" t="s">
        <v>699</v>
      </c>
      <c r="C34" s="124">
        <f ca="1">_xlfn.IFNA(VLOOKUP(A34,Worksheet!$B$1:$G$600,3,FALSE),C34)</f>
        <v>0</v>
      </c>
      <c r="D34" s="124">
        <f ca="1">_xlfn.IFNA(VLOOKUP(A34,Worksheet!$B$1:$G$600,4,FALSE),D34)</f>
        <v>0</v>
      </c>
      <c r="E34" s="125">
        <f ca="1">_xlfn.IFNA(VLOOKUP(A34,Worksheet!$B$1:$G$600,5,FALSE),E34)</f>
        <v>0</v>
      </c>
      <c r="F34" t="s">
        <v>1450</v>
      </c>
    </row>
    <row r="35" spans="1:12" hidden="1" x14ac:dyDescent="0.25">
      <c r="A35" s="1" t="s">
        <v>907</v>
      </c>
      <c r="B35" s="188" t="s">
        <v>700</v>
      </c>
      <c r="C35" s="126">
        <f ca="1">_xlfn.IFNA(VLOOKUP(A35,Worksheet!$B$1:$G$600,3,FALSE),C35)</f>
        <v>0</v>
      </c>
      <c r="D35" s="126">
        <f ca="1">_xlfn.IFNA(VLOOKUP(A35,Worksheet!$B$1:$G$600,4,FALSE),D35)</f>
        <v>0</v>
      </c>
      <c r="E35" s="127">
        <f ca="1">_xlfn.IFNA(VLOOKUP(A35,Worksheet!$B$1:$G$600,5,FALSE),E35)</f>
        <v>0</v>
      </c>
      <c r="F35" t="s">
        <v>1450</v>
      </c>
    </row>
    <row r="36" spans="1:12" hidden="1" x14ac:dyDescent="0.25">
      <c r="A36" s="1" t="s">
        <v>909</v>
      </c>
      <c r="B36" s="188" t="s">
        <v>691</v>
      </c>
      <c r="C36" s="55">
        <f ca="1">SUM(C37,C38,C39,C40,C373,C375)</f>
        <v>0</v>
      </c>
      <c r="D36" s="55">
        <f ca="1">SUM(D37,D38,D39,D40,D373,D375)</f>
        <v>0</v>
      </c>
      <c r="E36" s="56">
        <f ca="1">SUM(E37,E38,E39,E40,E373,E375)</f>
        <v>0</v>
      </c>
      <c r="F36" t="s">
        <v>1450</v>
      </c>
    </row>
    <row r="37" spans="1:12" hidden="1" x14ac:dyDescent="0.25">
      <c r="A37" s="1" t="s">
        <v>910</v>
      </c>
      <c r="B37" s="189" t="s">
        <v>692</v>
      </c>
      <c r="C37" s="124">
        <f ca="1">_xlfn.IFNA(VLOOKUP(A37,Worksheet!$B$1:$G$600,3,FALSE),C37)</f>
        <v>0</v>
      </c>
      <c r="D37" s="124">
        <f ca="1">_xlfn.IFNA(VLOOKUP(A37,Worksheet!$B$1:$G$600,4,FALSE),D37)</f>
        <v>0</v>
      </c>
      <c r="E37" s="125">
        <f ca="1">_xlfn.IFNA(VLOOKUP(A37,Worksheet!$B$1:$G$600,5,FALSE),E37)</f>
        <v>0</v>
      </c>
      <c r="F37" t="s">
        <v>1450</v>
      </c>
    </row>
    <row r="38" spans="1:12" hidden="1" x14ac:dyDescent="0.25">
      <c r="A38" s="1" t="s">
        <v>911</v>
      </c>
      <c r="B38" s="189" t="s">
        <v>693</v>
      </c>
      <c r="C38" s="124">
        <f ca="1">_xlfn.IFNA(VLOOKUP(A38,Worksheet!$B$1:$G$600,3,FALSE),C38)</f>
        <v>0</v>
      </c>
      <c r="D38" s="124">
        <f ca="1">_xlfn.IFNA(VLOOKUP(A38,Worksheet!$B$1:$G$600,4,FALSE),D38)</f>
        <v>0</v>
      </c>
      <c r="E38" s="125">
        <f ca="1">_xlfn.IFNA(VLOOKUP(A38,Worksheet!$B$1:$G$600,5,FALSE),E38)</f>
        <v>0</v>
      </c>
      <c r="F38" t="s">
        <v>1450</v>
      </c>
    </row>
    <row r="39" spans="1:12" hidden="1" x14ac:dyDescent="0.25">
      <c r="A39" s="1" t="s">
        <v>912</v>
      </c>
      <c r="B39" s="189" t="s">
        <v>694</v>
      </c>
      <c r="C39" s="124">
        <f ca="1">_xlfn.IFNA(VLOOKUP(A39,Worksheet!$B$1:$G$600,3,FALSE),C39)</f>
        <v>0</v>
      </c>
      <c r="D39" s="124">
        <f ca="1">_xlfn.IFNA(VLOOKUP(A39,Worksheet!$B$1:$G$600,4,FALSE),D39)</f>
        <v>0</v>
      </c>
      <c r="E39" s="125">
        <f ca="1">_xlfn.IFNA(VLOOKUP(A39,Worksheet!$B$1:$G$600,5,FALSE),E39)</f>
        <v>0</v>
      </c>
      <c r="F39" t="s">
        <v>1450</v>
      </c>
    </row>
    <row r="40" spans="1:12" hidden="1" x14ac:dyDescent="0.25">
      <c r="A40" s="1" t="s">
        <v>913</v>
      </c>
      <c r="B40" s="189" t="s">
        <v>695</v>
      </c>
      <c r="C40" s="124">
        <f ca="1">_xlfn.IFNA(VLOOKUP(A40,Worksheet!$B$1:$G$600,3,FALSE),C40)</f>
        <v>0</v>
      </c>
      <c r="D40" s="124">
        <f ca="1">_xlfn.IFNA(VLOOKUP(A40,Worksheet!$B$1:$G$600,4,FALSE),D40)</f>
        <v>0</v>
      </c>
      <c r="E40" s="125">
        <f ca="1">_xlfn.IFNA(VLOOKUP(A40,Worksheet!$B$1:$G$600,5,FALSE),E40)</f>
        <v>0</v>
      </c>
      <c r="F40" t="s">
        <v>1450</v>
      </c>
    </row>
    <row r="41" spans="1:12" hidden="1" x14ac:dyDescent="0.25">
      <c r="A41" s="1" t="s">
        <v>914</v>
      </c>
      <c r="B41" s="189" t="s">
        <v>688</v>
      </c>
      <c r="C41" s="128">
        <f ca="1">_xlfn.IFNA(VLOOKUP(A41,Worksheet!$B$1:$G$600,3,FALSE),C41)</f>
        <v>0</v>
      </c>
      <c r="D41" s="128">
        <f ca="1">_xlfn.IFNA(VLOOKUP(A41,Worksheet!$B$1:$G$600,4,FALSE),D41)</f>
        <v>0</v>
      </c>
      <c r="E41" s="129">
        <f ca="1">_xlfn.IFNA(VLOOKUP(A41,Worksheet!$B$1:$G$600,5,FALSE),E41)</f>
        <v>0</v>
      </c>
      <c r="F41" t="s">
        <v>1450</v>
      </c>
    </row>
    <row r="42" spans="1:12" hidden="1" x14ac:dyDescent="0.25">
      <c r="A42" s="1" t="s">
        <v>915</v>
      </c>
      <c r="B42" s="188" t="s">
        <v>690</v>
      </c>
      <c r="C42" s="130">
        <f ca="1">_xlfn.IFNA(VLOOKUP(A42,Worksheet!$B$1:$G$600,3,FALSE),C42)</f>
        <v>0</v>
      </c>
      <c r="D42" s="130">
        <f ca="1">_xlfn.IFNA(VLOOKUP(A42,Worksheet!$B$1:$G$600,4,FALSE),D42)</f>
        <v>0</v>
      </c>
      <c r="E42" s="131">
        <f ca="1">_xlfn.IFNA(VLOOKUP(A42,Worksheet!$B$1:$G$600,5,FALSE),E42)</f>
        <v>0</v>
      </c>
      <c r="F42" t="s">
        <v>1450</v>
      </c>
    </row>
    <row r="43" spans="1:12" s="2" customFormat="1" ht="13.5" hidden="1" customHeight="1" x14ac:dyDescent="0.25">
      <c r="A43" s="1" t="s">
        <v>941</v>
      </c>
      <c r="B43" s="187" t="s">
        <v>731</v>
      </c>
      <c r="C43" s="142">
        <f ca="1">SUM(C44,C47,C53,C58,C59)</f>
        <v>0</v>
      </c>
      <c r="D43" s="142">
        <f t="shared" ref="D43:E43" ca="1" si="7">SUM(D44,D47,D53,D58,D59)</f>
        <v>0</v>
      </c>
      <c r="E43" s="143">
        <f t="shared" ca="1" si="7"/>
        <v>0</v>
      </c>
      <c r="F43" t="s">
        <v>1450</v>
      </c>
      <c r="L43" s="24"/>
    </row>
    <row r="44" spans="1:12" s="2" customFormat="1" hidden="1" x14ac:dyDescent="0.25">
      <c r="A44" s="1" t="s">
        <v>896</v>
      </c>
      <c r="B44" s="187" t="s">
        <v>689</v>
      </c>
      <c r="C44" s="142">
        <f ca="1">SUM(C45:C46)/2</f>
        <v>0</v>
      </c>
      <c r="D44" s="142">
        <f t="shared" ref="D44:E44" ca="1" si="8">SUM(D45:D46)/2</f>
        <v>0</v>
      </c>
      <c r="E44" s="143">
        <f t="shared" ca="1" si="8"/>
        <v>0</v>
      </c>
      <c r="F44" t="s">
        <v>1450</v>
      </c>
    </row>
    <row r="45" spans="1:12" s="2" customFormat="1" hidden="1" x14ac:dyDescent="0.25">
      <c r="A45" s="1" t="s">
        <v>235</v>
      </c>
      <c r="B45" s="190" t="s">
        <v>112</v>
      </c>
      <c r="C45" s="124">
        <f ca="1">_xlfn.IFNA(VLOOKUP(A45,Worksheet!$B$1:$G$600,3,FALSE),C45)</f>
        <v>0</v>
      </c>
      <c r="D45" s="124">
        <f ca="1">_xlfn.IFNA(VLOOKUP(A45,Worksheet!$B$1:$G$600,4,FALSE),D45)</f>
        <v>0</v>
      </c>
      <c r="E45" s="125">
        <f ca="1">_xlfn.IFNA(VLOOKUP(A45,Worksheet!$B$1:$G$600,5,FALSE),E45)</f>
        <v>0</v>
      </c>
      <c r="F45" t="s">
        <v>1450</v>
      </c>
    </row>
    <row r="46" spans="1:12" s="2" customFormat="1" hidden="1" x14ac:dyDescent="0.25">
      <c r="A46" s="1" t="s">
        <v>236</v>
      </c>
      <c r="B46" s="187" t="s">
        <v>113</v>
      </c>
      <c r="C46" s="126">
        <f ca="1">_xlfn.IFNA(VLOOKUP(A46,Worksheet!$B$1:$G$600,3,FALSE),C46)</f>
        <v>0</v>
      </c>
      <c r="D46" s="126">
        <f ca="1">_xlfn.IFNA(VLOOKUP(A46,Worksheet!$B$1:$G$600,4,FALSE),D46)</f>
        <v>0</v>
      </c>
      <c r="E46" s="127">
        <f ca="1">_xlfn.IFNA(VLOOKUP(A46,Worksheet!$B$1:$G$600,5,FALSE),E46)</f>
        <v>0</v>
      </c>
      <c r="F46" t="s">
        <v>1450</v>
      </c>
    </row>
    <row r="47" spans="1:12" hidden="1" x14ac:dyDescent="0.25">
      <c r="A47" s="1" t="s">
        <v>916</v>
      </c>
      <c r="B47" s="188" t="s">
        <v>687</v>
      </c>
      <c r="C47" s="55">
        <f ca="1">SUM(C48:C52)</f>
        <v>0</v>
      </c>
      <c r="D47" s="55">
        <f t="shared" ref="D47:E47" ca="1" si="9">SUM(D48:D52)</f>
        <v>0</v>
      </c>
      <c r="E47" s="56">
        <f t="shared" ca="1" si="9"/>
        <v>0</v>
      </c>
      <c r="F47" t="s">
        <v>1450</v>
      </c>
    </row>
    <row r="48" spans="1:12" hidden="1" x14ac:dyDescent="0.25">
      <c r="A48" s="1" t="s">
        <v>917</v>
      </c>
      <c r="B48" s="189" t="s">
        <v>696</v>
      </c>
      <c r="C48" s="124">
        <f ca="1">_xlfn.IFNA(VLOOKUP(A48,Worksheet!$B$1:$G$600,3,FALSE),C48)</f>
        <v>0</v>
      </c>
      <c r="D48" s="124">
        <f ca="1">_xlfn.IFNA(VLOOKUP(A48,Worksheet!$B$1:$G$600,4,FALSE),D48)</f>
        <v>0</v>
      </c>
      <c r="E48" s="125">
        <f ca="1">_xlfn.IFNA(VLOOKUP(A48,Worksheet!$B$1:$G$600,5,FALSE),E48)</f>
        <v>0</v>
      </c>
      <c r="F48" t="s">
        <v>1450</v>
      </c>
    </row>
    <row r="49" spans="1:6" hidden="1" x14ac:dyDescent="0.25">
      <c r="A49" s="1" t="s">
        <v>918</v>
      </c>
      <c r="B49" s="189" t="s">
        <v>697</v>
      </c>
      <c r="C49" s="124">
        <f ca="1">_xlfn.IFNA(VLOOKUP(A49,Worksheet!$B$1:$G$600,3,FALSE),C49)</f>
        <v>0</v>
      </c>
      <c r="D49" s="124">
        <f ca="1">_xlfn.IFNA(VLOOKUP(A49,Worksheet!$B$1:$G$600,4,FALSE),D49)</f>
        <v>0</v>
      </c>
      <c r="E49" s="125">
        <f ca="1">_xlfn.IFNA(VLOOKUP(A49,Worksheet!$B$1:$G$600,5,FALSE),E49)</f>
        <v>0</v>
      </c>
      <c r="F49" t="s">
        <v>1450</v>
      </c>
    </row>
    <row r="50" spans="1:6" hidden="1" x14ac:dyDescent="0.25">
      <c r="A50" s="39" t="s">
        <v>919</v>
      </c>
      <c r="B50" s="189" t="s">
        <v>698</v>
      </c>
      <c r="C50" s="124">
        <f ca="1">_xlfn.IFNA(VLOOKUP(A50,Worksheet!$B$1:$G$600,3,FALSE),C50)</f>
        <v>0</v>
      </c>
      <c r="D50" s="124">
        <f ca="1">_xlfn.IFNA(VLOOKUP(A50,Worksheet!$B$1:$G$600,4,FALSE),D50)</f>
        <v>0</v>
      </c>
      <c r="E50" s="125">
        <f ca="1">_xlfn.IFNA(VLOOKUP(A50,Worksheet!$B$1:$G$600,5,FALSE),E50)</f>
        <v>0</v>
      </c>
      <c r="F50" t="s">
        <v>1450</v>
      </c>
    </row>
    <row r="51" spans="1:6" hidden="1" x14ac:dyDescent="0.25">
      <c r="A51" s="39" t="s">
        <v>920</v>
      </c>
      <c r="B51" s="189" t="s">
        <v>699</v>
      </c>
      <c r="C51" s="124">
        <f ca="1">_xlfn.IFNA(VLOOKUP(A51,Worksheet!$B$1:$G$600,3,FALSE),C51)</f>
        <v>0</v>
      </c>
      <c r="D51" s="124">
        <f ca="1">_xlfn.IFNA(VLOOKUP(A51,Worksheet!$B$1:$G$600,4,FALSE),D51)</f>
        <v>0</v>
      </c>
      <c r="E51" s="125">
        <f ca="1">_xlfn.IFNA(VLOOKUP(A51,Worksheet!$B$1:$G$600,5,FALSE),E51)</f>
        <v>0</v>
      </c>
      <c r="F51" t="s">
        <v>1450</v>
      </c>
    </row>
    <row r="52" spans="1:6" hidden="1" x14ac:dyDescent="0.25">
      <c r="A52" s="39" t="s">
        <v>921</v>
      </c>
      <c r="B52" s="188" t="s">
        <v>700</v>
      </c>
      <c r="C52" s="126">
        <f ca="1">_xlfn.IFNA(VLOOKUP(A52,Worksheet!$B$1:$G$600,3,FALSE),C52)</f>
        <v>0</v>
      </c>
      <c r="D52" s="126">
        <f ca="1">_xlfn.IFNA(VLOOKUP(A52,Worksheet!$B$1:$G$600,4,FALSE),D52)</f>
        <v>0</v>
      </c>
      <c r="E52" s="127">
        <f ca="1">_xlfn.IFNA(VLOOKUP(A52,Worksheet!$B$1:$G$600,5,FALSE),E52)</f>
        <v>0</v>
      </c>
      <c r="F52" t="s">
        <v>1450</v>
      </c>
    </row>
    <row r="53" spans="1:6" hidden="1" x14ac:dyDescent="0.25">
      <c r="A53" s="39" t="s">
        <v>922</v>
      </c>
      <c r="B53" s="188" t="s">
        <v>691</v>
      </c>
      <c r="C53" s="55">
        <f ca="1">SUM(C54,C55,C56,C57,C371)</f>
        <v>0</v>
      </c>
      <c r="D53" s="55">
        <f ca="1">SUM(D54,D55,D56,D57,D371)</f>
        <v>0</v>
      </c>
      <c r="E53" s="56">
        <f ca="1">SUM(E54,E55,E56,E57,E371)</f>
        <v>0</v>
      </c>
      <c r="F53" t="s">
        <v>1450</v>
      </c>
    </row>
    <row r="54" spans="1:6" hidden="1" x14ac:dyDescent="0.25">
      <c r="A54" s="1" t="s">
        <v>923</v>
      </c>
      <c r="B54" s="189" t="s">
        <v>692</v>
      </c>
      <c r="C54" s="124">
        <f ca="1">_xlfn.IFNA(VLOOKUP(A54,Worksheet!$B$1:$G$600,3,FALSE),C54)</f>
        <v>0</v>
      </c>
      <c r="D54" s="124">
        <f ca="1">_xlfn.IFNA(VLOOKUP(A54,Worksheet!$B$1:$G$600,4,FALSE),D54)</f>
        <v>0</v>
      </c>
      <c r="E54" s="125">
        <f ca="1">_xlfn.IFNA(VLOOKUP(A54,Worksheet!$B$1:$G$600,5,FALSE),E54)</f>
        <v>0</v>
      </c>
      <c r="F54" t="s">
        <v>1450</v>
      </c>
    </row>
    <row r="55" spans="1:6" hidden="1" x14ac:dyDescent="0.25">
      <c r="A55" s="1" t="s">
        <v>924</v>
      </c>
      <c r="B55" s="189" t="s">
        <v>693</v>
      </c>
      <c r="C55" s="124">
        <f ca="1">_xlfn.IFNA(VLOOKUP(A55,Worksheet!$B$1:$G$600,3,FALSE),C55)</f>
        <v>0</v>
      </c>
      <c r="D55" s="124">
        <f ca="1">_xlfn.IFNA(VLOOKUP(A55,Worksheet!$B$1:$G$600,4,FALSE),D55)</f>
        <v>0</v>
      </c>
      <c r="E55" s="125">
        <f ca="1">_xlfn.IFNA(VLOOKUP(A55,Worksheet!$B$1:$G$600,5,FALSE),E55)</f>
        <v>0</v>
      </c>
      <c r="F55" t="s">
        <v>1450</v>
      </c>
    </row>
    <row r="56" spans="1:6" hidden="1" x14ac:dyDescent="0.25">
      <c r="A56" s="1" t="s">
        <v>908</v>
      </c>
      <c r="B56" s="189" t="s">
        <v>694</v>
      </c>
      <c r="C56" s="124">
        <f ca="1">_xlfn.IFNA(VLOOKUP(A56,Worksheet!$B$1:$G$600,3,FALSE),C56)</f>
        <v>0</v>
      </c>
      <c r="D56" s="124">
        <f ca="1">_xlfn.IFNA(VLOOKUP(A56,Worksheet!$B$1:$G$600,4,FALSE),D56)</f>
        <v>0</v>
      </c>
      <c r="E56" s="125">
        <f ca="1">_xlfn.IFNA(VLOOKUP(A56,Worksheet!$B$1:$G$600,5,FALSE),E56)</f>
        <v>0</v>
      </c>
      <c r="F56" t="s">
        <v>1450</v>
      </c>
    </row>
    <row r="57" spans="1:6" hidden="1" x14ac:dyDescent="0.25">
      <c r="A57" s="1" t="s">
        <v>925</v>
      </c>
      <c r="B57" s="189" t="s">
        <v>695</v>
      </c>
      <c r="C57" s="128">
        <f ca="1">_xlfn.IFNA(VLOOKUP(A57,Worksheet!$B$1:$G$600,3,FALSE),C57)</f>
        <v>0</v>
      </c>
      <c r="D57" s="128">
        <f ca="1">_xlfn.IFNA(VLOOKUP(A57,Worksheet!$B$1:$G$600,4,FALSE),D57)</f>
        <v>0</v>
      </c>
      <c r="E57" s="129">
        <f ca="1">_xlfn.IFNA(VLOOKUP(A57,Worksheet!$B$1:$G$600,5,FALSE),E57)</f>
        <v>0</v>
      </c>
      <c r="F57" t="s">
        <v>1450</v>
      </c>
    </row>
    <row r="58" spans="1:6" hidden="1" x14ac:dyDescent="0.25">
      <c r="A58" s="1" t="s">
        <v>926</v>
      </c>
      <c r="B58" s="189" t="s">
        <v>688</v>
      </c>
      <c r="C58" s="128">
        <f ca="1">_xlfn.IFNA(VLOOKUP(A58,Worksheet!$B$1:$G$600,3,FALSE),C58)</f>
        <v>0</v>
      </c>
      <c r="D58" s="128">
        <f ca="1">_xlfn.IFNA(VLOOKUP(A58,Worksheet!$B$1:$G$600,4,FALSE),D58)</f>
        <v>0</v>
      </c>
      <c r="E58" s="129">
        <f ca="1">_xlfn.IFNA(VLOOKUP(A58,Worksheet!$B$1:$G$600,5,FALSE),E58)</f>
        <v>0</v>
      </c>
      <c r="F58" t="s">
        <v>1450</v>
      </c>
    </row>
    <row r="59" spans="1:6" hidden="1" x14ac:dyDescent="0.25">
      <c r="A59" s="1" t="s">
        <v>927</v>
      </c>
      <c r="B59" s="188" t="s">
        <v>690</v>
      </c>
      <c r="C59" s="130">
        <f ca="1">_xlfn.IFNA(VLOOKUP(A59,Worksheet!$B$1:$G$600,3,FALSE),C59)</f>
        <v>0</v>
      </c>
      <c r="D59" s="130">
        <f ca="1">_xlfn.IFNA(VLOOKUP(A59,Worksheet!$B$1:$G$600,4,FALSE),D59)</f>
        <v>0</v>
      </c>
      <c r="E59" s="131">
        <f ca="1">_xlfn.IFNA(VLOOKUP(A59,Worksheet!$B$1:$G$600,5,FALSE),E59)</f>
        <v>0</v>
      </c>
      <c r="F59" t="s">
        <v>1450</v>
      </c>
    </row>
    <row r="60" spans="1:6" hidden="1" x14ac:dyDescent="0.25">
      <c r="A60" s="1" t="s">
        <v>939</v>
      </c>
      <c r="B60" s="187" t="s">
        <v>732</v>
      </c>
      <c r="C60" s="142">
        <f ca="1">SUM(C61,C64,C70,C75,C76)</f>
        <v>0</v>
      </c>
      <c r="D60" s="142">
        <f t="shared" ref="D60:E60" ca="1" si="10">SUM(D61,D64,D70,D75,D76)</f>
        <v>0</v>
      </c>
      <c r="E60" s="143">
        <f t="shared" ca="1" si="10"/>
        <v>0</v>
      </c>
      <c r="F60" t="s">
        <v>1450</v>
      </c>
    </row>
    <row r="61" spans="1:6" hidden="1" x14ac:dyDescent="0.25">
      <c r="A61" s="1" t="s">
        <v>231</v>
      </c>
      <c r="B61" s="187" t="s">
        <v>689</v>
      </c>
      <c r="C61" s="142">
        <f ca="1">SUM(C62:C63)/2</f>
        <v>0</v>
      </c>
      <c r="D61" s="142">
        <f t="shared" ref="D61:E61" ca="1" si="11">SUM(D62:D63)/2</f>
        <v>0</v>
      </c>
      <c r="E61" s="143">
        <f t="shared" ca="1" si="11"/>
        <v>0</v>
      </c>
      <c r="F61" t="s">
        <v>1450</v>
      </c>
    </row>
    <row r="62" spans="1:6" hidden="1" x14ac:dyDescent="0.25">
      <c r="A62" s="1" t="s">
        <v>1439</v>
      </c>
      <c r="B62" s="190" t="s">
        <v>112</v>
      </c>
      <c r="C62" s="124">
        <f ca="1">_xlfn.IFNA(VLOOKUP(A62,Worksheet!$B$1:$G$600,3,FALSE),C62)</f>
        <v>0</v>
      </c>
      <c r="D62" s="124">
        <f ca="1">_xlfn.IFNA(VLOOKUP(A62,Worksheet!$B$1:$G$600,4,FALSE),D62)</f>
        <v>0</v>
      </c>
      <c r="E62" s="125">
        <f ca="1">_xlfn.IFNA(VLOOKUP(A62,Worksheet!$B$1:$G$600,5,FALSE),E62)</f>
        <v>0</v>
      </c>
      <c r="F62" t="s">
        <v>1450</v>
      </c>
    </row>
    <row r="63" spans="1:6" hidden="1" x14ac:dyDescent="0.25">
      <c r="A63" s="1" t="s">
        <v>1440</v>
      </c>
      <c r="B63" s="187" t="s">
        <v>113</v>
      </c>
      <c r="C63" s="126">
        <f ca="1">_xlfn.IFNA(VLOOKUP(A63,Worksheet!$B$1:$G$600,3,FALSE),C63)</f>
        <v>0</v>
      </c>
      <c r="D63" s="126">
        <f ca="1">_xlfn.IFNA(VLOOKUP(A63,Worksheet!$B$1:$G$600,4,FALSE),D63)</f>
        <v>0</v>
      </c>
      <c r="E63" s="127">
        <f ca="1">_xlfn.IFNA(VLOOKUP(A63,Worksheet!$B$1:$G$600,5,FALSE),E63)</f>
        <v>0</v>
      </c>
      <c r="F63" t="s">
        <v>1450</v>
      </c>
    </row>
    <row r="64" spans="1:6" hidden="1" x14ac:dyDescent="0.25">
      <c r="A64" s="1" t="s">
        <v>232</v>
      </c>
      <c r="B64" s="188" t="s">
        <v>687</v>
      </c>
      <c r="C64" s="55">
        <f ca="1">SUM(C65:C69)</f>
        <v>0</v>
      </c>
      <c r="D64" s="55">
        <f t="shared" ref="D64:E64" ca="1" si="12">SUM(D65:D69)</f>
        <v>0</v>
      </c>
      <c r="E64" s="56">
        <f t="shared" ca="1" si="12"/>
        <v>0</v>
      </c>
      <c r="F64" t="s">
        <v>1450</v>
      </c>
    </row>
    <row r="65" spans="1:6" hidden="1" x14ac:dyDescent="0.25">
      <c r="A65" s="1" t="s">
        <v>932</v>
      </c>
      <c r="B65" s="189" t="s">
        <v>696</v>
      </c>
      <c r="C65" s="124">
        <f ca="1">_xlfn.IFNA(VLOOKUP(A65,Worksheet!$B$1:$G$600,3,FALSE),C65)</f>
        <v>0</v>
      </c>
      <c r="D65" s="124">
        <f ca="1">_xlfn.IFNA(VLOOKUP(A65,Worksheet!$B$1:$G$600,4,FALSE),D65)</f>
        <v>0</v>
      </c>
      <c r="E65" s="125">
        <f ca="1">_xlfn.IFNA(VLOOKUP(A65,Worksheet!$B$1:$G$600,5,FALSE),E65)</f>
        <v>0</v>
      </c>
      <c r="F65" t="s">
        <v>1450</v>
      </c>
    </row>
    <row r="66" spans="1:6" hidden="1" x14ac:dyDescent="0.25">
      <c r="A66" s="1" t="s">
        <v>933</v>
      </c>
      <c r="B66" s="189" t="s">
        <v>697</v>
      </c>
      <c r="C66" s="124">
        <f ca="1">_xlfn.IFNA(VLOOKUP(A66,Worksheet!$B$1:$G$600,3,FALSE),C66)</f>
        <v>0</v>
      </c>
      <c r="D66" s="124">
        <f ca="1">_xlfn.IFNA(VLOOKUP(A66,Worksheet!$B$1:$G$600,4,FALSE),D66)</f>
        <v>0</v>
      </c>
      <c r="E66" s="125">
        <f ca="1">_xlfn.IFNA(VLOOKUP(A66,Worksheet!$B$1:$G$600,5,FALSE),E66)</f>
        <v>0</v>
      </c>
      <c r="F66" t="s">
        <v>1450</v>
      </c>
    </row>
    <row r="67" spans="1:6" hidden="1" x14ac:dyDescent="0.25">
      <c r="A67" s="1" t="s">
        <v>928</v>
      </c>
      <c r="B67" s="189" t="s">
        <v>698</v>
      </c>
      <c r="C67" s="124">
        <f ca="1">_xlfn.IFNA(VLOOKUP(A67,Worksheet!$B$1:$G$600,3,FALSE),C67)</f>
        <v>0</v>
      </c>
      <c r="D67" s="124">
        <f ca="1">_xlfn.IFNA(VLOOKUP(A67,Worksheet!$B$1:$G$600,4,FALSE),D67)</f>
        <v>0</v>
      </c>
      <c r="E67" s="125">
        <f ca="1">_xlfn.IFNA(VLOOKUP(A67,Worksheet!$B$1:$G$600,5,FALSE),E67)</f>
        <v>0</v>
      </c>
      <c r="F67" t="s">
        <v>1450</v>
      </c>
    </row>
    <row r="68" spans="1:6" hidden="1" x14ac:dyDescent="0.25">
      <c r="A68" s="1" t="s">
        <v>929</v>
      </c>
      <c r="B68" s="189" t="s">
        <v>699</v>
      </c>
      <c r="C68" s="124">
        <f ca="1">_xlfn.IFNA(VLOOKUP(A68,Worksheet!$B$1:$G$600,3,FALSE),C68)</f>
        <v>0</v>
      </c>
      <c r="D68" s="124">
        <f ca="1">_xlfn.IFNA(VLOOKUP(A68,Worksheet!$B$1:$G$600,4,FALSE),D68)</f>
        <v>0</v>
      </c>
      <c r="E68" s="125">
        <f ca="1">_xlfn.IFNA(VLOOKUP(A68,Worksheet!$B$1:$G$600,5,FALSE),E68)</f>
        <v>0</v>
      </c>
      <c r="F68" t="s">
        <v>1450</v>
      </c>
    </row>
    <row r="69" spans="1:6" hidden="1" x14ac:dyDescent="0.25">
      <c r="A69" s="1" t="s">
        <v>930</v>
      </c>
      <c r="B69" s="188" t="s">
        <v>700</v>
      </c>
      <c r="C69" s="126">
        <f ca="1">_xlfn.IFNA(VLOOKUP(A69,Worksheet!$B$1:$G$600,3,FALSE),C69)</f>
        <v>0</v>
      </c>
      <c r="D69" s="126">
        <f ca="1">_xlfn.IFNA(VLOOKUP(A69,Worksheet!$B$1:$G$600,4,FALSE),D69)</f>
        <v>0</v>
      </c>
      <c r="E69" s="127">
        <f ca="1">_xlfn.IFNA(VLOOKUP(A69,Worksheet!$B$1:$G$600,5,FALSE),E69)</f>
        <v>0</v>
      </c>
      <c r="F69" t="s">
        <v>1450</v>
      </c>
    </row>
    <row r="70" spans="1:6" hidden="1" x14ac:dyDescent="0.25">
      <c r="A70" s="1" t="s">
        <v>931</v>
      </c>
      <c r="B70" s="188" t="s">
        <v>691</v>
      </c>
      <c r="C70" s="55">
        <f ca="1">SUM(C71,C72,C73,C74)</f>
        <v>0</v>
      </c>
      <c r="D70" s="55">
        <f t="shared" ref="D70:E70" ca="1" si="13">SUM(D71,D72,D73,D74)</f>
        <v>0</v>
      </c>
      <c r="E70" s="56">
        <f t="shared" ca="1" si="13"/>
        <v>0</v>
      </c>
      <c r="F70" t="s">
        <v>1450</v>
      </c>
    </row>
    <row r="71" spans="1:6" hidden="1" x14ac:dyDescent="0.25">
      <c r="A71" s="1" t="s">
        <v>932</v>
      </c>
      <c r="B71" s="189" t="s">
        <v>692</v>
      </c>
      <c r="C71" s="124">
        <f ca="1">_xlfn.IFNA(VLOOKUP(A71,Worksheet!$B$1:$G$600,3,FALSE),C71)</f>
        <v>0</v>
      </c>
      <c r="D71" s="124">
        <f ca="1">_xlfn.IFNA(VLOOKUP(A71,Worksheet!$B$1:$G$600,4,FALSE),D71)</f>
        <v>0</v>
      </c>
      <c r="E71" s="125">
        <f ca="1">_xlfn.IFNA(VLOOKUP(A71,Worksheet!$B$1:$G$600,5,FALSE),E71)</f>
        <v>0</v>
      </c>
      <c r="F71" t="s">
        <v>1450</v>
      </c>
    </row>
    <row r="72" spans="1:6" hidden="1" x14ac:dyDescent="0.25">
      <c r="A72" s="1" t="s">
        <v>933</v>
      </c>
      <c r="B72" s="189" t="s">
        <v>693</v>
      </c>
      <c r="C72" s="124">
        <f ca="1">_xlfn.IFNA(VLOOKUP(A72,Worksheet!$B$1:$G$600,3,FALSE),C72)</f>
        <v>0</v>
      </c>
      <c r="D72" s="124">
        <f ca="1">_xlfn.IFNA(VLOOKUP(A72,Worksheet!$B$1:$G$600,4,FALSE),D72)</f>
        <v>0</v>
      </c>
      <c r="E72" s="125">
        <f ca="1">_xlfn.IFNA(VLOOKUP(A72,Worksheet!$B$1:$G$600,5,FALSE),E72)</f>
        <v>0</v>
      </c>
      <c r="F72" t="s">
        <v>1450</v>
      </c>
    </row>
    <row r="73" spans="1:6" hidden="1" x14ac:dyDescent="0.25">
      <c r="A73" s="1" t="s">
        <v>934</v>
      </c>
      <c r="B73" s="189" t="s">
        <v>694</v>
      </c>
      <c r="C73" s="124">
        <f ca="1">_xlfn.IFNA(VLOOKUP(A73,Worksheet!$B$1:$G$600,3,FALSE),C73)</f>
        <v>0</v>
      </c>
      <c r="D73" s="124">
        <f ca="1">_xlfn.IFNA(VLOOKUP(A73,Worksheet!$B$1:$G$600,4,FALSE),D73)</f>
        <v>0</v>
      </c>
      <c r="E73" s="125">
        <f ca="1">_xlfn.IFNA(VLOOKUP(A73,Worksheet!$B$1:$G$600,5,FALSE),E73)</f>
        <v>0</v>
      </c>
      <c r="F73" t="s">
        <v>1450</v>
      </c>
    </row>
    <row r="74" spans="1:6" hidden="1" x14ac:dyDescent="0.25">
      <c r="A74" s="1" t="s">
        <v>935</v>
      </c>
      <c r="B74" s="189" t="s">
        <v>695</v>
      </c>
      <c r="C74" s="128">
        <f ca="1">_xlfn.IFNA(VLOOKUP(A74,Worksheet!$B$1:$G$600,3,FALSE),C74)</f>
        <v>0</v>
      </c>
      <c r="D74" s="128">
        <f ca="1">_xlfn.IFNA(VLOOKUP(A74,Worksheet!$B$1:$G$600,4,FALSE),D74)</f>
        <v>0</v>
      </c>
      <c r="E74" s="129">
        <f ca="1">_xlfn.IFNA(VLOOKUP(A74,Worksheet!$B$1:$G$600,5,FALSE),E74)</f>
        <v>0</v>
      </c>
      <c r="F74" t="s">
        <v>1450</v>
      </c>
    </row>
    <row r="75" spans="1:6" hidden="1" x14ac:dyDescent="0.25">
      <c r="A75" s="1" t="s">
        <v>936</v>
      </c>
      <c r="B75" s="189" t="s">
        <v>688</v>
      </c>
      <c r="C75" s="128">
        <f ca="1">_xlfn.IFNA(VLOOKUP(A75,Worksheet!$B$1:$G$600,3,FALSE),C75)</f>
        <v>0</v>
      </c>
      <c r="D75" s="128">
        <f ca="1">_xlfn.IFNA(VLOOKUP(A75,Worksheet!$B$1:$G$600,4,FALSE),D75)</f>
        <v>0</v>
      </c>
      <c r="E75" s="129">
        <f ca="1">_xlfn.IFNA(VLOOKUP(A75,Worksheet!$B$1:$G$600,5,FALSE),E75)</f>
        <v>0</v>
      </c>
      <c r="F75" t="s">
        <v>1450</v>
      </c>
    </row>
    <row r="76" spans="1:6" hidden="1" x14ac:dyDescent="0.25">
      <c r="A76" s="1" t="s">
        <v>937</v>
      </c>
      <c r="B76" s="188" t="s">
        <v>690</v>
      </c>
      <c r="C76" s="130">
        <f ca="1">_xlfn.IFNA(VLOOKUP(A76,Worksheet!$B$1:$G$600,3,FALSE),C76)</f>
        <v>0</v>
      </c>
      <c r="D76" s="130">
        <f ca="1">_xlfn.IFNA(VLOOKUP(A76,Worksheet!$B$1:$G$600,4,FALSE),D76)</f>
        <v>0</v>
      </c>
      <c r="E76" s="131">
        <f ca="1">_xlfn.IFNA(VLOOKUP(A76,Worksheet!$B$1:$G$600,5,FALSE),E76)</f>
        <v>0</v>
      </c>
      <c r="F76" t="s">
        <v>1450</v>
      </c>
    </row>
    <row r="77" spans="1:6" hidden="1" x14ac:dyDescent="0.25">
      <c r="A77" s="1" t="s">
        <v>233</v>
      </c>
      <c r="B77" s="187" t="s">
        <v>733</v>
      </c>
      <c r="C77" s="142">
        <f ca="1">SUM(C78,C81,C87,C92,C93)</f>
        <v>0</v>
      </c>
      <c r="D77" s="142">
        <f t="shared" ref="D77:E77" ca="1" si="14">SUM(D78,D81,D87,D92,D93)</f>
        <v>0</v>
      </c>
      <c r="E77" s="143">
        <f t="shared" ca="1" si="14"/>
        <v>0</v>
      </c>
      <c r="F77" t="s">
        <v>1450</v>
      </c>
    </row>
    <row r="78" spans="1:6" hidden="1" x14ac:dyDescent="0.25">
      <c r="A78" s="1" t="s">
        <v>234</v>
      </c>
      <c r="B78" s="187" t="s">
        <v>689</v>
      </c>
      <c r="C78" s="142">
        <f ca="1">SUM(C79:C80)/2</f>
        <v>0</v>
      </c>
      <c r="D78" s="142">
        <f t="shared" ref="D78:E78" ca="1" si="15">SUM(D79:D80)/2</f>
        <v>0</v>
      </c>
      <c r="E78" s="143">
        <f t="shared" ca="1" si="15"/>
        <v>0</v>
      </c>
      <c r="F78" t="s">
        <v>1450</v>
      </c>
    </row>
    <row r="79" spans="1:6" hidden="1" x14ac:dyDescent="0.25">
      <c r="A79" s="1" t="s">
        <v>237</v>
      </c>
      <c r="B79" s="190" t="s">
        <v>112</v>
      </c>
      <c r="C79" s="124">
        <f ca="1">_xlfn.IFNA(VLOOKUP(A79,Worksheet!$B$1:$G$600,3,FALSE),C79)</f>
        <v>0</v>
      </c>
      <c r="D79" s="124">
        <f ca="1">_xlfn.IFNA(VLOOKUP(A79,Worksheet!$B$1:$G$600,4,FALSE),D79)</f>
        <v>0</v>
      </c>
      <c r="E79" s="125">
        <f ca="1">_xlfn.IFNA(VLOOKUP(A79,Worksheet!$B$1:$G$600,5,FALSE),E79)</f>
        <v>0</v>
      </c>
      <c r="F79" t="s">
        <v>1450</v>
      </c>
    </row>
    <row r="80" spans="1:6" hidden="1" x14ac:dyDescent="0.25">
      <c r="A80" s="1" t="s">
        <v>938</v>
      </c>
      <c r="B80" s="187" t="s">
        <v>113</v>
      </c>
      <c r="C80" s="126">
        <f ca="1">_xlfn.IFNA(VLOOKUP(A80,Worksheet!$B$1:$G$600,3,FALSE),C80)</f>
        <v>0</v>
      </c>
      <c r="D80" s="126">
        <f ca="1">_xlfn.IFNA(VLOOKUP(A80,Worksheet!$B$1:$G$600,4,FALSE),D80)</f>
        <v>0</v>
      </c>
      <c r="E80" s="127">
        <f ca="1">_xlfn.IFNA(VLOOKUP(A80,Worksheet!$B$1:$G$600,5,FALSE),E80)</f>
        <v>0</v>
      </c>
      <c r="F80" t="s">
        <v>1450</v>
      </c>
    </row>
    <row r="81" spans="1:6" hidden="1" x14ac:dyDescent="0.25">
      <c r="A81" s="1" t="s">
        <v>942</v>
      </c>
      <c r="B81" s="188" t="s">
        <v>687</v>
      </c>
      <c r="C81" s="55">
        <f ca="1">SUM(C82:C86)</f>
        <v>0</v>
      </c>
      <c r="D81" s="55">
        <f t="shared" ref="D81:E81" ca="1" si="16">SUM(D82:D86)</f>
        <v>0</v>
      </c>
      <c r="E81" s="56">
        <f t="shared" ca="1" si="16"/>
        <v>0</v>
      </c>
      <c r="F81" t="s">
        <v>1450</v>
      </c>
    </row>
    <row r="82" spans="1:6" hidden="1" x14ac:dyDescent="0.25">
      <c r="A82" s="1" t="s">
        <v>943</v>
      </c>
      <c r="B82" s="189" t="s">
        <v>696</v>
      </c>
      <c r="C82" s="124">
        <f ca="1">_xlfn.IFNA(VLOOKUP(A82,Worksheet!$B$1:$G$600,3,FALSE),C82)</f>
        <v>0</v>
      </c>
      <c r="D82" s="124">
        <f ca="1">_xlfn.IFNA(VLOOKUP(A82,Worksheet!$B$1:$G$600,4,FALSE),D82)</f>
        <v>0</v>
      </c>
      <c r="E82" s="125">
        <f ca="1">_xlfn.IFNA(VLOOKUP(A82,Worksheet!$B$1:$G$600,5,FALSE),E82)</f>
        <v>0</v>
      </c>
      <c r="F82" t="s">
        <v>1450</v>
      </c>
    </row>
    <row r="83" spans="1:6" hidden="1" x14ac:dyDescent="0.25">
      <c r="A83" s="1" t="s">
        <v>944</v>
      </c>
      <c r="B83" s="189" t="s">
        <v>697</v>
      </c>
      <c r="C83" s="124">
        <f ca="1">_xlfn.IFNA(VLOOKUP(A83,Worksheet!$B$1:$G$600,3,FALSE),C83)</f>
        <v>0</v>
      </c>
      <c r="D83" s="124">
        <f ca="1">_xlfn.IFNA(VLOOKUP(A83,Worksheet!$B$1:$G$600,4,FALSE),D83)</f>
        <v>0</v>
      </c>
      <c r="E83" s="125">
        <f ca="1">_xlfn.IFNA(VLOOKUP(A83,Worksheet!$B$1:$G$600,5,FALSE),E83)</f>
        <v>0</v>
      </c>
      <c r="F83" t="s">
        <v>1450</v>
      </c>
    </row>
    <row r="84" spans="1:6" hidden="1" x14ac:dyDescent="0.25">
      <c r="A84" s="1" t="s">
        <v>945</v>
      </c>
      <c r="B84" s="189" t="s">
        <v>698</v>
      </c>
      <c r="C84" s="124">
        <f ca="1">_xlfn.IFNA(VLOOKUP(A84,Worksheet!$B$1:$G$600,3,FALSE),C84)</f>
        <v>0</v>
      </c>
      <c r="D84" s="124">
        <f ca="1">_xlfn.IFNA(VLOOKUP(A84,Worksheet!$B$1:$G$600,4,FALSE),D84)</f>
        <v>0</v>
      </c>
      <c r="E84" s="125">
        <f ca="1">_xlfn.IFNA(VLOOKUP(A84,Worksheet!$B$1:$G$600,5,FALSE),E84)</f>
        <v>0</v>
      </c>
      <c r="F84" t="s">
        <v>1450</v>
      </c>
    </row>
    <row r="85" spans="1:6" hidden="1" x14ac:dyDescent="0.25">
      <c r="A85" s="1" t="s">
        <v>946</v>
      </c>
      <c r="B85" s="189" t="s">
        <v>699</v>
      </c>
      <c r="C85" s="124">
        <f ca="1">_xlfn.IFNA(VLOOKUP(A85,Worksheet!$B$1:$G$600,3,FALSE),C85)</f>
        <v>0</v>
      </c>
      <c r="D85" s="124">
        <f ca="1">_xlfn.IFNA(VLOOKUP(A85,Worksheet!$B$1:$G$600,4,FALSE),D85)</f>
        <v>0</v>
      </c>
      <c r="E85" s="125">
        <f ca="1">_xlfn.IFNA(VLOOKUP(A85,Worksheet!$B$1:$G$600,5,FALSE),E85)</f>
        <v>0</v>
      </c>
      <c r="F85" t="s">
        <v>1450</v>
      </c>
    </row>
    <row r="86" spans="1:6" hidden="1" x14ac:dyDescent="0.25">
      <c r="A86" s="1" t="s">
        <v>947</v>
      </c>
      <c r="B86" s="188" t="s">
        <v>700</v>
      </c>
      <c r="C86" s="126">
        <f ca="1">_xlfn.IFNA(VLOOKUP(A86,Worksheet!$B$1:$G$600,3,FALSE),C86)</f>
        <v>0</v>
      </c>
      <c r="D86" s="126">
        <f ca="1">_xlfn.IFNA(VLOOKUP(A86,Worksheet!$B$1:$G$600,4,FALSE),D86)</f>
        <v>0</v>
      </c>
      <c r="E86" s="127">
        <f ca="1">_xlfn.IFNA(VLOOKUP(A86,Worksheet!$B$1:$G$600,5,FALSE),E86)</f>
        <v>0</v>
      </c>
      <c r="F86" t="s">
        <v>1450</v>
      </c>
    </row>
    <row r="87" spans="1:6" hidden="1" x14ac:dyDescent="0.25">
      <c r="A87" s="1" t="s">
        <v>948</v>
      </c>
      <c r="B87" s="188" t="s">
        <v>691</v>
      </c>
      <c r="C87" s="55">
        <f ca="1">SUM(C88:C91)</f>
        <v>0</v>
      </c>
      <c r="D87" s="55">
        <f t="shared" ref="D87:E87" ca="1" si="17">SUM(D88:D91)</f>
        <v>0</v>
      </c>
      <c r="E87" s="56">
        <f t="shared" ca="1" si="17"/>
        <v>0</v>
      </c>
      <c r="F87" t="s">
        <v>1450</v>
      </c>
    </row>
    <row r="88" spans="1:6" hidden="1" x14ac:dyDescent="0.25">
      <c r="A88" s="1" t="s">
        <v>949</v>
      </c>
      <c r="B88" s="189" t="s">
        <v>692</v>
      </c>
      <c r="C88" s="124">
        <f ca="1">_xlfn.IFNA(VLOOKUP(A88,Worksheet!$B$1:$G$600,3,FALSE),C88)</f>
        <v>0</v>
      </c>
      <c r="D88" s="124">
        <f ca="1">_xlfn.IFNA(VLOOKUP(A88,Worksheet!$B$1:$G$600,4,FALSE),D88)</f>
        <v>0</v>
      </c>
      <c r="E88" s="125">
        <f ca="1">_xlfn.IFNA(VLOOKUP(A88,Worksheet!$B$1:$G$600,5,FALSE),E88)</f>
        <v>0</v>
      </c>
      <c r="F88" t="s">
        <v>1450</v>
      </c>
    </row>
    <row r="89" spans="1:6" hidden="1" x14ac:dyDescent="0.25">
      <c r="A89" s="1" t="s">
        <v>950</v>
      </c>
      <c r="B89" s="189" t="s">
        <v>693</v>
      </c>
      <c r="C89" s="124">
        <f ca="1">_xlfn.IFNA(VLOOKUP(A89,Worksheet!$B$1:$G$600,3,FALSE),C89)</f>
        <v>0</v>
      </c>
      <c r="D89" s="124">
        <f ca="1">_xlfn.IFNA(VLOOKUP(A89,Worksheet!$B$1:$G$600,4,FALSE),D89)</f>
        <v>0</v>
      </c>
      <c r="E89" s="125">
        <f ca="1">_xlfn.IFNA(VLOOKUP(A89,Worksheet!$B$1:$G$600,5,FALSE),E89)</f>
        <v>0</v>
      </c>
      <c r="F89" t="s">
        <v>1450</v>
      </c>
    </row>
    <row r="90" spans="1:6" hidden="1" x14ac:dyDescent="0.25">
      <c r="A90" s="1" t="s">
        <v>951</v>
      </c>
      <c r="B90" s="189" t="s">
        <v>694</v>
      </c>
      <c r="C90" s="124">
        <f ca="1">_xlfn.IFNA(VLOOKUP(A90,Worksheet!$B$1:$G$600,3,FALSE),C90)</f>
        <v>0</v>
      </c>
      <c r="D90" s="124">
        <f ca="1">_xlfn.IFNA(VLOOKUP(A90,Worksheet!$B$1:$G$600,4,FALSE),D90)</f>
        <v>0</v>
      </c>
      <c r="E90" s="125">
        <f ca="1">_xlfn.IFNA(VLOOKUP(A90,Worksheet!$B$1:$G$600,5,FALSE),E90)</f>
        <v>0</v>
      </c>
      <c r="F90" t="s">
        <v>1450</v>
      </c>
    </row>
    <row r="91" spans="1:6" hidden="1" x14ac:dyDescent="0.25">
      <c r="A91" s="1" t="s">
        <v>952</v>
      </c>
      <c r="B91" s="189" t="s">
        <v>695</v>
      </c>
      <c r="C91" s="128">
        <f ca="1">_xlfn.IFNA(VLOOKUP(A91,Worksheet!$B$1:$G$600,3,FALSE),C91)</f>
        <v>0</v>
      </c>
      <c r="D91" s="128">
        <f ca="1">_xlfn.IFNA(VLOOKUP(A91,Worksheet!$B$1:$G$600,4,FALSE),D91)</f>
        <v>0</v>
      </c>
      <c r="E91" s="129">
        <f ca="1">_xlfn.IFNA(VLOOKUP(A91,Worksheet!$B$1:$G$600,5,FALSE),E91)</f>
        <v>0</v>
      </c>
      <c r="F91" t="s">
        <v>1450</v>
      </c>
    </row>
    <row r="92" spans="1:6" hidden="1" x14ac:dyDescent="0.25">
      <c r="A92" s="1" t="s">
        <v>953</v>
      </c>
      <c r="B92" s="189" t="s">
        <v>688</v>
      </c>
      <c r="C92" s="128">
        <f ca="1">_xlfn.IFNA(VLOOKUP(A92,Worksheet!$B$1:$G$600,3,FALSE),C92)</f>
        <v>0</v>
      </c>
      <c r="D92" s="128">
        <f ca="1">_xlfn.IFNA(VLOOKUP(A92,Worksheet!$B$1:$G$600,4,FALSE),D92)</f>
        <v>0</v>
      </c>
      <c r="E92" s="129">
        <f ca="1">_xlfn.IFNA(VLOOKUP(A92,Worksheet!$B$1:$G$600,5,FALSE),E92)</f>
        <v>0</v>
      </c>
      <c r="F92" t="s">
        <v>1450</v>
      </c>
    </row>
    <row r="93" spans="1:6" hidden="1" x14ac:dyDescent="0.25">
      <c r="A93" s="1" t="s">
        <v>954</v>
      </c>
      <c r="B93" s="188" t="s">
        <v>690</v>
      </c>
      <c r="C93" s="130">
        <f ca="1">_xlfn.IFNA(VLOOKUP(A93,Worksheet!$B$1:$G$600,3,FALSE),C93)</f>
        <v>0</v>
      </c>
      <c r="D93" s="130">
        <f ca="1">_xlfn.IFNA(VLOOKUP(A93,Worksheet!$B$1:$G$600,4,FALSE),D93)</f>
        <v>0</v>
      </c>
      <c r="E93" s="131">
        <f ca="1">_xlfn.IFNA(VLOOKUP(A93,Worksheet!$B$1:$G$600,5,FALSE),E93)</f>
        <v>0</v>
      </c>
      <c r="F93" t="s">
        <v>1450</v>
      </c>
    </row>
    <row r="94" spans="1:6" s="4" customFormat="1" hidden="1" x14ac:dyDescent="0.25">
      <c r="A94" s="1"/>
      <c r="B94" s="191" t="s">
        <v>12</v>
      </c>
      <c r="C94" s="142"/>
      <c r="D94" s="142"/>
      <c r="E94" s="148"/>
      <c r="F94" t="s">
        <v>1450</v>
      </c>
    </row>
    <row r="95" spans="1:6" s="4" customFormat="1" hidden="1" x14ac:dyDescent="0.25">
      <c r="A95" s="36">
        <v>1.2</v>
      </c>
      <c r="B95" s="192" t="s">
        <v>736</v>
      </c>
      <c r="C95" s="142">
        <f ca="1">SUM(C96,C116)</f>
        <v>0</v>
      </c>
      <c r="D95" s="142">
        <f ca="1">SUM(D96,D116)</f>
        <v>0</v>
      </c>
      <c r="E95" s="143">
        <f ca="1">SUM(E96,E116)</f>
        <v>0</v>
      </c>
      <c r="F95" t="s">
        <v>1450</v>
      </c>
    </row>
    <row r="96" spans="1:6" s="4" customFormat="1" hidden="1" x14ac:dyDescent="0.25">
      <c r="A96" s="39" t="s">
        <v>238</v>
      </c>
      <c r="B96" s="187" t="s">
        <v>735</v>
      </c>
      <c r="C96" s="142">
        <f ca="1">SUM(C97,C103,C114,C115)</f>
        <v>0</v>
      </c>
      <c r="D96" s="142">
        <f ca="1">SUM(D97,D103,D114,D115)</f>
        <v>0</v>
      </c>
      <c r="E96" s="143">
        <f ca="1">SUM(E97,E103,E114,E115)</f>
        <v>0</v>
      </c>
      <c r="F96" t="s">
        <v>1450</v>
      </c>
    </row>
    <row r="97" spans="1:6" s="4" customFormat="1" hidden="1" x14ac:dyDescent="0.25">
      <c r="A97" s="39" t="s">
        <v>239</v>
      </c>
      <c r="B97" s="187" t="s">
        <v>689</v>
      </c>
      <c r="C97" s="142">
        <f ca="1">SUM(C98:C102)/5</f>
        <v>0</v>
      </c>
      <c r="D97" s="142">
        <f t="shared" ref="D97:E97" ca="1" si="18">SUM(D98:D102)/5</f>
        <v>0</v>
      </c>
      <c r="E97" s="143">
        <f t="shared" ca="1" si="18"/>
        <v>0</v>
      </c>
      <c r="F97" t="s">
        <v>1450</v>
      </c>
    </row>
    <row r="98" spans="1:6" s="4" customFormat="1" hidden="1" x14ac:dyDescent="0.25">
      <c r="A98" s="39" t="s">
        <v>240</v>
      </c>
      <c r="B98" s="190" t="s">
        <v>113</v>
      </c>
      <c r="C98" s="124">
        <f ca="1">_xlfn.IFNA(VLOOKUP(A98,Worksheet!$B$1:$G$600,3,FALSE),C98)</f>
        <v>0</v>
      </c>
      <c r="D98" s="124">
        <f ca="1">_xlfn.IFNA(VLOOKUP(A98,Worksheet!$B$1:$G$600,4,FALSE),D98)</f>
        <v>0</v>
      </c>
      <c r="E98" s="125">
        <f ca="1">_xlfn.IFNA(VLOOKUP(A98,Worksheet!$B$1:$G$600,5,FALSE),E98)</f>
        <v>0</v>
      </c>
      <c r="F98" t="s">
        <v>1450</v>
      </c>
    </row>
    <row r="99" spans="1:6" s="4" customFormat="1" hidden="1" x14ac:dyDescent="0.25">
      <c r="A99" s="39" t="s">
        <v>241</v>
      </c>
      <c r="B99" s="190" t="s">
        <v>111</v>
      </c>
      <c r="C99" s="124">
        <f ca="1">_xlfn.IFNA(VLOOKUP(A99,Worksheet!$B$1:$G$600,3,FALSE),C99)</f>
        <v>0</v>
      </c>
      <c r="D99" s="124">
        <f ca="1">_xlfn.IFNA(VLOOKUP(A99,Worksheet!$B$1:$G$600,4,FALSE),D99)</f>
        <v>0</v>
      </c>
      <c r="E99" s="125">
        <f ca="1">_xlfn.IFNA(VLOOKUP(A99,Worksheet!$B$1:$G$600,5,FALSE),E99)</f>
        <v>0</v>
      </c>
      <c r="F99" t="s">
        <v>1450</v>
      </c>
    </row>
    <row r="100" spans="1:6" s="4" customFormat="1" hidden="1" x14ac:dyDescent="0.25">
      <c r="A100" s="39" t="s">
        <v>242</v>
      </c>
      <c r="B100" s="190" t="s">
        <v>114</v>
      </c>
      <c r="C100" s="124">
        <f ca="1">_xlfn.IFNA(VLOOKUP(A100,Worksheet!$B$1:$G$600,3,FALSE),C100)</f>
        <v>0</v>
      </c>
      <c r="D100" s="124">
        <f ca="1">_xlfn.IFNA(VLOOKUP(A100,Worksheet!$B$1:$G$600,4,FALSE),D100)</f>
        <v>0</v>
      </c>
      <c r="E100" s="125">
        <f ca="1">_xlfn.IFNA(VLOOKUP(A100,Worksheet!$B$1:$G$600,5,FALSE),E100)</f>
        <v>0</v>
      </c>
      <c r="F100" t="s">
        <v>1450</v>
      </c>
    </row>
    <row r="101" spans="1:6" s="4" customFormat="1" hidden="1" x14ac:dyDescent="0.25">
      <c r="A101" s="39" t="s">
        <v>955</v>
      </c>
      <c r="B101" s="190" t="s">
        <v>116</v>
      </c>
      <c r="C101" s="124">
        <f ca="1">_xlfn.IFNA(VLOOKUP(A101,Worksheet!$B$1:$G$600,3,FALSE),C101)</f>
        <v>0</v>
      </c>
      <c r="D101" s="124">
        <f ca="1">_xlfn.IFNA(VLOOKUP(A101,Worksheet!$B$1:$G$600,4,FALSE),D101)</f>
        <v>0</v>
      </c>
      <c r="E101" s="125">
        <f ca="1">_xlfn.IFNA(VLOOKUP(A101,Worksheet!$B$1:$G$600,5,FALSE),E101)</f>
        <v>0</v>
      </c>
      <c r="F101" t="s">
        <v>1450</v>
      </c>
    </row>
    <row r="102" spans="1:6" s="4" customFormat="1" hidden="1" x14ac:dyDescent="0.25">
      <c r="A102" s="39" t="s">
        <v>956</v>
      </c>
      <c r="B102" s="187" t="s">
        <v>761</v>
      </c>
      <c r="C102" s="126">
        <f ca="1">_xlfn.IFNA(VLOOKUP(A102,Worksheet!$B$1:$G$600,3,FALSE),C102)</f>
        <v>0</v>
      </c>
      <c r="D102" s="126">
        <f ca="1">_xlfn.IFNA(VLOOKUP(A102,Worksheet!$B$1:$G$600,4,FALSE),D102)</f>
        <v>0</v>
      </c>
      <c r="E102" s="127">
        <f ca="1">_xlfn.IFNA(VLOOKUP(A102,Worksheet!$B$1:$G$600,5,FALSE),E102)</f>
        <v>0</v>
      </c>
      <c r="F102" t="s">
        <v>1450</v>
      </c>
    </row>
    <row r="103" spans="1:6" s="4" customFormat="1" hidden="1" x14ac:dyDescent="0.25">
      <c r="A103" s="39" t="s">
        <v>957</v>
      </c>
      <c r="B103" s="188" t="s">
        <v>687</v>
      </c>
      <c r="C103" s="142">
        <f ca="1">SUM(C104:C108)</f>
        <v>0</v>
      </c>
      <c r="D103" s="142">
        <f t="shared" ref="D103:E103" ca="1" si="19">SUM(D104:D108)</f>
        <v>0</v>
      </c>
      <c r="E103" s="143">
        <f t="shared" ca="1" si="19"/>
        <v>0</v>
      </c>
      <c r="F103" t="s">
        <v>1450</v>
      </c>
    </row>
    <row r="104" spans="1:6" s="4" customFormat="1" hidden="1" x14ac:dyDescent="0.25">
      <c r="A104" s="39" t="s">
        <v>958</v>
      </c>
      <c r="B104" s="189" t="s">
        <v>696</v>
      </c>
      <c r="C104" s="124">
        <f ca="1">_xlfn.IFNA(VLOOKUP(A104,Worksheet!$B$1:$G$600,3,FALSE),C104)</f>
        <v>0</v>
      </c>
      <c r="D104" s="124">
        <f ca="1">_xlfn.IFNA(VLOOKUP(A104,Worksheet!$B$1:$G$600,4,FALSE),D104)</f>
        <v>0</v>
      </c>
      <c r="E104" s="125">
        <f ca="1">_xlfn.IFNA(VLOOKUP(A104,Worksheet!$B$1:$G$600,5,FALSE),E104)</f>
        <v>0</v>
      </c>
      <c r="F104" t="s">
        <v>1450</v>
      </c>
    </row>
    <row r="105" spans="1:6" s="4" customFormat="1" hidden="1" x14ac:dyDescent="0.25">
      <c r="A105" s="39" t="s">
        <v>959</v>
      </c>
      <c r="B105" s="189" t="s">
        <v>697</v>
      </c>
      <c r="C105" s="124">
        <f ca="1">_xlfn.IFNA(VLOOKUP(A105,Worksheet!$B$1:$G$600,3,FALSE),C105)</f>
        <v>0</v>
      </c>
      <c r="D105" s="124">
        <f ca="1">_xlfn.IFNA(VLOOKUP(A105,Worksheet!$B$1:$G$600,4,FALSE),D105)</f>
        <v>0</v>
      </c>
      <c r="E105" s="125">
        <f ca="1">_xlfn.IFNA(VLOOKUP(A105,Worksheet!$B$1:$G$600,5,FALSE),E105)</f>
        <v>0</v>
      </c>
      <c r="F105" t="s">
        <v>1450</v>
      </c>
    </row>
    <row r="106" spans="1:6" s="4" customFormat="1" hidden="1" x14ac:dyDescent="0.25">
      <c r="A106" s="39" t="s">
        <v>991</v>
      </c>
      <c r="B106" s="189" t="s">
        <v>698</v>
      </c>
      <c r="C106" s="124">
        <f ca="1">_xlfn.IFNA(VLOOKUP(A106,Worksheet!$B$1:$G$600,3,FALSE),C106)</f>
        <v>0</v>
      </c>
      <c r="D106" s="124">
        <f ca="1">_xlfn.IFNA(VLOOKUP(A106,Worksheet!$B$1:$G$600,4,FALSE),D106)</f>
        <v>0</v>
      </c>
      <c r="E106" s="125">
        <f ca="1">_xlfn.IFNA(VLOOKUP(A106,Worksheet!$B$1:$G$600,5,FALSE),E106)</f>
        <v>0</v>
      </c>
      <c r="F106" t="s">
        <v>1450</v>
      </c>
    </row>
    <row r="107" spans="1:6" s="4" customFormat="1" hidden="1" x14ac:dyDescent="0.25">
      <c r="A107" s="39" t="s">
        <v>960</v>
      </c>
      <c r="B107" s="189" t="s">
        <v>699</v>
      </c>
      <c r="C107" s="124">
        <f ca="1">_xlfn.IFNA(VLOOKUP(A107,Worksheet!$B$1:$G$600,3,FALSE),C107)</f>
        <v>0</v>
      </c>
      <c r="D107" s="124">
        <f ca="1">_xlfn.IFNA(VLOOKUP(A107,Worksheet!$B$1:$G$600,4,FALSE),D107)</f>
        <v>0</v>
      </c>
      <c r="E107" s="125">
        <f ca="1">_xlfn.IFNA(VLOOKUP(A107,Worksheet!$B$1:$G$600,5,FALSE),E107)</f>
        <v>0</v>
      </c>
      <c r="F107" t="s">
        <v>1450</v>
      </c>
    </row>
    <row r="108" spans="1:6" s="4" customFormat="1" hidden="1" x14ac:dyDescent="0.25">
      <c r="A108" s="39" t="s">
        <v>962</v>
      </c>
      <c r="B108" s="188" t="s">
        <v>700</v>
      </c>
      <c r="C108" s="126">
        <f ca="1">_xlfn.IFNA(VLOOKUP(A108,Worksheet!$B$1:$G$600,3,FALSE),C108)</f>
        <v>0</v>
      </c>
      <c r="D108" s="126">
        <f ca="1">_xlfn.IFNA(VLOOKUP(A108,Worksheet!$B$1:$G$600,4,FALSE),D108)</f>
        <v>0</v>
      </c>
      <c r="E108" s="127">
        <f ca="1">_xlfn.IFNA(VLOOKUP(A108,Worksheet!$B$1:$G$600,5,FALSE),E108)</f>
        <v>0</v>
      </c>
      <c r="F108" t="s">
        <v>1450</v>
      </c>
    </row>
    <row r="109" spans="1:6" s="4" customFormat="1" hidden="1" x14ac:dyDescent="0.25">
      <c r="A109" s="39" t="s">
        <v>963</v>
      </c>
      <c r="B109" s="188" t="s">
        <v>691</v>
      </c>
      <c r="C109" s="142">
        <f ca="1">SUM(C110,C111,C112,C113,C381)</f>
        <v>0</v>
      </c>
      <c r="D109" s="142">
        <f ca="1">SUM(D110,D111,D112,D113,D381)</f>
        <v>0</v>
      </c>
      <c r="E109" s="143">
        <f ca="1">SUM(E110,E111,E112,E113,E381)</f>
        <v>0</v>
      </c>
      <c r="F109" t="s">
        <v>1450</v>
      </c>
    </row>
    <row r="110" spans="1:6" s="4" customFormat="1" hidden="1" x14ac:dyDescent="0.25">
      <c r="A110" s="39" t="s">
        <v>964</v>
      </c>
      <c r="B110" s="189" t="s">
        <v>692</v>
      </c>
      <c r="C110" s="124">
        <f ca="1">_xlfn.IFNA(VLOOKUP(A110,Worksheet!$B$1:$G$600,3,FALSE),C110)</f>
        <v>0</v>
      </c>
      <c r="D110" s="124">
        <f ca="1">_xlfn.IFNA(VLOOKUP(A110,Worksheet!$B$1:$G$600,4,FALSE),D110)</f>
        <v>0</v>
      </c>
      <c r="E110" s="125">
        <f ca="1">_xlfn.IFNA(VLOOKUP(A110,Worksheet!$B$1:$G$600,5,FALSE),E110)</f>
        <v>0</v>
      </c>
      <c r="F110" t="s">
        <v>1450</v>
      </c>
    </row>
    <row r="111" spans="1:6" s="4" customFormat="1" hidden="1" x14ac:dyDescent="0.25">
      <c r="A111" s="39" t="s">
        <v>965</v>
      </c>
      <c r="B111" s="189" t="s">
        <v>693</v>
      </c>
      <c r="C111" s="124">
        <f ca="1">_xlfn.IFNA(VLOOKUP(A111,Worksheet!$B$1:$G$600,3,FALSE),C111)</f>
        <v>0</v>
      </c>
      <c r="D111" s="124">
        <f ca="1">_xlfn.IFNA(VLOOKUP(A111,Worksheet!$B$1:$G$600,4,FALSE),D111)</f>
        <v>0</v>
      </c>
      <c r="E111" s="125">
        <f ca="1">_xlfn.IFNA(VLOOKUP(A111,Worksheet!$B$1:$G$600,5,FALSE),E111)</f>
        <v>0</v>
      </c>
      <c r="F111" t="s">
        <v>1450</v>
      </c>
    </row>
    <row r="112" spans="1:6" s="4" customFormat="1" hidden="1" x14ac:dyDescent="0.25">
      <c r="A112" s="39" t="s">
        <v>966</v>
      </c>
      <c r="B112" s="189" t="s">
        <v>694</v>
      </c>
      <c r="C112" s="124">
        <f ca="1">_xlfn.IFNA(VLOOKUP(A112,Worksheet!$B$1:$G$600,3,FALSE),C112)</f>
        <v>0</v>
      </c>
      <c r="D112" s="124">
        <f ca="1">_xlfn.IFNA(VLOOKUP(A112,Worksheet!$B$1:$G$600,4,FALSE),D112)</f>
        <v>0</v>
      </c>
      <c r="E112" s="125">
        <f ca="1">_xlfn.IFNA(VLOOKUP(A112,Worksheet!$B$1:$G$600,5,FALSE),E112)</f>
        <v>0</v>
      </c>
      <c r="F112" t="s">
        <v>1450</v>
      </c>
    </row>
    <row r="113" spans="1:6" s="4" customFormat="1" hidden="1" x14ac:dyDescent="0.25">
      <c r="A113" s="39" t="s">
        <v>967</v>
      </c>
      <c r="B113" s="189" t="s">
        <v>695</v>
      </c>
      <c r="C113" s="128">
        <f ca="1">_xlfn.IFNA(VLOOKUP(A113,Worksheet!$B$1:$G$600,3,FALSE),C113)</f>
        <v>0</v>
      </c>
      <c r="D113" s="128">
        <f ca="1">_xlfn.IFNA(VLOOKUP(A113,Worksheet!$B$1:$G$600,4,FALSE),D113)</f>
        <v>0</v>
      </c>
      <c r="E113" s="129">
        <f ca="1">_xlfn.IFNA(VLOOKUP(A113,Worksheet!$B$1:$G$600,5,FALSE),E113)</f>
        <v>0</v>
      </c>
      <c r="F113" t="s">
        <v>1450</v>
      </c>
    </row>
    <row r="114" spans="1:6" s="4" customFormat="1" hidden="1" x14ac:dyDescent="0.25">
      <c r="A114" s="39" t="s">
        <v>968</v>
      </c>
      <c r="B114" s="189" t="s">
        <v>688</v>
      </c>
      <c r="C114" s="128">
        <f ca="1">_xlfn.IFNA(VLOOKUP(A114,Worksheet!$B$1:$G$600,3,FALSE),C114)</f>
        <v>0</v>
      </c>
      <c r="D114" s="128">
        <f ca="1">_xlfn.IFNA(VLOOKUP(A114,Worksheet!$B$1:$G$600,4,FALSE),D114)</f>
        <v>0</v>
      </c>
      <c r="E114" s="129">
        <f ca="1">_xlfn.IFNA(VLOOKUP(A114,Worksheet!$B$1:$G$600,5,FALSE),E114)</f>
        <v>0</v>
      </c>
      <c r="F114" t="s">
        <v>1450</v>
      </c>
    </row>
    <row r="115" spans="1:6" s="4" customFormat="1" hidden="1" x14ac:dyDescent="0.25">
      <c r="A115" s="39" t="s">
        <v>969</v>
      </c>
      <c r="B115" s="188" t="s">
        <v>690</v>
      </c>
      <c r="C115" s="130">
        <f ca="1">_xlfn.IFNA(VLOOKUP(A115,Worksheet!$B$1:$G$600,3,FALSE),C115)</f>
        <v>0</v>
      </c>
      <c r="D115" s="130">
        <f ca="1">_xlfn.IFNA(VLOOKUP(A115,Worksheet!$B$1:$G$600,4,FALSE),D115)</f>
        <v>0</v>
      </c>
      <c r="E115" s="131">
        <f ca="1">_xlfn.IFNA(VLOOKUP(A115,Worksheet!$B$1:$G$600,5,FALSE),E115)</f>
        <v>0</v>
      </c>
      <c r="F115" t="s">
        <v>1450</v>
      </c>
    </row>
    <row r="116" spans="1:6" s="4" customFormat="1" hidden="1" x14ac:dyDescent="0.25">
      <c r="A116" s="39" t="s">
        <v>970</v>
      </c>
      <c r="B116" s="187" t="s">
        <v>737</v>
      </c>
      <c r="C116" s="142">
        <f ca="1">SUM(C117,C123,C129,C134,C135)</f>
        <v>0</v>
      </c>
      <c r="D116" s="142">
        <f ca="1">SUM(D117,D123,D129,D134,D135)</f>
        <v>0</v>
      </c>
      <c r="E116" s="143">
        <f ca="1">SUM(E117,E123,E129,E134,E135)</f>
        <v>0</v>
      </c>
      <c r="F116" t="s">
        <v>1450</v>
      </c>
    </row>
    <row r="117" spans="1:6" s="4" customFormat="1" hidden="1" x14ac:dyDescent="0.25">
      <c r="A117" s="39" t="s">
        <v>971</v>
      </c>
      <c r="B117" s="187" t="s">
        <v>689</v>
      </c>
      <c r="C117" s="142">
        <f ca="1">SUM(C118:C121)/5</f>
        <v>0</v>
      </c>
      <c r="D117" s="142">
        <f ca="1">SUM(D118:D121)/5</f>
        <v>0</v>
      </c>
      <c r="E117" s="143">
        <f ca="1">SUM(E118:E121)/5</f>
        <v>0</v>
      </c>
      <c r="F117" t="s">
        <v>1450</v>
      </c>
    </row>
    <row r="118" spans="1:6" s="4" customFormat="1" hidden="1" x14ac:dyDescent="0.25">
      <c r="A118" s="39" t="s">
        <v>972</v>
      </c>
      <c r="B118" s="190" t="s">
        <v>113</v>
      </c>
      <c r="C118" s="124">
        <f ca="1">_xlfn.IFNA(VLOOKUP(A118,Worksheet!$B$1:$G$600,3,FALSE),C118)</f>
        <v>0</v>
      </c>
      <c r="D118" s="124">
        <f ca="1">_xlfn.IFNA(VLOOKUP(A118,Worksheet!$B$1:$G$600,4,FALSE),D118)</f>
        <v>0</v>
      </c>
      <c r="E118" s="125">
        <f ca="1">_xlfn.IFNA(VLOOKUP(A118,Worksheet!$B$1:$G$600,5,FALSE),E118)</f>
        <v>0</v>
      </c>
      <c r="F118" t="s">
        <v>1450</v>
      </c>
    </row>
    <row r="119" spans="1:6" s="4" customFormat="1" hidden="1" x14ac:dyDescent="0.25">
      <c r="A119" s="39" t="s">
        <v>973</v>
      </c>
      <c r="B119" s="190" t="s">
        <v>111</v>
      </c>
      <c r="C119" s="124">
        <f ca="1">_xlfn.IFNA(VLOOKUP(A119,Worksheet!$B$1:$G$600,3,FALSE),C119)</f>
        <v>0</v>
      </c>
      <c r="D119" s="124">
        <f ca="1">_xlfn.IFNA(VLOOKUP(A119,Worksheet!$B$1:$G$600,4,FALSE),D119)</f>
        <v>0</v>
      </c>
      <c r="E119" s="125">
        <f ca="1">_xlfn.IFNA(VLOOKUP(A119,Worksheet!$B$1:$G$600,5,FALSE),E119)</f>
        <v>0</v>
      </c>
      <c r="F119" t="s">
        <v>1450</v>
      </c>
    </row>
    <row r="120" spans="1:6" s="4" customFormat="1" hidden="1" x14ac:dyDescent="0.25">
      <c r="A120" s="39" t="s">
        <v>974</v>
      </c>
      <c r="B120" s="190" t="s">
        <v>114</v>
      </c>
      <c r="C120" s="124">
        <f ca="1">_xlfn.IFNA(VLOOKUP(A120,Worksheet!$B$1:$G$600,3,FALSE),C120)</f>
        <v>0</v>
      </c>
      <c r="D120" s="124">
        <f ca="1">_xlfn.IFNA(VLOOKUP(A120,Worksheet!$B$1:$G$600,4,FALSE),D120)</f>
        <v>0</v>
      </c>
      <c r="E120" s="125">
        <f ca="1">_xlfn.IFNA(VLOOKUP(A120,Worksheet!$B$1:$G$600,5,FALSE),E120)</f>
        <v>0</v>
      </c>
      <c r="F120" t="s">
        <v>1450</v>
      </c>
    </row>
    <row r="121" spans="1:6" s="4" customFormat="1" hidden="1" x14ac:dyDescent="0.25">
      <c r="A121" s="39" t="s">
        <v>975</v>
      </c>
      <c r="B121" s="190" t="s">
        <v>116</v>
      </c>
      <c r="C121" s="124">
        <f ca="1">_xlfn.IFNA(VLOOKUP(A121,Worksheet!$B$1:$G$600,3,FALSE),C121)</f>
        <v>0</v>
      </c>
      <c r="D121" s="124">
        <f ca="1">_xlfn.IFNA(VLOOKUP(A121,Worksheet!$B$1:$G$600,4,FALSE),D121)</f>
        <v>0</v>
      </c>
      <c r="E121" s="125">
        <f ca="1">_xlfn.IFNA(VLOOKUP(A121,Worksheet!$B$1:$G$600,5,FALSE),E121)</f>
        <v>0</v>
      </c>
      <c r="F121" t="s">
        <v>1450</v>
      </c>
    </row>
    <row r="122" spans="1:6" s="4" customFormat="1" hidden="1" x14ac:dyDescent="0.25">
      <c r="A122" s="39" t="s">
        <v>976</v>
      </c>
      <c r="B122" s="187" t="s">
        <v>761</v>
      </c>
      <c r="C122" s="126">
        <f ca="1">_xlfn.IFNA(VLOOKUP(A122,Worksheet!$B$1:$G$600,3,FALSE),C122)</f>
        <v>0</v>
      </c>
      <c r="D122" s="126">
        <f ca="1">_xlfn.IFNA(VLOOKUP(A122,Worksheet!$B$1:$G$600,4,FALSE),D122)</f>
        <v>0</v>
      </c>
      <c r="E122" s="127">
        <f ca="1">_xlfn.IFNA(VLOOKUP(A122,Worksheet!$B$1:$G$600,5,FALSE),E122)</f>
        <v>0</v>
      </c>
      <c r="F122" t="s">
        <v>1450</v>
      </c>
    </row>
    <row r="123" spans="1:6" s="4" customFormat="1" hidden="1" x14ac:dyDescent="0.25">
      <c r="A123" s="39" t="s">
        <v>977</v>
      </c>
      <c r="B123" s="188" t="s">
        <v>687</v>
      </c>
      <c r="C123" s="142">
        <f ca="1">SUM(C124:C128)</f>
        <v>0</v>
      </c>
      <c r="D123" s="142">
        <f t="shared" ref="D123:E123" ca="1" si="20">SUM(D124:D128)</f>
        <v>0</v>
      </c>
      <c r="E123" s="143">
        <f t="shared" ca="1" si="20"/>
        <v>0</v>
      </c>
      <c r="F123" t="s">
        <v>1450</v>
      </c>
    </row>
    <row r="124" spans="1:6" s="4" customFormat="1" hidden="1" x14ac:dyDescent="0.25">
      <c r="A124" s="39" t="s">
        <v>978</v>
      </c>
      <c r="B124" s="189" t="s">
        <v>696</v>
      </c>
      <c r="C124" s="124">
        <f ca="1">_xlfn.IFNA(VLOOKUP(A124,Worksheet!$B$1:$G$600,3,FALSE),C124)</f>
        <v>0</v>
      </c>
      <c r="D124" s="124">
        <f ca="1">_xlfn.IFNA(VLOOKUP(A124,Worksheet!$B$1:$G$600,4,FALSE),D124)</f>
        <v>0</v>
      </c>
      <c r="E124" s="125">
        <f ca="1">_xlfn.IFNA(VLOOKUP(A124,Worksheet!$B$1:$G$600,5,FALSE),E124)</f>
        <v>0</v>
      </c>
      <c r="F124" t="s">
        <v>1450</v>
      </c>
    </row>
    <row r="125" spans="1:6" s="4" customFormat="1" hidden="1" x14ac:dyDescent="0.25">
      <c r="A125" s="39" t="s">
        <v>979</v>
      </c>
      <c r="B125" s="189" t="s">
        <v>697</v>
      </c>
      <c r="C125" s="124">
        <f ca="1">_xlfn.IFNA(VLOOKUP(A125,Worksheet!$B$1:$G$600,3,FALSE),C125)</f>
        <v>0</v>
      </c>
      <c r="D125" s="124">
        <f ca="1">_xlfn.IFNA(VLOOKUP(A125,Worksheet!$B$1:$G$600,4,FALSE),D125)</f>
        <v>0</v>
      </c>
      <c r="E125" s="125">
        <f ca="1">_xlfn.IFNA(VLOOKUP(A125,Worksheet!$B$1:$G$600,5,FALSE),E125)</f>
        <v>0</v>
      </c>
      <c r="F125" t="s">
        <v>1450</v>
      </c>
    </row>
    <row r="126" spans="1:6" s="4" customFormat="1" hidden="1" x14ac:dyDescent="0.25">
      <c r="A126" s="39" t="s">
        <v>980</v>
      </c>
      <c r="B126" s="189" t="s">
        <v>698</v>
      </c>
      <c r="C126" s="124">
        <f ca="1">_xlfn.IFNA(VLOOKUP(A126,Worksheet!$B$1:$G$600,3,FALSE),C126)</f>
        <v>0</v>
      </c>
      <c r="D126" s="124">
        <f ca="1">_xlfn.IFNA(VLOOKUP(A126,Worksheet!$B$1:$G$600,4,FALSE),D126)</f>
        <v>0</v>
      </c>
      <c r="E126" s="125">
        <f ca="1">_xlfn.IFNA(VLOOKUP(A126,Worksheet!$B$1:$G$600,5,FALSE),E126)</f>
        <v>0</v>
      </c>
      <c r="F126" t="s">
        <v>1450</v>
      </c>
    </row>
    <row r="127" spans="1:6" s="4" customFormat="1" hidden="1" x14ac:dyDescent="0.25">
      <c r="A127" s="39" t="s">
        <v>981</v>
      </c>
      <c r="B127" s="189" t="s">
        <v>699</v>
      </c>
      <c r="C127" s="124">
        <f ca="1">_xlfn.IFNA(VLOOKUP(A127,Worksheet!$B$1:$G$600,3,FALSE),C127)</f>
        <v>0</v>
      </c>
      <c r="D127" s="124">
        <f ca="1">_xlfn.IFNA(VLOOKUP(A127,Worksheet!$B$1:$G$600,4,FALSE),D127)</f>
        <v>0</v>
      </c>
      <c r="E127" s="125">
        <f ca="1">_xlfn.IFNA(VLOOKUP(A127,Worksheet!$B$1:$G$600,5,FALSE),E127)</f>
        <v>0</v>
      </c>
      <c r="F127" t="s">
        <v>1450</v>
      </c>
    </row>
    <row r="128" spans="1:6" s="4" customFormat="1" hidden="1" x14ac:dyDescent="0.25">
      <c r="A128" s="39" t="s">
        <v>982</v>
      </c>
      <c r="B128" s="188" t="s">
        <v>700</v>
      </c>
      <c r="C128" s="126">
        <f ca="1">_xlfn.IFNA(VLOOKUP(A128,Worksheet!$B$1:$G$600,3,FALSE),C128)</f>
        <v>0</v>
      </c>
      <c r="D128" s="126">
        <f ca="1">_xlfn.IFNA(VLOOKUP(A128,Worksheet!$B$1:$G$600,4,FALSE),D128)</f>
        <v>0</v>
      </c>
      <c r="E128" s="127">
        <f ca="1">_xlfn.IFNA(VLOOKUP(A128,Worksheet!$B$1:$G$600,5,FALSE),E128)</f>
        <v>0</v>
      </c>
      <c r="F128" t="s">
        <v>1450</v>
      </c>
    </row>
    <row r="129" spans="1:6" s="4" customFormat="1" hidden="1" x14ac:dyDescent="0.25">
      <c r="A129" s="39" t="s">
        <v>983</v>
      </c>
      <c r="B129" s="188" t="s">
        <v>691</v>
      </c>
      <c r="C129" s="142">
        <f ca="1">SUM(C130,C131,C132,C133)</f>
        <v>0</v>
      </c>
      <c r="D129" s="142">
        <f t="shared" ref="D129:E129" ca="1" si="21">SUM(D130,D131,D132,D133)</f>
        <v>0</v>
      </c>
      <c r="E129" s="143">
        <f t="shared" ca="1" si="21"/>
        <v>0</v>
      </c>
      <c r="F129" t="s">
        <v>1450</v>
      </c>
    </row>
    <row r="130" spans="1:6" s="4" customFormat="1" hidden="1" x14ac:dyDescent="0.25">
      <c r="A130" s="39" t="s">
        <v>984</v>
      </c>
      <c r="B130" s="189" t="s">
        <v>692</v>
      </c>
      <c r="C130" s="124">
        <f ca="1">_xlfn.IFNA(VLOOKUP(A130,Worksheet!$B$1:$G$600,3,FALSE),C130)</f>
        <v>0</v>
      </c>
      <c r="D130" s="124">
        <f ca="1">_xlfn.IFNA(VLOOKUP(A130,Worksheet!$B$1:$G$600,4,FALSE),D130)</f>
        <v>0</v>
      </c>
      <c r="E130" s="125">
        <f ca="1">_xlfn.IFNA(VLOOKUP(A130,Worksheet!$B$1:$G$600,5,FALSE),E130)</f>
        <v>0</v>
      </c>
      <c r="F130" t="s">
        <v>1450</v>
      </c>
    </row>
    <row r="131" spans="1:6" s="4" customFormat="1" hidden="1" x14ac:dyDescent="0.25">
      <c r="A131" s="39" t="s">
        <v>985</v>
      </c>
      <c r="B131" s="189" t="s">
        <v>693</v>
      </c>
      <c r="C131" s="124">
        <f ca="1">_xlfn.IFNA(VLOOKUP(A131,Worksheet!$B$1:$G$600,3,FALSE),C131)</f>
        <v>0</v>
      </c>
      <c r="D131" s="124">
        <f ca="1">_xlfn.IFNA(VLOOKUP(A131,Worksheet!$B$1:$G$600,4,FALSE),D131)</f>
        <v>0</v>
      </c>
      <c r="E131" s="125">
        <f ca="1">_xlfn.IFNA(VLOOKUP(A131,Worksheet!$B$1:$G$600,5,FALSE),E131)</f>
        <v>0</v>
      </c>
      <c r="F131" t="s">
        <v>1450</v>
      </c>
    </row>
    <row r="132" spans="1:6" s="4" customFormat="1" hidden="1" x14ac:dyDescent="0.25">
      <c r="A132" s="39" t="s">
        <v>986</v>
      </c>
      <c r="B132" s="189" t="s">
        <v>694</v>
      </c>
      <c r="C132" s="124">
        <f ca="1">_xlfn.IFNA(VLOOKUP(A132,Worksheet!$B$1:$G$600,3,FALSE),C132)</f>
        <v>0</v>
      </c>
      <c r="D132" s="124">
        <f ca="1">_xlfn.IFNA(VLOOKUP(A132,Worksheet!$B$1:$G$600,4,FALSE),D132)</f>
        <v>0</v>
      </c>
      <c r="E132" s="125">
        <f ca="1">_xlfn.IFNA(VLOOKUP(A132,Worksheet!$B$1:$G$600,5,FALSE),E132)</f>
        <v>0</v>
      </c>
      <c r="F132" t="s">
        <v>1450</v>
      </c>
    </row>
    <row r="133" spans="1:6" s="4" customFormat="1" hidden="1" x14ac:dyDescent="0.25">
      <c r="A133" s="39" t="s">
        <v>987</v>
      </c>
      <c r="B133" s="189" t="s">
        <v>695</v>
      </c>
      <c r="C133" s="128">
        <f ca="1">_xlfn.IFNA(VLOOKUP(A133,Worksheet!$B$1:$G$600,3,FALSE),C133)</f>
        <v>0</v>
      </c>
      <c r="D133" s="128">
        <f ca="1">_xlfn.IFNA(VLOOKUP(A133,Worksheet!$B$1:$G$600,4,FALSE),D133)</f>
        <v>0</v>
      </c>
      <c r="E133" s="129">
        <f ca="1">_xlfn.IFNA(VLOOKUP(A133,Worksheet!$B$1:$G$600,5,FALSE),E133)</f>
        <v>0</v>
      </c>
      <c r="F133" t="s">
        <v>1450</v>
      </c>
    </row>
    <row r="134" spans="1:6" s="4" customFormat="1" hidden="1" x14ac:dyDescent="0.25">
      <c r="A134" s="39" t="s">
        <v>988</v>
      </c>
      <c r="B134" s="189" t="s">
        <v>688</v>
      </c>
      <c r="C134" s="128">
        <f ca="1">_xlfn.IFNA(VLOOKUP(A134,Worksheet!$B$1:$G$600,3,FALSE),C134)</f>
        <v>0</v>
      </c>
      <c r="D134" s="128">
        <f ca="1">_xlfn.IFNA(VLOOKUP(A134,Worksheet!$B$1:$G$600,4,FALSE),D134)</f>
        <v>0</v>
      </c>
      <c r="E134" s="129">
        <f ca="1">_xlfn.IFNA(VLOOKUP(A134,Worksheet!$B$1:$G$600,5,FALSE),E134)</f>
        <v>0</v>
      </c>
      <c r="F134" t="s">
        <v>1450</v>
      </c>
    </row>
    <row r="135" spans="1:6" s="4" customFormat="1" hidden="1" x14ac:dyDescent="0.25">
      <c r="A135" s="39" t="s">
        <v>989</v>
      </c>
      <c r="B135" s="189" t="s">
        <v>690</v>
      </c>
      <c r="C135" s="128">
        <f ca="1">_xlfn.IFNA(VLOOKUP(A135,Worksheet!$B$1:$G$600,3,FALSE),C135)</f>
        <v>0</v>
      </c>
      <c r="D135" s="130">
        <f ca="1">_xlfn.IFNA(VLOOKUP(A135,Worksheet!$B$1:$G$600,4,FALSE),D135)</f>
        <v>0</v>
      </c>
      <c r="E135" s="131">
        <f ca="1">_xlfn.IFNA(VLOOKUP(A135,Worksheet!$B$1:$G$600,5,FALSE),E135)</f>
        <v>0</v>
      </c>
      <c r="F135" t="s">
        <v>1450</v>
      </c>
    </row>
    <row r="136" spans="1:6" hidden="1" x14ac:dyDescent="0.25">
      <c r="A136" s="39"/>
      <c r="B136" s="193" t="s">
        <v>13</v>
      </c>
      <c r="C136" s="149"/>
      <c r="D136" s="144"/>
      <c r="E136" s="56"/>
      <c r="F136" t="s">
        <v>1450</v>
      </c>
    </row>
    <row r="137" spans="1:6" hidden="1" x14ac:dyDescent="0.25">
      <c r="A137" s="46">
        <v>1.3</v>
      </c>
      <c r="B137" s="187" t="s">
        <v>793</v>
      </c>
      <c r="C137" s="142">
        <f ca="1">SUM(C138,C230)</f>
        <v>0</v>
      </c>
      <c r="D137" s="142">
        <f t="shared" ref="D137:E137" ca="1" si="22">SUM(D138,D230)</f>
        <v>0</v>
      </c>
      <c r="E137" s="143">
        <f t="shared" ca="1" si="22"/>
        <v>0</v>
      </c>
      <c r="F137" t="s">
        <v>1450</v>
      </c>
    </row>
    <row r="138" spans="1:6" hidden="1" x14ac:dyDescent="0.25">
      <c r="A138" s="39" t="s">
        <v>243</v>
      </c>
      <c r="B138" s="187" t="s">
        <v>706</v>
      </c>
      <c r="C138" s="142">
        <f ca="1">SUM(C139,C185)</f>
        <v>0</v>
      </c>
      <c r="D138" s="142">
        <f t="shared" ref="D138:E138" ca="1" si="23">SUM(D139,D185)</f>
        <v>0</v>
      </c>
      <c r="E138" s="143">
        <f t="shared" ca="1" si="23"/>
        <v>0</v>
      </c>
      <c r="F138" t="s">
        <v>1450</v>
      </c>
    </row>
    <row r="139" spans="1:6" hidden="1" x14ac:dyDescent="0.25">
      <c r="A139" s="39" t="s">
        <v>244</v>
      </c>
      <c r="B139" s="187" t="s">
        <v>14</v>
      </c>
      <c r="C139" s="142">
        <f ca="1">SUM(C140,C173,C178,C183,C184)</f>
        <v>0</v>
      </c>
      <c r="D139" s="142">
        <f t="shared" ref="D139:E139" ca="1" si="24">SUM(D140,D173,D178,D183,D184)</f>
        <v>0</v>
      </c>
      <c r="E139" s="143">
        <f t="shared" ca="1" si="24"/>
        <v>0</v>
      </c>
      <c r="F139" t="s">
        <v>1450</v>
      </c>
    </row>
    <row r="140" spans="1:6" hidden="1" x14ac:dyDescent="0.25">
      <c r="A140" s="39" t="s">
        <v>253</v>
      </c>
      <c r="B140" s="192" t="s">
        <v>689</v>
      </c>
      <c r="C140" s="149">
        <f ca="1">SUM(C141,C149,C157,C165)/4</f>
        <v>0</v>
      </c>
      <c r="D140" s="149">
        <f t="shared" ref="D140:E140" ca="1" si="25">SUM(D141,D149,D157,D165)/4</f>
        <v>0</v>
      </c>
      <c r="E140" s="62">
        <f t="shared" ca="1" si="25"/>
        <v>0</v>
      </c>
      <c r="F140" t="s">
        <v>1450</v>
      </c>
    </row>
    <row r="141" spans="1:6" hidden="1" x14ac:dyDescent="0.25">
      <c r="A141" s="39" t="s">
        <v>255</v>
      </c>
      <c r="B141" s="187" t="s">
        <v>113</v>
      </c>
      <c r="C141" s="55">
        <f ca="1">SUM(C142:C148)</f>
        <v>0</v>
      </c>
      <c r="D141" s="55">
        <f t="shared" ref="D141:E141" ca="1" si="26">SUM(D142:D148)</f>
        <v>0</v>
      </c>
      <c r="E141" s="56">
        <f t="shared" ca="1" si="26"/>
        <v>0</v>
      </c>
      <c r="F141" t="s">
        <v>1450</v>
      </c>
    </row>
    <row r="142" spans="1:6" hidden="1" x14ac:dyDescent="0.25">
      <c r="A142" s="39" t="s">
        <v>256</v>
      </c>
      <c r="B142" s="190" t="s">
        <v>16</v>
      </c>
      <c r="C142" s="124">
        <f ca="1">_xlfn.IFNA(VLOOKUP(A142,Worksheet!$B$1:$G$600,3,FALSE),C142)</f>
        <v>0</v>
      </c>
      <c r="D142" s="124">
        <f ca="1">_xlfn.IFNA(VLOOKUP(A142,Worksheet!$B$1:$G$600,4,FALSE),D142)</f>
        <v>0</v>
      </c>
      <c r="E142" s="125">
        <f ca="1">_xlfn.IFNA(VLOOKUP(A142,Worksheet!$B$1:$G$600,5,FALSE),E142)</f>
        <v>0</v>
      </c>
      <c r="F142" t="s">
        <v>1450</v>
      </c>
    </row>
    <row r="143" spans="1:6" hidden="1" x14ac:dyDescent="0.25">
      <c r="A143" s="39" t="s">
        <v>257</v>
      </c>
      <c r="B143" s="190" t="s">
        <v>17</v>
      </c>
      <c r="C143" s="124">
        <f ca="1">_xlfn.IFNA(VLOOKUP(A143,Worksheet!$B$1:$G$600,3,FALSE),C143)</f>
        <v>0</v>
      </c>
      <c r="D143" s="124">
        <f ca="1">_xlfn.IFNA(VLOOKUP(A143,Worksheet!$B$1:$G$600,4,FALSE),D143)</f>
        <v>0</v>
      </c>
      <c r="E143" s="125">
        <f ca="1">_xlfn.IFNA(VLOOKUP(A143,Worksheet!$B$1:$G$600,5,FALSE),E143)</f>
        <v>0</v>
      </c>
      <c r="F143" t="s">
        <v>1450</v>
      </c>
    </row>
    <row r="144" spans="1:6" hidden="1" x14ac:dyDescent="0.25">
      <c r="A144" s="39" t="s">
        <v>258</v>
      </c>
      <c r="B144" s="194" t="s">
        <v>18</v>
      </c>
      <c r="C144" s="124">
        <f ca="1">_xlfn.IFNA(VLOOKUP(A144,Worksheet!$B$1:$G$600,3,FALSE),C144)</f>
        <v>0</v>
      </c>
      <c r="D144" s="124">
        <f ca="1">_xlfn.IFNA(VLOOKUP(A144,Worksheet!$B$1:$G$600,4,FALSE),D144)</f>
        <v>0</v>
      </c>
      <c r="E144" s="125">
        <f ca="1">_xlfn.IFNA(VLOOKUP(A144,Worksheet!$B$1:$G$600,5,FALSE),E144)</f>
        <v>0</v>
      </c>
      <c r="F144" t="s">
        <v>1450</v>
      </c>
    </row>
    <row r="145" spans="1:6" hidden="1" x14ac:dyDescent="0.25">
      <c r="A145" s="39" t="s">
        <v>259</v>
      </c>
      <c r="B145" s="189" t="s">
        <v>19</v>
      </c>
      <c r="C145" s="124">
        <f ca="1">_xlfn.IFNA(VLOOKUP(A145,Worksheet!$B$1:$G$600,3,FALSE),C145)</f>
        <v>0</v>
      </c>
      <c r="D145" s="124">
        <f ca="1">_xlfn.IFNA(VLOOKUP(A145,Worksheet!$B$1:$G$600,4,FALSE),D145)</f>
        <v>0</v>
      </c>
      <c r="E145" s="125">
        <f ca="1">_xlfn.IFNA(VLOOKUP(A145,Worksheet!$B$1:$G$600,5,FALSE),E145)</f>
        <v>0</v>
      </c>
      <c r="F145" t="s">
        <v>1450</v>
      </c>
    </row>
    <row r="146" spans="1:6" hidden="1" x14ac:dyDescent="0.25">
      <c r="A146" s="39" t="s">
        <v>990</v>
      </c>
      <c r="B146" s="189" t="s">
        <v>20</v>
      </c>
      <c r="C146" s="124">
        <f ca="1">_xlfn.IFNA(VLOOKUP(A146,Worksheet!$B$1:$G$600,3,FALSE),C146)</f>
        <v>0</v>
      </c>
      <c r="D146" s="124">
        <f ca="1">_xlfn.IFNA(VLOOKUP(A146,Worksheet!$B$1:$G$600,4,FALSE),D146)</f>
        <v>0</v>
      </c>
      <c r="E146" s="125">
        <f ca="1">_xlfn.IFNA(VLOOKUP(A146,Worksheet!$B$1:$G$600,5,FALSE),E146)</f>
        <v>0</v>
      </c>
      <c r="F146" t="s">
        <v>1450</v>
      </c>
    </row>
    <row r="147" spans="1:6" hidden="1" x14ac:dyDescent="0.25">
      <c r="A147" s="39" t="s">
        <v>253</v>
      </c>
      <c r="B147" s="189" t="s">
        <v>21</v>
      </c>
      <c r="C147" s="124">
        <f ca="1">_xlfn.IFNA(VLOOKUP(A147,Worksheet!$B$1:$G$600,3,FALSE),C147)</f>
        <v>0</v>
      </c>
      <c r="D147" s="124">
        <f ca="1">_xlfn.IFNA(VLOOKUP(A147,Worksheet!$B$1:$G$600,4,FALSE),D147)</f>
        <v>0</v>
      </c>
      <c r="E147" s="125">
        <f ca="1">_xlfn.IFNA(VLOOKUP(A147,Worksheet!$B$1:$G$600,5,FALSE),E147)</f>
        <v>0</v>
      </c>
      <c r="F147" t="s">
        <v>1450</v>
      </c>
    </row>
    <row r="148" spans="1:6" hidden="1" x14ac:dyDescent="0.25">
      <c r="A148" s="39" t="s">
        <v>254</v>
      </c>
      <c r="B148" s="188" t="s">
        <v>22</v>
      </c>
      <c r="C148" s="126">
        <f ca="1">_xlfn.IFNA(VLOOKUP(A148,Worksheet!$B$1:$G$600,3,FALSE),C148)</f>
        <v>0</v>
      </c>
      <c r="D148" s="126">
        <f ca="1">_xlfn.IFNA(VLOOKUP(A148,Worksheet!$B$1:$G$600,4,FALSE),D148)</f>
        <v>0</v>
      </c>
      <c r="E148" s="127">
        <f ca="1">_xlfn.IFNA(VLOOKUP(A148,Worksheet!$B$1:$G$600,5,FALSE),E148)</f>
        <v>0</v>
      </c>
      <c r="F148" t="s">
        <v>1450</v>
      </c>
    </row>
    <row r="149" spans="1:6" hidden="1" x14ac:dyDescent="0.25">
      <c r="A149" s="39" t="s">
        <v>255</v>
      </c>
      <c r="B149" s="187" t="s">
        <v>111</v>
      </c>
      <c r="C149" s="55">
        <f ca="1">SUM(C150:C156)</f>
        <v>0</v>
      </c>
      <c r="D149" s="55">
        <f t="shared" ref="D149:E149" ca="1" si="27">SUM(D150:D156)</f>
        <v>0</v>
      </c>
      <c r="E149" s="56">
        <f t="shared" ca="1" si="27"/>
        <v>0</v>
      </c>
      <c r="F149" t="s">
        <v>1450</v>
      </c>
    </row>
    <row r="150" spans="1:6" hidden="1" x14ac:dyDescent="0.25">
      <c r="A150" s="39" t="s">
        <v>256</v>
      </c>
      <c r="B150" s="190" t="s">
        <v>16</v>
      </c>
      <c r="C150" s="124">
        <f ca="1">_xlfn.IFNA(VLOOKUP(A150,Worksheet!$B$1:$G$600,3,FALSE),C150)</f>
        <v>0</v>
      </c>
      <c r="D150" s="124">
        <f ca="1">_xlfn.IFNA(VLOOKUP(A150,Worksheet!$B$1:$G$600,4,FALSE),D150)</f>
        <v>0</v>
      </c>
      <c r="E150" s="125">
        <f ca="1">_xlfn.IFNA(VLOOKUP(A150,Worksheet!$B$1:$G$600,5,FALSE),E150)</f>
        <v>0</v>
      </c>
      <c r="F150" t="s">
        <v>1450</v>
      </c>
    </row>
    <row r="151" spans="1:6" hidden="1" x14ac:dyDescent="0.25">
      <c r="A151" s="39" t="s">
        <v>257</v>
      </c>
      <c r="B151" s="190" t="s">
        <v>17</v>
      </c>
      <c r="C151" s="124">
        <f ca="1">_xlfn.IFNA(VLOOKUP(A151,Worksheet!$B$1:$G$600,3,FALSE),C151)</f>
        <v>0</v>
      </c>
      <c r="D151" s="124">
        <f ca="1">_xlfn.IFNA(VLOOKUP(A151,Worksheet!$B$1:$G$600,4,FALSE),D151)</f>
        <v>0</v>
      </c>
      <c r="E151" s="125">
        <f ca="1">_xlfn.IFNA(VLOOKUP(A151,Worksheet!$B$1:$G$600,5,FALSE),E151)</f>
        <v>0</v>
      </c>
      <c r="F151" t="s">
        <v>1450</v>
      </c>
    </row>
    <row r="152" spans="1:6" hidden="1" x14ac:dyDescent="0.25">
      <c r="A152" s="39" t="s">
        <v>258</v>
      </c>
      <c r="B152" s="194" t="s">
        <v>18</v>
      </c>
      <c r="C152" s="124">
        <f ca="1">_xlfn.IFNA(VLOOKUP(A152,Worksheet!$B$1:$G$600,3,FALSE),C152)</f>
        <v>0</v>
      </c>
      <c r="D152" s="124">
        <f ca="1">_xlfn.IFNA(VLOOKUP(A152,Worksheet!$B$1:$G$600,4,FALSE),D152)</f>
        <v>0</v>
      </c>
      <c r="E152" s="125">
        <f ca="1">_xlfn.IFNA(VLOOKUP(A152,Worksheet!$B$1:$G$600,5,FALSE),E152)</f>
        <v>0</v>
      </c>
      <c r="F152" t="s">
        <v>1450</v>
      </c>
    </row>
    <row r="153" spans="1:6" hidden="1" x14ac:dyDescent="0.25">
      <c r="A153" s="39" t="s">
        <v>259</v>
      </c>
      <c r="B153" s="189" t="s">
        <v>19</v>
      </c>
      <c r="C153" s="124">
        <f ca="1">_xlfn.IFNA(VLOOKUP(A153,Worksheet!$B$1:$G$600,3,FALSE),C153)</f>
        <v>0</v>
      </c>
      <c r="D153" s="124">
        <f ca="1">_xlfn.IFNA(VLOOKUP(A153,Worksheet!$B$1:$G$600,4,FALSE),D153)</f>
        <v>0</v>
      </c>
      <c r="E153" s="125">
        <f ca="1">_xlfn.IFNA(VLOOKUP(A153,Worksheet!$B$1:$G$600,5,FALSE),E153)</f>
        <v>0</v>
      </c>
      <c r="F153" t="s">
        <v>1450</v>
      </c>
    </row>
    <row r="154" spans="1:6" hidden="1" x14ac:dyDescent="0.25">
      <c r="A154" s="39" t="s">
        <v>990</v>
      </c>
      <c r="B154" s="189" t="s">
        <v>20</v>
      </c>
      <c r="C154" s="124">
        <f ca="1">_xlfn.IFNA(VLOOKUP(A154,Worksheet!$B$1:$G$600,3,FALSE),C154)</f>
        <v>0</v>
      </c>
      <c r="D154" s="124">
        <f ca="1">_xlfn.IFNA(VLOOKUP(A154,Worksheet!$B$1:$G$600,4,FALSE),D154)</f>
        <v>0</v>
      </c>
      <c r="E154" s="125">
        <f ca="1">_xlfn.IFNA(VLOOKUP(A154,Worksheet!$B$1:$G$600,5,FALSE),E154)</f>
        <v>0</v>
      </c>
      <c r="F154" t="s">
        <v>1450</v>
      </c>
    </row>
    <row r="155" spans="1:6" hidden="1" x14ac:dyDescent="0.25">
      <c r="A155" s="39" t="s">
        <v>260</v>
      </c>
      <c r="B155" s="189" t="s">
        <v>21</v>
      </c>
      <c r="C155" s="124">
        <f ca="1">_xlfn.IFNA(VLOOKUP(A155,Worksheet!$B$1:$G$600,3,FALSE),C155)</f>
        <v>0</v>
      </c>
      <c r="D155" s="124">
        <f ca="1">_xlfn.IFNA(VLOOKUP(A155,Worksheet!$B$1:$G$600,4,FALSE),D155)</f>
        <v>0</v>
      </c>
      <c r="E155" s="125">
        <f ca="1">_xlfn.IFNA(VLOOKUP(A155,Worksheet!$B$1:$G$600,5,FALSE),E155)</f>
        <v>0</v>
      </c>
      <c r="F155" t="s">
        <v>1450</v>
      </c>
    </row>
    <row r="156" spans="1:6" hidden="1" x14ac:dyDescent="0.25">
      <c r="A156" s="39" t="s">
        <v>262</v>
      </c>
      <c r="B156" s="188" t="s">
        <v>22</v>
      </c>
      <c r="C156" s="126">
        <f ca="1">_xlfn.IFNA(VLOOKUP(A156,Worksheet!$B$1:$G$600,3,FALSE),C156)</f>
        <v>0</v>
      </c>
      <c r="D156" s="126">
        <f ca="1">_xlfn.IFNA(VLOOKUP(A156,Worksheet!$B$1:$G$600,4,FALSE),D156)</f>
        <v>0</v>
      </c>
      <c r="E156" s="127">
        <f ca="1">_xlfn.IFNA(VLOOKUP(A156,Worksheet!$B$1:$G$600,5,FALSE),E156)</f>
        <v>0</v>
      </c>
      <c r="F156" t="s">
        <v>1450</v>
      </c>
    </row>
    <row r="157" spans="1:6" hidden="1" x14ac:dyDescent="0.25">
      <c r="A157" s="39" t="s">
        <v>261</v>
      </c>
      <c r="B157" s="187" t="s">
        <v>114</v>
      </c>
      <c r="C157" s="55">
        <f ca="1">SUM(C158:C164)</f>
        <v>0</v>
      </c>
      <c r="D157" s="55">
        <f t="shared" ref="D157:E157" ca="1" si="28">SUM(D158:D164)</f>
        <v>0</v>
      </c>
      <c r="E157" s="56">
        <f t="shared" ca="1" si="28"/>
        <v>0</v>
      </c>
      <c r="F157" t="s">
        <v>1450</v>
      </c>
    </row>
    <row r="158" spans="1:6" hidden="1" x14ac:dyDescent="0.25">
      <c r="A158" s="39" t="s">
        <v>263</v>
      </c>
      <c r="B158" s="190" t="s">
        <v>16</v>
      </c>
      <c r="C158" s="124">
        <f ca="1">_xlfn.IFNA(VLOOKUP(A158,Worksheet!$B$1:$G$600,3,FALSE),C158)</f>
        <v>0</v>
      </c>
      <c r="D158" s="124">
        <f ca="1">_xlfn.IFNA(VLOOKUP(A158,Worksheet!$B$1:$G$600,4,FALSE),D158)</f>
        <v>0</v>
      </c>
      <c r="E158" s="125">
        <f ca="1">_xlfn.IFNA(VLOOKUP(A158,Worksheet!$B$1:$G$600,5,FALSE),E158)</f>
        <v>0</v>
      </c>
      <c r="F158" t="s">
        <v>1450</v>
      </c>
    </row>
    <row r="159" spans="1:6" hidden="1" x14ac:dyDescent="0.25">
      <c r="A159" s="39" t="s">
        <v>264</v>
      </c>
      <c r="B159" s="190" t="s">
        <v>17</v>
      </c>
      <c r="C159" s="124">
        <f ca="1">_xlfn.IFNA(VLOOKUP(A159,Worksheet!$B$1:$G$600,3,FALSE),C159)</f>
        <v>0</v>
      </c>
      <c r="D159" s="124">
        <f ca="1">_xlfn.IFNA(VLOOKUP(A159,Worksheet!$B$1:$G$600,4,FALSE),D159)</f>
        <v>0</v>
      </c>
      <c r="E159" s="125">
        <f ca="1">_xlfn.IFNA(VLOOKUP(A159,Worksheet!$B$1:$G$600,5,FALSE),E159)</f>
        <v>0</v>
      </c>
      <c r="F159" t="s">
        <v>1450</v>
      </c>
    </row>
    <row r="160" spans="1:6" hidden="1" x14ac:dyDescent="0.25">
      <c r="A160" s="39" t="s">
        <v>265</v>
      </c>
      <c r="B160" s="194" t="s">
        <v>18</v>
      </c>
      <c r="C160" s="124">
        <f ca="1">_xlfn.IFNA(VLOOKUP(A160,Worksheet!$B$1:$G$600,3,FALSE),C160)</f>
        <v>0</v>
      </c>
      <c r="D160" s="124">
        <f ca="1">_xlfn.IFNA(VLOOKUP(A160,Worksheet!$B$1:$G$600,4,FALSE),D160)</f>
        <v>0</v>
      </c>
      <c r="E160" s="125">
        <f ca="1">_xlfn.IFNA(VLOOKUP(A160,Worksheet!$B$1:$G$600,5,FALSE),E160)</f>
        <v>0</v>
      </c>
      <c r="F160" t="s">
        <v>1450</v>
      </c>
    </row>
    <row r="161" spans="1:6" hidden="1" x14ac:dyDescent="0.25">
      <c r="A161" s="39" t="s">
        <v>268</v>
      </c>
      <c r="B161" s="189" t="s">
        <v>19</v>
      </c>
      <c r="C161" s="124">
        <f ca="1">_xlfn.IFNA(VLOOKUP(A161,Worksheet!$B$1:$G$600,3,FALSE),C161)</f>
        <v>0</v>
      </c>
      <c r="D161" s="124">
        <f ca="1">_xlfn.IFNA(VLOOKUP(A161,Worksheet!$B$1:$G$600,4,FALSE),D161)</f>
        <v>0</v>
      </c>
      <c r="E161" s="125">
        <f ca="1">_xlfn.IFNA(VLOOKUP(A161,Worksheet!$B$1:$G$600,5,FALSE),E161)</f>
        <v>0</v>
      </c>
      <c r="F161" t="s">
        <v>1450</v>
      </c>
    </row>
    <row r="162" spans="1:6" hidden="1" x14ac:dyDescent="0.25">
      <c r="A162" s="39" t="s">
        <v>267</v>
      </c>
      <c r="B162" s="189" t="s">
        <v>20</v>
      </c>
      <c r="C162" s="124">
        <f ca="1">_xlfn.IFNA(VLOOKUP(A162,Worksheet!$B$1:$G$600,3,FALSE),C162)</f>
        <v>0</v>
      </c>
      <c r="D162" s="124">
        <f ca="1">_xlfn.IFNA(VLOOKUP(A162,Worksheet!$B$1:$G$600,4,FALSE),D162)</f>
        <v>0</v>
      </c>
      <c r="E162" s="125">
        <f ca="1">_xlfn.IFNA(VLOOKUP(A162,Worksheet!$B$1:$G$600,5,FALSE),E162)</f>
        <v>0</v>
      </c>
      <c r="F162" t="s">
        <v>1450</v>
      </c>
    </row>
    <row r="163" spans="1:6" hidden="1" x14ac:dyDescent="0.25">
      <c r="A163" s="39" t="s">
        <v>266</v>
      </c>
      <c r="B163" s="189" t="s">
        <v>21</v>
      </c>
      <c r="C163" s="124">
        <f ca="1">_xlfn.IFNA(VLOOKUP(A163,Worksheet!$B$1:$G$600,3,FALSE),C163)</f>
        <v>0</v>
      </c>
      <c r="D163" s="124">
        <f ca="1">_xlfn.IFNA(VLOOKUP(A163,Worksheet!$B$1:$G$600,4,FALSE),D163)</f>
        <v>0</v>
      </c>
      <c r="E163" s="125">
        <f ca="1">_xlfn.IFNA(VLOOKUP(A163,Worksheet!$B$1:$G$600,5,FALSE),E163)</f>
        <v>0</v>
      </c>
      <c r="F163" t="s">
        <v>1450</v>
      </c>
    </row>
    <row r="164" spans="1:6" hidden="1" x14ac:dyDescent="0.25">
      <c r="A164" s="39" t="s">
        <v>992</v>
      </c>
      <c r="B164" s="188" t="s">
        <v>22</v>
      </c>
      <c r="C164" s="126">
        <f ca="1">_xlfn.IFNA(VLOOKUP(A164,Worksheet!$B$1:$G$600,3,FALSE),C164)</f>
        <v>0</v>
      </c>
      <c r="D164" s="126">
        <f ca="1">_xlfn.IFNA(VLOOKUP(A164,Worksheet!$B$1:$G$600,4,FALSE),D164)</f>
        <v>0</v>
      </c>
      <c r="E164" s="127">
        <f ca="1">_xlfn.IFNA(VLOOKUP(A164,Worksheet!$B$1:$G$600,5,FALSE),E164)</f>
        <v>0</v>
      </c>
      <c r="F164" t="s">
        <v>1450</v>
      </c>
    </row>
    <row r="165" spans="1:6" hidden="1" x14ac:dyDescent="0.25">
      <c r="A165" s="39" t="s">
        <v>993</v>
      </c>
      <c r="B165" s="187" t="s">
        <v>116</v>
      </c>
      <c r="C165" s="55">
        <f ca="1">SUM(C166:C172)</f>
        <v>0</v>
      </c>
      <c r="D165" s="55">
        <f t="shared" ref="D165:E165" ca="1" si="29">SUM(D166:D172)</f>
        <v>0</v>
      </c>
      <c r="E165" s="56">
        <f t="shared" ca="1" si="29"/>
        <v>0</v>
      </c>
      <c r="F165" t="s">
        <v>1450</v>
      </c>
    </row>
    <row r="166" spans="1:6" hidden="1" x14ac:dyDescent="0.25">
      <c r="A166" s="39" t="s">
        <v>994</v>
      </c>
      <c r="B166" s="190" t="s">
        <v>16</v>
      </c>
      <c r="C166" s="124">
        <f ca="1">_xlfn.IFNA(VLOOKUP(A166,Worksheet!$B$1:$G$600,3,FALSE),C166)</f>
        <v>0</v>
      </c>
      <c r="D166" s="124">
        <f ca="1">_xlfn.IFNA(VLOOKUP(A166,Worksheet!$B$1:$G$600,4,FALSE),D166)</f>
        <v>0</v>
      </c>
      <c r="E166" s="125">
        <f ca="1">_xlfn.IFNA(VLOOKUP(A166,Worksheet!$B$1:$G$600,5,FALSE),E166)</f>
        <v>0</v>
      </c>
      <c r="F166" t="s">
        <v>1450</v>
      </c>
    </row>
    <row r="167" spans="1:6" hidden="1" x14ac:dyDescent="0.25">
      <c r="A167" s="39" t="s">
        <v>995</v>
      </c>
      <c r="B167" s="190" t="s">
        <v>17</v>
      </c>
      <c r="C167" s="124">
        <f ca="1">_xlfn.IFNA(VLOOKUP(A167,Worksheet!$B$1:$G$600,3,FALSE),C167)</f>
        <v>0</v>
      </c>
      <c r="D167" s="124">
        <f ca="1">_xlfn.IFNA(VLOOKUP(A167,Worksheet!$B$1:$G$600,4,FALSE),D167)</f>
        <v>0</v>
      </c>
      <c r="E167" s="125">
        <f ca="1">_xlfn.IFNA(VLOOKUP(A167,Worksheet!$B$1:$G$600,5,FALSE),E167)</f>
        <v>0</v>
      </c>
      <c r="F167" t="s">
        <v>1450</v>
      </c>
    </row>
    <row r="168" spans="1:6" hidden="1" x14ac:dyDescent="0.25">
      <c r="A168" s="39" t="s">
        <v>996</v>
      </c>
      <c r="B168" s="194" t="s">
        <v>18</v>
      </c>
      <c r="C168" s="124">
        <f ca="1">_xlfn.IFNA(VLOOKUP(A168,Worksheet!$B$1:$G$600,3,FALSE),C168)</f>
        <v>0</v>
      </c>
      <c r="D168" s="124">
        <f ca="1">_xlfn.IFNA(VLOOKUP(A168,Worksheet!$B$1:$G$600,4,FALSE),D168)</f>
        <v>0</v>
      </c>
      <c r="E168" s="125">
        <f ca="1">_xlfn.IFNA(VLOOKUP(A168,Worksheet!$B$1:$G$600,5,FALSE),E168)</f>
        <v>0</v>
      </c>
      <c r="F168" t="s">
        <v>1450</v>
      </c>
    </row>
    <row r="169" spans="1:6" hidden="1" x14ac:dyDescent="0.25">
      <c r="A169" s="39" t="s">
        <v>997</v>
      </c>
      <c r="B169" s="189" t="s">
        <v>19</v>
      </c>
      <c r="C169" s="124">
        <f ca="1">_xlfn.IFNA(VLOOKUP(A169,Worksheet!$B$1:$G$600,3,FALSE),C169)</f>
        <v>0</v>
      </c>
      <c r="D169" s="124">
        <f ca="1">_xlfn.IFNA(VLOOKUP(A169,Worksheet!$B$1:$G$600,4,FALSE),D169)</f>
        <v>0</v>
      </c>
      <c r="E169" s="125">
        <f ca="1">_xlfn.IFNA(VLOOKUP(A169,Worksheet!$B$1:$G$600,5,FALSE),E169)</f>
        <v>0</v>
      </c>
      <c r="F169" t="s">
        <v>1450</v>
      </c>
    </row>
    <row r="170" spans="1:6" hidden="1" x14ac:dyDescent="0.25">
      <c r="A170" s="39" t="s">
        <v>998</v>
      </c>
      <c r="B170" s="189" t="s">
        <v>20</v>
      </c>
      <c r="C170" s="124">
        <f ca="1">_xlfn.IFNA(VLOOKUP(A170,Worksheet!$B$1:$G$600,3,FALSE),C170)</f>
        <v>0</v>
      </c>
      <c r="D170" s="124">
        <f ca="1">_xlfn.IFNA(VLOOKUP(A170,Worksheet!$B$1:$G$600,4,FALSE),D170)</f>
        <v>0</v>
      </c>
      <c r="E170" s="125">
        <f ca="1">_xlfn.IFNA(VLOOKUP(A170,Worksheet!$B$1:$G$600,5,FALSE),E170)</f>
        <v>0</v>
      </c>
      <c r="F170" t="s">
        <v>1450</v>
      </c>
    </row>
    <row r="171" spans="1:6" hidden="1" x14ac:dyDescent="0.25">
      <c r="A171" s="39" t="s">
        <v>999</v>
      </c>
      <c r="B171" s="189" t="s">
        <v>21</v>
      </c>
      <c r="C171" s="124">
        <f ca="1">_xlfn.IFNA(VLOOKUP(A171,Worksheet!$B$1:$G$600,3,FALSE),C171)</f>
        <v>0</v>
      </c>
      <c r="D171" s="124">
        <f ca="1">_xlfn.IFNA(VLOOKUP(A171,Worksheet!$B$1:$G$600,4,FALSE),D171)</f>
        <v>0</v>
      </c>
      <c r="E171" s="125">
        <f ca="1">_xlfn.IFNA(VLOOKUP(A171,Worksheet!$B$1:$G$600,5,FALSE),E171)</f>
        <v>0</v>
      </c>
      <c r="F171" t="s">
        <v>1450</v>
      </c>
    </row>
    <row r="172" spans="1:6" hidden="1" x14ac:dyDescent="0.25">
      <c r="A172" s="39" t="s">
        <v>1000</v>
      </c>
      <c r="B172" s="188" t="s">
        <v>22</v>
      </c>
      <c r="C172" s="126">
        <f ca="1">_xlfn.IFNA(VLOOKUP(A172,Worksheet!$B$1:$G$600,3,FALSE),C172)</f>
        <v>0</v>
      </c>
      <c r="D172" s="126">
        <f ca="1">_xlfn.IFNA(VLOOKUP(A172,Worksheet!$B$1:$G$600,4,FALSE),D172)</f>
        <v>0</v>
      </c>
      <c r="E172" s="127">
        <f ca="1">_xlfn.IFNA(VLOOKUP(A172,Worksheet!$B$1:$G$600,5,FALSE),E172)</f>
        <v>0</v>
      </c>
      <c r="F172" t="s">
        <v>1450</v>
      </c>
    </row>
    <row r="173" spans="1:6" hidden="1" x14ac:dyDescent="0.25">
      <c r="A173" s="39" t="s">
        <v>1001</v>
      </c>
      <c r="B173" s="188" t="s">
        <v>687</v>
      </c>
      <c r="C173" s="55">
        <f ca="1">SUM(C174:C177)</f>
        <v>0</v>
      </c>
      <c r="D173" s="55">
        <f ca="1">SUM(D174:D177)</f>
        <v>0</v>
      </c>
      <c r="E173" s="56">
        <f ca="1">SUM(E174:E177)</f>
        <v>0</v>
      </c>
      <c r="F173" t="s">
        <v>1450</v>
      </c>
    </row>
    <row r="174" spans="1:6" hidden="1" x14ac:dyDescent="0.25">
      <c r="A174" s="39" t="s">
        <v>1002</v>
      </c>
      <c r="B174" s="189" t="s">
        <v>696</v>
      </c>
      <c r="C174" s="124">
        <f ca="1">_xlfn.IFNA(VLOOKUP(A174,Worksheet!$B$1:$G$600,3,FALSE),C174)</f>
        <v>0</v>
      </c>
      <c r="D174" s="124">
        <f ca="1">_xlfn.IFNA(VLOOKUP(A174,Worksheet!$B$1:$G$600,4,FALSE),D174)</f>
        <v>0</v>
      </c>
      <c r="E174" s="125">
        <f ca="1">_xlfn.IFNA(VLOOKUP(A174,Worksheet!$B$1:$G$600,5,FALSE),E174)</f>
        <v>0</v>
      </c>
      <c r="F174" t="s">
        <v>1450</v>
      </c>
    </row>
    <row r="175" spans="1:6" hidden="1" x14ac:dyDescent="0.25">
      <c r="A175" s="39" t="s">
        <v>1003</v>
      </c>
      <c r="B175" s="189" t="s">
        <v>697</v>
      </c>
      <c r="C175" s="124">
        <f ca="1">_xlfn.IFNA(VLOOKUP(A175,Worksheet!$B$1:$G$600,3,FALSE),C175)</f>
        <v>0</v>
      </c>
      <c r="D175" s="124">
        <f ca="1">_xlfn.IFNA(VLOOKUP(A175,Worksheet!$B$1:$G$600,4,FALSE),D175)</f>
        <v>0</v>
      </c>
      <c r="E175" s="125">
        <f ca="1">_xlfn.IFNA(VLOOKUP(A175,Worksheet!$B$1:$G$600,5,FALSE),E175)</f>
        <v>0</v>
      </c>
      <c r="F175" t="s">
        <v>1450</v>
      </c>
    </row>
    <row r="176" spans="1:6" hidden="1" x14ac:dyDescent="0.25">
      <c r="A176" s="39" t="s">
        <v>1004</v>
      </c>
      <c r="B176" s="189" t="s">
        <v>698</v>
      </c>
      <c r="C176" s="124">
        <f ca="1">_xlfn.IFNA(VLOOKUP(A176,Worksheet!$B$1:$G$600,3,FALSE),C176)</f>
        <v>0</v>
      </c>
      <c r="D176" s="124">
        <f ca="1">_xlfn.IFNA(VLOOKUP(A176,Worksheet!$B$1:$G$600,4,FALSE),D176)</f>
        <v>0</v>
      </c>
      <c r="E176" s="125">
        <f ca="1">_xlfn.IFNA(VLOOKUP(A176,Worksheet!$B$1:$G$600,5,FALSE),E176)</f>
        <v>0</v>
      </c>
      <c r="F176" t="s">
        <v>1450</v>
      </c>
    </row>
    <row r="177" spans="1:7" hidden="1" x14ac:dyDescent="0.25">
      <c r="A177" s="39" t="s">
        <v>1005</v>
      </c>
      <c r="B177" s="188" t="s">
        <v>700</v>
      </c>
      <c r="C177" s="126">
        <f ca="1">_xlfn.IFNA(VLOOKUP(A177,Worksheet!$B$1:$G$600,3,FALSE),C177)</f>
        <v>0</v>
      </c>
      <c r="D177" s="126">
        <f ca="1">_xlfn.IFNA(VLOOKUP(A177,Worksheet!$B$1:$G$600,4,FALSE),D177)</f>
        <v>0</v>
      </c>
      <c r="E177" s="127">
        <f ca="1">_xlfn.IFNA(VLOOKUP(A177,Worksheet!$B$1:$G$600,5,FALSE),E177)</f>
        <v>0</v>
      </c>
      <c r="F177" t="s">
        <v>1450</v>
      </c>
    </row>
    <row r="178" spans="1:7" hidden="1" x14ac:dyDescent="0.25">
      <c r="A178" s="39" t="s">
        <v>1006</v>
      </c>
      <c r="B178" s="188" t="s">
        <v>691</v>
      </c>
      <c r="C178" s="55">
        <f ca="1">SUM(C179,C180,C181,C182)</f>
        <v>0</v>
      </c>
      <c r="D178" s="55">
        <f t="shared" ref="D178:E178" ca="1" si="30">SUM(D179,D180,D181,D182)</f>
        <v>0</v>
      </c>
      <c r="E178" s="56">
        <f t="shared" ca="1" si="30"/>
        <v>0</v>
      </c>
      <c r="F178" t="s">
        <v>1450</v>
      </c>
    </row>
    <row r="179" spans="1:7" hidden="1" x14ac:dyDescent="0.25">
      <c r="A179" s="39" t="s">
        <v>1007</v>
      </c>
      <c r="B179" s="189" t="s">
        <v>692</v>
      </c>
      <c r="C179" s="124">
        <f ca="1">_xlfn.IFNA(VLOOKUP(A179,Worksheet!$B$1:$G$600,3,FALSE),C179)</f>
        <v>0</v>
      </c>
      <c r="D179" s="124">
        <f ca="1">_xlfn.IFNA(VLOOKUP(A179,Worksheet!$B$1:$G$600,4,FALSE),D179)</f>
        <v>0</v>
      </c>
      <c r="E179" s="125">
        <f ca="1">_xlfn.IFNA(VLOOKUP(A179,Worksheet!$B$1:$G$600,5,FALSE),E179)</f>
        <v>0</v>
      </c>
      <c r="F179" t="s">
        <v>1450</v>
      </c>
    </row>
    <row r="180" spans="1:7" hidden="1" x14ac:dyDescent="0.25">
      <c r="A180" s="39" t="s">
        <v>1008</v>
      </c>
      <c r="B180" s="189" t="s">
        <v>693</v>
      </c>
      <c r="C180" s="124">
        <f ca="1">_xlfn.IFNA(VLOOKUP(A180,Worksheet!$B$1:$G$600,3,FALSE),C180)</f>
        <v>0</v>
      </c>
      <c r="D180" s="124">
        <f ca="1">_xlfn.IFNA(VLOOKUP(A180,Worksheet!$B$1:$G$600,4,FALSE),D180)</f>
        <v>0</v>
      </c>
      <c r="E180" s="125">
        <f ca="1">_xlfn.IFNA(VLOOKUP(A180,Worksheet!$B$1:$G$600,5,FALSE),E180)</f>
        <v>0</v>
      </c>
      <c r="F180" t="s">
        <v>1450</v>
      </c>
    </row>
    <row r="181" spans="1:7" hidden="1" x14ac:dyDescent="0.25">
      <c r="A181" s="39" t="s">
        <v>1009</v>
      </c>
      <c r="B181" s="189" t="s">
        <v>694</v>
      </c>
      <c r="C181" s="128">
        <f ca="1">_xlfn.IFNA(VLOOKUP(A181,Worksheet!$B$1:$G$600,3,FALSE),C181)</f>
        <v>0</v>
      </c>
      <c r="D181" s="128">
        <f ca="1">_xlfn.IFNA(VLOOKUP(A181,Worksheet!$B$1:$G$600,4,FALSE),D181)</f>
        <v>0</v>
      </c>
      <c r="E181" s="129">
        <f ca="1">_xlfn.IFNA(VLOOKUP(A181,Worksheet!$B$1:$G$600,5,FALSE),E181)</f>
        <v>0</v>
      </c>
      <c r="F181" t="s">
        <v>1450</v>
      </c>
    </row>
    <row r="182" spans="1:7" hidden="1" x14ac:dyDescent="0.25">
      <c r="A182" s="39" t="s">
        <v>1010</v>
      </c>
      <c r="B182" s="189" t="s">
        <v>695</v>
      </c>
      <c r="C182" s="128">
        <f ca="1">_xlfn.IFNA(VLOOKUP(A182,Worksheet!$B$1:$G$600,3,FALSE),C182)</f>
        <v>0</v>
      </c>
      <c r="D182" s="128">
        <f ca="1">_xlfn.IFNA(VLOOKUP(A182,Worksheet!$B$1:$G$600,4,FALSE),D182)</f>
        <v>0</v>
      </c>
      <c r="E182" s="129">
        <f ca="1">_xlfn.IFNA(VLOOKUP(A182,Worksheet!$B$1:$G$600,5,FALSE),E182)</f>
        <v>0</v>
      </c>
      <c r="F182" t="s">
        <v>1450</v>
      </c>
    </row>
    <row r="183" spans="1:7" hidden="1" x14ac:dyDescent="0.25">
      <c r="A183" s="39" t="s">
        <v>1011</v>
      </c>
      <c r="B183" s="189" t="s">
        <v>688</v>
      </c>
      <c r="C183" s="128">
        <f ca="1">_xlfn.IFNA(VLOOKUP(A183,Worksheet!$B$1:$G$600,3,FALSE),C183)</f>
        <v>0</v>
      </c>
      <c r="D183" s="128">
        <f ca="1">_xlfn.IFNA(VLOOKUP(A183,Worksheet!$B$1:$G$600,4,FALSE),D183)</f>
        <v>0</v>
      </c>
      <c r="E183" s="129">
        <f ca="1">_xlfn.IFNA(VLOOKUP(A183,Worksheet!$B$1:$G$600,5,FALSE),E183)</f>
        <v>0</v>
      </c>
      <c r="F183" t="s">
        <v>1450</v>
      </c>
    </row>
    <row r="184" spans="1:7" hidden="1" x14ac:dyDescent="0.25">
      <c r="A184" s="39" t="s">
        <v>1013</v>
      </c>
      <c r="B184" s="188" t="s">
        <v>690</v>
      </c>
      <c r="C184" s="130">
        <f ca="1">_xlfn.IFNA(VLOOKUP(A184,Worksheet!$B$1:$G$600,3,FALSE),C184)</f>
        <v>0</v>
      </c>
      <c r="D184" s="130">
        <f ca="1">_xlfn.IFNA(VLOOKUP(A184,Worksheet!$B$1:$G$600,4,FALSE),D184)</f>
        <v>0</v>
      </c>
      <c r="E184" s="131">
        <f ca="1">_xlfn.IFNA(VLOOKUP(A184,Worksheet!$B$1:$G$600,5,FALSE),E184)</f>
        <v>0</v>
      </c>
      <c r="F184" t="s">
        <v>1450</v>
      </c>
    </row>
    <row r="185" spans="1:7" hidden="1" x14ac:dyDescent="0.25">
      <c r="A185" s="39" t="s">
        <v>1012</v>
      </c>
      <c r="B185" s="187" t="s">
        <v>15</v>
      </c>
      <c r="C185" s="142">
        <f ca="1">SUM(C186,C219,C224,C229)</f>
        <v>0</v>
      </c>
      <c r="D185" s="142">
        <f t="shared" ref="D185:E185" ca="1" si="31">SUM(D186,D219,D224,D229)</f>
        <v>0</v>
      </c>
      <c r="E185" s="143">
        <f t="shared" ca="1" si="31"/>
        <v>0</v>
      </c>
      <c r="F185" t="s">
        <v>1450</v>
      </c>
      <c r="G185" s="9"/>
    </row>
    <row r="186" spans="1:7" hidden="1" x14ac:dyDescent="0.25">
      <c r="A186" s="39" t="s">
        <v>1014</v>
      </c>
      <c r="B186" s="187" t="s">
        <v>689</v>
      </c>
      <c r="C186" s="142">
        <f ca="1">SUM(C187,C195,C203,C211)/4</f>
        <v>0</v>
      </c>
      <c r="D186" s="142">
        <f t="shared" ref="D186:E186" ca="1" si="32">SUM(D187,D195,D203,D211)/4</f>
        <v>0</v>
      </c>
      <c r="E186" s="143">
        <f t="shared" ca="1" si="32"/>
        <v>0</v>
      </c>
      <c r="F186" t="s">
        <v>1450</v>
      </c>
      <c r="G186" s="9"/>
    </row>
    <row r="187" spans="1:7" hidden="1" x14ac:dyDescent="0.25">
      <c r="A187" s="39" t="s">
        <v>1015</v>
      </c>
      <c r="B187" s="192" t="s">
        <v>113</v>
      </c>
      <c r="C187" s="57">
        <f ca="1">SUM(C188:C194)</f>
        <v>0</v>
      </c>
      <c r="D187" s="57">
        <f t="shared" ref="D187:E187" ca="1" si="33">SUM(D188:D194)</f>
        <v>0</v>
      </c>
      <c r="E187" s="58">
        <f t="shared" ca="1" si="33"/>
        <v>0</v>
      </c>
      <c r="F187" t="s">
        <v>1450</v>
      </c>
    </row>
    <row r="188" spans="1:7" ht="17.25" hidden="1" customHeight="1" x14ac:dyDescent="0.25">
      <c r="A188" s="39" t="s">
        <v>1016</v>
      </c>
      <c r="B188" s="190" t="s">
        <v>16</v>
      </c>
      <c r="C188" s="124">
        <f ca="1">_xlfn.IFNA(VLOOKUP(A188,Worksheet!$B$1:$G$600,3,FALSE),C188)</f>
        <v>0</v>
      </c>
      <c r="D188" s="124">
        <f ca="1">_xlfn.IFNA(VLOOKUP(A188,Worksheet!$B$1:$G$600,4,FALSE),D188)</f>
        <v>0</v>
      </c>
      <c r="E188" s="125">
        <f ca="1">_xlfn.IFNA(VLOOKUP(A188,Worksheet!$B$1:$G$600,5,FALSE),E188)</f>
        <v>0</v>
      </c>
      <c r="F188" t="s">
        <v>1450</v>
      </c>
    </row>
    <row r="189" spans="1:7" hidden="1" x14ac:dyDescent="0.25">
      <c r="A189" s="39" t="s">
        <v>1017</v>
      </c>
      <c r="B189" s="190" t="s">
        <v>17</v>
      </c>
      <c r="C189" s="124">
        <f ca="1">_xlfn.IFNA(VLOOKUP(A189,Worksheet!$B$1:$G$600,3,FALSE),C189)</f>
        <v>0</v>
      </c>
      <c r="D189" s="124">
        <f ca="1">_xlfn.IFNA(VLOOKUP(A189,Worksheet!$B$1:$G$600,4,FALSE),D189)</f>
        <v>0</v>
      </c>
      <c r="E189" s="125">
        <f ca="1">_xlfn.IFNA(VLOOKUP(A189,Worksheet!$B$1:$G$600,5,FALSE),E189)</f>
        <v>0</v>
      </c>
      <c r="F189" t="s">
        <v>1450</v>
      </c>
    </row>
    <row r="190" spans="1:7" hidden="1" x14ac:dyDescent="0.25">
      <c r="A190" s="39" t="s">
        <v>1018</v>
      </c>
      <c r="B190" s="194" t="s">
        <v>18</v>
      </c>
      <c r="C190" s="124">
        <f ca="1">_xlfn.IFNA(VLOOKUP(A190,Worksheet!$B$1:$G$600,3,FALSE),C190)</f>
        <v>0</v>
      </c>
      <c r="D190" s="124">
        <f ca="1">_xlfn.IFNA(VLOOKUP(A190,Worksheet!$B$1:$G$600,4,FALSE),D190)</f>
        <v>0</v>
      </c>
      <c r="E190" s="125">
        <f ca="1">_xlfn.IFNA(VLOOKUP(A190,Worksheet!$B$1:$G$600,5,FALSE),E190)</f>
        <v>0</v>
      </c>
      <c r="F190" t="s">
        <v>1450</v>
      </c>
    </row>
    <row r="191" spans="1:7" hidden="1" x14ac:dyDescent="0.25">
      <c r="A191" s="39" t="s">
        <v>1019</v>
      </c>
      <c r="B191" s="189" t="s">
        <v>19</v>
      </c>
      <c r="C191" s="124">
        <f ca="1">_xlfn.IFNA(VLOOKUP(A191,Worksheet!$B$1:$G$600,3,FALSE),C191)</f>
        <v>0</v>
      </c>
      <c r="D191" s="124">
        <f ca="1">_xlfn.IFNA(VLOOKUP(A191,Worksheet!$B$1:$G$600,4,FALSE),D191)</f>
        <v>0</v>
      </c>
      <c r="E191" s="125">
        <f ca="1">_xlfn.IFNA(VLOOKUP(A191,Worksheet!$B$1:$G$600,5,FALSE),E191)</f>
        <v>0</v>
      </c>
      <c r="F191" t="s">
        <v>1450</v>
      </c>
    </row>
    <row r="192" spans="1:7" hidden="1" x14ac:dyDescent="0.25">
      <c r="A192" s="39" t="s">
        <v>1020</v>
      </c>
      <c r="B192" s="189" t="s">
        <v>20</v>
      </c>
      <c r="C192" s="124">
        <f ca="1">_xlfn.IFNA(VLOOKUP(A192,Worksheet!$B$1:$G$600,3,FALSE),C192)</f>
        <v>0</v>
      </c>
      <c r="D192" s="124">
        <f ca="1">_xlfn.IFNA(VLOOKUP(A192,Worksheet!$B$1:$G$600,4,FALSE),D192)</f>
        <v>0</v>
      </c>
      <c r="E192" s="125">
        <f ca="1">_xlfn.IFNA(VLOOKUP(A192,Worksheet!$B$1:$G$600,5,FALSE),E192)</f>
        <v>0</v>
      </c>
      <c r="F192" t="s">
        <v>1450</v>
      </c>
    </row>
    <row r="193" spans="1:6" hidden="1" x14ac:dyDescent="0.25">
      <c r="A193" s="39" t="s">
        <v>1021</v>
      </c>
      <c r="B193" s="189" t="s">
        <v>21</v>
      </c>
      <c r="C193" s="124">
        <f ca="1">_xlfn.IFNA(VLOOKUP(A193,Worksheet!$B$1:$G$600,3,FALSE),C193)</f>
        <v>0</v>
      </c>
      <c r="D193" s="124">
        <f ca="1">_xlfn.IFNA(VLOOKUP(A193,Worksheet!$B$1:$G$600,4,FALSE),D193)</f>
        <v>0</v>
      </c>
      <c r="E193" s="125">
        <f ca="1">_xlfn.IFNA(VLOOKUP(A193,Worksheet!$B$1:$G$600,5,FALSE),E193)</f>
        <v>0</v>
      </c>
      <c r="F193" t="s">
        <v>1450</v>
      </c>
    </row>
    <row r="194" spans="1:6" hidden="1" x14ac:dyDescent="0.25">
      <c r="A194" s="39" t="s">
        <v>1022</v>
      </c>
      <c r="B194" s="188" t="s">
        <v>22</v>
      </c>
      <c r="C194" s="126">
        <f ca="1">_xlfn.IFNA(VLOOKUP(A194,Worksheet!$B$1:$G$600,3,FALSE),C194)</f>
        <v>0</v>
      </c>
      <c r="D194" s="126">
        <f ca="1">_xlfn.IFNA(VLOOKUP(A194,Worksheet!$B$1:$G$600,4,FALSE),D194)</f>
        <v>0</v>
      </c>
      <c r="E194" s="127">
        <f ca="1">_xlfn.IFNA(VLOOKUP(A194,Worksheet!$B$1:$G$600,5,FALSE),E194)</f>
        <v>0</v>
      </c>
      <c r="F194" t="s">
        <v>1450</v>
      </c>
    </row>
    <row r="195" spans="1:6" hidden="1" x14ac:dyDescent="0.25">
      <c r="A195" s="39" t="s">
        <v>1023</v>
      </c>
      <c r="B195" s="187" t="s">
        <v>111</v>
      </c>
      <c r="C195" s="55">
        <f ca="1">SUM(C196:C202)</f>
        <v>0</v>
      </c>
      <c r="D195" s="55">
        <f t="shared" ref="D195:E195" ca="1" si="34">SUM(D196:D202)</f>
        <v>0</v>
      </c>
      <c r="E195" s="56">
        <f t="shared" ca="1" si="34"/>
        <v>0</v>
      </c>
      <c r="F195" t="s">
        <v>1450</v>
      </c>
    </row>
    <row r="196" spans="1:6" ht="17.25" hidden="1" customHeight="1" x14ac:dyDescent="0.25">
      <c r="A196" s="39" t="s">
        <v>1024</v>
      </c>
      <c r="B196" s="190" t="s">
        <v>16</v>
      </c>
      <c r="C196" s="124">
        <f ca="1">_xlfn.IFNA(VLOOKUP(A196,Worksheet!$B$1:$G$600,3,FALSE),C196)</f>
        <v>0</v>
      </c>
      <c r="D196" s="124">
        <f ca="1">_xlfn.IFNA(VLOOKUP(A196,Worksheet!$B$1:$G$600,4,FALSE),D196)</f>
        <v>0</v>
      </c>
      <c r="E196" s="125">
        <f ca="1">_xlfn.IFNA(VLOOKUP(A196,Worksheet!$B$1:$G$600,5,FALSE),E196)</f>
        <v>0</v>
      </c>
      <c r="F196" t="s">
        <v>1450</v>
      </c>
    </row>
    <row r="197" spans="1:6" hidden="1" x14ac:dyDescent="0.25">
      <c r="A197" s="39" t="s">
        <v>1025</v>
      </c>
      <c r="B197" s="190" t="s">
        <v>17</v>
      </c>
      <c r="C197" s="124">
        <f ca="1">_xlfn.IFNA(VLOOKUP(A197,Worksheet!$B$1:$G$600,3,FALSE),C197)</f>
        <v>0</v>
      </c>
      <c r="D197" s="124">
        <f ca="1">_xlfn.IFNA(VLOOKUP(A197,Worksheet!$B$1:$G$600,4,FALSE),D197)</f>
        <v>0</v>
      </c>
      <c r="E197" s="125">
        <f ca="1">_xlfn.IFNA(VLOOKUP(A197,Worksheet!$B$1:$G$600,5,FALSE),E197)</f>
        <v>0</v>
      </c>
      <c r="F197" t="s">
        <v>1450</v>
      </c>
    </row>
    <row r="198" spans="1:6" hidden="1" x14ac:dyDescent="0.25">
      <c r="A198" s="39" t="s">
        <v>1026</v>
      </c>
      <c r="B198" s="194" t="s">
        <v>18</v>
      </c>
      <c r="C198" s="124">
        <f ca="1">_xlfn.IFNA(VLOOKUP(A198,Worksheet!$B$1:$G$600,3,FALSE),C198)</f>
        <v>0</v>
      </c>
      <c r="D198" s="124">
        <f ca="1">_xlfn.IFNA(VLOOKUP(A198,Worksheet!$B$1:$G$600,4,FALSE),D198)</f>
        <v>0</v>
      </c>
      <c r="E198" s="125">
        <f ca="1">_xlfn.IFNA(VLOOKUP(A198,Worksheet!$B$1:$G$600,5,FALSE),E198)</f>
        <v>0</v>
      </c>
      <c r="F198" t="s">
        <v>1450</v>
      </c>
    </row>
    <row r="199" spans="1:6" hidden="1" x14ac:dyDescent="0.25">
      <c r="A199" s="39" t="s">
        <v>1027</v>
      </c>
      <c r="B199" s="189" t="s">
        <v>19</v>
      </c>
      <c r="C199" s="124">
        <f ca="1">_xlfn.IFNA(VLOOKUP(A199,Worksheet!$B$1:$G$600,3,FALSE),C199)</f>
        <v>0</v>
      </c>
      <c r="D199" s="124">
        <f ca="1">_xlfn.IFNA(VLOOKUP(A199,Worksheet!$B$1:$G$600,4,FALSE),D199)</f>
        <v>0</v>
      </c>
      <c r="E199" s="125">
        <f ca="1">_xlfn.IFNA(VLOOKUP(A199,Worksheet!$B$1:$G$600,5,FALSE),E199)</f>
        <v>0</v>
      </c>
      <c r="F199" t="s">
        <v>1450</v>
      </c>
    </row>
    <row r="200" spans="1:6" hidden="1" x14ac:dyDescent="0.25">
      <c r="A200" s="39" t="s">
        <v>1028</v>
      </c>
      <c r="B200" s="189" t="s">
        <v>20</v>
      </c>
      <c r="C200" s="124">
        <f ca="1">_xlfn.IFNA(VLOOKUP(A200,Worksheet!$B$1:$G$600,3,FALSE),C200)</f>
        <v>0</v>
      </c>
      <c r="D200" s="124">
        <f ca="1">_xlfn.IFNA(VLOOKUP(A200,Worksheet!$B$1:$G$600,4,FALSE),D200)</f>
        <v>0</v>
      </c>
      <c r="E200" s="125">
        <f ca="1">_xlfn.IFNA(VLOOKUP(A200,Worksheet!$B$1:$G$600,5,FALSE),E200)</f>
        <v>0</v>
      </c>
      <c r="F200" t="s">
        <v>1450</v>
      </c>
    </row>
    <row r="201" spans="1:6" hidden="1" x14ac:dyDescent="0.25">
      <c r="A201" s="39" t="s">
        <v>1029</v>
      </c>
      <c r="B201" s="189" t="s">
        <v>21</v>
      </c>
      <c r="C201" s="124">
        <f ca="1">_xlfn.IFNA(VLOOKUP(A201,Worksheet!$B$1:$G$600,3,FALSE),C201)</f>
        <v>0</v>
      </c>
      <c r="D201" s="124">
        <f ca="1">_xlfn.IFNA(VLOOKUP(A201,Worksheet!$B$1:$G$600,4,FALSE),D201)</f>
        <v>0</v>
      </c>
      <c r="E201" s="125">
        <f ca="1">_xlfn.IFNA(VLOOKUP(A201,Worksheet!$B$1:$G$600,5,FALSE),E201)</f>
        <v>0</v>
      </c>
      <c r="F201" t="s">
        <v>1450</v>
      </c>
    </row>
    <row r="202" spans="1:6" hidden="1" x14ac:dyDescent="0.25">
      <c r="A202" s="39" t="s">
        <v>1030</v>
      </c>
      <c r="B202" s="188" t="s">
        <v>22</v>
      </c>
      <c r="C202" s="126">
        <f ca="1">_xlfn.IFNA(VLOOKUP(A202,Worksheet!$B$1:$G$600,3,FALSE),C202)</f>
        <v>0</v>
      </c>
      <c r="D202" s="126">
        <f ca="1">_xlfn.IFNA(VLOOKUP(A202,Worksheet!$B$1:$G$600,4,FALSE),D202)</f>
        <v>0</v>
      </c>
      <c r="E202" s="127">
        <f ca="1">_xlfn.IFNA(VLOOKUP(A202,Worksheet!$B$1:$G$600,5,FALSE),E202)</f>
        <v>0</v>
      </c>
      <c r="F202" t="s">
        <v>1450</v>
      </c>
    </row>
    <row r="203" spans="1:6" hidden="1" x14ac:dyDescent="0.25">
      <c r="A203" s="39" t="s">
        <v>1031</v>
      </c>
      <c r="B203" s="187" t="s">
        <v>114</v>
      </c>
      <c r="C203" s="55">
        <f ca="1">SUM(C204:C210)</f>
        <v>0</v>
      </c>
      <c r="D203" s="55">
        <f t="shared" ref="D203:E203" ca="1" si="35">SUM(D204:D210)</f>
        <v>0</v>
      </c>
      <c r="E203" s="56">
        <f t="shared" ca="1" si="35"/>
        <v>0</v>
      </c>
      <c r="F203" t="s">
        <v>1450</v>
      </c>
    </row>
    <row r="204" spans="1:6" ht="12.75" hidden="1" customHeight="1" x14ac:dyDescent="0.25">
      <c r="A204" s="39" t="s">
        <v>1032</v>
      </c>
      <c r="B204" s="190" t="s">
        <v>16</v>
      </c>
      <c r="C204" s="124">
        <f ca="1">_xlfn.IFNA(VLOOKUP(A204,Worksheet!$B$1:$G$600,3,FALSE),C204)</f>
        <v>0</v>
      </c>
      <c r="D204" s="124">
        <f ca="1">_xlfn.IFNA(VLOOKUP(A204,Worksheet!$B$1:$G$600,4,FALSE),D204)</f>
        <v>0</v>
      </c>
      <c r="E204" s="125">
        <f ca="1">_xlfn.IFNA(VLOOKUP(A204,Worksheet!$B$1:$G$600,5,FALSE),E204)</f>
        <v>0</v>
      </c>
      <c r="F204" t="s">
        <v>1450</v>
      </c>
    </row>
    <row r="205" spans="1:6" hidden="1" x14ac:dyDescent="0.25">
      <c r="A205" s="39" t="s">
        <v>1033</v>
      </c>
      <c r="B205" s="190" t="s">
        <v>17</v>
      </c>
      <c r="C205" s="124">
        <f ca="1">_xlfn.IFNA(VLOOKUP(A205,Worksheet!$B$1:$G$600,3,FALSE),C205)</f>
        <v>0</v>
      </c>
      <c r="D205" s="124">
        <f ca="1">_xlfn.IFNA(VLOOKUP(A205,Worksheet!$B$1:$G$600,4,FALSE),D205)</f>
        <v>0</v>
      </c>
      <c r="E205" s="125">
        <f ca="1">_xlfn.IFNA(VLOOKUP(A205,Worksheet!$B$1:$G$600,5,FALSE),E205)</f>
        <v>0</v>
      </c>
      <c r="F205" t="s">
        <v>1450</v>
      </c>
    </row>
    <row r="206" spans="1:6" hidden="1" x14ac:dyDescent="0.25">
      <c r="A206" s="39" t="s">
        <v>1034</v>
      </c>
      <c r="B206" s="194" t="s">
        <v>18</v>
      </c>
      <c r="C206" s="124">
        <f ca="1">_xlfn.IFNA(VLOOKUP(A206,Worksheet!$B$1:$G$600,3,FALSE),C206)</f>
        <v>0</v>
      </c>
      <c r="D206" s="124">
        <f ca="1">_xlfn.IFNA(VLOOKUP(A206,Worksheet!$B$1:$G$600,4,FALSE),D206)</f>
        <v>0</v>
      </c>
      <c r="E206" s="125">
        <f ca="1">_xlfn.IFNA(VLOOKUP(A206,Worksheet!$B$1:$G$600,5,FALSE),E206)</f>
        <v>0</v>
      </c>
      <c r="F206" t="s">
        <v>1450</v>
      </c>
    </row>
    <row r="207" spans="1:6" hidden="1" x14ac:dyDescent="0.25">
      <c r="A207" s="39" t="s">
        <v>1035</v>
      </c>
      <c r="B207" s="189" t="s">
        <v>19</v>
      </c>
      <c r="C207" s="124">
        <f ca="1">_xlfn.IFNA(VLOOKUP(A207,Worksheet!$B$1:$G$600,3,FALSE),C207)</f>
        <v>0</v>
      </c>
      <c r="D207" s="124">
        <f ca="1">_xlfn.IFNA(VLOOKUP(A207,Worksheet!$B$1:$G$600,4,FALSE),D207)</f>
        <v>0</v>
      </c>
      <c r="E207" s="125">
        <f ca="1">_xlfn.IFNA(VLOOKUP(A207,Worksheet!$B$1:$G$600,5,FALSE),E207)</f>
        <v>0</v>
      </c>
      <c r="F207" t="s">
        <v>1450</v>
      </c>
    </row>
    <row r="208" spans="1:6" hidden="1" x14ac:dyDescent="0.25">
      <c r="A208" s="39" t="s">
        <v>1036</v>
      </c>
      <c r="B208" s="189" t="s">
        <v>20</v>
      </c>
      <c r="C208" s="124">
        <f ca="1">_xlfn.IFNA(VLOOKUP(A208,Worksheet!$B$1:$G$600,3,FALSE),C208)</f>
        <v>0</v>
      </c>
      <c r="D208" s="124">
        <f ca="1">_xlfn.IFNA(VLOOKUP(A208,Worksheet!$B$1:$G$600,4,FALSE),D208)</f>
        <v>0</v>
      </c>
      <c r="E208" s="125">
        <f ca="1">_xlfn.IFNA(VLOOKUP(A208,Worksheet!$B$1:$G$600,5,FALSE),E208)</f>
        <v>0</v>
      </c>
      <c r="F208" t="s">
        <v>1450</v>
      </c>
    </row>
    <row r="209" spans="1:6" hidden="1" x14ac:dyDescent="0.25">
      <c r="A209" s="39" t="s">
        <v>1037</v>
      </c>
      <c r="B209" s="189" t="s">
        <v>21</v>
      </c>
      <c r="C209" s="124">
        <f ca="1">_xlfn.IFNA(VLOOKUP(A209,Worksheet!$B$1:$G$600,3,FALSE),C209)</f>
        <v>0</v>
      </c>
      <c r="D209" s="124">
        <f ca="1">_xlfn.IFNA(VLOOKUP(A209,Worksheet!$B$1:$G$600,4,FALSE),D209)</f>
        <v>0</v>
      </c>
      <c r="E209" s="125">
        <f ca="1">_xlfn.IFNA(VLOOKUP(A209,Worksheet!$B$1:$G$600,5,FALSE),E209)</f>
        <v>0</v>
      </c>
      <c r="F209" t="s">
        <v>1450</v>
      </c>
    </row>
    <row r="210" spans="1:6" hidden="1" x14ac:dyDescent="0.25">
      <c r="A210" s="39" t="s">
        <v>1038</v>
      </c>
      <c r="B210" s="188" t="s">
        <v>22</v>
      </c>
      <c r="C210" s="126">
        <f ca="1">_xlfn.IFNA(VLOOKUP(A210,Worksheet!$B$1:$G$600,3,FALSE),C210)</f>
        <v>0</v>
      </c>
      <c r="D210" s="126">
        <f ca="1">_xlfn.IFNA(VLOOKUP(A210,Worksheet!$B$1:$G$600,4,FALSE),D210)</f>
        <v>0</v>
      </c>
      <c r="E210" s="127">
        <f ca="1">_xlfn.IFNA(VLOOKUP(A210,Worksheet!$B$1:$G$600,5,FALSE),E210)</f>
        <v>0</v>
      </c>
      <c r="F210" t="s">
        <v>1450</v>
      </c>
    </row>
    <row r="211" spans="1:6" hidden="1" x14ac:dyDescent="0.25">
      <c r="A211" s="39" t="s">
        <v>1039</v>
      </c>
      <c r="B211" s="187" t="s">
        <v>116</v>
      </c>
      <c r="C211" s="55">
        <f ca="1">SUM(C212:C218)</f>
        <v>0</v>
      </c>
      <c r="D211" s="55">
        <f t="shared" ref="D211:E211" ca="1" si="36">SUM(D212:D218)</f>
        <v>0</v>
      </c>
      <c r="E211" s="56">
        <f t="shared" ca="1" si="36"/>
        <v>0</v>
      </c>
      <c r="F211" t="s">
        <v>1450</v>
      </c>
    </row>
    <row r="212" spans="1:6" hidden="1" x14ac:dyDescent="0.25">
      <c r="A212" s="39" t="s">
        <v>1040</v>
      </c>
      <c r="B212" s="190" t="s">
        <v>16</v>
      </c>
      <c r="C212" s="124">
        <f ca="1">_xlfn.IFNA(VLOOKUP(A212,Worksheet!$B$1:$G$600,3,FALSE),C212)</f>
        <v>0</v>
      </c>
      <c r="D212" s="124">
        <f ca="1">_xlfn.IFNA(VLOOKUP(A212,Worksheet!$B$1:$G$600,4,FALSE),D212)</f>
        <v>0</v>
      </c>
      <c r="E212" s="125">
        <f ca="1">_xlfn.IFNA(VLOOKUP(A212,Worksheet!$B$1:$G$600,5,FALSE),E212)</f>
        <v>0</v>
      </c>
      <c r="F212" t="s">
        <v>1450</v>
      </c>
    </row>
    <row r="213" spans="1:6" hidden="1" x14ac:dyDescent="0.25">
      <c r="A213" s="39" t="s">
        <v>1041</v>
      </c>
      <c r="B213" s="190" t="s">
        <v>17</v>
      </c>
      <c r="C213" s="124">
        <f ca="1">_xlfn.IFNA(VLOOKUP(A213,Worksheet!$B$1:$G$600,3,FALSE),C213)</f>
        <v>0</v>
      </c>
      <c r="D213" s="124">
        <f ca="1">_xlfn.IFNA(VLOOKUP(A213,Worksheet!$B$1:$G$600,4,FALSE),D213)</f>
        <v>0</v>
      </c>
      <c r="E213" s="125">
        <f ca="1">_xlfn.IFNA(VLOOKUP(A213,Worksheet!$B$1:$G$600,5,FALSE),E213)</f>
        <v>0</v>
      </c>
      <c r="F213" t="s">
        <v>1450</v>
      </c>
    </row>
    <row r="214" spans="1:6" hidden="1" x14ac:dyDescent="0.25">
      <c r="A214" s="39" t="s">
        <v>1042</v>
      </c>
      <c r="B214" s="194" t="s">
        <v>18</v>
      </c>
      <c r="C214" s="124">
        <f ca="1">_xlfn.IFNA(VLOOKUP(A214,Worksheet!$B$1:$G$600,3,FALSE),C214)</f>
        <v>0</v>
      </c>
      <c r="D214" s="124">
        <f ca="1">_xlfn.IFNA(VLOOKUP(A214,Worksheet!$B$1:$G$600,4,FALSE),D214)</f>
        <v>0</v>
      </c>
      <c r="E214" s="125">
        <f ca="1">_xlfn.IFNA(VLOOKUP(A214,Worksheet!$B$1:$G$600,5,FALSE),E214)</f>
        <v>0</v>
      </c>
      <c r="F214" t="s">
        <v>1450</v>
      </c>
    </row>
    <row r="215" spans="1:6" hidden="1" x14ac:dyDescent="0.25">
      <c r="A215" s="39" t="s">
        <v>1043</v>
      </c>
      <c r="B215" s="189" t="s">
        <v>19</v>
      </c>
      <c r="C215" s="124">
        <f ca="1">_xlfn.IFNA(VLOOKUP(A215,Worksheet!$B$1:$G$600,3,FALSE),C215)</f>
        <v>0</v>
      </c>
      <c r="D215" s="124">
        <f ca="1">_xlfn.IFNA(VLOOKUP(A215,Worksheet!$B$1:$G$600,4,FALSE),D215)</f>
        <v>0</v>
      </c>
      <c r="E215" s="125">
        <f ca="1">_xlfn.IFNA(VLOOKUP(A215,Worksheet!$B$1:$G$600,5,FALSE),E215)</f>
        <v>0</v>
      </c>
      <c r="F215" t="s">
        <v>1450</v>
      </c>
    </row>
    <row r="216" spans="1:6" hidden="1" x14ac:dyDescent="0.25">
      <c r="A216" s="39" t="s">
        <v>1044</v>
      </c>
      <c r="B216" s="189" t="s">
        <v>20</v>
      </c>
      <c r="C216" s="124">
        <f ca="1">_xlfn.IFNA(VLOOKUP(A216,Worksheet!$B$1:$G$600,3,FALSE),C216)</f>
        <v>0</v>
      </c>
      <c r="D216" s="124">
        <f ca="1">_xlfn.IFNA(VLOOKUP(A216,Worksheet!$B$1:$G$600,4,FALSE),D216)</f>
        <v>0</v>
      </c>
      <c r="E216" s="125">
        <f ca="1">_xlfn.IFNA(VLOOKUP(A216,Worksheet!$B$1:$G$600,5,FALSE),E216)</f>
        <v>0</v>
      </c>
      <c r="F216" t="s">
        <v>1450</v>
      </c>
    </row>
    <row r="217" spans="1:6" hidden="1" x14ac:dyDescent="0.25">
      <c r="A217" s="39" t="s">
        <v>1045</v>
      </c>
      <c r="B217" s="189" t="s">
        <v>21</v>
      </c>
      <c r="C217" s="124">
        <f ca="1">_xlfn.IFNA(VLOOKUP(A217,Worksheet!$B$1:$G$600,3,FALSE),C217)</f>
        <v>0</v>
      </c>
      <c r="D217" s="124">
        <f ca="1">_xlfn.IFNA(VLOOKUP(A217,Worksheet!$B$1:$G$600,4,FALSE),D217)</f>
        <v>0</v>
      </c>
      <c r="E217" s="125">
        <f ca="1">_xlfn.IFNA(VLOOKUP(A217,Worksheet!$B$1:$G$600,5,FALSE),E217)</f>
        <v>0</v>
      </c>
      <c r="F217" t="s">
        <v>1450</v>
      </c>
    </row>
    <row r="218" spans="1:6" hidden="1" x14ac:dyDescent="0.25">
      <c r="A218" s="39" t="s">
        <v>1046</v>
      </c>
      <c r="B218" s="188" t="s">
        <v>22</v>
      </c>
      <c r="C218" s="126">
        <f ca="1">_xlfn.IFNA(VLOOKUP(A218,Worksheet!$B$1:$G$600,3,FALSE),C218)</f>
        <v>0</v>
      </c>
      <c r="D218" s="126">
        <f ca="1">_xlfn.IFNA(VLOOKUP(A218,Worksheet!$B$1:$G$600,4,FALSE),D218)</f>
        <v>0</v>
      </c>
      <c r="E218" s="127">
        <f ca="1">_xlfn.IFNA(VLOOKUP(A218,Worksheet!$B$1:$G$600,5,FALSE),E218)</f>
        <v>0</v>
      </c>
      <c r="F218" t="s">
        <v>1450</v>
      </c>
    </row>
    <row r="219" spans="1:6" hidden="1" x14ac:dyDescent="0.25">
      <c r="A219" s="39" t="s">
        <v>1047</v>
      </c>
      <c r="B219" s="188" t="s">
        <v>687</v>
      </c>
      <c r="C219" s="55">
        <f ca="1">SUM(C220:C223)</f>
        <v>0</v>
      </c>
      <c r="D219" s="55">
        <f t="shared" ref="D219:E219" ca="1" si="37">SUM(D220:D223)</f>
        <v>0</v>
      </c>
      <c r="E219" s="56">
        <f t="shared" ca="1" si="37"/>
        <v>0</v>
      </c>
      <c r="F219" t="s">
        <v>1450</v>
      </c>
    </row>
    <row r="220" spans="1:6" hidden="1" x14ac:dyDescent="0.25">
      <c r="A220" s="39" t="s">
        <v>1048</v>
      </c>
      <c r="B220" s="189" t="s">
        <v>697</v>
      </c>
      <c r="C220" s="124">
        <f ca="1">_xlfn.IFNA(VLOOKUP(A220,Worksheet!$B$1:$G$600,3,FALSE),C220)</f>
        <v>0</v>
      </c>
      <c r="D220" s="124">
        <f ca="1">_xlfn.IFNA(VLOOKUP(A220,Worksheet!$B$1:$G$600,4,FALSE),D220)</f>
        <v>0</v>
      </c>
      <c r="E220" s="125">
        <f ca="1">_xlfn.IFNA(VLOOKUP(A220,Worksheet!$B$1:$G$600,5,FALSE),E220)</f>
        <v>0</v>
      </c>
      <c r="F220" t="s">
        <v>1450</v>
      </c>
    </row>
    <row r="221" spans="1:6" hidden="1" x14ac:dyDescent="0.25">
      <c r="A221" s="39" t="s">
        <v>1049</v>
      </c>
      <c r="B221" s="189" t="s">
        <v>698</v>
      </c>
      <c r="C221" s="124">
        <f ca="1">_xlfn.IFNA(VLOOKUP(A221,Worksheet!$B$1:$G$600,3,FALSE),C221)</f>
        <v>0</v>
      </c>
      <c r="D221" s="124">
        <f ca="1">_xlfn.IFNA(VLOOKUP(A221,Worksheet!$B$1:$G$600,4,FALSE),D221)</f>
        <v>0</v>
      </c>
      <c r="E221" s="125">
        <f ca="1">_xlfn.IFNA(VLOOKUP(A221,Worksheet!$B$1:$G$600,5,FALSE),E221)</f>
        <v>0</v>
      </c>
      <c r="F221" t="s">
        <v>1450</v>
      </c>
    </row>
    <row r="222" spans="1:6" hidden="1" x14ac:dyDescent="0.25">
      <c r="A222" s="39" t="s">
        <v>1050</v>
      </c>
      <c r="B222" s="189" t="s">
        <v>699</v>
      </c>
      <c r="C222" s="124">
        <f ca="1">_xlfn.IFNA(VLOOKUP(A222,Worksheet!$B$1:$G$600,3,FALSE),C222)</f>
        <v>0</v>
      </c>
      <c r="D222" s="124">
        <f ca="1">_xlfn.IFNA(VLOOKUP(A222,Worksheet!$B$1:$G$600,4,FALSE),D222)</f>
        <v>0</v>
      </c>
      <c r="E222" s="125">
        <f ca="1">_xlfn.IFNA(VLOOKUP(A222,Worksheet!$B$1:$G$600,5,FALSE),E222)</f>
        <v>0</v>
      </c>
      <c r="F222" t="s">
        <v>1450</v>
      </c>
    </row>
    <row r="223" spans="1:6" hidden="1" x14ac:dyDescent="0.25">
      <c r="A223" s="39" t="s">
        <v>1051</v>
      </c>
      <c r="B223" s="188" t="s">
        <v>700</v>
      </c>
      <c r="C223" s="126">
        <f ca="1">_xlfn.IFNA(VLOOKUP(A223,Worksheet!$B$1:$G$600,3,FALSE),C223)</f>
        <v>0</v>
      </c>
      <c r="D223" s="126">
        <f ca="1">_xlfn.IFNA(VLOOKUP(A223,Worksheet!$B$1:$G$600,4,FALSE),D223)</f>
        <v>0</v>
      </c>
      <c r="E223" s="127">
        <f ca="1">_xlfn.IFNA(VLOOKUP(A223,Worksheet!$B$1:$G$600,5,FALSE),E223)</f>
        <v>0</v>
      </c>
      <c r="F223" t="s">
        <v>1450</v>
      </c>
    </row>
    <row r="224" spans="1:6" hidden="1" x14ac:dyDescent="0.25">
      <c r="A224" s="39" t="s">
        <v>1052</v>
      </c>
      <c r="B224" s="188" t="s">
        <v>691</v>
      </c>
      <c r="C224" s="55">
        <f ca="1">SUM(C225,C226,C227,C228,C407)</f>
        <v>0</v>
      </c>
      <c r="D224" s="55">
        <f ca="1">SUM(D225,D226,D227,D228,D407)</f>
        <v>0</v>
      </c>
      <c r="E224" s="56">
        <f ca="1">SUM(E225,E226,E227,E228,E407)</f>
        <v>0</v>
      </c>
      <c r="F224" t="s">
        <v>1450</v>
      </c>
    </row>
    <row r="225" spans="1:6" hidden="1" x14ac:dyDescent="0.25">
      <c r="A225" s="39" t="s">
        <v>1053</v>
      </c>
      <c r="B225" s="189" t="s">
        <v>692</v>
      </c>
      <c r="C225" s="124">
        <f ca="1">_xlfn.IFNA(VLOOKUP(A225,Worksheet!$B$1:$G$600,3,FALSE),C225)</f>
        <v>0</v>
      </c>
      <c r="D225" s="124">
        <f ca="1">_xlfn.IFNA(VLOOKUP(A225,Worksheet!$B$1:$G$600,4,FALSE),D225)</f>
        <v>0</v>
      </c>
      <c r="E225" s="125">
        <f ca="1">_xlfn.IFNA(VLOOKUP(A225,Worksheet!$B$1:$G$600,5,FALSE),E225)</f>
        <v>0</v>
      </c>
      <c r="F225" t="s">
        <v>1450</v>
      </c>
    </row>
    <row r="226" spans="1:6" hidden="1" x14ac:dyDescent="0.25">
      <c r="A226" s="39" t="s">
        <v>1054</v>
      </c>
      <c r="B226" s="189" t="s">
        <v>693</v>
      </c>
      <c r="C226" s="124">
        <f ca="1">_xlfn.IFNA(VLOOKUP(A226,Worksheet!$B$1:$G$600,3,FALSE),C226)</f>
        <v>0</v>
      </c>
      <c r="D226" s="124">
        <f ca="1">_xlfn.IFNA(VLOOKUP(A226,Worksheet!$B$1:$G$600,4,FALSE),D226)</f>
        <v>0</v>
      </c>
      <c r="E226" s="125">
        <f ca="1">_xlfn.IFNA(VLOOKUP(A226,Worksheet!$B$1:$G$600,5,FALSE),E226)</f>
        <v>0</v>
      </c>
      <c r="F226" t="s">
        <v>1450</v>
      </c>
    </row>
    <row r="227" spans="1:6" hidden="1" x14ac:dyDescent="0.25">
      <c r="A227" s="39" t="s">
        <v>1055</v>
      </c>
      <c r="B227" s="189" t="s">
        <v>694</v>
      </c>
      <c r="C227" s="124">
        <f ca="1">_xlfn.IFNA(VLOOKUP(A227,Worksheet!$B$1:$G$600,3,FALSE),C227)</f>
        <v>0</v>
      </c>
      <c r="D227" s="124">
        <f ca="1">_xlfn.IFNA(VLOOKUP(A227,Worksheet!$B$1:$G$600,4,FALSE),D227)</f>
        <v>0</v>
      </c>
      <c r="E227" s="125">
        <f ca="1">_xlfn.IFNA(VLOOKUP(A227,Worksheet!$B$1:$G$600,5,FALSE),E227)</f>
        <v>0</v>
      </c>
      <c r="F227" t="s">
        <v>1450</v>
      </c>
    </row>
    <row r="228" spans="1:6" hidden="1" x14ac:dyDescent="0.25">
      <c r="A228" s="39" t="s">
        <v>1056</v>
      </c>
      <c r="B228" s="189" t="s">
        <v>695</v>
      </c>
      <c r="C228" s="124">
        <f ca="1">_xlfn.IFNA(VLOOKUP(A228,Worksheet!$B$1:$G$600,3,FALSE),C228)</f>
        <v>0</v>
      </c>
      <c r="D228" s="124">
        <f ca="1">_xlfn.IFNA(VLOOKUP(A228,Worksheet!$B$1:$G$600,4,FALSE),D228)</f>
        <v>0</v>
      </c>
      <c r="E228" s="125">
        <f ca="1">_xlfn.IFNA(VLOOKUP(A228,Worksheet!$B$1:$G$600,5,FALSE),E228)</f>
        <v>0</v>
      </c>
      <c r="F228" t="s">
        <v>1450</v>
      </c>
    </row>
    <row r="229" spans="1:6" hidden="1" x14ac:dyDescent="0.25">
      <c r="A229" s="39" t="s">
        <v>1057</v>
      </c>
      <c r="B229" s="189" t="s">
        <v>690</v>
      </c>
      <c r="C229" s="128">
        <f ca="1">_xlfn.IFNA(VLOOKUP(A229,Worksheet!$B$1:$G$600,3,FALSE),C229)</f>
        <v>0</v>
      </c>
      <c r="D229" s="128">
        <f ca="1">_xlfn.IFNA(VLOOKUP(A229,Worksheet!$B$1:$G$600,4,FALSE),D229)</f>
        <v>9</v>
      </c>
      <c r="E229" s="129">
        <f ca="1">_xlfn.IFNA(VLOOKUP(A229,Worksheet!$B$1:$G$600,5,FALSE),E229)</f>
        <v>0</v>
      </c>
      <c r="F229" t="s">
        <v>1450</v>
      </c>
    </row>
    <row r="230" spans="1:6" hidden="1" x14ac:dyDescent="0.25">
      <c r="A230" s="39" t="s">
        <v>245</v>
      </c>
      <c r="B230" s="188" t="s">
        <v>705</v>
      </c>
      <c r="C230" s="132">
        <f ca="1">SUM(C231,C277)</f>
        <v>0</v>
      </c>
      <c r="D230" s="132">
        <f t="shared" ref="D230:E230" ca="1" si="38">SUM(D231,D277)</f>
        <v>0</v>
      </c>
      <c r="E230" s="133">
        <f t="shared" ca="1" si="38"/>
        <v>0</v>
      </c>
      <c r="F230" t="s">
        <v>1450</v>
      </c>
    </row>
    <row r="231" spans="1:6" hidden="1" x14ac:dyDescent="0.25">
      <c r="A231" s="39" t="s">
        <v>246</v>
      </c>
      <c r="B231" s="188" t="s">
        <v>14</v>
      </c>
      <c r="C231" s="142">
        <f ca="1">SUM(C233,C265,C270,C275,C276)</f>
        <v>0</v>
      </c>
      <c r="D231" s="142">
        <f t="shared" ref="D231:E231" ca="1" si="39">SUM(D233,D265,D270,D275,D276)</f>
        <v>0</v>
      </c>
      <c r="E231" s="143">
        <f t="shared" ca="1" si="39"/>
        <v>0</v>
      </c>
      <c r="F231" t="s">
        <v>1450</v>
      </c>
    </row>
    <row r="232" spans="1:6" hidden="1" x14ac:dyDescent="0.25">
      <c r="A232" s="39" t="s">
        <v>269</v>
      </c>
      <c r="B232" s="188" t="s">
        <v>689</v>
      </c>
      <c r="C232" s="142">
        <f ca="1">SUM(C233,C241,C249,C257)/4</f>
        <v>0</v>
      </c>
      <c r="D232" s="142">
        <f t="shared" ref="D232:E232" ca="1" si="40">SUM(D233,D241,D249,D257)/4</f>
        <v>0</v>
      </c>
      <c r="E232" s="143">
        <f t="shared" ca="1" si="40"/>
        <v>0</v>
      </c>
      <c r="F232" t="s">
        <v>1450</v>
      </c>
    </row>
    <row r="233" spans="1:6" hidden="1" x14ac:dyDescent="0.25">
      <c r="A233" s="39" t="s">
        <v>1405</v>
      </c>
      <c r="B233" s="187" t="s">
        <v>113</v>
      </c>
      <c r="C233" s="55">
        <f ca="1">SUM(C234:C240)</f>
        <v>0</v>
      </c>
      <c r="D233" s="55">
        <f t="shared" ref="D233:E233" ca="1" si="41">SUM(D234:D240)</f>
        <v>0</v>
      </c>
      <c r="E233" s="56">
        <f t="shared" ca="1" si="41"/>
        <v>0</v>
      </c>
      <c r="F233" t="s">
        <v>1450</v>
      </c>
    </row>
    <row r="234" spans="1:6" hidden="1" x14ac:dyDescent="0.25">
      <c r="A234" s="39" t="s">
        <v>1398</v>
      </c>
      <c r="B234" s="190" t="s">
        <v>16</v>
      </c>
      <c r="C234" s="124">
        <f ca="1">_xlfn.IFNA(VLOOKUP(A234,Worksheet!$B$1:$G$600,3,FALSE),C234)</f>
        <v>0</v>
      </c>
      <c r="D234" s="124">
        <f ca="1">_xlfn.IFNA(VLOOKUP(A234,Worksheet!$B$1:$G$600,4,FALSE),D234)</f>
        <v>0</v>
      </c>
      <c r="E234" s="125">
        <f ca="1">_xlfn.IFNA(VLOOKUP(A234,Worksheet!$B$1:$G$600,5,FALSE),E234)</f>
        <v>0</v>
      </c>
      <c r="F234" t="s">
        <v>1450</v>
      </c>
    </row>
    <row r="235" spans="1:6" hidden="1" x14ac:dyDescent="0.25">
      <c r="A235" s="39" t="s">
        <v>1399</v>
      </c>
      <c r="B235" s="190" t="s">
        <v>17</v>
      </c>
      <c r="C235" s="124">
        <f ca="1">_xlfn.IFNA(VLOOKUP(A235,Worksheet!$B$1:$G$600,3,FALSE),C235)</f>
        <v>0</v>
      </c>
      <c r="D235" s="124">
        <f ca="1">_xlfn.IFNA(VLOOKUP(A235,Worksheet!$B$1:$G$600,4,FALSE),D235)</f>
        <v>0</v>
      </c>
      <c r="E235" s="125">
        <f ca="1">_xlfn.IFNA(VLOOKUP(A235,Worksheet!$B$1:$G$600,5,FALSE),E235)</f>
        <v>0</v>
      </c>
      <c r="F235" t="s">
        <v>1450</v>
      </c>
    </row>
    <row r="236" spans="1:6" hidden="1" x14ac:dyDescent="0.25">
      <c r="A236" s="39" t="s">
        <v>1400</v>
      </c>
      <c r="B236" s="194" t="s">
        <v>18</v>
      </c>
      <c r="C236" s="124">
        <f ca="1">_xlfn.IFNA(VLOOKUP(A236,Worksheet!$B$1:$G$600,3,FALSE),C236)</f>
        <v>0</v>
      </c>
      <c r="D236" s="124">
        <f ca="1">_xlfn.IFNA(VLOOKUP(A236,Worksheet!$B$1:$G$600,4,FALSE),D236)</f>
        <v>0</v>
      </c>
      <c r="E236" s="125">
        <f ca="1">_xlfn.IFNA(VLOOKUP(A236,Worksheet!$B$1:$G$600,5,FALSE),E236)</f>
        <v>0</v>
      </c>
      <c r="F236" t="s">
        <v>1450</v>
      </c>
    </row>
    <row r="237" spans="1:6" hidden="1" x14ac:dyDescent="0.25">
      <c r="A237" s="1" t="s">
        <v>1401</v>
      </c>
      <c r="B237" s="189" t="s">
        <v>19</v>
      </c>
      <c r="C237" s="124">
        <f ca="1">_xlfn.IFNA(VLOOKUP(A237,Worksheet!$B$1:$G$600,3,FALSE),C237)</f>
        <v>0</v>
      </c>
      <c r="D237" s="124">
        <f ca="1">_xlfn.IFNA(VLOOKUP(A237,Worksheet!$B$1:$G$600,4,FALSE),D237)</f>
        <v>0</v>
      </c>
      <c r="E237" s="125">
        <f ca="1">_xlfn.IFNA(VLOOKUP(A237,Worksheet!$B$1:$G$600,5,FALSE),E237)</f>
        <v>0</v>
      </c>
      <c r="F237" t="s">
        <v>1450</v>
      </c>
    </row>
    <row r="238" spans="1:6" hidden="1" x14ac:dyDescent="0.25">
      <c r="A238" s="1" t="s">
        <v>1402</v>
      </c>
      <c r="B238" s="189" t="s">
        <v>20</v>
      </c>
      <c r="C238" s="124">
        <f ca="1">_xlfn.IFNA(VLOOKUP(A238,Worksheet!$B$1:$G$600,3,FALSE),C238)</f>
        <v>0</v>
      </c>
      <c r="D238" s="124">
        <f ca="1">_xlfn.IFNA(VLOOKUP(A238,Worksheet!$B$1:$G$600,4,FALSE),D238)</f>
        <v>0</v>
      </c>
      <c r="E238" s="125">
        <f ca="1">_xlfn.IFNA(VLOOKUP(A238,Worksheet!$B$1:$G$600,5,FALSE),E238)</f>
        <v>0</v>
      </c>
      <c r="F238" t="s">
        <v>1450</v>
      </c>
    </row>
    <row r="239" spans="1:6" hidden="1" x14ac:dyDescent="0.25">
      <c r="A239" s="1" t="s">
        <v>1403</v>
      </c>
      <c r="B239" s="189" t="s">
        <v>21</v>
      </c>
      <c r="C239" s="124">
        <f ca="1">_xlfn.IFNA(VLOOKUP(A239,Worksheet!$B$1:$G$600,3,FALSE),C239)</f>
        <v>0</v>
      </c>
      <c r="D239" s="124">
        <f ca="1">_xlfn.IFNA(VLOOKUP(A239,Worksheet!$B$1:$G$600,4,FALSE),D239)</f>
        <v>0</v>
      </c>
      <c r="E239" s="125">
        <f ca="1">_xlfn.IFNA(VLOOKUP(A239,Worksheet!$B$1:$G$600,5,FALSE),E239)</f>
        <v>0</v>
      </c>
      <c r="F239" t="s">
        <v>1450</v>
      </c>
    </row>
    <row r="240" spans="1:6" hidden="1" x14ac:dyDescent="0.25">
      <c r="A240" s="1" t="s">
        <v>1404</v>
      </c>
      <c r="B240" s="188" t="s">
        <v>22</v>
      </c>
      <c r="C240" s="126">
        <f ca="1">_xlfn.IFNA(VLOOKUP(A240,Worksheet!$B$1:$G$600,3,FALSE),C240)</f>
        <v>0</v>
      </c>
      <c r="D240" s="126">
        <f ca="1">_xlfn.IFNA(VLOOKUP(A240,Worksheet!$B$1:$G$600,4,FALSE),D240)</f>
        <v>0</v>
      </c>
      <c r="E240" s="127">
        <f ca="1">_xlfn.IFNA(VLOOKUP(A240,Worksheet!$B$1:$G$600,5,FALSE),E240)</f>
        <v>0</v>
      </c>
      <c r="F240" t="s">
        <v>1450</v>
      </c>
    </row>
    <row r="241" spans="1:6" hidden="1" x14ac:dyDescent="0.25">
      <c r="A241" s="39" t="s">
        <v>1407</v>
      </c>
      <c r="B241" s="187" t="s">
        <v>111</v>
      </c>
      <c r="C241" s="55">
        <f ca="1">SUM(C242:C248)</f>
        <v>0</v>
      </c>
      <c r="D241" s="55">
        <f t="shared" ref="D241:E241" ca="1" si="42">SUM(D242:D248)</f>
        <v>0</v>
      </c>
      <c r="E241" s="56">
        <f t="shared" ca="1" si="42"/>
        <v>0</v>
      </c>
      <c r="F241" t="s">
        <v>1450</v>
      </c>
    </row>
    <row r="242" spans="1:6" hidden="1" x14ac:dyDescent="0.25">
      <c r="A242" s="39" t="s">
        <v>1408</v>
      </c>
      <c r="B242" s="190" t="s">
        <v>16</v>
      </c>
      <c r="C242" s="124">
        <f ca="1">_xlfn.IFNA(VLOOKUP(A242,Worksheet!$B$1:$G$600,3,FALSE),C242)</f>
        <v>0</v>
      </c>
      <c r="D242" s="124">
        <f ca="1">_xlfn.IFNA(VLOOKUP(A242,Worksheet!$B$1:$G$600,4,FALSE),D242)</f>
        <v>0</v>
      </c>
      <c r="E242" s="125">
        <f ca="1">_xlfn.IFNA(VLOOKUP(A242,Worksheet!$B$1:$G$600,5,FALSE),E242)</f>
        <v>0</v>
      </c>
      <c r="F242" t="s">
        <v>1450</v>
      </c>
    </row>
    <row r="243" spans="1:6" hidden="1" x14ac:dyDescent="0.25">
      <c r="A243" s="39" t="s">
        <v>1410</v>
      </c>
      <c r="B243" s="190" t="s">
        <v>17</v>
      </c>
      <c r="C243" s="124">
        <f ca="1">_xlfn.IFNA(VLOOKUP(A243,Worksheet!$B$1:$G$600,3,FALSE),C243)</f>
        <v>0</v>
      </c>
      <c r="D243" s="124">
        <f ca="1">_xlfn.IFNA(VLOOKUP(A243,Worksheet!$B$1:$G$600,4,FALSE),D243)</f>
        <v>0</v>
      </c>
      <c r="E243" s="125">
        <f ca="1">_xlfn.IFNA(VLOOKUP(A243,Worksheet!$B$1:$G$600,5,FALSE),E243)</f>
        <v>0</v>
      </c>
      <c r="F243" t="s">
        <v>1450</v>
      </c>
    </row>
    <row r="244" spans="1:6" hidden="1" x14ac:dyDescent="0.25">
      <c r="A244" s="39" t="s">
        <v>1411</v>
      </c>
      <c r="B244" s="194" t="s">
        <v>18</v>
      </c>
      <c r="C244" s="124">
        <f ca="1">_xlfn.IFNA(VLOOKUP(A244,Worksheet!$B$1:$G$600,3,FALSE),C244)</f>
        <v>0</v>
      </c>
      <c r="D244" s="124">
        <f ca="1">_xlfn.IFNA(VLOOKUP(A244,Worksheet!$B$1:$G$600,4,FALSE),D244)</f>
        <v>0</v>
      </c>
      <c r="E244" s="125">
        <f ca="1">_xlfn.IFNA(VLOOKUP(A244,Worksheet!$B$1:$G$600,5,FALSE),E244)</f>
        <v>0</v>
      </c>
      <c r="F244" t="s">
        <v>1450</v>
      </c>
    </row>
    <row r="245" spans="1:6" hidden="1" x14ac:dyDescent="0.25">
      <c r="A245" s="1" t="s">
        <v>1412</v>
      </c>
      <c r="B245" s="189" t="s">
        <v>19</v>
      </c>
      <c r="C245" s="124">
        <f ca="1">_xlfn.IFNA(VLOOKUP(A245,Worksheet!$B$1:$G$600,3,FALSE),C245)</f>
        <v>0</v>
      </c>
      <c r="D245" s="124">
        <f ca="1">_xlfn.IFNA(VLOOKUP(A245,Worksheet!$B$1:$G$600,4,FALSE),D245)</f>
        <v>0</v>
      </c>
      <c r="E245" s="125">
        <f ca="1">_xlfn.IFNA(VLOOKUP(A245,Worksheet!$B$1:$G$600,5,FALSE),E245)</f>
        <v>0</v>
      </c>
      <c r="F245" t="s">
        <v>1450</v>
      </c>
    </row>
    <row r="246" spans="1:6" hidden="1" x14ac:dyDescent="0.25">
      <c r="A246" s="1" t="s">
        <v>1413</v>
      </c>
      <c r="B246" s="189" t="s">
        <v>20</v>
      </c>
      <c r="C246" s="124">
        <f ca="1">_xlfn.IFNA(VLOOKUP(A246,Worksheet!$B$1:$G$600,3,FALSE),C246)</f>
        <v>0</v>
      </c>
      <c r="D246" s="124">
        <f ca="1">_xlfn.IFNA(VLOOKUP(A246,Worksheet!$B$1:$G$600,4,FALSE),D246)</f>
        <v>0</v>
      </c>
      <c r="E246" s="125">
        <f ca="1">_xlfn.IFNA(VLOOKUP(A246,Worksheet!$B$1:$G$600,5,FALSE),E246)</f>
        <v>0</v>
      </c>
      <c r="F246" t="s">
        <v>1450</v>
      </c>
    </row>
    <row r="247" spans="1:6" hidden="1" x14ac:dyDescent="0.25">
      <c r="A247" s="1" t="s">
        <v>1414</v>
      </c>
      <c r="B247" s="189" t="s">
        <v>21</v>
      </c>
      <c r="C247" s="124">
        <f ca="1">_xlfn.IFNA(VLOOKUP(A247,Worksheet!$B$1:$G$600,3,FALSE),C247)</f>
        <v>0</v>
      </c>
      <c r="D247" s="124">
        <f ca="1">_xlfn.IFNA(VLOOKUP(A247,Worksheet!$B$1:$G$600,4,FALSE),D247)</f>
        <v>0</v>
      </c>
      <c r="E247" s="125">
        <f ca="1">_xlfn.IFNA(VLOOKUP(A247,Worksheet!$B$1:$G$600,5,FALSE),E247)</f>
        <v>0</v>
      </c>
      <c r="F247" t="s">
        <v>1450</v>
      </c>
    </row>
    <row r="248" spans="1:6" hidden="1" x14ac:dyDescent="0.25">
      <c r="A248" s="1" t="s">
        <v>1409</v>
      </c>
      <c r="B248" s="188" t="s">
        <v>22</v>
      </c>
      <c r="C248" s="126">
        <f ca="1">_xlfn.IFNA(VLOOKUP(A248,Worksheet!$B$1:$G$600,3,FALSE),C248)</f>
        <v>0</v>
      </c>
      <c r="D248" s="126">
        <f ca="1">_xlfn.IFNA(VLOOKUP(A248,Worksheet!$B$1:$G$600,4,FALSE),D248)</f>
        <v>0</v>
      </c>
      <c r="E248" s="127">
        <f ca="1">_xlfn.IFNA(VLOOKUP(A248,Worksheet!$B$1:$G$600,5,FALSE),E248)</f>
        <v>0</v>
      </c>
      <c r="F248" t="s">
        <v>1450</v>
      </c>
    </row>
    <row r="249" spans="1:6" hidden="1" x14ac:dyDescent="0.25">
      <c r="A249" s="39" t="s">
        <v>1415</v>
      </c>
      <c r="B249" s="187" t="s">
        <v>114</v>
      </c>
      <c r="C249" s="55">
        <f ca="1">SUM(C250:C256)</f>
        <v>0</v>
      </c>
      <c r="D249" s="55">
        <f t="shared" ref="D249:E249" ca="1" si="43">SUM(D250:D256)</f>
        <v>0</v>
      </c>
      <c r="E249" s="56">
        <f t="shared" ca="1" si="43"/>
        <v>0</v>
      </c>
      <c r="F249" t="s">
        <v>1450</v>
      </c>
    </row>
    <row r="250" spans="1:6" hidden="1" x14ac:dyDescent="0.25">
      <c r="A250" s="39" t="s">
        <v>1416</v>
      </c>
      <c r="B250" s="190" t="s">
        <v>16</v>
      </c>
      <c r="C250" s="124">
        <f ca="1">_xlfn.IFNA(VLOOKUP(A250,Worksheet!$B$1:$G$600,3,FALSE),C250)</f>
        <v>0</v>
      </c>
      <c r="D250" s="124">
        <f ca="1">_xlfn.IFNA(VLOOKUP(A250,Worksheet!$B$1:$G$600,4,FALSE),D250)</f>
        <v>0</v>
      </c>
      <c r="E250" s="125">
        <f ca="1">_xlfn.IFNA(VLOOKUP(A250,Worksheet!$B$1:$G$600,5,FALSE),E250)</f>
        <v>0</v>
      </c>
      <c r="F250" t="s">
        <v>1450</v>
      </c>
    </row>
    <row r="251" spans="1:6" hidden="1" x14ac:dyDescent="0.25">
      <c r="A251" s="39" t="s">
        <v>1417</v>
      </c>
      <c r="B251" s="190" t="s">
        <v>17</v>
      </c>
      <c r="C251" s="124">
        <f ca="1">_xlfn.IFNA(VLOOKUP(A251,Worksheet!$B$1:$G$600,3,FALSE),C251)</f>
        <v>0</v>
      </c>
      <c r="D251" s="124">
        <f ca="1">_xlfn.IFNA(VLOOKUP(A251,Worksheet!$B$1:$G$600,4,FALSE),D251)</f>
        <v>0</v>
      </c>
      <c r="E251" s="125">
        <f ca="1">_xlfn.IFNA(VLOOKUP(A251,Worksheet!$B$1:$G$600,5,FALSE),E251)</f>
        <v>0</v>
      </c>
      <c r="F251" t="s">
        <v>1450</v>
      </c>
    </row>
    <row r="252" spans="1:6" hidden="1" x14ac:dyDescent="0.25">
      <c r="A252" s="39" t="s">
        <v>1418</v>
      </c>
      <c r="B252" s="194" t="s">
        <v>18</v>
      </c>
      <c r="C252" s="124">
        <f ca="1">_xlfn.IFNA(VLOOKUP(A252,Worksheet!$B$1:$G$600,3,FALSE),C252)</f>
        <v>0</v>
      </c>
      <c r="D252" s="124">
        <f ca="1">_xlfn.IFNA(VLOOKUP(A252,Worksheet!$B$1:$G$600,4,FALSE),D252)</f>
        <v>0</v>
      </c>
      <c r="E252" s="125">
        <f ca="1">_xlfn.IFNA(VLOOKUP(A252,Worksheet!$B$1:$G$600,5,FALSE),E252)</f>
        <v>0</v>
      </c>
      <c r="F252" t="s">
        <v>1450</v>
      </c>
    </row>
    <row r="253" spans="1:6" hidden="1" x14ac:dyDescent="0.25">
      <c r="A253" s="1" t="s">
        <v>1419</v>
      </c>
      <c r="B253" s="189" t="s">
        <v>19</v>
      </c>
      <c r="C253" s="124">
        <f ca="1">_xlfn.IFNA(VLOOKUP(A253,Worksheet!$B$1:$G$600,3,FALSE),C253)</f>
        <v>0</v>
      </c>
      <c r="D253" s="124">
        <f ca="1">_xlfn.IFNA(VLOOKUP(A253,Worksheet!$B$1:$G$600,4,FALSE),D253)</f>
        <v>0</v>
      </c>
      <c r="E253" s="125">
        <f ca="1">_xlfn.IFNA(VLOOKUP(A253,Worksheet!$B$1:$G$600,5,FALSE),E253)</f>
        <v>0</v>
      </c>
      <c r="F253" t="s">
        <v>1450</v>
      </c>
    </row>
    <row r="254" spans="1:6" hidden="1" x14ac:dyDescent="0.25">
      <c r="A254" s="1" t="s">
        <v>1420</v>
      </c>
      <c r="B254" s="189" t="s">
        <v>20</v>
      </c>
      <c r="C254" s="124">
        <f ca="1">_xlfn.IFNA(VLOOKUP(A254,Worksheet!$B$1:$G$600,3,FALSE),C254)</f>
        <v>0</v>
      </c>
      <c r="D254" s="124">
        <f ca="1">_xlfn.IFNA(VLOOKUP(A254,Worksheet!$B$1:$G$600,4,FALSE),D254)</f>
        <v>0</v>
      </c>
      <c r="E254" s="125">
        <f ca="1">_xlfn.IFNA(VLOOKUP(A254,Worksheet!$B$1:$G$600,5,FALSE),E254)</f>
        <v>0</v>
      </c>
      <c r="F254" t="s">
        <v>1450</v>
      </c>
    </row>
    <row r="255" spans="1:6" hidden="1" x14ac:dyDescent="0.25">
      <c r="A255" s="1" t="s">
        <v>1421</v>
      </c>
      <c r="B255" s="189" t="s">
        <v>21</v>
      </c>
      <c r="C255" s="124">
        <f ca="1">_xlfn.IFNA(VLOOKUP(A255,Worksheet!$B$1:$G$600,3,FALSE),C255)</f>
        <v>0</v>
      </c>
      <c r="D255" s="124">
        <f ca="1">_xlfn.IFNA(VLOOKUP(A255,Worksheet!$B$1:$G$600,4,FALSE),D255)</f>
        <v>0</v>
      </c>
      <c r="E255" s="125">
        <f ca="1">_xlfn.IFNA(VLOOKUP(A255,Worksheet!$B$1:$G$600,5,FALSE),E255)</f>
        <v>0</v>
      </c>
      <c r="F255" t="s">
        <v>1450</v>
      </c>
    </row>
    <row r="256" spans="1:6" hidden="1" x14ac:dyDescent="0.25">
      <c r="A256" s="1" t="s">
        <v>1422</v>
      </c>
      <c r="B256" s="188" t="s">
        <v>22</v>
      </c>
      <c r="C256" s="126">
        <f ca="1">_xlfn.IFNA(VLOOKUP(A256,Worksheet!$B$1:$G$600,3,FALSE),C256)</f>
        <v>0</v>
      </c>
      <c r="D256" s="126">
        <f ca="1">_xlfn.IFNA(VLOOKUP(A256,Worksheet!$B$1:$G$600,4,FALSE),D256)</f>
        <v>0</v>
      </c>
      <c r="E256" s="127">
        <f ca="1">_xlfn.IFNA(VLOOKUP(A256,Worksheet!$B$1:$G$600,5,FALSE),E256)</f>
        <v>0</v>
      </c>
      <c r="F256" t="s">
        <v>1450</v>
      </c>
    </row>
    <row r="257" spans="1:6" hidden="1" x14ac:dyDescent="0.25">
      <c r="A257" s="39" t="s">
        <v>1423</v>
      </c>
      <c r="B257" s="187" t="s">
        <v>116</v>
      </c>
      <c r="C257" s="55">
        <f ca="1">SUM(C258:C264)</f>
        <v>0</v>
      </c>
      <c r="D257" s="55">
        <f t="shared" ref="D257:E257" ca="1" si="44">SUM(D258:D264)</f>
        <v>0</v>
      </c>
      <c r="E257" s="56">
        <f t="shared" ca="1" si="44"/>
        <v>0</v>
      </c>
      <c r="F257" t="s">
        <v>1450</v>
      </c>
    </row>
    <row r="258" spans="1:6" hidden="1" x14ac:dyDescent="0.25">
      <c r="A258" s="39" t="s">
        <v>1424</v>
      </c>
      <c r="B258" s="190" t="s">
        <v>16</v>
      </c>
      <c r="C258" s="124">
        <f ca="1">_xlfn.IFNA(VLOOKUP(A258,Worksheet!$B$1:$G$600,3,FALSE),C258)</f>
        <v>0</v>
      </c>
      <c r="D258" s="124">
        <f ca="1">_xlfn.IFNA(VLOOKUP(A258,Worksheet!$B$1:$G$600,4,FALSE),D258)</f>
        <v>0</v>
      </c>
      <c r="E258" s="125">
        <f ca="1">_xlfn.IFNA(VLOOKUP(A258,Worksheet!$B$1:$G$600,5,FALSE),E258)</f>
        <v>0</v>
      </c>
      <c r="F258" t="s">
        <v>1450</v>
      </c>
    </row>
    <row r="259" spans="1:6" hidden="1" x14ac:dyDescent="0.25">
      <c r="A259" s="39" t="s">
        <v>1425</v>
      </c>
      <c r="B259" s="190" t="s">
        <v>17</v>
      </c>
      <c r="C259" s="124">
        <f ca="1">_xlfn.IFNA(VLOOKUP(A259,Worksheet!$B$1:$G$600,3,FALSE),C259)</f>
        <v>0</v>
      </c>
      <c r="D259" s="124">
        <f ca="1">_xlfn.IFNA(VLOOKUP(A259,Worksheet!$B$1:$G$600,4,FALSE),D259)</f>
        <v>0</v>
      </c>
      <c r="E259" s="125">
        <f ca="1">_xlfn.IFNA(VLOOKUP(A259,Worksheet!$B$1:$G$600,5,FALSE),E259)</f>
        <v>0</v>
      </c>
      <c r="F259" t="s">
        <v>1450</v>
      </c>
    </row>
    <row r="260" spans="1:6" hidden="1" x14ac:dyDescent="0.25">
      <c r="A260" s="39" t="s">
        <v>1426</v>
      </c>
      <c r="B260" s="194" t="s">
        <v>18</v>
      </c>
      <c r="C260" s="124">
        <f ca="1">_xlfn.IFNA(VLOOKUP(A260,Worksheet!$B$1:$G$600,3,FALSE),C260)</f>
        <v>0</v>
      </c>
      <c r="D260" s="124">
        <f ca="1">_xlfn.IFNA(VLOOKUP(A260,Worksheet!$B$1:$G$600,4,FALSE),D260)</f>
        <v>0</v>
      </c>
      <c r="E260" s="125">
        <f ca="1">_xlfn.IFNA(VLOOKUP(A260,Worksheet!$B$1:$G$600,5,FALSE),E260)</f>
        <v>0</v>
      </c>
      <c r="F260" t="s">
        <v>1450</v>
      </c>
    </row>
    <row r="261" spans="1:6" hidden="1" x14ac:dyDescent="0.25">
      <c r="A261" s="1" t="s">
        <v>1427</v>
      </c>
      <c r="B261" s="189" t="s">
        <v>19</v>
      </c>
      <c r="C261" s="124">
        <f ca="1">_xlfn.IFNA(VLOOKUP(A261,Worksheet!$B$1:$G$600,3,FALSE),C261)</f>
        <v>0</v>
      </c>
      <c r="D261" s="124">
        <f ca="1">_xlfn.IFNA(VLOOKUP(A261,Worksheet!$B$1:$G$600,4,FALSE),D261)</f>
        <v>0</v>
      </c>
      <c r="E261" s="125">
        <f ca="1">_xlfn.IFNA(VLOOKUP(A261,Worksheet!$B$1:$G$600,5,FALSE),E261)</f>
        <v>0</v>
      </c>
      <c r="F261" t="s">
        <v>1450</v>
      </c>
    </row>
    <row r="262" spans="1:6" hidden="1" x14ac:dyDescent="0.25">
      <c r="A262" s="1" t="s">
        <v>1428</v>
      </c>
      <c r="B262" s="189" t="s">
        <v>20</v>
      </c>
      <c r="C262" s="124">
        <f ca="1">_xlfn.IFNA(VLOOKUP(A262,Worksheet!$B$1:$G$600,3,FALSE),C262)</f>
        <v>0</v>
      </c>
      <c r="D262" s="124">
        <f ca="1">_xlfn.IFNA(VLOOKUP(A262,Worksheet!$B$1:$G$600,4,FALSE),D262)</f>
        <v>0</v>
      </c>
      <c r="E262" s="125">
        <f ca="1">_xlfn.IFNA(VLOOKUP(A262,Worksheet!$B$1:$G$600,5,FALSE),E262)</f>
        <v>0</v>
      </c>
      <c r="F262" t="s">
        <v>1450</v>
      </c>
    </row>
    <row r="263" spans="1:6" hidden="1" x14ac:dyDescent="0.25">
      <c r="A263" s="1" t="s">
        <v>1429</v>
      </c>
      <c r="B263" s="189" t="s">
        <v>21</v>
      </c>
      <c r="C263" s="124">
        <f ca="1">_xlfn.IFNA(VLOOKUP(A263,Worksheet!$B$1:$G$600,3,FALSE),C263)</f>
        <v>0</v>
      </c>
      <c r="D263" s="124">
        <f ca="1">_xlfn.IFNA(VLOOKUP(A263,Worksheet!$B$1:$G$600,4,FALSE),D263)</f>
        <v>0</v>
      </c>
      <c r="E263" s="125">
        <f ca="1">_xlfn.IFNA(VLOOKUP(A263,Worksheet!$B$1:$G$600,5,FALSE),E263)</f>
        <v>0</v>
      </c>
      <c r="F263" t="s">
        <v>1450</v>
      </c>
    </row>
    <row r="264" spans="1:6" hidden="1" x14ac:dyDescent="0.25">
      <c r="A264" s="1" t="s">
        <v>1430</v>
      </c>
      <c r="B264" s="188" t="s">
        <v>22</v>
      </c>
      <c r="C264" s="126">
        <f ca="1">_xlfn.IFNA(VLOOKUP(A264,Worksheet!$B$1:$G$600,3,FALSE),C264)</f>
        <v>0</v>
      </c>
      <c r="D264" s="126">
        <f ca="1">_xlfn.IFNA(VLOOKUP(A264,Worksheet!$B$1:$G$600,4,FALSE),D264)</f>
        <v>0</v>
      </c>
      <c r="E264" s="127">
        <f ca="1">_xlfn.IFNA(VLOOKUP(A264,Worksheet!$B$1:$G$600,5,FALSE),E264)</f>
        <v>0</v>
      </c>
      <c r="F264" t="s">
        <v>1450</v>
      </c>
    </row>
    <row r="265" spans="1:6" hidden="1" x14ac:dyDescent="0.25">
      <c r="A265" s="1" t="s">
        <v>1406</v>
      </c>
      <c r="B265" s="188" t="s">
        <v>687</v>
      </c>
      <c r="C265" s="142">
        <f ca="1">SUM(C266:C269)</f>
        <v>0</v>
      </c>
      <c r="D265" s="142">
        <f t="shared" ref="D265:E265" ca="1" si="45">SUM(D266:D269)</f>
        <v>0</v>
      </c>
      <c r="E265" s="143">
        <f t="shared" ca="1" si="45"/>
        <v>0</v>
      </c>
      <c r="F265" t="s">
        <v>1450</v>
      </c>
    </row>
    <row r="266" spans="1:6" hidden="1" x14ac:dyDescent="0.25">
      <c r="A266" s="1" t="s">
        <v>1408</v>
      </c>
      <c r="B266" s="189" t="s">
        <v>696</v>
      </c>
      <c r="C266" s="124">
        <f ca="1">_xlfn.IFNA(VLOOKUP(A266,Worksheet!$B$1:$G$600,3,FALSE),C266)</f>
        <v>0</v>
      </c>
      <c r="D266" s="124">
        <f ca="1">_xlfn.IFNA(VLOOKUP(A266,Worksheet!$B$1:$G$600,4,FALSE),D266)</f>
        <v>0</v>
      </c>
      <c r="E266" s="125">
        <f ca="1">_xlfn.IFNA(VLOOKUP(A266,Worksheet!$B$1:$G$600,5,FALSE),E266)</f>
        <v>0</v>
      </c>
      <c r="F266" t="s">
        <v>1450</v>
      </c>
    </row>
    <row r="267" spans="1:6" hidden="1" x14ac:dyDescent="0.25">
      <c r="A267" s="1" t="s">
        <v>1410</v>
      </c>
      <c r="B267" s="189" t="s">
        <v>697</v>
      </c>
      <c r="C267" s="124">
        <f ca="1">_xlfn.IFNA(VLOOKUP(A267,Worksheet!$B$1:$G$600,3,FALSE),C267)</f>
        <v>0</v>
      </c>
      <c r="D267" s="124">
        <f ca="1">_xlfn.IFNA(VLOOKUP(A267,Worksheet!$B$1:$G$600,4,FALSE),D267)</f>
        <v>0</v>
      </c>
      <c r="E267" s="125">
        <f ca="1">_xlfn.IFNA(VLOOKUP(A267,Worksheet!$B$1:$G$600,5,FALSE),E267)</f>
        <v>0</v>
      </c>
      <c r="F267" t="s">
        <v>1450</v>
      </c>
    </row>
    <row r="268" spans="1:6" hidden="1" x14ac:dyDescent="0.25">
      <c r="A268" s="1" t="s">
        <v>1431</v>
      </c>
      <c r="B268" s="189" t="s">
        <v>698</v>
      </c>
      <c r="C268" s="124">
        <f ca="1">_xlfn.IFNA(VLOOKUP(A268,Worksheet!$B$1:$G$600,3,FALSE),C268)</f>
        <v>0</v>
      </c>
      <c r="D268" s="124">
        <f ca="1">_xlfn.IFNA(VLOOKUP(A268,Worksheet!$B$1:$G$600,4,FALSE),D268)</f>
        <v>0</v>
      </c>
      <c r="E268" s="125">
        <f ca="1">_xlfn.IFNA(VLOOKUP(A268,Worksheet!$B$1:$G$600,5,FALSE),E268)</f>
        <v>0</v>
      </c>
      <c r="F268" t="s">
        <v>1450</v>
      </c>
    </row>
    <row r="269" spans="1:6" hidden="1" x14ac:dyDescent="0.25">
      <c r="A269" s="1" t="s">
        <v>1432</v>
      </c>
      <c r="B269" s="188" t="s">
        <v>700</v>
      </c>
      <c r="C269" s="126">
        <f ca="1">_xlfn.IFNA(VLOOKUP(A269,Worksheet!$B$1:$G$600,3,FALSE),C269)</f>
        <v>0</v>
      </c>
      <c r="D269" s="126">
        <f ca="1">_xlfn.IFNA(VLOOKUP(A269,Worksheet!$B$1:$G$600,4,FALSE),D269)</f>
        <v>0</v>
      </c>
      <c r="E269" s="127">
        <f ca="1">_xlfn.IFNA(VLOOKUP(A269,Worksheet!$B$1:$G$600,5,FALSE),E269)</f>
        <v>0</v>
      </c>
      <c r="F269" t="s">
        <v>1450</v>
      </c>
    </row>
    <row r="270" spans="1:6" hidden="1" x14ac:dyDescent="0.25">
      <c r="A270" s="1" t="s">
        <v>1433</v>
      </c>
      <c r="B270" s="188" t="s">
        <v>691</v>
      </c>
      <c r="C270" s="142">
        <f ca="1">SUM(C271:C274)</f>
        <v>0</v>
      </c>
      <c r="D270" s="142">
        <f t="shared" ref="D270:E270" ca="1" si="46">SUM(D271:D274)</f>
        <v>0</v>
      </c>
      <c r="E270" s="143">
        <f t="shared" ca="1" si="46"/>
        <v>0</v>
      </c>
      <c r="F270" t="s">
        <v>1450</v>
      </c>
    </row>
    <row r="271" spans="1:6" hidden="1" x14ac:dyDescent="0.25">
      <c r="A271" s="1" t="s">
        <v>1434</v>
      </c>
      <c r="B271" s="189" t="s">
        <v>692</v>
      </c>
      <c r="C271" s="124">
        <f ca="1">_xlfn.IFNA(VLOOKUP(A271,Worksheet!$B$1:$G$600,3,FALSE),C271)</f>
        <v>0</v>
      </c>
      <c r="D271" s="124">
        <f ca="1">_xlfn.IFNA(VLOOKUP(A271,Worksheet!$B$1:$G$600,4,FALSE),D271)</f>
        <v>0</v>
      </c>
      <c r="E271" s="125">
        <f ca="1">_xlfn.IFNA(VLOOKUP(A271,Worksheet!$B$1:$G$600,5,FALSE),E271)</f>
        <v>0</v>
      </c>
      <c r="F271" t="s">
        <v>1450</v>
      </c>
    </row>
    <row r="272" spans="1:6" hidden="1" x14ac:dyDescent="0.25">
      <c r="A272" s="1" t="s">
        <v>1435</v>
      </c>
      <c r="B272" s="189" t="s">
        <v>693</v>
      </c>
      <c r="C272" s="124">
        <f ca="1">_xlfn.IFNA(VLOOKUP(A272,Worksheet!$B$1:$G$600,3,FALSE),C272)</f>
        <v>0</v>
      </c>
      <c r="D272" s="124">
        <f ca="1">_xlfn.IFNA(VLOOKUP(A272,Worksheet!$B$1:$G$600,4,FALSE),D272)</f>
        <v>0</v>
      </c>
      <c r="E272" s="125">
        <f ca="1">_xlfn.IFNA(VLOOKUP(A272,Worksheet!$B$1:$G$600,5,FALSE),E272)</f>
        <v>0</v>
      </c>
      <c r="F272" t="s">
        <v>1450</v>
      </c>
    </row>
    <row r="273" spans="1:6" hidden="1" x14ac:dyDescent="0.25">
      <c r="A273" s="1" t="s">
        <v>1436</v>
      </c>
      <c r="B273" s="189" t="s">
        <v>694</v>
      </c>
      <c r="C273" s="124">
        <f ca="1">_xlfn.IFNA(VLOOKUP(A273,Worksheet!$B$1:$G$600,3,FALSE),C273)</f>
        <v>0</v>
      </c>
      <c r="D273" s="124">
        <f ca="1">_xlfn.IFNA(VLOOKUP(A273,Worksheet!$B$1:$G$600,4,FALSE),D273)</f>
        <v>0</v>
      </c>
      <c r="E273" s="125">
        <f ca="1">_xlfn.IFNA(VLOOKUP(A273,Worksheet!$B$1:$G$600,5,FALSE),E273)</f>
        <v>0</v>
      </c>
      <c r="F273" t="s">
        <v>1450</v>
      </c>
    </row>
    <row r="274" spans="1:6" hidden="1" x14ac:dyDescent="0.25">
      <c r="A274" s="1" t="s">
        <v>1437</v>
      </c>
      <c r="B274" s="189" t="s">
        <v>695</v>
      </c>
      <c r="C274" s="128">
        <f ca="1">_xlfn.IFNA(VLOOKUP(A274,Worksheet!$B$1:$G$600,3,FALSE),C274)</f>
        <v>0</v>
      </c>
      <c r="D274" s="128">
        <f ca="1">_xlfn.IFNA(VLOOKUP(A274,Worksheet!$B$1:$G$600,4,FALSE),D274)</f>
        <v>0</v>
      </c>
      <c r="E274" s="129">
        <f ca="1">_xlfn.IFNA(VLOOKUP(A274,Worksheet!$B$1:$G$600,5,FALSE),E274)</f>
        <v>0</v>
      </c>
      <c r="F274" t="s">
        <v>1450</v>
      </c>
    </row>
    <row r="275" spans="1:6" hidden="1" x14ac:dyDescent="0.25">
      <c r="A275" s="1" t="s">
        <v>1438</v>
      </c>
      <c r="B275" s="189" t="s">
        <v>688</v>
      </c>
      <c r="C275" s="128">
        <f ca="1">_xlfn.IFNA(VLOOKUP(A275,Worksheet!$B$1:$G$600,3,FALSE),C275)</f>
        <v>0</v>
      </c>
      <c r="D275" s="128">
        <f ca="1">_xlfn.IFNA(VLOOKUP(A275,Worksheet!$B$1:$G$600,4,FALSE),D275)</f>
        <v>0</v>
      </c>
      <c r="E275" s="129">
        <f ca="1">_xlfn.IFNA(VLOOKUP(A275,Worksheet!$B$1:$G$600,5,FALSE),E275)</f>
        <v>0</v>
      </c>
      <c r="F275" t="s">
        <v>1450</v>
      </c>
    </row>
    <row r="276" spans="1:6" hidden="1" x14ac:dyDescent="0.25">
      <c r="A276" s="39" t="s">
        <v>1438</v>
      </c>
      <c r="B276" s="188" t="s">
        <v>690</v>
      </c>
      <c r="C276" s="130">
        <f ca="1">_xlfn.IFNA(VLOOKUP(A276,Worksheet!$B$1:$G$600,3,FALSE),C276)</f>
        <v>0</v>
      </c>
      <c r="D276" s="130">
        <f ca="1">_xlfn.IFNA(VLOOKUP(A276,Worksheet!$B$1:$G$600,4,FALSE),D276)</f>
        <v>0</v>
      </c>
      <c r="E276" s="131">
        <f ca="1">_xlfn.IFNA(VLOOKUP(A276,Worksheet!$B$1:$G$600,5,FALSE),E276)</f>
        <v>0</v>
      </c>
      <c r="F276" t="s">
        <v>1450</v>
      </c>
    </row>
    <row r="277" spans="1:6" hidden="1" x14ac:dyDescent="0.25">
      <c r="A277" s="39" t="s">
        <v>270</v>
      </c>
      <c r="B277" s="187" t="s">
        <v>15</v>
      </c>
      <c r="C277" s="142">
        <f ca="1">SUM(C278,C311,C316,C321)</f>
        <v>0</v>
      </c>
      <c r="D277" s="142">
        <f t="shared" ref="D277:E277" ca="1" si="47">SUM(D278,D311,D316,D321)</f>
        <v>0</v>
      </c>
      <c r="E277" s="143">
        <f t="shared" ca="1" si="47"/>
        <v>0</v>
      </c>
      <c r="F277" t="s">
        <v>1450</v>
      </c>
    </row>
    <row r="278" spans="1:6" hidden="1" x14ac:dyDescent="0.25">
      <c r="A278" s="39" t="s">
        <v>271</v>
      </c>
      <c r="B278" s="187" t="s">
        <v>689</v>
      </c>
      <c r="C278" s="142">
        <f ca="1">SUM(C279,C287,C295,C303)/4</f>
        <v>0</v>
      </c>
      <c r="D278" s="142">
        <f t="shared" ref="D278:E278" ca="1" si="48">SUM(D279,D287,D295,D303)/4</f>
        <v>0</v>
      </c>
      <c r="E278" s="143">
        <f t="shared" ca="1" si="48"/>
        <v>0</v>
      </c>
      <c r="F278" t="s">
        <v>1450</v>
      </c>
    </row>
    <row r="279" spans="1:6" hidden="1" x14ac:dyDescent="0.25">
      <c r="A279" s="39" t="s">
        <v>1058</v>
      </c>
      <c r="B279" s="187" t="s">
        <v>113</v>
      </c>
      <c r="C279" s="55">
        <f ca="1">SUM(C280:C286)</f>
        <v>0</v>
      </c>
      <c r="D279" s="55">
        <f t="shared" ref="D279:E279" ca="1" si="49">SUM(D280:D286)</f>
        <v>0</v>
      </c>
      <c r="E279" s="56">
        <f t="shared" ca="1" si="49"/>
        <v>0</v>
      </c>
      <c r="F279" t="s">
        <v>1450</v>
      </c>
    </row>
    <row r="280" spans="1:6" ht="17.25" hidden="1" customHeight="1" x14ac:dyDescent="0.25">
      <c r="A280" s="39" t="s">
        <v>1059</v>
      </c>
      <c r="B280" s="190" t="s">
        <v>16</v>
      </c>
      <c r="C280" s="124">
        <f ca="1">_xlfn.IFNA(VLOOKUP(A280,Worksheet!$B$1:$G$600,3,FALSE),C280)</f>
        <v>0</v>
      </c>
      <c r="D280" s="124">
        <f ca="1">_xlfn.IFNA(VLOOKUP(A280,Worksheet!$B$1:$G$600,4,FALSE),D280)</f>
        <v>0</v>
      </c>
      <c r="E280" s="125">
        <f ca="1">_xlfn.IFNA(VLOOKUP(A280,Worksheet!$B$1:$G$600,5,FALSE),E280)</f>
        <v>0</v>
      </c>
      <c r="F280" t="s">
        <v>1450</v>
      </c>
    </row>
    <row r="281" spans="1:6" hidden="1" x14ac:dyDescent="0.25">
      <c r="A281" s="39" t="s">
        <v>1060</v>
      </c>
      <c r="B281" s="190" t="s">
        <v>17</v>
      </c>
      <c r="C281" s="124">
        <f ca="1">_xlfn.IFNA(VLOOKUP(A281,Worksheet!$B$1:$G$600,3,FALSE),C281)</f>
        <v>0</v>
      </c>
      <c r="D281" s="124">
        <f ca="1">_xlfn.IFNA(VLOOKUP(A281,Worksheet!$B$1:$G$600,4,FALSE),D281)</f>
        <v>0</v>
      </c>
      <c r="E281" s="125">
        <f ca="1">_xlfn.IFNA(VLOOKUP(A281,Worksheet!$B$1:$G$600,5,FALSE),E281)</f>
        <v>0</v>
      </c>
      <c r="F281" t="s">
        <v>1450</v>
      </c>
    </row>
    <row r="282" spans="1:6" hidden="1" x14ac:dyDescent="0.25">
      <c r="A282" s="39" t="s">
        <v>1061</v>
      </c>
      <c r="B282" s="194" t="s">
        <v>18</v>
      </c>
      <c r="C282" s="124">
        <f ca="1">_xlfn.IFNA(VLOOKUP(A282,Worksheet!$B$1:$G$600,3,FALSE),C282)</f>
        <v>0</v>
      </c>
      <c r="D282" s="124">
        <f ca="1">_xlfn.IFNA(VLOOKUP(A282,Worksheet!$B$1:$G$600,4,FALSE),D282)</f>
        <v>0</v>
      </c>
      <c r="E282" s="125">
        <f ca="1">_xlfn.IFNA(VLOOKUP(A282,Worksheet!$B$1:$G$600,5,FALSE),E282)</f>
        <v>0</v>
      </c>
      <c r="F282" t="s">
        <v>1450</v>
      </c>
    </row>
    <row r="283" spans="1:6" hidden="1" x14ac:dyDescent="0.25">
      <c r="A283" s="39" t="s">
        <v>1062</v>
      </c>
      <c r="B283" s="189" t="s">
        <v>19</v>
      </c>
      <c r="C283" s="124">
        <f ca="1">_xlfn.IFNA(VLOOKUP(A283,Worksheet!$B$1:$G$600,3,FALSE),C283)</f>
        <v>0</v>
      </c>
      <c r="D283" s="124">
        <f ca="1">_xlfn.IFNA(VLOOKUP(A283,Worksheet!$B$1:$G$600,4,FALSE),D283)</f>
        <v>0</v>
      </c>
      <c r="E283" s="125">
        <f ca="1">_xlfn.IFNA(VLOOKUP(A283,Worksheet!$B$1:$G$600,5,FALSE),E283)</f>
        <v>0</v>
      </c>
      <c r="F283" t="s">
        <v>1450</v>
      </c>
    </row>
    <row r="284" spans="1:6" hidden="1" x14ac:dyDescent="0.25">
      <c r="A284" s="39" t="s">
        <v>1062</v>
      </c>
      <c r="B284" s="189" t="s">
        <v>20</v>
      </c>
      <c r="C284" s="124">
        <f ca="1">_xlfn.IFNA(VLOOKUP(A284,Worksheet!$B$1:$G$600,3,FALSE),C284)</f>
        <v>0</v>
      </c>
      <c r="D284" s="124">
        <f ca="1">_xlfn.IFNA(VLOOKUP(A284,Worksheet!$B$1:$G$600,4,FALSE),D284)</f>
        <v>0</v>
      </c>
      <c r="E284" s="125">
        <f ca="1">_xlfn.IFNA(VLOOKUP(A284,Worksheet!$B$1:$G$600,5,FALSE),E284)</f>
        <v>0</v>
      </c>
      <c r="F284" t="s">
        <v>1450</v>
      </c>
    </row>
    <row r="285" spans="1:6" hidden="1" x14ac:dyDescent="0.25">
      <c r="A285" s="39" t="s">
        <v>1063</v>
      </c>
      <c r="B285" s="189" t="s">
        <v>21</v>
      </c>
      <c r="C285" s="124">
        <f ca="1">_xlfn.IFNA(VLOOKUP(A285,Worksheet!$B$1:$G$600,3,FALSE),C285)</f>
        <v>0</v>
      </c>
      <c r="D285" s="124">
        <f ca="1">_xlfn.IFNA(VLOOKUP(A285,Worksheet!$B$1:$G$600,4,FALSE),D285)</f>
        <v>0</v>
      </c>
      <c r="E285" s="125">
        <f ca="1">_xlfn.IFNA(VLOOKUP(A285,Worksheet!$B$1:$G$600,5,FALSE),E285)</f>
        <v>0</v>
      </c>
      <c r="F285" t="s">
        <v>1450</v>
      </c>
    </row>
    <row r="286" spans="1:6" hidden="1" x14ac:dyDescent="0.25">
      <c r="A286" s="39" t="s">
        <v>1064</v>
      </c>
      <c r="B286" s="188" t="s">
        <v>22</v>
      </c>
      <c r="C286" s="126">
        <f ca="1">_xlfn.IFNA(VLOOKUP(A286,Worksheet!$B$1:$G$600,3,FALSE),C286)</f>
        <v>0</v>
      </c>
      <c r="D286" s="126">
        <f ca="1">_xlfn.IFNA(VLOOKUP(A286,Worksheet!$B$1:$G$600,4,FALSE),D286)</f>
        <v>0</v>
      </c>
      <c r="E286" s="127">
        <f ca="1">_xlfn.IFNA(VLOOKUP(A286,Worksheet!$B$1:$G$600,5,FALSE),E286)</f>
        <v>0</v>
      </c>
      <c r="F286" t="s">
        <v>1450</v>
      </c>
    </row>
    <row r="287" spans="1:6" hidden="1" x14ac:dyDescent="0.25">
      <c r="A287" s="39" t="s">
        <v>1065</v>
      </c>
      <c r="B287" s="187" t="s">
        <v>111</v>
      </c>
      <c r="C287" s="55">
        <f ca="1">SUM(C288:C294)</f>
        <v>0</v>
      </c>
      <c r="D287" s="55">
        <f ca="1">SUM(D288:D294)</f>
        <v>0</v>
      </c>
      <c r="E287" s="56">
        <f ca="1">SUM(E288:E294)</f>
        <v>0</v>
      </c>
      <c r="F287" t="s">
        <v>1450</v>
      </c>
    </row>
    <row r="288" spans="1:6" ht="12.75" hidden="1" customHeight="1" x14ac:dyDescent="0.25">
      <c r="A288" s="39" t="s">
        <v>1066</v>
      </c>
      <c r="B288" s="190" t="s">
        <v>16</v>
      </c>
      <c r="C288" s="124">
        <f ca="1">_xlfn.IFNA(VLOOKUP(A288,Worksheet!$B$1:$G$600,3,FALSE),C288)</f>
        <v>0</v>
      </c>
      <c r="D288" s="124">
        <f ca="1">_xlfn.IFNA(VLOOKUP(A288,Worksheet!$B$1:$G$600,4,FALSE),D288)</f>
        <v>0</v>
      </c>
      <c r="E288" s="125">
        <f ca="1">_xlfn.IFNA(VLOOKUP(A288,Worksheet!$B$1:$G$600,5,FALSE),E288)</f>
        <v>0</v>
      </c>
      <c r="F288" t="s">
        <v>1450</v>
      </c>
    </row>
    <row r="289" spans="1:6" hidden="1" x14ac:dyDescent="0.25">
      <c r="A289" s="39" t="s">
        <v>1067</v>
      </c>
      <c r="B289" s="190" t="s">
        <v>17</v>
      </c>
      <c r="C289" s="124">
        <f ca="1">_xlfn.IFNA(VLOOKUP(A289,Worksheet!$B$1:$G$600,3,FALSE),C289)</f>
        <v>0</v>
      </c>
      <c r="D289" s="124">
        <f ca="1">_xlfn.IFNA(VLOOKUP(A289,Worksheet!$B$1:$G$600,4,FALSE),D289)</f>
        <v>0</v>
      </c>
      <c r="E289" s="125">
        <f ca="1">_xlfn.IFNA(VLOOKUP(A289,Worksheet!$B$1:$G$600,5,FALSE),E289)</f>
        <v>0</v>
      </c>
      <c r="F289" t="s">
        <v>1450</v>
      </c>
    </row>
    <row r="290" spans="1:6" hidden="1" x14ac:dyDescent="0.25">
      <c r="A290" s="39" t="s">
        <v>1068</v>
      </c>
      <c r="B290" s="194" t="s">
        <v>18</v>
      </c>
      <c r="C290" s="124">
        <f ca="1">_xlfn.IFNA(VLOOKUP(A290,Worksheet!$B$1:$G$600,3,FALSE),C290)</f>
        <v>0</v>
      </c>
      <c r="D290" s="124">
        <f ca="1">_xlfn.IFNA(VLOOKUP(A290,Worksheet!$B$1:$G$600,4,FALSE),D290)</f>
        <v>0</v>
      </c>
      <c r="E290" s="125">
        <f ca="1">_xlfn.IFNA(VLOOKUP(A290,Worksheet!$B$1:$G$600,5,FALSE),E290)</f>
        <v>0</v>
      </c>
      <c r="F290" t="s">
        <v>1450</v>
      </c>
    </row>
    <row r="291" spans="1:6" hidden="1" x14ac:dyDescent="0.25">
      <c r="A291" s="39" t="s">
        <v>1069</v>
      </c>
      <c r="B291" s="189" t="s">
        <v>19</v>
      </c>
      <c r="C291" s="124">
        <f ca="1">_xlfn.IFNA(VLOOKUP(A291,Worksheet!$B$1:$G$600,3,FALSE),C291)</f>
        <v>0</v>
      </c>
      <c r="D291" s="124">
        <f ca="1">_xlfn.IFNA(VLOOKUP(A291,Worksheet!$B$1:$G$600,4,FALSE),D291)</f>
        <v>0</v>
      </c>
      <c r="E291" s="125">
        <f ca="1">_xlfn.IFNA(VLOOKUP(A291,Worksheet!$B$1:$G$600,5,FALSE),E291)</f>
        <v>0</v>
      </c>
      <c r="F291" t="s">
        <v>1450</v>
      </c>
    </row>
    <row r="292" spans="1:6" hidden="1" x14ac:dyDescent="0.25">
      <c r="A292" s="39" t="s">
        <v>1070</v>
      </c>
      <c r="B292" s="189" t="s">
        <v>20</v>
      </c>
      <c r="C292" s="124">
        <f ca="1">_xlfn.IFNA(VLOOKUP(A292,Worksheet!$B$1:$G$600,3,FALSE),C292)</f>
        <v>0</v>
      </c>
      <c r="D292" s="124">
        <f ca="1">_xlfn.IFNA(VLOOKUP(A292,Worksheet!$B$1:$G$600,4,FALSE),D292)</f>
        <v>0</v>
      </c>
      <c r="E292" s="125">
        <f ca="1">_xlfn.IFNA(VLOOKUP(A292,Worksheet!$B$1:$G$600,5,FALSE),E292)</f>
        <v>0</v>
      </c>
      <c r="F292" t="s">
        <v>1450</v>
      </c>
    </row>
    <row r="293" spans="1:6" hidden="1" x14ac:dyDescent="0.25">
      <c r="A293" s="39" t="s">
        <v>1071</v>
      </c>
      <c r="B293" s="189" t="s">
        <v>21</v>
      </c>
      <c r="C293" s="124">
        <f ca="1">_xlfn.IFNA(VLOOKUP(A293,Worksheet!$B$1:$G$600,3,FALSE),C293)</f>
        <v>0</v>
      </c>
      <c r="D293" s="124">
        <f ca="1">_xlfn.IFNA(VLOOKUP(A293,Worksheet!$B$1:$G$600,4,FALSE),D293)</f>
        <v>0</v>
      </c>
      <c r="E293" s="125">
        <f ca="1">_xlfn.IFNA(VLOOKUP(A293,Worksheet!$B$1:$G$600,5,FALSE),E293)</f>
        <v>0</v>
      </c>
      <c r="F293" t="s">
        <v>1450</v>
      </c>
    </row>
    <row r="294" spans="1:6" hidden="1" x14ac:dyDescent="0.25">
      <c r="A294" s="39" t="s">
        <v>1072</v>
      </c>
      <c r="B294" s="188" t="s">
        <v>22</v>
      </c>
      <c r="C294" s="126">
        <f ca="1">_xlfn.IFNA(VLOOKUP(A294,Worksheet!$B$1:$G$600,3,FALSE),C294)</f>
        <v>0</v>
      </c>
      <c r="D294" s="126">
        <f ca="1">_xlfn.IFNA(VLOOKUP(A294,Worksheet!$B$1:$G$600,4,FALSE),D294)</f>
        <v>0</v>
      </c>
      <c r="E294" s="127">
        <f ca="1">_xlfn.IFNA(VLOOKUP(A294,Worksheet!$B$1:$G$600,5,FALSE),E294)</f>
        <v>0</v>
      </c>
      <c r="F294" t="s">
        <v>1450</v>
      </c>
    </row>
    <row r="295" spans="1:6" hidden="1" x14ac:dyDescent="0.25">
      <c r="A295" s="39" t="s">
        <v>1073</v>
      </c>
      <c r="B295" s="187" t="s">
        <v>114</v>
      </c>
      <c r="C295" s="55">
        <f ca="1">SUM(C296:C302)</f>
        <v>0</v>
      </c>
      <c r="D295" s="55">
        <f t="shared" ref="D295:E295" ca="1" si="50">SUM(D296:D302)</f>
        <v>0</v>
      </c>
      <c r="E295" s="56">
        <f t="shared" ca="1" si="50"/>
        <v>0</v>
      </c>
      <c r="F295" t="s">
        <v>1450</v>
      </c>
    </row>
    <row r="296" spans="1:6" ht="17.25" hidden="1" customHeight="1" x14ac:dyDescent="0.25">
      <c r="A296" s="39" t="s">
        <v>1074</v>
      </c>
      <c r="B296" s="190" t="s">
        <v>16</v>
      </c>
      <c r="C296" s="124">
        <f ca="1">_xlfn.IFNA(VLOOKUP(A296,Worksheet!$B$1:$G$600,3,FALSE),C296)</f>
        <v>0</v>
      </c>
      <c r="D296" s="124">
        <f ca="1">_xlfn.IFNA(VLOOKUP(A296,Worksheet!$B$1:$G$600,4,FALSE),D296)</f>
        <v>0</v>
      </c>
      <c r="E296" s="125">
        <f ca="1">_xlfn.IFNA(VLOOKUP(A296,Worksheet!$B$1:$G$600,5,FALSE),E296)</f>
        <v>0</v>
      </c>
      <c r="F296" t="s">
        <v>1450</v>
      </c>
    </row>
    <row r="297" spans="1:6" hidden="1" x14ac:dyDescent="0.25">
      <c r="A297" s="39" t="s">
        <v>1075</v>
      </c>
      <c r="B297" s="190" t="s">
        <v>17</v>
      </c>
      <c r="C297" s="124">
        <f ca="1">_xlfn.IFNA(VLOOKUP(A297,Worksheet!$B$1:$G$600,3,FALSE),C297)</f>
        <v>0</v>
      </c>
      <c r="D297" s="124">
        <f ca="1">_xlfn.IFNA(VLOOKUP(A297,Worksheet!$B$1:$G$600,4,FALSE),D297)</f>
        <v>0</v>
      </c>
      <c r="E297" s="125">
        <f ca="1">_xlfn.IFNA(VLOOKUP(A297,Worksheet!$B$1:$G$600,5,FALSE),E297)</f>
        <v>0</v>
      </c>
      <c r="F297" t="s">
        <v>1450</v>
      </c>
    </row>
    <row r="298" spans="1:6" hidden="1" x14ac:dyDescent="0.25">
      <c r="A298" s="39" t="s">
        <v>1076</v>
      </c>
      <c r="B298" s="194" t="s">
        <v>18</v>
      </c>
      <c r="C298" s="124">
        <f ca="1">_xlfn.IFNA(VLOOKUP(A298,Worksheet!$B$1:$G$600,3,FALSE),C298)</f>
        <v>0</v>
      </c>
      <c r="D298" s="124">
        <f ca="1">_xlfn.IFNA(VLOOKUP(A298,Worksheet!$B$1:$G$600,4,FALSE),D298)</f>
        <v>0</v>
      </c>
      <c r="E298" s="125">
        <f ca="1">_xlfn.IFNA(VLOOKUP(A298,Worksheet!$B$1:$G$600,5,FALSE),E298)</f>
        <v>0</v>
      </c>
      <c r="F298" t="s">
        <v>1450</v>
      </c>
    </row>
    <row r="299" spans="1:6" hidden="1" x14ac:dyDescent="0.25">
      <c r="A299" s="39" t="s">
        <v>1077</v>
      </c>
      <c r="B299" s="189" t="s">
        <v>19</v>
      </c>
      <c r="C299" s="124">
        <f ca="1">_xlfn.IFNA(VLOOKUP(A299,Worksheet!$B$1:$G$600,3,FALSE),C299)</f>
        <v>0</v>
      </c>
      <c r="D299" s="124">
        <f ca="1">_xlfn.IFNA(VLOOKUP(A299,Worksheet!$B$1:$G$600,4,FALSE),D299)</f>
        <v>0</v>
      </c>
      <c r="E299" s="125">
        <f ca="1">_xlfn.IFNA(VLOOKUP(A299,Worksheet!$B$1:$G$600,5,FALSE),E299)</f>
        <v>0</v>
      </c>
      <c r="F299" t="s">
        <v>1450</v>
      </c>
    </row>
    <row r="300" spans="1:6" hidden="1" x14ac:dyDescent="0.25">
      <c r="A300" s="39" t="s">
        <v>1078</v>
      </c>
      <c r="B300" s="189" t="s">
        <v>20</v>
      </c>
      <c r="C300" s="124">
        <f ca="1">_xlfn.IFNA(VLOOKUP(A300,Worksheet!$B$1:$G$600,3,FALSE),C300)</f>
        <v>0</v>
      </c>
      <c r="D300" s="124">
        <f ca="1">_xlfn.IFNA(VLOOKUP(A300,Worksheet!$B$1:$G$600,4,FALSE),D300)</f>
        <v>0</v>
      </c>
      <c r="E300" s="125">
        <f ca="1">_xlfn.IFNA(VLOOKUP(A300,Worksheet!$B$1:$G$600,5,FALSE),E300)</f>
        <v>0</v>
      </c>
      <c r="F300" t="s">
        <v>1450</v>
      </c>
    </row>
    <row r="301" spans="1:6" hidden="1" x14ac:dyDescent="0.25">
      <c r="A301" s="39" t="s">
        <v>1079</v>
      </c>
      <c r="B301" s="189" t="s">
        <v>21</v>
      </c>
      <c r="C301" s="124">
        <f ca="1">_xlfn.IFNA(VLOOKUP(A301,Worksheet!$B$1:$G$600,3,FALSE),C301)</f>
        <v>0</v>
      </c>
      <c r="D301" s="124">
        <f ca="1">_xlfn.IFNA(VLOOKUP(A301,Worksheet!$B$1:$G$600,4,FALSE),D301)</f>
        <v>0</v>
      </c>
      <c r="E301" s="125">
        <f ca="1">_xlfn.IFNA(VLOOKUP(A301,Worksheet!$B$1:$G$600,5,FALSE),E301)</f>
        <v>0</v>
      </c>
      <c r="F301" t="s">
        <v>1450</v>
      </c>
    </row>
    <row r="302" spans="1:6" hidden="1" x14ac:dyDescent="0.25">
      <c r="A302" s="39" t="s">
        <v>1080</v>
      </c>
      <c r="B302" s="188" t="s">
        <v>22</v>
      </c>
      <c r="C302" s="126">
        <f ca="1">_xlfn.IFNA(VLOOKUP(A302,Worksheet!$B$1:$G$600,3,FALSE),C302)</f>
        <v>0</v>
      </c>
      <c r="D302" s="126">
        <f ca="1">_xlfn.IFNA(VLOOKUP(A302,Worksheet!$B$1:$G$600,4,FALSE),D302)</f>
        <v>0</v>
      </c>
      <c r="E302" s="127">
        <f ca="1">_xlfn.IFNA(VLOOKUP(A302,Worksheet!$B$1:$G$600,5,FALSE),E302)</f>
        <v>0</v>
      </c>
      <c r="F302" t="s">
        <v>1450</v>
      </c>
    </row>
    <row r="303" spans="1:6" ht="14.25" hidden="1" customHeight="1" x14ac:dyDescent="0.25">
      <c r="A303" s="39" t="s">
        <v>1081</v>
      </c>
      <c r="B303" s="187" t="s">
        <v>116</v>
      </c>
      <c r="C303" s="55">
        <f ca="1">SUM(C304:C310)</f>
        <v>0</v>
      </c>
      <c r="D303" s="55">
        <f t="shared" ref="D303:E303" ca="1" si="51">SUM(D304:D310)</f>
        <v>0</v>
      </c>
      <c r="E303" s="56">
        <f t="shared" ca="1" si="51"/>
        <v>0</v>
      </c>
      <c r="F303" t="s">
        <v>1450</v>
      </c>
    </row>
    <row r="304" spans="1:6" ht="17.25" hidden="1" customHeight="1" x14ac:dyDescent="0.25">
      <c r="A304" s="39" t="s">
        <v>1082</v>
      </c>
      <c r="B304" s="190" t="s">
        <v>16</v>
      </c>
      <c r="C304" s="124">
        <f ca="1">_xlfn.IFNA(VLOOKUP(A304,Worksheet!$B$1:$G$600,3,FALSE),C304)</f>
        <v>0</v>
      </c>
      <c r="D304" s="124">
        <f ca="1">_xlfn.IFNA(VLOOKUP(A304,Worksheet!$B$1:$G$600,4,FALSE),D304)</f>
        <v>0</v>
      </c>
      <c r="E304" s="125">
        <f ca="1">_xlfn.IFNA(VLOOKUP(A304,Worksheet!$B$1:$G$600,5,FALSE),E304)</f>
        <v>0</v>
      </c>
      <c r="F304" t="s">
        <v>1450</v>
      </c>
    </row>
    <row r="305" spans="1:6" hidden="1" x14ac:dyDescent="0.25">
      <c r="A305" s="39" t="s">
        <v>1083</v>
      </c>
      <c r="B305" s="190" t="s">
        <v>17</v>
      </c>
      <c r="C305" s="124">
        <f ca="1">_xlfn.IFNA(VLOOKUP(A305,Worksheet!$B$1:$G$600,3,FALSE),C305)</f>
        <v>0</v>
      </c>
      <c r="D305" s="124">
        <f ca="1">_xlfn.IFNA(VLOOKUP(A305,Worksheet!$B$1:$G$600,4,FALSE),D305)</f>
        <v>0</v>
      </c>
      <c r="E305" s="125">
        <f ca="1">_xlfn.IFNA(VLOOKUP(A305,Worksheet!$B$1:$G$600,5,FALSE),E305)</f>
        <v>0</v>
      </c>
      <c r="F305" t="s">
        <v>1450</v>
      </c>
    </row>
    <row r="306" spans="1:6" hidden="1" x14ac:dyDescent="0.25">
      <c r="A306" s="39" t="s">
        <v>1084</v>
      </c>
      <c r="B306" s="194" t="s">
        <v>18</v>
      </c>
      <c r="C306" s="124">
        <f ca="1">_xlfn.IFNA(VLOOKUP(A306,Worksheet!$B$1:$G$600,3,FALSE),C306)</f>
        <v>0</v>
      </c>
      <c r="D306" s="124">
        <f ca="1">_xlfn.IFNA(VLOOKUP(A306,Worksheet!$B$1:$G$600,4,FALSE),D306)</f>
        <v>0</v>
      </c>
      <c r="E306" s="125">
        <f ca="1">_xlfn.IFNA(VLOOKUP(A306,Worksheet!$B$1:$G$600,5,FALSE),E306)</f>
        <v>0</v>
      </c>
      <c r="F306" t="s">
        <v>1450</v>
      </c>
    </row>
    <row r="307" spans="1:6" hidden="1" x14ac:dyDescent="0.25">
      <c r="A307" s="39" t="s">
        <v>1085</v>
      </c>
      <c r="B307" s="189" t="s">
        <v>19</v>
      </c>
      <c r="C307" s="124">
        <f ca="1">_xlfn.IFNA(VLOOKUP(A307,Worksheet!$B$1:$G$600,3,FALSE),C307)</f>
        <v>0</v>
      </c>
      <c r="D307" s="124">
        <f ca="1">_xlfn.IFNA(VLOOKUP(A307,Worksheet!$B$1:$G$600,4,FALSE),D307)</f>
        <v>0</v>
      </c>
      <c r="E307" s="125">
        <f ca="1">_xlfn.IFNA(VLOOKUP(A307,Worksheet!$B$1:$G$600,5,FALSE),E307)</f>
        <v>0</v>
      </c>
      <c r="F307" t="s">
        <v>1450</v>
      </c>
    </row>
    <row r="308" spans="1:6" hidden="1" x14ac:dyDescent="0.25">
      <c r="A308" s="39" t="s">
        <v>1086</v>
      </c>
      <c r="B308" s="189" t="s">
        <v>20</v>
      </c>
      <c r="C308" s="124">
        <f ca="1">_xlfn.IFNA(VLOOKUP(A308,Worksheet!$B$1:$G$600,3,FALSE),C308)</f>
        <v>0</v>
      </c>
      <c r="D308" s="124">
        <f ca="1">_xlfn.IFNA(VLOOKUP(A308,Worksheet!$B$1:$G$600,4,FALSE),D308)</f>
        <v>0</v>
      </c>
      <c r="E308" s="125">
        <f ca="1">_xlfn.IFNA(VLOOKUP(A308,Worksheet!$B$1:$G$600,5,FALSE),E308)</f>
        <v>0</v>
      </c>
      <c r="F308" t="s">
        <v>1450</v>
      </c>
    </row>
    <row r="309" spans="1:6" hidden="1" x14ac:dyDescent="0.25">
      <c r="A309" s="39" t="s">
        <v>1084</v>
      </c>
      <c r="B309" s="189" t="s">
        <v>21</v>
      </c>
      <c r="C309" s="124">
        <f ca="1">_xlfn.IFNA(VLOOKUP(A309,Worksheet!$B$1:$G$600,3,FALSE),C309)</f>
        <v>0</v>
      </c>
      <c r="D309" s="124">
        <f ca="1">_xlfn.IFNA(VLOOKUP(A309,Worksheet!$B$1:$G$600,4,FALSE),D309)</f>
        <v>0</v>
      </c>
      <c r="E309" s="125">
        <f ca="1">_xlfn.IFNA(VLOOKUP(A309,Worksheet!$B$1:$G$600,5,FALSE),E309)</f>
        <v>0</v>
      </c>
      <c r="F309" t="s">
        <v>1450</v>
      </c>
    </row>
    <row r="310" spans="1:6" hidden="1" x14ac:dyDescent="0.25">
      <c r="A310" s="39" t="s">
        <v>1085</v>
      </c>
      <c r="B310" s="188" t="s">
        <v>22</v>
      </c>
      <c r="C310" s="126">
        <f ca="1">_xlfn.IFNA(VLOOKUP(A310,Worksheet!$B$1:$G$600,3,FALSE),C310)</f>
        <v>0</v>
      </c>
      <c r="D310" s="126">
        <f ca="1">_xlfn.IFNA(VLOOKUP(A310,Worksheet!$B$1:$G$600,4,FALSE),D310)</f>
        <v>0</v>
      </c>
      <c r="E310" s="127">
        <f ca="1">_xlfn.IFNA(VLOOKUP(A310,Worksheet!$B$1:$G$600,5,FALSE),E310)</f>
        <v>0</v>
      </c>
      <c r="F310" t="s">
        <v>1450</v>
      </c>
    </row>
    <row r="311" spans="1:6" hidden="1" x14ac:dyDescent="0.25">
      <c r="A311" s="39" t="s">
        <v>1086</v>
      </c>
      <c r="B311" s="188" t="s">
        <v>687</v>
      </c>
      <c r="C311" s="55">
        <f ca="1">SUM(C312:C315)</f>
        <v>0</v>
      </c>
      <c r="D311" s="55">
        <f ca="1">SUM(D312:D315)</f>
        <v>0</v>
      </c>
      <c r="E311" s="56">
        <f ca="1">SUM(E312:E315)</f>
        <v>0</v>
      </c>
      <c r="F311" t="s">
        <v>1450</v>
      </c>
    </row>
    <row r="312" spans="1:6" hidden="1" x14ac:dyDescent="0.25">
      <c r="A312" s="39" t="s">
        <v>1087</v>
      </c>
      <c r="B312" s="189" t="s">
        <v>697</v>
      </c>
      <c r="C312" s="124">
        <f ca="1">_xlfn.IFNA(VLOOKUP(A312,Worksheet!$B$1:$G$600,3,FALSE),C312)</f>
        <v>0</v>
      </c>
      <c r="D312" s="124">
        <f ca="1">_xlfn.IFNA(VLOOKUP(A312,Worksheet!$B$1:$G$600,4,FALSE),D312)</f>
        <v>0</v>
      </c>
      <c r="E312" s="125">
        <f ca="1">_xlfn.IFNA(VLOOKUP(A312,Worksheet!$B$1:$G$600,5,FALSE),E312)</f>
        <v>0</v>
      </c>
      <c r="F312" t="s">
        <v>1450</v>
      </c>
    </row>
    <row r="313" spans="1:6" hidden="1" x14ac:dyDescent="0.25">
      <c r="A313" s="39" t="s">
        <v>1088</v>
      </c>
      <c r="B313" s="189" t="s">
        <v>698</v>
      </c>
      <c r="C313" s="124">
        <f ca="1">_xlfn.IFNA(VLOOKUP(A313,Worksheet!$B$1:$G$600,3,FALSE),C313)</f>
        <v>0</v>
      </c>
      <c r="D313" s="124">
        <f ca="1">_xlfn.IFNA(VLOOKUP(A313,Worksheet!$B$1:$G$600,4,FALSE),D313)</f>
        <v>0</v>
      </c>
      <c r="E313" s="125">
        <f ca="1">_xlfn.IFNA(VLOOKUP(A313,Worksheet!$B$1:$G$600,5,FALSE),E313)</f>
        <v>0</v>
      </c>
      <c r="F313" t="s">
        <v>1450</v>
      </c>
    </row>
    <row r="314" spans="1:6" hidden="1" x14ac:dyDescent="0.25">
      <c r="A314" s="39" t="s">
        <v>1089</v>
      </c>
      <c r="B314" s="189" t="s">
        <v>699</v>
      </c>
      <c r="C314" s="124">
        <f ca="1">_xlfn.IFNA(VLOOKUP(A314,Worksheet!$B$1:$G$600,3,FALSE),C314)</f>
        <v>0</v>
      </c>
      <c r="D314" s="124">
        <f ca="1">_xlfn.IFNA(VLOOKUP(A314,Worksheet!$B$1:$G$600,4,FALSE),D314)</f>
        <v>0</v>
      </c>
      <c r="E314" s="125">
        <f ca="1">_xlfn.IFNA(VLOOKUP(A314,Worksheet!$B$1:$G$600,5,FALSE),E314)</f>
        <v>0</v>
      </c>
      <c r="F314" t="s">
        <v>1450</v>
      </c>
    </row>
    <row r="315" spans="1:6" hidden="1" x14ac:dyDescent="0.25">
      <c r="A315" s="39" t="s">
        <v>1090</v>
      </c>
      <c r="B315" s="188" t="s">
        <v>700</v>
      </c>
      <c r="C315" s="126">
        <f ca="1">_xlfn.IFNA(VLOOKUP(A315,Worksheet!$B$1:$G$600,3,FALSE),C315)</f>
        <v>0</v>
      </c>
      <c r="D315" s="126">
        <f ca="1">_xlfn.IFNA(VLOOKUP(A315,Worksheet!$B$1:$G$600,4,FALSE),D315)</f>
        <v>0</v>
      </c>
      <c r="E315" s="127">
        <f ca="1">_xlfn.IFNA(VLOOKUP(A315,Worksheet!$B$1:$G$600,5,FALSE),E315)</f>
        <v>0</v>
      </c>
      <c r="F315" t="s">
        <v>1450</v>
      </c>
    </row>
    <row r="316" spans="1:6" hidden="1" x14ac:dyDescent="0.25">
      <c r="A316" s="39" t="s">
        <v>1091</v>
      </c>
      <c r="B316" s="188" t="s">
        <v>691</v>
      </c>
      <c r="C316" s="55">
        <f ca="1">SUM(C317,C318,C319,C320,C422)</f>
        <v>0</v>
      </c>
      <c r="D316" s="55">
        <f ca="1">SUM(D317,D318,D319,D320,D422)</f>
        <v>0</v>
      </c>
      <c r="E316" s="56">
        <f ca="1">SUM(E317,E318,E319,E320,E422)</f>
        <v>0</v>
      </c>
      <c r="F316" t="s">
        <v>1450</v>
      </c>
    </row>
    <row r="317" spans="1:6" hidden="1" x14ac:dyDescent="0.25">
      <c r="A317" s="39" t="s">
        <v>1092</v>
      </c>
      <c r="B317" s="189" t="s">
        <v>692</v>
      </c>
      <c r="C317" s="124">
        <f ca="1">_xlfn.IFNA(VLOOKUP(A317,Worksheet!$B$1:$G$600,3,FALSE),C317)</f>
        <v>0</v>
      </c>
      <c r="D317" s="124">
        <f ca="1">_xlfn.IFNA(VLOOKUP(A317,Worksheet!$B$1:$G$600,4,FALSE),D317)</f>
        <v>0</v>
      </c>
      <c r="E317" s="125">
        <f ca="1">_xlfn.IFNA(VLOOKUP(A317,Worksheet!$B$1:$G$600,5,FALSE),E317)</f>
        <v>0</v>
      </c>
      <c r="F317" t="s">
        <v>1450</v>
      </c>
    </row>
    <row r="318" spans="1:6" hidden="1" x14ac:dyDescent="0.25">
      <c r="A318" s="39" t="s">
        <v>1093</v>
      </c>
      <c r="B318" s="189" t="s">
        <v>693</v>
      </c>
      <c r="C318" s="124">
        <f ca="1">_xlfn.IFNA(VLOOKUP(A318,Worksheet!$B$1:$G$600,3,FALSE),C318)</f>
        <v>0</v>
      </c>
      <c r="D318" s="124">
        <f ca="1">_xlfn.IFNA(VLOOKUP(A318,Worksheet!$B$1:$G$600,4,FALSE),D318)</f>
        <v>0</v>
      </c>
      <c r="E318" s="125">
        <f ca="1">_xlfn.IFNA(VLOOKUP(A318,Worksheet!$B$1:$G$600,5,FALSE),E318)</f>
        <v>0</v>
      </c>
      <c r="F318" t="s">
        <v>1450</v>
      </c>
    </row>
    <row r="319" spans="1:6" hidden="1" x14ac:dyDescent="0.25">
      <c r="A319" s="39" t="s">
        <v>1094</v>
      </c>
      <c r="B319" s="189" t="s">
        <v>694</v>
      </c>
      <c r="C319" s="124">
        <f ca="1">_xlfn.IFNA(VLOOKUP(A319,Worksheet!$B$1:$G$600,3,FALSE),C319)</f>
        <v>0</v>
      </c>
      <c r="D319" s="124">
        <f ca="1">_xlfn.IFNA(VLOOKUP(A319,Worksheet!$B$1:$G$600,4,FALSE),D319)</f>
        <v>0</v>
      </c>
      <c r="E319" s="125">
        <f ca="1">_xlfn.IFNA(VLOOKUP(A319,Worksheet!$B$1:$G$600,5,FALSE),E319)</f>
        <v>0</v>
      </c>
      <c r="F319" t="s">
        <v>1450</v>
      </c>
    </row>
    <row r="320" spans="1:6" hidden="1" x14ac:dyDescent="0.25">
      <c r="A320" s="39" t="s">
        <v>1095</v>
      </c>
      <c r="B320" s="188" t="s">
        <v>695</v>
      </c>
      <c r="C320" s="126">
        <f ca="1">_xlfn.IFNA(VLOOKUP(A320,Worksheet!$B$1:$G$600,3,FALSE),C320)</f>
        <v>0</v>
      </c>
      <c r="D320" s="126">
        <f ca="1">_xlfn.IFNA(VLOOKUP(A320,Worksheet!$B$1:$G$600,4,FALSE),D320)</f>
        <v>0</v>
      </c>
      <c r="E320" s="127">
        <f ca="1">_xlfn.IFNA(VLOOKUP(A320,Worksheet!$B$1:$G$600,5,FALSE),E320)</f>
        <v>0</v>
      </c>
      <c r="F320" t="s">
        <v>1450</v>
      </c>
    </row>
    <row r="321" spans="1:8" hidden="1" x14ac:dyDescent="0.25">
      <c r="A321" s="39" t="s">
        <v>1096</v>
      </c>
      <c r="B321" s="189" t="s">
        <v>690</v>
      </c>
      <c r="C321" s="53">
        <f ca="1">_xlfn.IFNA(VLOOKUP(A321,Worksheet!$B$1:$G$600,3,FALSE),C321)</f>
        <v>0</v>
      </c>
      <c r="D321" s="53">
        <f ca="1">_xlfn.IFNA(VLOOKUP(A321,Worksheet!$B$1:$G$600,4,FALSE),D321)</f>
        <v>0</v>
      </c>
      <c r="E321" s="54">
        <f ca="1">_xlfn.IFNA(VLOOKUP(A321,Worksheet!$B$1:$G$600,5,FALSE),E321)</f>
        <v>0</v>
      </c>
      <c r="F321" t="s">
        <v>1450</v>
      </c>
    </row>
    <row r="322" spans="1:8" s="4" customFormat="1" hidden="1" x14ac:dyDescent="0.25">
      <c r="A322" s="36"/>
      <c r="B322" s="193" t="s">
        <v>23</v>
      </c>
      <c r="C322" s="61"/>
      <c r="D322" s="149"/>
      <c r="E322" s="62"/>
      <c r="F322" t="s">
        <v>1450</v>
      </c>
    </row>
    <row r="323" spans="1:8" s="4" customFormat="1" ht="14.25" hidden="1" customHeight="1" x14ac:dyDescent="0.25">
      <c r="A323" s="36">
        <v>1.4</v>
      </c>
      <c r="B323" s="187" t="s">
        <v>151</v>
      </c>
      <c r="C323" s="144">
        <f ca="1">AVERAGE(C324:C329)</f>
        <v>0</v>
      </c>
      <c r="D323" s="144">
        <f t="shared" ref="D323:E323" ca="1" si="52">AVERAGE(D324:D329)</f>
        <v>0</v>
      </c>
      <c r="E323" s="145">
        <f t="shared" ca="1" si="52"/>
        <v>0</v>
      </c>
      <c r="F323" t="s">
        <v>1450</v>
      </c>
    </row>
    <row r="324" spans="1:8" s="4" customFormat="1" ht="15" hidden="1" customHeight="1" x14ac:dyDescent="0.25">
      <c r="A324" s="1" t="s">
        <v>252</v>
      </c>
      <c r="B324" s="190" t="s">
        <v>738</v>
      </c>
      <c r="C324" s="124">
        <f ca="1">_xlfn.IFNA(VLOOKUP(A324,Worksheet!$B$1:$G$600,3,FALSE),C324)</f>
        <v>0</v>
      </c>
      <c r="D324" s="124">
        <f ca="1">_xlfn.IFNA(VLOOKUP(A324,Worksheet!$B$1:$G$600,4,FALSE),D324)</f>
        <v>0</v>
      </c>
      <c r="E324" s="125">
        <f ca="1">_xlfn.IFNA(VLOOKUP(A324,Worksheet!$B$1:$G$600,5,FALSE),E324)</f>
        <v>0</v>
      </c>
      <c r="F324" t="s">
        <v>1450</v>
      </c>
    </row>
    <row r="325" spans="1:8" s="4" customFormat="1" ht="14.25" hidden="1" customHeight="1" x14ac:dyDescent="0.25">
      <c r="A325" s="1" t="s">
        <v>1378</v>
      </c>
      <c r="B325" s="190" t="s">
        <v>118</v>
      </c>
      <c r="C325" s="124">
        <f ca="1">_xlfn.IFNA(VLOOKUP(A325,Worksheet!$B$1:$G$600,3,FALSE),C325)</f>
        <v>0</v>
      </c>
      <c r="D325" s="124">
        <f ca="1">_xlfn.IFNA(VLOOKUP(A325,Worksheet!$B$1:$G$600,4,FALSE),D325)</f>
        <v>0</v>
      </c>
      <c r="E325" s="125">
        <f ca="1">_xlfn.IFNA(VLOOKUP(A325,Worksheet!$B$1:$G$600,5,FALSE),E325)</f>
        <v>0</v>
      </c>
      <c r="F325" t="s">
        <v>1450</v>
      </c>
    </row>
    <row r="326" spans="1:8" s="4" customFormat="1" hidden="1" x14ac:dyDescent="0.25">
      <c r="A326" s="39" t="s">
        <v>1379</v>
      </c>
      <c r="B326" s="189" t="s">
        <v>701</v>
      </c>
      <c r="C326" s="124">
        <f ca="1">_xlfn.IFNA(VLOOKUP(A326,Worksheet!$B$1:$G$600,3,FALSE),C326)</f>
        <v>0</v>
      </c>
      <c r="D326" s="124">
        <f ca="1">_xlfn.IFNA(VLOOKUP(A326,Worksheet!$B$1:$G$600,4,FALSE),D326)</f>
        <v>0</v>
      </c>
      <c r="E326" s="125">
        <f ca="1">_xlfn.IFNA(VLOOKUP(A326,Worksheet!$B$1:$G$600,5,FALSE),E326)</f>
        <v>0</v>
      </c>
      <c r="F326" t="s">
        <v>1450</v>
      </c>
    </row>
    <row r="327" spans="1:8" s="4" customFormat="1" hidden="1" x14ac:dyDescent="0.25">
      <c r="A327" s="1" t="s">
        <v>1380</v>
      </c>
      <c r="B327" s="190" t="s">
        <v>702</v>
      </c>
      <c r="C327" s="124">
        <f ca="1">_xlfn.IFNA(VLOOKUP(A327,Worksheet!$B$1:$G$600,3,FALSE),C327)</f>
        <v>0</v>
      </c>
      <c r="D327" s="124">
        <f ca="1">_xlfn.IFNA(VLOOKUP(A327,Worksheet!$B$1:$G$600,4,FALSE),D327)</f>
        <v>0</v>
      </c>
      <c r="E327" s="125">
        <f ca="1">_xlfn.IFNA(VLOOKUP(A327,Worksheet!$B$1:$G$600,5,FALSE),E327)</f>
        <v>0</v>
      </c>
      <c r="F327" t="s">
        <v>1450</v>
      </c>
    </row>
    <row r="328" spans="1:8" s="4" customFormat="1" hidden="1" x14ac:dyDescent="0.25">
      <c r="A328" s="1" t="s">
        <v>1381</v>
      </c>
      <c r="B328" s="190" t="s">
        <v>703</v>
      </c>
      <c r="C328" s="124">
        <f ca="1">_xlfn.IFNA(VLOOKUP(A328,Worksheet!$B$1:$G$600,3,FALSE),C328)</f>
        <v>0</v>
      </c>
      <c r="D328" s="124">
        <f ca="1">_xlfn.IFNA(VLOOKUP(A328,Worksheet!$B$1:$G$600,4,FALSE),D328)</f>
        <v>0</v>
      </c>
      <c r="E328" s="125">
        <f ca="1">_xlfn.IFNA(VLOOKUP(A328,Worksheet!$B$1:$G$600,5,FALSE),E328)</f>
        <v>0</v>
      </c>
      <c r="F328" t="s">
        <v>1450</v>
      </c>
    </row>
    <row r="329" spans="1:8" s="4" customFormat="1" hidden="1" x14ac:dyDescent="0.25">
      <c r="A329" s="1" t="s">
        <v>1382</v>
      </c>
      <c r="B329" s="187" t="s">
        <v>704</v>
      </c>
      <c r="C329" s="126">
        <f ca="1">_xlfn.IFNA(VLOOKUP(A329,Worksheet!$B$1:$G$600,3,FALSE),C329)</f>
        <v>0</v>
      </c>
      <c r="D329" s="126">
        <f ca="1">_xlfn.IFNA(VLOOKUP(A329,Worksheet!$B$1:$G$600,4,FALSE),D329)</f>
        <v>0</v>
      </c>
      <c r="E329" s="127">
        <f ca="1">_xlfn.IFNA(VLOOKUP(A329,Worksheet!$B$1:$G$600,5,FALSE),E329)</f>
        <v>0</v>
      </c>
      <c r="F329" t="s">
        <v>1450</v>
      </c>
    </row>
    <row r="330" spans="1:8" s="4" customFormat="1" hidden="1" x14ac:dyDescent="0.25">
      <c r="A330" s="1"/>
      <c r="B330" s="191" t="s">
        <v>25</v>
      </c>
      <c r="C330" s="142"/>
      <c r="D330" s="55"/>
      <c r="E330" s="56"/>
      <c r="F330" t="s">
        <v>1450</v>
      </c>
    </row>
    <row r="331" spans="1:8" s="4" customFormat="1" hidden="1" x14ac:dyDescent="0.25">
      <c r="A331" s="36">
        <v>1.5</v>
      </c>
      <c r="B331" s="195" t="s">
        <v>26</v>
      </c>
      <c r="C331" s="142">
        <f ca="1">SUM(C332,C349)</f>
        <v>0</v>
      </c>
      <c r="D331" s="142">
        <f t="shared" ref="D331:E331" ca="1" si="53">SUM(D332,D349)</f>
        <v>0</v>
      </c>
      <c r="E331" s="143">
        <f t="shared" ca="1" si="53"/>
        <v>0</v>
      </c>
      <c r="F331" t="s">
        <v>1450</v>
      </c>
      <c r="G331" s="6"/>
      <c r="H331" s="6"/>
    </row>
    <row r="332" spans="1:8" s="4" customFormat="1" hidden="1" x14ac:dyDescent="0.25">
      <c r="A332" s="1" t="s">
        <v>247</v>
      </c>
      <c r="B332" s="196" t="s">
        <v>29</v>
      </c>
      <c r="C332" s="142">
        <f ca="1">SUM(C333,C336,C342,C347,C348)</f>
        <v>0</v>
      </c>
      <c r="D332" s="142">
        <f t="shared" ref="D332:E332" ca="1" si="54">SUM(D333,D336,D342,D347,D348)</f>
        <v>0</v>
      </c>
      <c r="E332" s="143">
        <f t="shared" ca="1" si="54"/>
        <v>0</v>
      </c>
      <c r="F332" t="s">
        <v>1450</v>
      </c>
      <c r="G332" s="6"/>
      <c r="H332" s="6"/>
    </row>
    <row r="333" spans="1:8" s="4" customFormat="1" hidden="1" x14ac:dyDescent="0.25">
      <c r="A333" s="1" t="s">
        <v>249</v>
      </c>
      <c r="B333" s="196" t="s">
        <v>689</v>
      </c>
      <c r="C333" s="142">
        <f ca="1">AVERAGE(C334:C335)</f>
        <v>0</v>
      </c>
      <c r="D333" s="142">
        <f t="shared" ref="D333:E333" ca="1" si="55">AVERAGE(D334:D335)</f>
        <v>0</v>
      </c>
      <c r="E333" s="143">
        <f t="shared" ca="1" si="55"/>
        <v>0</v>
      </c>
      <c r="F333" t="s">
        <v>1450</v>
      </c>
      <c r="G333" s="6"/>
      <c r="H333" s="6"/>
    </row>
    <row r="334" spans="1:8" s="4" customFormat="1" hidden="1" x14ac:dyDescent="0.25">
      <c r="A334" s="1" t="s">
        <v>1100</v>
      </c>
      <c r="B334" s="189" t="s">
        <v>113</v>
      </c>
      <c r="C334" s="124">
        <f ca="1">_xlfn.IFNA(VLOOKUP(A334,Worksheet!$B$1:$G$600,3,FALSE),C334)</f>
        <v>0</v>
      </c>
      <c r="D334" s="124">
        <f ca="1">_xlfn.IFNA(VLOOKUP(A334,Worksheet!$B$1:$G$600,4,FALSE),D334)</f>
        <v>0</v>
      </c>
      <c r="E334" s="125">
        <f ca="1">_xlfn.IFNA(VLOOKUP(A334,Worksheet!$B$1:$G$600,5,FALSE),E334)</f>
        <v>0</v>
      </c>
      <c r="F334" t="s">
        <v>1450</v>
      </c>
    </row>
    <row r="335" spans="1:8" s="4" customFormat="1" hidden="1" x14ac:dyDescent="0.25">
      <c r="A335" s="1" t="s">
        <v>1101</v>
      </c>
      <c r="B335" s="187" t="s">
        <v>739</v>
      </c>
      <c r="C335" s="126">
        <f ca="1">_xlfn.IFNA(VLOOKUP(A335,Worksheet!$B$1:$G$600,3,FALSE),C335)</f>
        <v>0</v>
      </c>
      <c r="D335" s="126">
        <f ca="1">_xlfn.IFNA(VLOOKUP(A335,Worksheet!$B$1:$G$600,4,FALSE),D335)</f>
        <v>0</v>
      </c>
      <c r="E335" s="127">
        <f ca="1">_xlfn.IFNA(VLOOKUP(A335,Worksheet!$B$1:$G$600,5,FALSE),E335)</f>
        <v>0</v>
      </c>
      <c r="F335" t="s">
        <v>1450</v>
      </c>
    </row>
    <row r="336" spans="1:8" s="4" customFormat="1" hidden="1" x14ac:dyDescent="0.25">
      <c r="A336" s="39" t="s">
        <v>250</v>
      </c>
      <c r="B336" s="188" t="s">
        <v>687</v>
      </c>
      <c r="C336" s="55">
        <f ca="1">AVERAGE(C337:C341)</f>
        <v>0</v>
      </c>
      <c r="D336" s="55">
        <f t="shared" ref="D336:E336" ca="1" si="56">AVERAGE(D337:D341)</f>
        <v>0</v>
      </c>
      <c r="E336" s="56">
        <f t="shared" ca="1" si="56"/>
        <v>0</v>
      </c>
      <c r="F336" t="s">
        <v>1450</v>
      </c>
    </row>
    <row r="337" spans="1:8" s="4" customFormat="1" hidden="1" x14ac:dyDescent="0.25">
      <c r="A337" s="39" t="s">
        <v>1383</v>
      </c>
      <c r="B337" s="189" t="s">
        <v>696</v>
      </c>
      <c r="C337" s="124">
        <f ca="1">_xlfn.IFNA(VLOOKUP(A337,Worksheet!$B$1:$G$600,3,FALSE),C337)</f>
        <v>0</v>
      </c>
      <c r="D337" s="124">
        <f ca="1">_xlfn.IFNA(VLOOKUP(A337,Worksheet!$B$1:$G$600,4,FALSE),D337)</f>
        <v>0</v>
      </c>
      <c r="E337" s="125">
        <f ca="1">_xlfn.IFNA(VLOOKUP(A337,Worksheet!$B$1:$G$600,5,FALSE),E337)</f>
        <v>0</v>
      </c>
      <c r="F337" t="s">
        <v>1450</v>
      </c>
    </row>
    <row r="338" spans="1:8" s="4" customFormat="1" hidden="1" x14ac:dyDescent="0.25">
      <c r="A338" s="39" t="s">
        <v>1384</v>
      </c>
      <c r="B338" s="189" t="s">
        <v>697</v>
      </c>
      <c r="C338" s="124">
        <f ca="1">_xlfn.IFNA(VLOOKUP(A338,Worksheet!$B$1:$G$600,3,FALSE),C338)</f>
        <v>0</v>
      </c>
      <c r="D338" s="124">
        <f ca="1">_xlfn.IFNA(VLOOKUP(A338,Worksheet!$B$1:$G$600,4,FALSE),D338)</f>
        <v>0</v>
      </c>
      <c r="E338" s="125">
        <f ca="1">_xlfn.IFNA(VLOOKUP(A338,Worksheet!$B$1:$G$600,5,FALSE),E338)</f>
        <v>0</v>
      </c>
      <c r="F338" t="s">
        <v>1450</v>
      </c>
    </row>
    <row r="339" spans="1:8" s="4" customFormat="1" hidden="1" x14ac:dyDescent="0.25">
      <c r="A339" s="1" t="s">
        <v>1385</v>
      </c>
      <c r="B339" s="189" t="s">
        <v>698</v>
      </c>
      <c r="C339" s="124">
        <f ca="1">_xlfn.IFNA(VLOOKUP(A339,Worksheet!$B$1:$G$600,3,FALSE),C339)</f>
        <v>0</v>
      </c>
      <c r="D339" s="124">
        <f ca="1">_xlfn.IFNA(VLOOKUP(A339,Worksheet!$B$1:$G$600,4,FALSE),D339)</f>
        <v>0</v>
      </c>
      <c r="E339" s="125">
        <f ca="1">_xlfn.IFNA(VLOOKUP(A339,Worksheet!$B$1:$G$600,5,FALSE),E339)</f>
        <v>0</v>
      </c>
      <c r="F339" t="s">
        <v>1450</v>
      </c>
    </row>
    <row r="340" spans="1:8" s="4" customFormat="1" hidden="1" x14ac:dyDescent="0.25">
      <c r="A340" s="1" t="s">
        <v>1386</v>
      </c>
      <c r="B340" s="189" t="s">
        <v>699</v>
      </c>
      <c r="C340" s="124">
        <f ca="1">_xlfn.IFNA(VLOOKUP(A340,Worksheet!$B$1:$G$600,3,FALSE),C340)</f>
        <v>0</v>
      </c>
      <c r="D340" s="124">
        <f ca="1">_xlfn.IFNA(VLOOKUP(A340,Worksheet!$B$1:$G$600,4,FALSE),D340)</f>
        <v>0</v>
      </c>
      <c r="E340" s="125">
        <f ca="1">_xlfn.IFNA(VLOOKUP(A340,Worksheet!$B$1:$G$600,5,FALSE),E340)</f>
        <v>0</v>
      </c>
      <c r="F340" t="s">
        <v>1450</v>
      </c>
    </row>
    <row r="341" spans="1:8" s="4" customFormat="1" hidden="1" x14ac:dyDescent="0.25">
      <c r="A341" s="1" t="s">
        <v>1387</v>
      </c>
      <c r="B341" s="188" t="s">
        <v>700</v>
      </c>
      <c r="C341" s="126">
        <f ca="1">_xlfn.IFNA(VLOOKUP(A341,Worksheet!$B$1:$G$600,3,FALSE),C341)</f>
        <v>0</v>
      </c>
      <c r="D341" s="126">
        <f ca="1">_xlfn.IFNA(VLOOKUP(A341,Worksheet!$B$1:$G$600,4,FALSE),D341)</f>
        <v>0</v>
      </c>
      <c r="E341" s="127">
        <f ca="1">_xlfn.IFNA(VLOOKUP(A341,Worksheet!$B$1:$G$600,5,FALSE),E341)</f>
        <v>0</v>
      </c>
      <c r="F341" t="s">
        <v>1450</v>
      </c>
    </row>
    <row r="342" spans="1:8" s="4" customFormat="1" hidden="1" x14ac:dyDescent="0.25">
      <c r="A342" s="1" t="s">
        <v>1097</v>
      </c>
      <c r="B342" s="188" t="s">
        <v>691</v>
      </c>
      <c r="C342" s="55">
        <f ca="1">AVERAGE(C343:C346)</f>
        <v>0</v>
      </c>
      <c r="D342" s="55">
        <f t="shared" ref="D342:E342" ca="1" si="57">AVERAGE(D343:D346)</f>
        <v>0</v>
      </c>
      <c r="E342" s="56">
        <f t="shared" ca="1" si="57"/>
        <v>0</v>
      </c>
      <c r="F342" t="s">
        <v>1450</v>
      </c>
    </row>
    <row r="343" spans="1:8" s="4" customFormat="1" hidden="1" x14ac:dyDescent="0.25">
      <c r="A343" s="1" t="s">
        <v>1388</v>
      </c>
      <c r="B343" s="189" t="s">
        <v>692</v>
      </c>
      <c r="C343" s="124">
        <f ca="1">_xlfn.IFNA(VLOOKUP(A343,Worksheet!$B$1:$G$600,3,FALSE),C343)</f>
        <v>0</v>
      </c>
      <c r="D343" s="124">
        <f ca="1">_xlfn.IFNA(VLOOKUP(A343,Worksheet!$B$1:$G$600,4,FALSE),D343)</f>
        <v>0</v>
      </c>
      <c r="E343" s="125">
        <f ca="1">_xlfn.IFNA(VLOOKUP(A343,Worksheet!$B$1:$G$600,5,FALSE),E343)</f>
        <v>0</v>
      </c>
      <c r="F343" t="s">
        <v>1450</v>
      </c>
    </row>
    <row r="344" spans="1:8" s="4" customFormat="1" hidden="1" x14ac:dyDescent="0.25">
      <c r="A344" s="1" t="s">
        <v>1389</v>
      </c>
      <c r="B344" s="189" t="s">
        <v>693</v>
      </c>
      <c r="C344" s="124">
        <f ca="1">_xlfn.IFNA(VLOOKUP(A344,Worksheet!$B$1:$G$600,3,FALSE),C344)</f>
        <v>0</v>
      </c>
      <c r="D344" s="124">
        <f ca="1">_xlfn.IFNA(VLOOKUP(A344,Worksheet!$B$1:$G$600,4,FALSE),D344)</f>
        <v>0</v>
      </c>
      <c r="E344" s="125">
        <f ca="1">_xlfn.IFNA(VLOOKUP(A344,Worksheet!$B$1:$G$600,5,FALSE),E344)</f>
        <v>0</v>
      </c>
      <c r="F344" t="s">
        <v>1450</v>
      </c>
    </row>
    <row r="345" spans="1:8" s="4" customFormat="1" hidden="1" x14ac:dyDescent="0.25">
      <c r="A345" s="1" t="s">
        <v>1390</v>
      </c>
      <c r="B345" s="189" t="s">
        <v>694</v>
      </c>
      <c r="C345" s="124">
        <f ca="1">_xlfn.IFNA(VLOOKUP(A345,Worksheet!$B$1:$G$600,3,FALSE),C345)</f>
        <v>0</v>
      </c>
      <c r="D345" s="124">
        <f ca="1">_xlfn.IFNA(VLOOKUP(A345,Worksheet!$B$1:$G$600,4,FALSE),D345)</f>
        <v>0</v>
      </c>
      <c r="E345" s="125">
        <f ca="1">_xlfn.IFNA(VLOOKUP(A345,Worksheet!$B$1:$G$600,5,FALSE),E345)</f>
        <v>0</v>
      </c>
      <c r="F345" t="s">
        <v>1450</v>
      </c>
    </row>
    <row r="346" spans="1:8" s="4" customFormat="1" hidden="1" x14ac:dyDescent="0.25">
      <c r="A346" s="1" t="s">
        <v>1391</v>
      </c>
      <c r="B346" s="189" t="s">
        <v>695</v>
      </c>
      <c r="C346" s="124">
        <f ca="1">_xlfn.IFNA(VLOOKUP(A346,Worksheet!$B$1:$G$600,3,FALSE),C346)</f>
        <v>0</v>
      </c>
      <c r="D346" s="124">
        <f ca="1">_xlfn.IFNA(VLOOKUP(A346,Worksheet!$B$1:$G$600,4,FALSE),D346)</f>
        <v>0</v>
      </c>
      <c r="E346" s="125">
        <f ca="1">_xlfn.IFNA(VLOOKUP(A346,Worksheet!$B$1:$G$600,5,FALSE),E346)</f>
        <v>0</v>
      </c>
      <c r="F346" t="s">
        <v>1450</v>
      </c>
    </row>
    <row r="347" spans="1:8" s="4" customFormat="1" hidden="1" x14ac:dyDescent="0.25">
      <c r="A347" s="1" t="s">
        <v>1098</v>
      </c>
      <c r="B347" s="189" t="s">
        <v>688</v>
      </c>
      <c r="C347" s="128">
        <f ca="1">_xlfn.IFNA(VLOOKUP(A347,Worksheet!$B$1:$G$600,3,FALSE),C347)</f>
        <v>0</v>
      </c>
      <c r="D347" s="128">
        <f ca="1">_xlfn.IFNA(VLOOKUP(A347,Worksheet!$B$1:$G$600,4,FALSE),D347)</f>
        <v>0</v>
      </c>
      <c r="E347" s="129">
        <f ca="1">_xlfn.IFNA(VLOOKUP(A347,Worksheet!$B$1:$G$600,5,FALSE),E347)</f>
        <v>0</v>
      </c>
      <c r="F347" t="s">
        <v>1450</v>
      </c>
    </row>
    <row r="348" spans="1:8" s="4" customFormat="1" hidden="1" x14ac:dyDescent="0.25">
      <c r="A348" s="1" t="s">
        <v>1099</v>
      </c>
      <c r="B348" s="188" t="s">
        <v>690</v>
      </c>
      <c r="C348" s="130">
        <f ca="1">_xlfn.IFNA(VLOOKUP(A348,Worksheet!$B$1:$G$600,3,FALSE),C348)</f>
        <v>0</v>
      </c>
      <c r="D348" s="130">
        <f ca="1">_xlfn.IFNA(VLOOKUP(A348,Worksheet!$B$1:$G$600,4,FALSE),D348)</f>
        <v>0</v>
      </c>
      <c r="E348" s="131">
        <f ca="1">_xlfn.IFNA(VLOOKUP(A348,Worksheet!$B$1:$G$600,5,FALSE),E348)</f>
        <v>0</v>
      </c>
      <c r="F348" t="s">
        <v>1450</v>
      </c>
    </row>
    <row r="349" spans="1:8" s="4" customFormat="1" hidden="1" x14ac:dyDescent="0.25">
      <c r="A349" s="1" t="s">
        <v>248</v>
      </c>
      <c r="B349" s="196" t="s">
        <v>30</v>
      </c>
      <c r="C349" s="142">
        <f ca="1">SUM(C350,C353,C359,C364,C365)</f>
        <v>0</v>
      </c>
      <c r="D349" s="142">
        <f t="shared" ref="D349:E349" ca="1" si="58">SUM(D350,D353,D359,D364,D365)</f>
        <v>0</v>
      </c>
      <c r="E349" s="143">
        <f t="shared" ca="1" si="58"/>
        <v>0</v>
      </c>
      <c r="F349" t="s">
        <v>1450</v>
      </c>
      <c r="G349" s="6"/>
      <c r="H349" s="6"/>
    </row>
    <row r="350" spans="1:8" s="4" customFormat="1" hidden="1" x14ac:dyDescent="0.25">
      <c r="A350" s="1" t="s">
        <v>1109</v>
      </c>
      <c r="B350" s="196" t="s">
        <v>689</v>
      </c>
      <c r="C350" s="142">
        <f ca="1">AVERAGE(C351:C352)</f>
        <v>0</v>
      </c>
      <c r="D350" s="142">
        <f t="shared" ref="D350:E350" ca="1" si="59">AVERAGE(D351:D352)</f>
        <v>0</v>
      </c>
      <c r="E350" s="143">
        <f t="shared" ca="1" si="59"/>
        <v>0</v>
      </c>
      <c r="F350" t="s">
        <v>1450</v>
      </c>
      <c r="G350" s="6"/>
      <c r="H350" s="6"/>
    </row>
    <row r="351" spans="1:8" s="4" customFormat="1" hidden="1" x14ac:dyDescent="0.25">
      <c r="A351" s="1" t="s">
        <v>1111</v>
      </c>
      <c r="B351" s="189" t="s">
        <v>113</v>
      </c>
      <c r="C351" s="124">
        <f ca="1">_xlfn.IFNA(VLOOKUP(A351,Worksheet!$B$1:$G$600,3,FALSE),C351)</f>
        <v>0</v>
      </c>
      <c r="D351" s="124">
        <f ca="1">_xlfn.IFNA(VLOOKUP(A351,Worksheet!$B$1:$G$600,4,FALSE),D351)</f>
        <v>0</v>
      </c>
      <c r="E351" s="125">
        <f ca="1">_xlfn.IFNA(VLOOKUP(A351,Worksheet!$B$1:$G$600,5,FALSE),E351)</f>
        <v>0</v>
      </c>
      <c r="F351" t="s">
        <v>1450</v>
      </c>
    </row>
    <row r="352" spans="1:8" s="4" customFormat="1" hidden="1" x14ac:dyDescent="0.25">
      <c r="A352" s="1" t="s">
        <v>1112</v>
      </c>
      <c r="B352" s="187" t="s">
        <v>24</v>
      </c>
      <c r="C352" s="126">
        <f ca="1">_xlfn.IFNA(VLOOKUP(A352,Worksheet!$B$1:$G$600,3,FALSE),C352)</f>
        <v>0</v>
      </c>
      <c r="D352" s="126">
        <f ca="1">_xlfn.IFNA(VLOOKUP(A352,Worksheet!$B$1:$G$600,4,FALSE),D352)</f>
        <v>0</v>
      </c>
      <c r="E352" s="127">
        <f ca="1">_xlfn.IFNA(VLOOKUP(A352,Worksheet!$B$1:$G$600,5,FALSE),E352)</f>
        <v>0</v>
      </c>
      <c r="F352" t="s">
        <v>1450</v>
      </c>
    </row>
    <row r="353" spans="1:6" s="4" customFormat="1" hidden="1" x14ac:dyDescent="0.25">
      <c r="A353" s="1" t="s">
        <v>251</v>
      </c>
      <c r="B353" s="188" t="s">
        <v>687</v>
      </c>
      <c r="C353" s="55">
        <f ca="1">AVERAGE(C354:C358)</f>
        <v>0</v>
      </c>
      <c r="D353" s="55">
        <f t="shared" ref="D353:E353" ca="1" si="60">AVERAGE(D354:D358)</f>
        <v>0</v>
      </c>
      <c r="E353" s="56">
        <f t="shared" ca="1" si="60"/>
        <v>0</v>
      </c>
      <c r="F353" t="s">
        <v>1450</v>
      </c>
    </row>
    <row r="354" spans="1:6" s="4" customFormat="1" hidden="1" x14ac:dyDescent="0.25">
      <c r="A354" s="1" t="s">
        <v>1102</v>
      </c>
      <c r="B354" s="189" t="s">
        <v>696</v>
      </c>
      <c r="C354" s="124">
        <f ca="1">_xlfn.IFNA(VLOOKUP(A354,Worksheet!$B$1:$G$600,3,FALSE),C354)</f>
        <v>0</v>
      </c>
      <c r="D354" s="124">
        <f ca="1">_xlfn.IFNA(VLOOKUP(A354,Worksheet!$B$1:$G$600,4,FALSE),D354)</f>
        <v>0</v>
      </c>
      <c r="E354" s="125">
        <f ca="1">_xlfn.IFNA(VLOOKUP(A354,Worksheet!$B$1:$G$600,5,FALSE),E354)</f>
        <v>0</v>
      </c>
      <c r="F354" t="s">
        <v>1450</v>
      </c>
    </row>
    <row r="355" spans="1:6" s="4" customFormat="1" hidden="1" x14ac:dyDescent="0.25">
      <c r="A355" s="1" t="s">
        <v>1103</v>
      </c>
      <c r="B355" s="189" t="s">
        <v>697</v>
      </c>
      <c r="C355" s="124">
        <f ca="1">_xlfn.IFNA(VLOOKUP(A355,Worksheet!$B$1:$G$600,3,FALSE),C355)</f>
        <v>0</v>
      </c>
      <c r="D355" s="124">
        <f ca="1">_xlfn.IFNA(VLOOKUP(A355,Worksheet!$B$1:$G$600,4,FALSE),D355)</f>
        <v>0</v>
      </c>
      <c r="E355" s="125">
        <f ca="1">_xlfn.IFNA(VLOOKUP(A355,Worksheet!$B$1:$G$600,5,FALSE),E355)</f>
        <v>0</v>
      </c>
      <c r="F355" t="s">
        <v>1450</v>
      </c>
    </row>
    <row r="356" spans="1:6" s="4" customFormat="1" hidden="1" x14ac:dyDescent="0.25">
      <c r="A356" s="1" t="s">
        <v>1104</v>
      </c>
      <c r="B356" s="189" t="s">
        <v>698</v>
      </c>
      <c r="C356" s="124">
        <f ca="1">_xlfn.IFNA(VLOOKUP(A356,Worksheet!$B$1:$G$600,3,FALSE),C356)</f>
        <v>0</v>
      </c>
      <c r="D356" s="124">
        <f ca="1">_xlfn.IFNA(VLOOKUP(A356,Worksheet!$B$1:$G$600,4,FALSE),D356)</f>
        <v>0</v>
      </c>
      <c r="E356" s="125">
        <f ca="1">_xlfn.IFNA(VLOOKUP(A356,Worksheet!$B$1:$G$600,5,FALSE),E356)</f>
        <v>0</v>
      </c>
      <c r="F356" t="s">
        <v>1450</v>
      </c>
    </row>
    <row r="357" spans="1:6" s="4" customFormat="1" hidden="1" x14ac:dyDescent="0.25">
      <c r="A357" s="1" t="s">
        <v>1105</v>
      </c>
      <c r="B357" s="189" t="s">
        <v>699</v>
      </c>
      <c r="C357" s="124">
        <f ca="1">_xlfn.IFNA(VLOOKUP(A357,Worksheet!$B$1:$G$600,3,FALSE),C357)</f>
        <v>0</v>
      </c>
      <c r="D357" s="124">
        <f ca="1">_xlfn.IFNA(VLOOKUP(A357,Worksheet!$B$1:$G$600,4,FALSE),D357)</f>
        <v>0</v>
      </c>
      <c r="E357" s="125">
        <f ca="1">_xlfn.IFNA(VLOOKUP(A357,Worksheet!$B$1:$G$600,5,FALSE),E357)</f>
        <v>0</v>
      </c>
      <c r="F357" t="s">
        <v>1450</v>
      </c>
    </row>
    <row r="358" spans="1:6" s="4" customFormat="1" hidden="1" x14ac:dyDescent="0.25">
      <c r="A358" s="1" t="s">
        <v>1106</v>
      </c>
      <c r="B358" s="188" t="s">
        <v>700</v>
      </c>
      <c r="C358" s="126">
        <f ca="1">_xlfn.IFNA(VLOOKUP(A358,Worksheet!$B$1:$G$600,3,FALSE),C358)</f>
        <v>0</v>
      </c>
      <c r="D358" s="126">
        <f ca="1">_xlfn.IFNA(VLOOKUP(A358,Worksheet!$B$1:$G$600,4,FALSE),D358)</f>
        <v>0</v>
      </c>
      <c r="E358" s="127">
        <f ca="1">_xlfn.IFNA(VLOOKUP(A358,Worksheet!$B$1:$G$600,5,FALSE),E358)</f>
        <v>0</v>
      </c>
      <c r="F358" t="s">
        <v>1450</v>
      </c>
    </row>
    <row r="359" spans="1:6" s="4" customFormat="1" hidden="1" x14ac:dyDescent="0.25">
      <c r="A359" s="1" t="s">
        <v>1110</v>
      </c>
      <c r="B359" s="188" t="s">
        <v>691</v>
      </c>
      <c r="C359" s="55">
        <f ca="1">AVERAGE(C360:C363)</f>
        <v>0</v>
      </c>
      <c r="D359" s="55">
        <f t="shared" ref="D359:E359" ca="1" si="61">AVERAGE(D360:D363)</f>
        <v>0</v>
      </c>
      <c r="E359" s="56">
        <f t="shared" ca="1" si="61"/>
        <v>0</v>
      </c>
      <c r="F359" t="s">
        <v>1450</v>
      </c>
    </row>
    <row r="360" spans="1:6" s="4" customFormat="1" hidden="1" x14ac:dyDescent="0.25">
      <c r="A360" s="1" t="s">
        <v>1392</v>
      </c>
      <c r="B360" s="189" t="s">
        <v>692</v>
      </c>
      <c r="C360" s="124">
        <f ca="1">_xlfn.IFNA(VLOOKUP(A360,Worksheet!$B$1:$G$600,3,FALSE),C360)</f>
        <v>0</v>
      </c>
      <c r="D360" s="124">
        <f ca="1">_xlfn.IFNA(VLOOKUP(A360,Worksheet!$B$1:$G$600,4,FALSE),D360)</f>
        <v>0</v>
      </c>
      <c r="E360" s="125">
        <f ca="1">_xlfn.IFNA(VLOOKUP(A360,Worksheet!$B$1:$G$600,5,FALSE),E360)</f>
        <v>0</v>
      </c>
      <c r="F360" t="s">
        <v>1450</v>
      </c>
    </row>
    <row r="361" spans="1:6" s="4" customFormat="1" hidden="1" x14ac:dyDescent="0.25">
      <c r="A361" s="1" t="s">
        <v>1393</v>
      </c>
      <c r="B361" s="189" t="s">
        <v>693</v>
      </c>
      <c r="C361" s="124">
        <f ca="1">_xlfn.IFNA(VLOOKUP(A361,Worksheet!$B$1:$G$600,3,FALSE),C361)</f>
        <v>0</v>
      </c>
      <c r="D361" s="124">
        <f ca="1">_xlfn.IFNA(VLOOKUP(A361,Worksheet!$B$1:$G$600,4,FALSE),D361)</f>
        <v>0</v>
      </c>
      <c r="E361" s="125">
        <f ca="1">_xlfn.IFNA(VLOOKUP(A361,Worksheet!$B$1:$G$600,5,FALSE),E361)</f>
        <v>0</v>
      </c>
      <c r="F361" t="s">
        <v>1450</v>
      </c>
    </row>
    <row r="362" spans="1:6" s="4" customFormat="1" hidden="1" x14ac:dyDescent="0.25">
      <c r="A362" s="1" t="s">
        <v>1394</v>
      </c>
      <c r="B362" s="189" t="s">
        <v>694</v>
      </c>
      <c r="C362" s="124">
        <f ca="1">_xlfn.IFNA(VLOOKUP(A362,Worksheet!$B$1:$G$600,3,FALSE),C362)</f>
        <v>0</v>
      </c>
      <c r="D362" s="124">
        <f ca="1">_xlfn.IFNA(VLOOKUP(A362,Worksheet!$B$1:$G$600,4,FALSE),D362)</f>
        <v>0</v>
      </c>
      <c r="E362" s="125">
        <f ca="1">_xlfn.IFNA(VLOOKUP(A362,Worksheet!$B$1:$G$600,5,FALSE),E362)</f>
        <v>0</v>
      </c>
      <c r="F362" t="s">
        <v>1450</v>
      </c>
    </row>
    <row r="363" spans="1:6" s="4" customFormat="1" hidden="1" x14ac:dyDescent="0.25">
      <c r="A363" s="1" t="s">
        <v>1395</v>
      </c>
      <c r="B363" s="189" t="s">
        <v>695</v>
      </c>
      <c r="C363" s="128">
        <f ca="1">_xlfn.IFNA(VLOOKUP(A363,Worksheet!$B$1:$G$600,3,FALSE),C363)</f>
        <v>0</v>
      </c>
      <c r="D363" s="128">
        <f ca="1">_xlfn.IFNA(VLOOKUP(A363,Worksheet!$B$1:$G$600,4,FALSE),D363)</f>
        <v>0</v>
      </c>
      <c r="E363" s="129">
        <f ca="1">_xlfn.IFNA(VLOOKUP(A363,Worksheet!$B$1:$G$600,5,FALSE),E363)</f>
        <v>0</v>
      </c>
      <c r="F363" t="s">
        <v>1450</v>
      </c>
    </row>
    <row r="364" spans="1:6" s="4" customFormat="1" hidden="1" x14ac:dyDescent="0.25">
      <c r="A364" s="1" t="s">
        <v>1396</v>
      </c>
      <c r="B364" s="189" t="s">
        <v>688</v>
      </c>
      <c r="C364" s="128">
        <f ca="1">_xlfn.IFNA(VLOOKUP(A364,Worksheet!$B$1:$G$600,3,FALSE),C364)</f>
        <v>0</v>
      </c>
      <c r="D364" s="128">
        <f ca="1">_xlfn.IFNA(VLOOKUP(A364,Worksheet!$B$1:$G$600,4,FALSE),D364)</f>
        <v>0</v>
      </c>
      <c r="E364" s="129">
        <f ca="1">_xlfn.IFNA(VLOOKUP(A364,Worksheet!$B$1:$G$600,5,FALSE),E364)</f>
        <v>0</v>
      </c>
      <c r="F364" t="s">
        <v>1450</v>
      </c>
    </row>
    <row r="365" spans="1:6" s="4" customFormat="1" hidden="1" x14ac:dyDescent="0.25">
      <c r="A365" s="1" t="s">
        <v>1397</v>
      </c>
      <c r="B365" s="188" t="s">
        <v>690</v>
      </c>
      <c r="C365" s="130">
        <f ca="1">_xlfn.IFNA(VLOOKUP(A365,Worksheet!$B$1:$G$600,3,FALSE),C365)</f>
        <v>0</v>
      </c>
      <c r="D365" s="130">
        <f ca="1">_xlfn.IFNA(VLOOKUP(A365,Worksheet!$B$1:$G$600,4,FALSE),D365)</f>
        <v>0</v>
      </c>
      <c r="E365" s="131">
        <f ca="1">_xlfn.IFNA(VLOOKUP(A365,Worksheet!$B$1:$G$600,5,FALSE),E365)</f>
        <v>0</v>
      </c>
      <c r="F365" t="s">
        <v>1450</v>
      </c>
    </row>
    <row r="366" spans="1:6" s="4" customFormat="1" hidden="1" x14ac:dyDescent="0.25">
      <c r="A366" s="36">
        <v>2</v>
      </c>
      <c r="B366" s="270" t="s">
        <v>27</v>
      </c>
      <c r="C366" s="271"/>
      <c r="D366" s="271"/>
      <c r="E366" s="272"/>
      <c r="F366" s="47" t="s">
        <v>92</v>
      </c>
    </row>
    <row r="367" spans="1:6" s="4" customFormat="1" hidden="1" x14ac:dyDescent="0.25">
      <c r="A367" s="1"/>
      <c r="B367" s="186" t="s">
        <v>6</v>
      </c>
      <c r="C367" s="142" t="s">
        <v>84</v>
      </c>
      <c r="D367" s="142" t="s">
        <v>85</v>
      </c>
      <c r="E367" s="143" t="s">
        <v>86</v>
      </c>
      <c r="F367" s="47" t="s">
        <v>92</v>
      </c>
    </row>
    <row r="368" spans="1:6" s="4" customFormat="1" hidden="1" x14ac:dyDescent="0.25">
      <c r="A368" s="36">
        <v>2.1</v>
      </c>
      <c r="B368" s="187" t="s">
        <v>215</v>
      </c>
      <c r="C368" s="142">
        <f ca="1">SUM(C369,C371,C373,C375)/3</f>
        <v>14.666666666666666</v>
      </c>
      <c r="D368" s="142">
        <f ca="1">SUM(D369,D371,D373,D375)/3</f>
        <v>38</v>
      </c>
      <c r="E368" s="143">
        <f ca="1">SUM(E369,E371,E373,E375)/3</f>
        <v>14.666666666666666</v>
      </c>
      <c r="F368" s="47" t="s">
        <v>92</v>
      </c>
    </row>
    <row r="369" spans="1:6" s="4" customFormat="1" hidden="1" x14ac:dyDescent="0.25">
      <c r="A369" s="1" t="s">
        <v>272</v>
      </c>
      <c r="B369" s="187" t="s">
        <v>740</v>
      </c>
      <c r="C369" s="142">
        <f ca="1">C370</f>
        <v>23</v>
      </c>
      <c r="D369" s="142">
        <f t="shared" ref="D369:E369" ca="1" si="62">D370</f>
        <v>71</v>
      </c>
      <c r="E369" s="143">
        <f t="shared" ca="1" si="62"/>
        <v>12</v>
      </c>
      <c r="F369" s="47" t="s">
        <v>92</v>
      </c>
    </row>
    <row r="370" spans="1:6" s="4" customFormat="1" hidden="1" x14ac:dyDescent="0.25">
      <c r="A370" s="1" t="s">
        <v>1113</v>
      </c>
      <c r="B370" s="187" t="s">
        <v>765</v>
      </c>
      <c r="C370" s="126">
        <f ca="1">_xlfn.IFNA(VLOOKUP(A370,Worksheet!$B$1:$G$600,3,FALSE),C370)</f>
        <v>23</v>
      </c>
      <c r="D370" s="126">
        <f ca="1">_xlfn.IFNA(VLOOKUP(A370,Worksheet!$B$1:$G$600,4,FALSE),D370)</f>
        <v>71</v>
      </c>
      <c r="E370" s="127">
        <f ca="1">_xlfn.IFNA(VLOOKUP(A370,Worksheet!$B$1:$G$600,5,FALSE),E370)</f>
        <v>12</v>
      </c>
      <c r="F370" s="47" t="s">
        <v>92</v>
      </c>
    </row>
    <row r="371" spans="1:6" hidden="1" x14ac:dyDescent="0.25">
      <c r="A371" s="1" t="s">
        <v>273</v>
      </c>
      <c r="B371" s="187" t="s">
        <v>741</v>
      </c>
      <c r="C371" s="142">
        <f ca="1">C372</f>
        <v>21</v>
      </c>
      <c r="D371" s="142">
        <f t="shared" ref="D371:E371" ca="1" si="63">D372</f>
        <v>43</v>
      </c>
      <c r="E371" s="143">
        <f t="shared" ca="1" si="63"/>
        <v>32</v>
      </c>
      <c r="F371" s="47" t="s">
        <v>92</v>
      </c>
    </row>
    <row r="372" spans="1:6" hidden="1" x14ac:dyDescent="0.25">
      <c r="A372" s="1" t="s">
        <v>274</v>
      </c>
      <c r="B372" s="187" t="s">
        <v>765</v>
      </c>
      <c r="C372" s="126">
        <f ca="1">_xlfn.IFNA(VLOOKUP(A372,Worksheet!$B$1:$G$600,3,FALSE),C372)</f>
        <v>21</v>
      </c>
      <c r="D372" s="126">
        <f ca="1">_xlfn.IFNA(VLOOKUP(A372,Worksheet!$B$1:$G$600,4,FALSE),D372)</f>
        <v>43</v>
      </c>
      <c r="E372" s="127">
        <f ca="1">_xlfn.IFNA(VLOOKUP(A372,Worksheet!$B$1:$G$600,5,FALSE),E372)</f>
        <v>32</v>
      </c>
      <c r="F372" s="47" t="s">
        <v>92</v>
      </c>
    </row>
    <row r="373" spans="1:6" s="4" customFormat="1" hidden="1" x14ac:dyDescent="0.25">
      <c r="A373" s="1" t="s">
        <v>275</v>
      </c>
      <c r="B373" s="187" t="s">
        <v>742</v>
      </c>
      <c r="C373" s="142">
        <f ca="1">C374</f>
        <v>0</v>
      </c>
      <c r="D373" s="142">
        <f t="shared" ref="D373:E373" ca="1" si="64">D374</f>
        <v>0</v>
      </c>
      <c r="E373" s="143">
        <f t="shared" ca="1" si="64"/>
        <v>0</v>
      </c>
      <c r="F373" s="47" t="s">
        <v>92</v>
      </c>
    </row>
    <row r="374" spans="1:6" s="4" customFormat="1" hidden="1" x14ac:dyDescent="0.25">
      <c r="A374" s="1" t="s">
        <v>276</v>
      </c>
      <c r="B374" s="187" t="s">
        <v>765</v>
      </c>
      <c r="C374" s="126">
        <f ca="1">_xlfn.IFNA(VLOOKUP(A374,Worksheet!$B$1:$G$600,3,FALSE),C374)</f>
        <v>0</v>
      </c>
      <c r="D374" s="126">
        <f ca="1">_xlfn.IFNA(VLOOKUP(A374,Worksheet!$B$1:$G$600,4,FALSE),D374)</f>
        <v>0</v>
      </c>
      <c r="E374" s="127">
        <f ca="1">_xlfn.IFNA(VLOOKUP(A374,Worksheet!$B$1:$G$600,5,FALSE),E374)</f>
        <v>0</v>
      </c>
      <c r="F374" s="47" t="s">
        <v>92</v>
      </c>
    </row>
    <row r="375" spans="1:6" hidden="1" x14ac:dyDescent="0.25">
      <c r="A375" s="1" t="s">
        <v>277</v>
      </c>
      <c r="B375" s="187" t="s">
        <v>743</v>
      </c>
      <c r="C375" s="142">
        <f ca="1">C376</f>
        <v>0</v>
      </c>
      <c r="D375" s="142">
        <f t="shared" ref="D375:E375" ca="1" si="65">D376</f>
        <v>0</v>
      </c>
      <c r="E375" s="143">
        <f t="shared" ca="1" si="65"/>
        <v>0</v>
      </c>
      <c r="F375" s="47" t="s">
        <v>92</v>
      </c>
    </row>
    <row r="376" spans="1:6" hidden="1" x14ac:dyDescent="0.25">
      <c r="A376" s="1" t="s">
        <v>278</v>
      </c>
      <c r="B376" s="187" t="s">
        <v>765</v>
      </c>
      <c r="C376" s="126">
        <f ca="1">_xlfn.IFNA(VLOOKUP(A376,Worksheet!$B$1:$G$600,3,FALSE),C376)</f>
        <v>0</v>
      </c>
      <c r="D376" s="126">
        <f ca="1">_xlfn.IFNA(VLOOKUP(A376,Worksheet!$B$1:$G$600,4,FALSE),D376)</f>
        <v>0</v>
      </c>
      <c r="E376" s="127">
        <f ca="1">_xlfn.IFNA(VLOOKUP(A376,Worksheet!$B$1:$G$600,5,FALSE),E376)</f>
        <v>0</v>
      </c>
      <c r="F376" s="47" t="s">
        <v>92</v>
      </c>
    </row>
    <row r="377" spans="1:6" hidden="1" x14ac:dyDescent="0.25">
      <c r="A377" s="1" t="s">
        <v>279</v>
      </c>
      <c r="B377" s="187" t="s">
        <v>744</v>
      </c>
      <c r="C377" s="142">
        <f ca="1">C378</f>
        <v>0</v>
      </c>
      <c r="D377" s="142">
        <f t="shared" ref="D377:E377" ca="1" si="66">D378</f>
        <v>0</v>
      </c>
      <c r="E377" s="143">
        <f t="shared" ca="1" si="66"/>
        <v>0</v>
      </c>
      <c r="F377" s="47" t="s">
        <v>92</v>
      </c>
    </row>
    <row r="378" spans="1:6" hidden="1" x14ac:dyDescent="0.25">
      <c r="A378" s="1" t="s">
        <v>280</v>
      </c>
      <c r="B378" s="187" t="s">
        <v>765</v>
      </c>
      <c r="C378" s="126">
        <f ca="1">_xlfn.IFNA(VLOOKUP(A378,Worksheet!$B$1:$G$600,3,FALSE),C378)</f>
        <v>0</v>
      </c>
      <c r="D378" s="126">
        <f ca="1">_xlfn.IFNA(VLOOKUP(A378,Worksheet!$B$1:$G$600,4,FALSE),D378)</f>
        <v>0</v>
      </c>
      <c r="E378" s="127">
        <f ca="1">_xlfn.IFNA(VLOOKUP(A378,Worksheet!$B$1:$G$600,5,FALSE),E378)</f>
        <v>0</v>
      </c>
      <c r="F378" s="47" t="s">
        <v>92</v>
      </c>
    </row>
    <row r="379" spans="1:6" hidden="1" x14ac:dyDescent="0.25">
      <c r="A379" s="1"/>
      <c r="B379" s="191" t="s">
        <v>12</v>
      </c>
      <c r="C379" s="142"/>
      <c r="D379" s="142"/>
      <c r="E379" s="145"/>
      <c r="F379" s="47" t="s">
        <v>92</v>
      </c>
    </row>
    <row r="380" spans="1:6" hidden="1" x14ac:dyDescent="0.25">
      <c r="A380" s="36">
        <v>2.2000000000000002</v>
      </c>
      <c r="B380" s="192" t="s">
        <v>214</v>
      </c>
      <c r="C380" s="142">
        <f ca="1">C381</f>
        <v>0</v>
      </c>
      <c r="D380" s="142">
        <f t="shared" ref="D380:E380" ca="1" si="67">D381</f>
        <v>0</v>
      </c>
      <c r="E380" s="143">
        <f t="shared" ca="1" si="67"/>
        <v>0</v>
      </c>
      <c r="F380" s="47" t="s">
        <v>92</v>
      </c>
    </row>
    <row r="381" spans="1:6" hidden="1" x14ac:dyDescent="0.25">
      <c r="A381" s="1" t="s">
        <v>281</v>
      </c>
      <c r="B381" s="187" t="s">
        <v>745</v>
      </c>
      <c r="C381" s="150">
        <f ca="1">AVERAGE(C382:C384)</f>
        <v>0</v>
      </c>
      <c r="D381" s="149">
        <f ca="1">AVERAGE(D382:D384)</f>
        <v>0</v>
      </c>
      <c r="E381" s="62">
        <f ca="1">AVERAGE(E382:E384)</f>
        <v>0</v>
      </c>
      <c r="F381" s="47" t="s">
        <v>92</v>
      </c>
    </row>
    <row r="382" spans="1:6" hidden="1" x14ac:dyDescent="0.25">
      <c r="A382" s="1" t="s">
        <v>282</v>
      </c>
      <c r="B382" s="197" t="s">
        <v>28</v>
      </c>
      <c r="C382" s="124">
        <f ca="1">_xlfn.IFNA(VLOOKUP(A382,Worksheet!$B$1:$G$600,3,FALSE),C382)</f>
        <v>0</v>
      </c>
      <c r="D382" s="124">
        <f ca="1">_xlfn.IFNA(VLOOKUP(A382,Worksheet!$B$1:$G$600,4,FALSE),D382)</f>
        <v>0</v>
      </c>
      <c r="E382" s="125">
        <f ca="1">_xlfn.IFNA(VLOOKUP(A382,Worksheet!$B$1:$G$600,5,FALSE),E382)</f>
        <v>0</v>
      </c>
      <c r="F382" s="47" t="s">
        <v>92</v>
      </c>
    </row>
    <row r="383" spans="1:6" hidden="1" x14ac:dyDescent="0.25">
      <c r="A383" s="1" t="s">
        <v>1114</v>
      </c>
      <c r="B383" s="190" t="s">
        <v>799</v>
      </c>
      <c r="C383" s="124">
        <f ca="1">_xlfn.IFNA(VLOOKUP(A383,Worksheet!$B$1:$G$600,3,FALSE),C383)</f>
        <v>0</v>
      </c>
      <c r="D383" s="124">
        <f ca="1">_xlfn.IFNA(VLOOKUP(A383,Worksheet!$B$1:$G$600,4,FALSE),D383)</f>
        <v>0</v>
      </c>
      <c r="E383" s="125">
        <f ca="1">_xlfn.IFNA(VLOOKUP(A383,Worksheet!$B$1:$G$600,5,FALSE),E383)</f>
        <v>0</v>
      </c>
      <c r="F383" s="47" t="s">
        <v>92</v>
      </c>
    </row>
    <row r="384" spans="1:6" hidden="1" x14ac:dyDescent="0.25">
      <c r="A384" s="1" t="s">
        <v>1115</v>
      </c>
      <c r="B384" s="187" t="s">
        <v>761</v>
      </c>
      <c r="C384" s="126">
        <f ca="1">_xlfn.IFNA(VLOOKUP(A384,Worksheet!$B$1:$G$600,3,FALSE),C384)</f>
        <v>0</v>
      </c>
      <c r="D384" s="126">
        <f ca="1">_xlfn.IFNA(VLOOKUP(A384,Worksheet!$B$1:$G$600,4,FALSE),D384)</f>
        <v>0</v>
      </c>
      <c r="E384" s="127">
        <f ca="1">_xlfn.IFNA(VLOOKUP(A384,Worksheet!$B$1:$G$600,5,FALSE),E384)</f>
        <v>0</v>
      </c>
      <c r="F384" s="47" t="s">
        <v>92</v>
      </c>
    </row>
    <row r="385" spans="1:6" hidden="1" x14ac:dyDescent="0.25">
      <c r="A385" s="1" t="s">
        <v>281</v>
      </c>
      <c r="B385" s="192" t="s">
        <v>1441</v>
      </c>
      <c r="C385" s="150">
        <f ca="1">AVERAGE(C386:C388)</f>
        <v>0</v>
      </c>
      <c r="D385" s="149">
        <f ca="1">AVERAGE(D386:D388)</f>
        <v>0</v>
      </c>
      <c r="E385" s="62">
        <f ca="1">AVERAGE(E386:E388)</f>
        <v>0</v>
      </c>
      <c r="F385" s="47" t="s">
        <v>92</v>
      </c>
    </row>
    <row r="386" spans="1:6" hidden="1" x14ac:dyDescent="0.25">
      <c r="A386" s="1" t="s">
        <v>282</v>
      </c>
      <c r="B386" s="190" t="s">
        <v>28</v>
      </c>
      <c r="C386" s="124">
        <f ca="1">_xlfn.IFNA(VLOOKUP(A386,Worksheet!$B$1:$G$600,3,FALSE),C386)</f>
        <v>0</v>
      </c>
      <c r="D386" s="124">
        <f ca="1">_xlfn.IFNA(VLOOKUP(A386,Worksheet!$B$1:$G$600,4,FALSE),D386)</f>
        <v>0</v>
      </c>
      <c r="E386" s="124">
        <f ca="1">_xlfn.IFNA(VLOOKUP(A386,Worksheet!$B$1:$G$600,5,FALSE),E386)</f>
        <v>0</v>
      </c>
      <c r="F386" s="47" t="s">
        <v>92</v>
      </c>
    </row>
    <row r="387" spans="1:6" hidden="1" x14ac:dyDescent="0.25">
      <c r="A387" s="1" t="s">
        <v>1114</v>
      </c>
      <c r="B387" s="190" t="s">
        <v>799</v>
      </c>
      <c r="C387" s="124">
        <f ca="1">_xlfn.IFNA(VLOOKUP(A387,Worksheet!$B$1:$G$600,3,FALSE),C387)</f>
        <v>0</v>
      </c>
      <c r="D387" s="124">
        <f ca="1">_xlfn.IFNA(VLOOKUP(A387,Worksheet!$B$1:$G$600,4,FALSE),D387)</f>
        <v>0</v>
      </c>
      <c r="E387" s="124">
        <f ca="1">_xlfn.IFNA(VLOOKUP(A387,Worksheet!$B$1:$G$600,5,FALSE),E387)</f>
        <v>0</v>
      </c>
      <c r="F387" s="47" t="s">
        <v>92</v>
      </c>
    </row>
    <row r="388" spans="1:6" hidden="1" x14ac:dyDescent="0.25">
      <c r="A388" s="1" t="s">
        <v>1115</v>
      </c>
      <c r="B388" s="187" t="s">
        <v>761</v>
      </c>
      <c r="C388" s="126">
        <f ca="1">_xlfn.IFNA(VLOOKUP(A388,Worksheet!$B$1:$G$600,3,FALSE),C388)</f>
        <v>0</v>
      </c>
      <c r="D388" s="126">
        <f ca="1">_xlfn.IFNA(VLOOKUP(A388,Worksheet!$B$1:$G$600,4,FALSE),D388)</f>
        <v>0</v>
      </c>
      <c r="E388" s="127">
        <f ca="1">_xlfn.IFNA(VLOOKUP(A388,Worksheet!$B$1:$G$600,5,FALSE),E388)</f>
        <v>0</v>
      </c>
      <c r="F388" s="47" t="s">
        <v>92</v>
      </c>
    </row>
    <row r="389" spans="1:6" hidden="1" x14ac:dyDescent="0.25">
      <c r="A389" s="1"/>
      <c r="B389" s="198" t="s">
        <v>13</v>
      </c>
      <c r="C389" s="55"/>
      <c r="D389" s="55"/>
      <c r="E389" s="56"/>
      <c r="F389" s="47" t="s">
        <v>92</v>
      </c>
    </row>
    <row r="390" spans="1:6" hidden="1" x14ac:dyDescent="0.25">
      <c r="A390" s="36">
        <v>2.2999999999999998</v>
      </c>
      <c r="B390" s="192" t="s">
        <v>792</v>
      </c>
      <c r="C390" s="142">
        <f ca="1">SUM(C391,C406)/2</f>
        <v>0</v>
      </c>
      <c r="D390" s="142">
        <f t="shared" ref="D390:E390" ca="1" si="68">SUM(D391,D406)/2</f>
        <v>0</v>
      </c>
      <c r="E390" s="143">
        <f t="shared" ca="1" si="68"/>
        <v>0</v>
      </c>
      <c r="F390" s="47" t="s">
        <v>92</v>
      </c>
    </row>
    <row r="391" spans="1:6" hidden="1" x14ac:dyDescent="0.25">
      <c r="A391" s="1" t="s">
        <v>283</v>
      </c>
      <c r="B391" s="187" t="s">
        <v>749</v>
      </c>
      <c r="C391" s="144">
        <f ca="1">SUM(C392,C399)</f>
        <v>0</v>
      </c>
      <c r="D391" s="144">
        <f t="shared" ref="D391:E391" ca="1" si="69">SUM(D392,D399)</f>
        <v>0</v>
      </c>
      <c r="E391" s="145">
        <f t="shared" ca="1" si="69"/>
        <v>0</v>
      </c>
      <c r="F391" s="47" t="s">
        <v>92</v>
      </c>
    </row>
    <row r="392" spans="1:6" hidden="1" x14ac:dyDescent="0.25">
      <c r="A392" s="1" t="s">
        <v>284</v>
      </c>
      <c r="B392" s="187" t="s">
        <v>117</v>
      </c>
      <c r="C392" s="142">
        <f ca="1">SUM(C393:C398)</f>
        <v>0</v>
      </c>
      <c r="D392" s="142">
        <f t="shared" ref="D392:E392" ca="1" si="70">SUM(D393:D398)</f>
        <v>0</v>
      </c>
      <c r="E392" s="143">
        <f t="shared" ca="1" si="70"/>
        <v>0</v>
      </c>
      <c r="F392" s="47" t="s">
        <v>92</v>
      </c>
    </row>
    <row r="393" spans="1:6" hidden="1" x14ac:dyDescent="0.25">
      <c r="A393" s="1" t="s">
        <v>285</v>
      </c>
      <c r="B393" s="194" t="s">
        <v>31</v>
      </c>
      <c r="C393" s="124">
        <f ca="1">_xlfn.IFNA(VLOOKUP(A393,Worksheet!$B$1:$G$600,3,FALSE),C393)</f>
        <v>0</v>
      </c>
      <c r="D393" s="124">
        <f ca="1">_xlfn.IFNA(VLOOKUP(A393,Worksheet!$B$1:$G$600,4,FALSE),D393)</f>
        <v>0</v>
      </c>
      <c r="E393" s="125">
        <f ca="1">_xlfn.IFNA(VLOOKUP(A393,Worksheet!$B$1:$G$600,5,FALSE),E393)</f>
        <v>0</v>
      </c>
      <c r="F393" s="47" t="s">
        <v>92</v>
      </c>
    </row>
    <row r="394" spans="1:6" hidden="1" x14ac:dyDescent="0.25">
      <c r="A394" s="1" t="s">
        <v>286</v>
      </c>
      <c r="B394" s="194" t="s">
        <v>18</v>
      </c>
      <c r="C394" s="124">
        <f ca="1">_xlfn.IFNA(VLOOKUP(A394,Worksheet!$B$1:$G$600,3,FALSE),C394)</f>
        <v>0</v>
      </c>
      <c r="D394" s="124">
        <f ca="1">_xlfn.IFNA(VLOOKUP(A394,Worksheet!$B$1:$G$600,4,FALSE),D394)</f>
        <v>0</v>
      </c>
      <c r="E394" s="125">
        <f ca="1">_xlfn.IFNA(VLOOKUP(A394,Worksheet!$B$1:$G$600,5,FALSE),E394)</f>
        <v>0</v>
      </c>
      <c r="F394" s="47" t="s">
        <v>92</v>
      </c>
    </row>
    <row r="395" spans="1:6" hidden="1" x14ac:dyDescent="0.25">
      <c r="A395" s="1" t="s">
        <v>287</v>
      </c>
      <c r="B395" s="189" t="s">
        <v>19</v>
      </c>
      <c r="C395" s="124">
        <f ca="1">_xlfn.IFNA(VLOOKUP(A395,Worksheet!$B$1:$G$600,3,FALSE),C395)</f>
        <v>0</v>
      </c>
      <c r="D395" s="124">
        <f ca="1">_xlfn.IFNA(VLOOKUP(A395,Worksheet!$B$1:$G$600,4,FALSE),D395)</f>
        <v>0</v>
      </c>
      <c r="E395" s="125">
        <f ca="1">_xlfn.IFNA(VLOOKUP(A395,Worksheet!$B$1:$G$600,5,FALSE),E395)</f>
        <v>0</v>
      </c>
      <c r="F395" s="47" t="s">
        <v>92</v>
      </c>
    </row>
    <row r="396" spans="1:6" hidden="1" x14ac:dyDescent="0.25">
      <c r="A396" s="1" t="s">
        <v>288</v>
      </c>
      <c r="B396" s="189" t="s">
        <v>20</v>
      </c>
      <c r="C396" s="124">
        <f ca="1">_xlfn.IFNA(VLOOKUP(A396,Worksheet!$B$1:$G$600,3,FALSE),C396)</f>
        <v>0</v>
      </c>
      <c r="D396" s="124">
        <f ca="1">_xlfn.IFNA(VLOOKUP(A396,Worksheet!$B$1:$G$600,4,FALSE),D396)</f>
        <v>0</v>
      </c>
      <c r="E396" s="125">
        <f ca="1">_xlfn.IFNA(VLOOKUP(A396,Worksheet!$B$1:$G$600,5,FALSE),E396)</f>
        <v>0</v>
      </c>
      <c r="F396" s="47" t="s">
        <v>92</v>
      </c>
    </row>
    <row r="397" spans="1:6" hidden="1" x14ac:dyDescent="0.25">
      <c r="A397" s="1" t="s">
        <v>289</v>
      </c>
      <c r="B397" s="189" t="s">
        <v>21</v>
      </c>
      <c r="C397" s="124">
        <f ca="1">_xlfn.IFNA(VLOOKUP(A397,Worksheet!$B$1:$G$600,3,FALSE),C397)</f>
        <v>0</v>
      </c>
      <c r="D397" s="124">
        <f ca="1">_xlfn.IFNA(VLOOKUP(A397,Worksheet!$B$1:$G$600,4,FALSE),D397)</f>
        <v>0</v>
      </c>
      <c r="E397" s="125">
        <f ca="1">_xlfn.IFNA(VLOOKUP(A397,Worksheet!$B$1:$G$600,5,FALSE),E397)</f>
        <v>0</v>
      </c>
      <c r="F397" s="47" t="s">
        <v>92</v>
      </c>
    </row>
    <row r="398" spans="1:6" hidden="1" x14ac:dyDescent="0.25">
      <c r="A398" s="1" t="s">
        <v>290</v>
      </c>
      <c r="B398" s="188" t="s">
        <v>22</v>
      </c>
      <c r="C398" s="126">
        <f ca="1">_xlfn.IFNA(VLOOKUP(A398,Worksheet!$B$1:$G$600,3,FALSE),C398)</f>
        <v>0</v>
      </c>
      <c r="D398" s="126">
        <f ca="1">_xlfn.IFNA(VLOOKUP(A398,Worksheet!$B$1:$G$600,4,FALSE),D398)</f>
        <v>0</v>
      </c>
      <c r="E398" s="127">
        <f ca="1">_xlfn.IFNA(VLOOKUP(A398,Worksheet!$B$1:$G$600,5,FALSE),E398)</f>
        <v>0</v>
      </c>
      <c r="F398" s="47" t="s">
        <v>92</v>
      </c>
    </row>
    <row r="399" spans="1:6" hidden="1" x14ac:dyDescent="0.25">
      <c r="A399" s="1" t="s">
        <v>291</v>
      </c>
      <c r="B399" s="187" t="s">
        <v>707</v>
      </c>
      <c r="C399" s="142">
        <f ca="1">SUM(C400:C405)</f>
        <v>0</v>
      </c>
      <c r="D399" s="142">
        <f t="shared" ref="D399:E399" ca="1" si="71">SUM(D400:D405)</f>
        <v>0</v>
      </c>
      <c r="E399" s="143">
        <f t="shared" ca="1" si="71"/>
        <v>0</v>
      </c>
      <c r="F399" s="47" t="s">
        <v>92</v>
      </c>
    </row>
    <row r="400" spans="1:6" hidden="1" x14ac:dyDescent="0.25">
      <c r="A400" s="1" t="s">
        <v>1107</v>
      </c>
      <c r="B400" s="194" t="s">
        <v>31</v>
      </c>
      <c r="C400" s="124">
        <f ca="1">_xlfn.IFNA(VLOOKUP(A400,Worksheet!$B$1:$G$600,3,FALSE),C400)</f>
        <v>0</v>
      </c>
      <c r="D400" s="124">
        <f ca="1">_xlfn.IFNA(VLOOKUP(A400,Worksheet!$B$1:$G$600,4,FALSE),D400)</f>
        <v>0</v>
      </c>
      <c r="E400" s="125">
        <f ca="1">_xlfn.IFNA(VLOOKUP(A400,Worksheet!$B$1:$G$600,5,FALSE),E400)</f>
        <v>0</v>
      </c>
      <c r="F400" s="47" t="s">
        <v>92</v>
      </c>
    </row>
    <row r="401" spans="1:6" hidden="1" x14ac:dyDescent="0.25">
      <c r="A401" s="1" t="s">
        <v>1108</v>
      </c>
      <c r="B401" s="194" t="s">
        <v>18</v>
      </c>
      <c r="C401" s="124">
        <f ca="1">_xlfn.IFNA(VLOOKUP(A401,Worksheet!$B$1:$G$600,3,FALSE),C401)</f>
        <v>0</v>
      </c>
      <c r="D401" s="124">
        <f ca="1">_xlfn.IFNA(VLOOKUP(A401,Worksheet!$B$1:$G$600,4,FALSE),D401)</f>
        <v>0</v>
      </c>
      <c r="E401" s="125">
        <f ca="1">_xlfn.IFNA(VLOOKUP(A401,Worksheet!$B$1:$G$600,5,FALSE),E401)</f>
        <v>0</v>
      </c>
      <c r="F401" s="47" t="s">
        <v>92</v>
      </c>
    </row>
    <row r="402" spans="1:6" hidden="1" x14ac:dyDescent="0.25">
      <c r="A402" s="1" t="s">
        <v>1116</v>
      </c>
      <c r="B402" s="189" t="s">
        <v>19</v>
      </c>
      <c r="C402" s="124">
        <f ca="1">_xlfn.IFNA(VLOOKUP(A402,Worksheet!$B$1:$G$600,3,FALSE),C402)</f>
        <v>0</v>
      </c>
      <c r="D402" s="124">
        <f ca="1">_xlfn.IFNA(VLOOKUP(A402,Worksheet!$B$1:$G$600,4,FALSE),D402)</f>
        <v>0</v>
      </c>
      <c r="E402" s="125">
        <f ca="1">_xlfn.IFNA(VLOOKUP(A402,Worksheet!$B$1:$G$600,5,FALSE),E402)</f>
        <v>0</v>
      </c>
      <c r="F402" s="47" t="s">
        <v>92</v>
      </c>
    </row>
    <row r="403" spans="1:6" hidden="1" x14ac:dyDescent="0.25">
      <c r="A403" s="1" t="s">
        <v>1117</v>
      </c>
      <c r="B403" s="189" t="s">
        <v>20</v>
      </c>
      <c r="C403" s="124">
        <f ca="1">_xlfn.IFNA(VLOOKUP(A403,Worksheet!$B$1:$G$600,3,FALSE),C403)</f>
        <v>0</v>
      </c>
      <c r="D403" s="124">
        <f ca="1">_xlfn.IFNA(VLOOKUP(A403,Worksheet!$B$1:$G$600,4,FALSE),D403)</f>
        <v>0</v>
      </c>
      <c r="E403" s="125">
        <f ca="1">_xlfn.IFNA(VLOOKUP(A403,Worksheet!$B$1:$G$600,5,FALSE),E403)</f>
        <v>0</v>
      </c>
      <c r="F403" s="47" t="s">
        <v>92</v>
      </c>
    </row>
    <row r="404" spans="1:6" hidden="1" x14ac:dyDescent="0.25">
      <c r="A404" s="1" t="s">
        <v>1118</v>
      </c>
      <c r="B404" s="189" t="s">
        <v>21</v>
      </c>
      <c r="C404" s="124">
        <f ca="1">_xlfn.IFNA(VLOOKUP(A404,Worksheet!$B$1:$G$600,3,FALSE),C404)</f>
        <v>0</v>
      </c>
      <c r="D404" s="124">
        <f ca="1">_xlfn.IFNA(VLOOKUP(A404,Worksheet!$B$1:$G$600,4,FALSE),D404)</f>
        <v>0</v>
      </c>
      <c r="E404" s="125">
        <f ca="1">_xlfn.IFNA(VLOOKUP(A404,Worksheet!$B$1:$G$600,5,FALSE),E404)</f>
        <v>0</v>
      </c>
      <c r="F404" s="47" t="s">
        <v>92</v>
      </c>
    </row>
    <row r="405" spans="1:6" hidden="1" x14ac:dyDescent="0.25">
      <c r="A405" s="1" t="s">
        <v>1119</v>
      </c>
      <c r="B405" s="188" t="s">
        <v>22</v>
      </c>
      <c r="C405" s="126">
        <f ca="1">_xlfn.IFNA(VLOOKUP(A405,Worksheet!$B$1:$G$600,3,FALSE),C405)</f>
        <v>0</v>
      </c>
      <c r="D405" s="126">
        <f ca="1">_xlfn.IFNA(VLOOKUP(A405,Worksheet!$B$1:$G$600,4,FALSE),D405)</f>
        <v>0</v>
      </c>
      <c r="E405" s="127">
        <f ca="1">_xlfn.IFNA(VLOOKUP(A405,Worksheet!$B$1:$G$600,5,FALSE),E405)</f>
        <v>0</v>
      </c>
      <c r="F405" s="47" t="s">
        <v>92</v>
      </c>
    </row>
    <row r="406" spans="1:6" hidden="1" x14ac:dyDescent="0.25">
      <c r="A406" s="1" t="s">
        <v>292</v>
      </c>
      <c r="B406" s="187" t="s">
        <v>748</v>
      </c>
      <c r="C406" s="142">
        <f ca="1">SUM(C407,C422)</f>
        <v>0</v>
      </c>
      <c r="D406" s="142">
        <f t="shared" ref="D406:E406" ca="1" si="72">SUM(D407,D422)</f>
        <v>0</v>
      </c>
      <c r="E406" s="143">
        <f t="shared" ca="1" si="72"/>
        <v>0</v>
      </c>
      <c r="F406" s="47" t="s">
        <v>92</v>
      </c>
    </row>
    <row r="407" spans="1:6" hidden="1" x14ac:dyDescent="0.25">
      <c r="A407" s="1" t="s">
        <v>293</v>
      </c>
      <c r="B407" s="187" t="s">
        <v>29</v>
      </c>
      <c r="C407" s="142">
        <f ca="1">SUM(C408,C415)</f>
        <v>0</v>
      </c>
      <c r="D407" s="142">
        <f t="shared" ref="D407:E407" ca="1" si="73">SUM(D408,D415)</f>
        <v>0</v>
      </c>
      <c r="E407" s="143">
        <f t="shared" ca="1" si="73"/>
        <v>0</v>
      </c>
      <c r="F407" s="47" t="s">
        <v>92</v>
      </c>
    </row>
    <row r="408" spans="1:6" hidden="1" x14ac:dyDescent="0.25">
      <c r="A408" s="1" t="s">
        <v>295</v>
      </c>
      <c r="B408" s="187" t="s">
        <v>28</v>
      </c>
      <c r="C408" s="142">
        <f ca="1">SUM(C409:C414)</f>
        <v>0</v>
      </c>
      <c r="D408" s="142">
        <f t="shared" ref="D408:E408" ca="1" si="74">SUM(D409:D414)</f>
        <v>0</v>
      </c>
      <c r="E408" s="143">
        <f t="shared" ca="1" si="74"/>
        <v>0</v>
      </c>
      <c r="F408" s="47" t="s">
        <v>92</v>
      </c>
    </row>
    <row r="409" spans="1:6" hidden="1" x14ac:dyDescent="0.25">
      <c r="A409" s="1" t="s">
        <v>296</v>
      </c>
      <c r="B409" s="194" t="s">
        <v>31</v>
      </c>
      <c r="C409" s="124">
        <f ca="1">_xlfn.IFNA(VLOOKUP(A409,Worksheet!$B$1:$G$600,3,FALSE),C409)</f>
        <v>0</v>
      </c>
      <c r="D409" s="124">
        <f ca="1">_xlfn.IFNA(VLOOKUP(A409,Worksheet!$B$1:$G$600,4,FALSE),D409)</f>
        <v>0</v>
      </c>
      <c r="E409" s="125">
        <f ca="1">_xlfn.IFNA(VLOOKUP(A409,Worksheet!$B$1:$G$600,5,FALSE),E409)</f>
        <v>0</v>
      </c>
      <c r="F409" s="47" t="s">
        <v>92</v>
      </c>
    </row>
    <row r="410" spans="1:6" hidden="1" x14ac:dyDescent="0.25">
      <c r="A410" s="1" t="s">
        <v>297</v>
      </c>
      <c r="B410" s="194" t="s">
        <v>18</v>
      </c>
      <c r="C410" s="124">
        <f ca="1">_xlfn.IFNA(VLOOKUP(A410,Worksheet!$B$1:$G$600,3,FALSE),C410)</f>
        <v>0</v>
      </c>
      <c r="D410" s="124">
        <f ca="1">_xlfn.IFNA(VLOOKUP(A410,Worksheet!$B$1:$G$600,4,FALSE),D410)</f>
        <v>0</v>
      </c>
      <c r="E410" s="125">
        <f ca="1">_xlfn.IFNA(VLOOKUP(A410,Worksheet!$B$1:$G$600,5,FALSE),E410)</f>
        <v>0</v>
      </c>
      <c r="F410" s="47" t="s">
        <v>92</v>
      </c>
    </row>
    <row r="411" spans="1:6" hidden="1" x14ac:dyDescent="0.25">
      <c r="A411" s="1" t="s">
        <v>298</v>
      </c>
      <c r="B411" s="189" t="s">
        <v>19</v>
      </c>
      <c r="C411" s="124">
        <f ca="1">_xlfn.IFNA(VLOOKUP(A411,Worksheet!$B$1:$G$600,3,FALSE),C411)</f>
        <v>0</v>
      </c>
      <c r="D411" s="124">
        <f ca="1">_xlfn.IFNA(VLOOKUP(A411,Worksheet!$B$1:$G$600,4,FALSE),D411)</f>
        <v>0</v>
      </c>
      <c r="E411" s="125">
        <f ca="1">_xlfn.IFNA(VLOOKUP(A411,Worksheet!$B$1:$G$600,5,FALSE),E411)</f>
        <v>0</v>
      </c>
      <c r="F411" s="47" t="s">
        <v>92</v>
      </c>
    </row>
    <row r="412" spans="1:6" hidden="1" x14ac:dyDescent="0.25">
      <c r="A412" s="1" t="s">
        <v>299</v>
      </c>
      <c r="B412" s="189" t="s">
        <v>20</v>
      </c>
      <c r="C412" s="124">
        <f ca="1">_xlfn.IFNA(VLOOKUP(A412,Worksheet!$B$1:$G$600,3,FALSE),C412)</f>
        <v>0</v>
      </c>
      <c r="D412" s="124">
        <f ca="1">_xlfn.IFNA(VLOOKUP(A412,Worksheet!$B$1:$G$600,4,FALSE),D412)</f>
        <v>0</v>
      </c>
      <c r="E412" s="125">
        <f ca="1">_xlfn.IFNA(VLOOKUP(A412,Worksheet!$B$1:$G$600,5,FALSE),E412)</f>
        <v>0</v>
      </c>
      <c r="F412" s="47" t="s">
        <v>92</v>
      </c>
    </row>
    <row r="413" spans="1:6" hidden="1" x14ac:dyDescent="0.25">
      <c r="A413" s="1" t="s">
        <v>300</v>
      </c>
      <c r="B413" s="189" t="s">
        <v>21</v>
      </c>
      <c r="C413" s="124">
        <f ca="1">_xlfn.IFNA(VLOOKUP(A413,Worksheet!$B$1:$G$600,3,FALSE),C413)</f>
        <v>0</v>
      </c>
      <c r="D413" s="124">
        <f ca="1">_xlfn.IFNA(VLOOKUP(A413,Worksheet!$B$1:$G$600,4,FALSE),D413)</f>
        <v>0</v>
      </c>
      <c r="E413" s="125">
        <f ca="1">_xlfn.IFNA(VLOOKUP(A413,Worksheet!$B$1:$G$600,5,FALSE),E413)</f>
        <v>0</v>
      </c>
      <c r="F413" s="47" t="s">
        <v>92</v>
      </c>
    </row>
    <row r="414" spans="1:6" hidden="1" x14ac:dyDescent="0.25">
      <c r="A414" s="1" t="s">
        <v>301</v>
      </c>
      <c r="B414" s="188" t="s">
        <v>22</v>
      </c>
      <c r="C414" s="126">
        <f ca="1">_xlfn.IFNA(VLOOKUP(A414,Worksheet!$B$1:$G$600,3,FALSE),C414)</f>
        <v>0</v>
      </c>
      <c r="D414" s="126">
        <f ca="1">_xlfn.IFNA(VLOOKUP(A414,Worksheet!$B$1:$G$600,4,FALSE),D414)</f>
        <v>0</v>
      </c>
      <c r="E414" s="127">
        <f ca="1">_xlfn.IFNA(VLOOKUP(A414,Worksheet!$B$1:$G$600,5,FALSE),E414)</f>
        <v>0</v>
      </c>
      <c r="F414" s="47" t="s">
        <v>92</v>
      </c>
    </row>
    <row r="415" spans="1:6" hidden="1" x14ac:dyDescent="0.25">
      <c r="A415" s="1" t="s">
        <v>302</v>
      </c>
      <c r="B415" s="187" t="s">
        <v>708</v>
      </c>
      <c r="C415" s="142">
        <f ca="1">SUM(C416:C421)</f>
        <v>0</v>
      </c>
      <c r="D415" s="142">
        <f t="shared" ref="D415:E415" ca="1" si="75">SUM(D416:D421)</f>
        <v>0</v>
      </c>
      <c r="E415" s="143">
        <f t="shared" ca="1" si="75"/>
        <v>0</v>
      </c>
      <c r="F415" s="47" t="s">
        <v>92</v>
      </c>
    </row>
    <row r="416" spans="1:6" hidden="1" x14ac:dyDescent="0.25">
      <c r="A416" s="1" t="s">
        <v>1120</v>
      </c>
      <c r="B416" s="194" t="s">
        <v>31</v>
      </c>
      <c r="C416" s="124">
        <f ca="1">_xlfn.IFNA(VLOOKUP(A416,Worksheet!$B$1:$G$600,3,FALSE),C416)</f>
        <v>0</v>
      </c>
      <c r="D416" s="124">
        <f ca="1">_xlfn.IFNA(VLOOKUP(A416,Worksheet!$B$1:$G$600,4,FALSE),D416)</f>
        <v>0</v>
      </c>
      <c r="E416" s="125">
        <f ca="1">_xlfn.IFNA(VLOOKUP(A416,Worksheet!$B$1:$G$600,5,FALSE),E416)</f>
        <v>0</v>
      </c>
      <c r="F416" s="47" t="s">
        <v>92</v>
      </c>
    </row>
    <row r="417" spans="1:6" hidden="1" x14ac:dyDescent="0.25">
      <c r="A417" s="1" t="s">
        <v>1121</v>
      </c>
      <c r="B417" s="194" t="s">
        <v>18</v>
      </c>
      <c r="C417" s="124">
        <f ca="1">_xlfn.IFNA(VLOOKUP(A417,Worksheet!$B$1:$G$600,3,FALSE),C417)</f>
        <v>0</v>
      </c>
      <c r="D417" s="124">
        <f ca="1">_xlfn.IFNA(VLOOKUP(A417,Worksheet!$B$1:$G$600,4,FALSE),D417)</f>
        <v>0</v>
      </c>
      <c r="E417" s="125">
        <f ca="1">_xlfn.IFNA(VLOOKUP(A417,Worksheet!$B$1:$G$600,5,FALSE),E417)</f>
        <v>0</v>
      </c>
      <c r="F417" s="47" t="s">
        <v>92</v>
      </c>
    </row>
    <row r="418" spans="1:6" hidden="1" x14ac:dyDescent="0.25">
      <c r="A418" s="1" t="s">
        <v>303</v>
      </c>
      <c r="B418" s="189" t="s">
        <v>19</v>
      </c>
      <c r="C418" s="124">
        <f ca="1">_xlfn.IFNA(VLOOKUP(A418,Worksheet!$B$1:$G$600,3,FALSE),C418)</f>
        <v>0</v>
      </c>
      <c r="D418" s="124">
        <f ca="1">_xlfn.IFNA(VLOOKUP(A418,Worksheet!$B$1:$G$600,4,FALSE),D418)</f>
        <v>0</v>
      </c>
      <c r="E418" s="125">
        <f ca="1">_xlfn.IFNA(VLOOKUP(A418,Worksheet!$B$1:$G$600,5,FALSE),E418)</f>
        <v>0</v>
      </c>
      <c r="F418" s="47" t="s">
        <v>92</v>
      </c>
    </row>
    <row r="419" spans="1:6" hidden="1" x14ac:dyDescent="0.25">
      <c r="A419" s="1" t="s">
        <v>304</v>
      </c>
      <c r="B419" s="189" t="s">
        <v>20</v>
      </c>
      <c r="C419" s="124">
        <f ca="1">_xlfn.IFNA(VLOOKUP(A419,Worksheet!$B$1:$G$600,3,FALSE),C419)</f>
        <v>0</v>
      </c>
      <c r="D419" s="124">
        <f ca="1">_xlfn.IFNA(VLOOKUP(A419,Worksheet!$B$1:$G$600,4,FALSE),D419)</f>
        <v>0</v>
      </c>
      <c r="E419" s="125">
        <f ca="1">_xlfn.IFNA(VLOOKUP(A419,Worksheet!$B$1:$G$600,5,FALSE),E419)</f>
        <v>0</v>
      </c>
      <c r="F419" s="47" t="s">
        <v>92</v>
      </c>
    </row>
    <row r="420" spans="1:6" hidden="1" x14ac:dyDescent="0.25">
      <c r="A420" s="1" t="s">
        <v>305</v>
      </c>
      <c r="B420" s="189" t="s">
        <v>21</v>
      </c>
      <c r="C420" s="124">
        <f ca="1">_xlfn.IFNA(VLOOKUP(A420,Worksheet!$B$1:$G$600,3,FALSE),C420)</f>
        <v>0</v>
      </c>
      <c r="D420" s="124">
        <f ca="1">_xlfn.IFNA(VLOOKUP(A420,Worksheet!$B$1:$G$600,4,FALSE),D420)</f>
        <v>0</v>
      </c>
      <c r="E420" s="125">
        <f ca="1">_xlfn.IFNA(VLOOKUP(A420,Worksheet!$B$1:$G$600,5,FALSE),E420)</f>
        <v>0</v>
      </c>
      <c r="F420" s="47" t="s">
        <v>92</v>
      </c>
    </row>
    <row r="421" spans="1:6" hidden="1" x14ac:dyDescent="0.25">
      <c r="A421" s="1" t="s">
        <v>306</v>
      </c>
      <c r="B421" s="188" t="s">
        <v>22</v>
      </c>
      <c r="C421" s="126">
        <f ca="1">_xlfn.IFNA(VLOOKUP(A421,Worksheet!$B$1:$G$600,3,FALSE),C421)</f>
        <v>0</v>
      </c>
      <c r="D421" s="126">
        <f ca="1">_xlfn.IFNA(VLOOKUP(A421,Worksheet!$B$1:$G$600,4,FALSE),D421)</f>
        <v>0</v>
      </c>
      <c r="E421" s="127">
        <f ca="1">_xlfn.IFNA(VLOOKUP(A421,Worksheet!$B$1:$G$600,5,FALSE),E421)</f>
        <v>0</v>
      </c>
      <c r="F421" s="47" t="s">
        <v>92</v>
      </c>
    </row>
    <row r="422" spans="1:6" hidden="1" x14ac:dyDescent="0.25">
      <c r="A422" s="1" t="s">
        <v>294</v>
      </c>
      <c r="B422" s="188" t="s">
        <v>30</v>
      </c>
      <c r="C422" s="142">
        <f ca="1">C423</f>
        <v>0</v>
      </c>
      <c r="D422" s="142">
        <f t="shared" ref="D422:E422" ca="1" si="76">D423</f>
        <v>0</v>
      </c>
      <c r="E422" s="143">
        <f t="shared" ca="1" si="76"/>
        <v>0</v>
      </c>
      <c r="F422" s="47" t="s">
        <v>92</v>
      </c>
    </row>
    <row r="423" spans="1:6" hidden="1" x14ac:dyDescent="0.25">
      <c r="A423" s="1" t="s">
        <v>303</v>
      </c>
      <c r="B423" s="187" t="s">
        <v>28</v>
      </c>
      <c r="C423" s="142">
        <f ca="1">SUM(C424:C429)</f>
        <v>0</v>
      </c>
      <c r="D423" s="142">
        <f t="shared" ref="D423:E423" ca="1" si="77">SUM(D424:D429)</f>
        <v>0</v>
      </c>
      <c r="E423" s="143">
        <f t="shared" ca="1" si="77"/>
        <v>0</v>
      </c>
      <c r="F423" s="47" t="s">
        <v>92</v>
      </c>
    </row>
    <row r="424" spans="1:6" hidden="1" x14ac:dyDescent="0.25">
      <c r="A424" s="1" t="s">
        <v>304</v>
      </c>
      <c r="B424" s="194" t="s">
        <v>31</v>
      </c>
      <c r="C424" s="124">
        <f ca="1">_xlfn.IFNA(VLOOKUP(A424,Worksheet!$B$1:$G$600,3,FALSE),C424)</f>
        <v>0</v>
      </c>
      <c r="D424" s="124">
        <f ca="1">_xlfn.IFNA(VLOOKUP(A424,Worksheet!$B$1:$G$600,4,FALSE),D424)</f>
        <v>0</v>
      </c>
      <c r="E424" s="125">
        <f ca="1">_xlfn.IFNA(VLOOKUP(A424,Worksheet!$B$1:$G$600,5,FALSE),E424)</f>
        <v>0</v>
      </c>
      <c r="F424" s="47" t="s">
        <v>92</v>
      </c>
    </row>
    <row r="425" spans="1:6" hidden="1" x14ac:dyDescent="0.25">
      <c r="A425" s="1" t="s">
        <v>305</v>
      </c>
      <c r="B425" s="194" t="s">
        <v>18</v>
      </c>
      <c r="C425" s="124">
        <f ca="1">_xlfn.IFNA(VLOOKUP(A425,Worksheet!$B$1:$G$600,3,FALSE),C425)</f>
        <v>0</v>
      </c>
      <c r="D425" s="124">
        <f ca="1">_xlfn.IFNA(VLOOKUP(A425,Worksheet!$B$1:$G$600,4,FALSE),D425)</f>
        <v>0</v>
      </c>
      <c r="E425" s="125">
        <f ca="1">_xlfn.IFNA(VLOOKUP(A425,Worksheet!$B$1:$G$600,5,FALSE),E425)</f>
        <v>0</v>
      </c>
      <c r="F425" s="47" t="s">
        <v>92</v>
      </c>
    </row>
    <row r="426" spans="1:6" hidden="1" x14ac:dyDescent="0.25">
      <c r="A426" s="1" t="s">
        <v>306</v>
      </c>
      <c r="B426" s="189" t="s">
        <v>19</v>
      </c>
      <c r="C426" s="124">
        <f ca="1">_xlfn.IFNA(VLOOKUP(A426,Worksheet!$B$1:$G$600,3,FALSE),C426)</f>
        <v>0</v>
      </c>
      <c r="D426" s="124">
        <f ca="1">_xlfn.IFNA(VLOOKUP(A426,Worksheet!$B$1:$G$600,4,FALSE),D426)</f>
        <v>0</v>
      </c>
      <c r="E426" s="125">
        <f ca="1">_xlfn.IFNA(VLOOKUP(A426,Worksheet!$B$1:$G$600,5,FALSE),E426)</f>
        <v>0</v>
      </c>
      <c r="F426" s="47" t="s">
        <v>92</v>
      </c>
    </row>
    <row r="427" spans="1:6" hidden="1" x14ac:dyDescent="0.25">
      <c r="A427" s="1" t="s">
        <v>307</v>
      </c>
      <c r="B427" s="189" t="s">
        <v>20</v>
      </c>
      <c r="C427" s="124">
        <f ca="1">_xlfn.IFNA(VLOOKUP(A427,Worksheet!$B$1:$G$600,3,FALSE),C427)</f>
        <v>0</v>
      </c>
      <c r="D427" s="124">
        <f ca="1">_xlfn.IFNA(VLOOKUP(A427,Worksheet!$B$1:$G$600,4,FALSE),D427)</f>
        <v>0</v>
      </c>
      <c r="E427" s="125">
        <f ca="1">_xlfn.IFNA(VLOOKUP(A427,Worksheet!$B$1:$G$600,5,FALSE),E427)</f>
        <v>0</v>
      </c>
      <c r="F427" s="47" t="s">
        <v>92</v>
      </c>
    </row>
    <row r="428" spans="1:6" hidden="1" x14ac:dyDescent="0.25">
      <c r="A428" s="1" t="s">
        <v>308</v>
      </c>
      <c r="B428" s="189" t="s">
        <v>21</v>
      </c>
      <c r="C428" s="124">
        <f ca="1">_xlfn.IFNA(VLOOKUP(A428,Worksheet!$B$1:$G$600,3,FALSE),C428)</f>
        <v>0</v>
      </c>
      <c r="D428" s="124">
        <f ca="1">_xlfn.IFNA(VLOOKUP(A428,Worksheet!$B$1:$G$600,4,FALSE),D428)</f>
        <v>0</v>
      </c>
      <c r="E428" s="125">
        <f ca="1">_xlfn.IFNA(VLOOKUP(A428,Worksheet!$B$1:$G$600,5,FALSE),E428)</f>
        <v>0</v>
      </c>
      <c r="F428" s="47" t="s">
        <v>92</v>
      </c>
    </row>
    <row r="429" spans="1:6" hidden="1" x14ac:dyDescent="0.25">
      <c r="A429" s="1" t="s">
        <v>309</v>
      </c>
      <c r="B429" s="188" t="s">
        <v>22</v>
      </c>
      <c r="C429" s="126">
        <f ca="1">_xlfn.IFNA(VLOOKUP(A429,Worksheet!$B$1:$G$600,3,FALSE),C429)</f>
        <v>0</v>
      </c>
      <c r="D429" s="126">
        <f ca="1">_xlfn.IFNA(VLOOKUP(A429,Worksheet!$B$1:$G$600,4,FALSE),D429)</f>
        <v>0</v>
      </c>
      <c r="E429" s="127">
        <f ca="1">_xlfn.IFNA(VLOOKUP(A429,Worksheet!$B$1:$G$600,5,FALSE),E429)</f>
        <v>0</v>
      </c>
      <c r="F429" s="47" t="s">
        <v>92</v>
      </c>
    </row>
    <row r="430" spans="1:6" hidden="1" x14ac:dyDescent="0.25">
      <c r="A430" s="1" t="s">
        <v>310</v>
      </c>
      <c r="B430" s="187" t="s">
        <v>750</v>
      </c>
      <c r="C430" s="142">
        <f ca="1">C431</f>
        <v>0</v>
      </c>
      <c r="D430" s="142">
        <f ca="1">D431</f>
        <v>0</v>
      </c>
      <c r="E430" s="143">
        <f ca="1">E431</f>
        <v>0</v>
      </c>
      <c r="F430" s="47" t="s">
        <v>92</v>
      </c>
    </row>
    <row r="431" spans="1:6" hidden="1" x14ac:dyDescent="0.25">
      <c r="A431" s="1" t="s">
        <v>1122</v>
      </c>
      <c r="B431" s="188" t="s">
        <v>28</v>
      </c>
      <c r="C431" s="55">
        <f ca="1">SUM(C432:C437)</f>
        <v>0</v>
      </c>
      <c r="D431" s="55">
        <f t="shared" ref="D431:E431" ca="1" si="78">SUM(D432:D437)</f>
        <v>0</v>
      </c>
      <c r="E431" s="56">
        <f t="shared" ca="1" si="78"/>
        <v>0</v>
      </c>
      <c r="F431" s="47" t="s">
        <v>92</v>
      </c>
    </row>
    <row r="432" spans="1:6" hidden="1" x14ac:dyDescent="0.25">
      <c r="A432" s="1" t="s">
        <v>1123</v>
      </c>
      <c r="B432" s="194" t="s">
        <v>31</v>
      </c>
      <c r="C432" s="124">
        <f ca="1">_xlfn.IFNA(VLOOKUP(A432,Worksheet!$B$1:$G$600,3,FALSE),C432)</f>
        <v>0</v>
      </c>
      <c r="D432" s="124">
        <f ca="1">_xlfn.IFNA(VLOOKUP(A432,Worksheet!$B$1:$G$600,4,FALSE),D432)</f>
        <v>0</v>
      </c>
      <c r="E432" s="125">
        <f ca="1">_xlfn.IFNA(VLOOKUP(A432,Worksheet!$B$1:$G$600,5,FALSE),E432)</f>
        <v>0</v>
      </c>
      <c r="F432" s="47" t="s">
        <v>92</v>
      </c>
    </row>
    <row r="433" spans="1:6" hidden="1" x14ac:dyDescent="0.25">
      <c r="A433" s="1" t="s">
        <v>1124</v>
      </c>
      <c r="B433" s="194" t="s">
        <v>18</v>
      </c>
      <c r="C433" s="124">
        <f ca="1">_xlfn.IFNA(VLOOKUP(A433,Worksheet!$B$1:$G$600,3,FALSE),C433)</f>
        <v>0</v>
      </c>
      <c r="D433" s="124">
        <f ca="1">_xlfn.IFNA(VLOOKUP(A433,Worksheet!$B$1:$G$600,4,FALSE),D433)</f>
        <v>0</v>
      </c>
      <c r="E433" s="125">
        <f ca="1">_xlfn.IFNA(VLOOKUP(A433,Worksheet!$B$1:$G$600,5,FALSE),E433)</f>
        <v>0</v>
      </c>
      <c r="F433" s="47" t="s">
        <v>92</v>
      </c>
    </row>
    <row r="434" spans="1:6" hidden="1" x14ac:dyDescent="0.25">
      <c r="A434" s="1" t="s">
        <v>1125</v>
      </c>
      <c r="B434" s="189" t="s">
        <v>19</v>
      </c>
      <c r="C434" s="124">
        <f ca="1">_xlfn.IFNA(VLOOKUP(A434,Worksheet!$B$1:$G$600,3,FALSE),C434)</f>
        <v>0</v>
      </c>
      <c r="D434" s="124">
        <f ca="1">_xlfn.IFNA(VLOOKUP(A434,Worksheet!$B$1:$G$600,4,FALSE),D434)</f>
        <v>0</v>
      </c>
      <c r="E434" s="125">
        <f ca="1">_xlfn.IFNA(VLOOKUP(A434,Worksheet!$B$1:$G$600,5,FALSE),E434)</f>
        <v>0</v>
      </c>
      <c r="F434" s="47" t="s">
        <v>92</v>
      </c>
    </row>
    <row r="435" spans="1:6" hidden="1" x14ac:dyDescent="0.25">
      <c r="A435" s="1" t="s">
        <v>1126</v>
      </c>
      <c r="B435" s="189" t="s">
        <v>20</v>
      </c>
      <c r="C435" s="124">
        <f ca="1">_xlfn.IFNA(VLOOKUP(A435,Worksheet!$B$1:$G$600,3,FALSE),C435)</f>
        <v>0</v>
      </c>
      <c r="D435" s="124">
        <f ca="1">_xlfn.IFNA(VLOOKUP(A435,Worksheet!$B$1:$G$600,4,FALSE),D435)</f>
        <v>0</v>
      </c>
      <c r="E435" s="125">
        <f ca="1">_xlfn.IFNA(VLOOKUP(A435,Worksheet!$B$1:$G$600,5,FALSE),E435)</f>
        <v>0</v>
      </c>
      <c r="F435" s="47" t="s">
        <v>92</v>
      </c>
    </row>
    <row r="436" spans="1:6" hidden="1" x14ac:dyDescent="0.25">
      <c r="A436" s="1" t="s">
        <v>1127</v>
      </c>
      <c r="B436" s="189" t="s">
        <v>21</v>
      </c>
      <c r="C436" s="124">
        <f ca="1">_xlfn.IFNA(VLOOKUP(A436,Worksheet!$B$1:$G$600,3,FALSE),C436)</f>
        <v>0</v>
      </c>
      <c r="D436" s="124">
        <f ca="1">_xlfn.IFNA(VLOOKUP(A436,Worksheet!$B$1:$G$600,4,FALSE),D436)</f>
        <v>0</v>
      </c>
      <c r="E436" s="125">
        <f ca="1">_xlfn.IFNA(VLOOKUP(A436,Worksheet!$B$1:$G$600,5,FALSE),E436)</f>
        <v>0</v>
      </c>
      <c r="F436" s="47" t="s">
        <v>92</v>
      </c>
    </row>
    <row r="437" spans="1:6" hidden="1" x14ac:dyDescent="0.25">
      <c r="A437" s="1" t="s">
        <v>1128</v>
      </c>
      <c r="B437" s="188" t="s">
        <v>22</v>
      </c>
      <c r="C437" s="126">
        <f ca="1">_xlfn.IFNA(VLOOKUP(A437,Worksheet!$B$1:$G$600,3,FALSE),C437)</f>
        <v>0</v>
      </c>
      <c r="D437" s="126">
        <f ca="1">_xlfn.IFNA(VLOOKUP(A437,Worksheet!$B$1:$G$600,4,FALSE),D437)</f>
        <v>0</v>
      </c>
      <c r="E437" s="127">
        <f ca="1">_xlfn.IFNA(VLOOKUP(A437,Worksheet!$B$1:$G$600,5,FALSE),E437)</f>
        <v>0</v>
      </c>
      <c r="F437" s="47" t="s">
        <v>92</v>
      </c>
    </row>
    <row r="438" spans="1:6" hidden="1" x14ac:dyDescent="0.25">
      <c r="A438" s="1"/>
      <c r="B438" s="198" t="s">
        <v>23</v>
      </c>
      <c r="C438" s="55"/>
      <c r="D438" s="55"/>
      <c r="E438" s="56"/>
      <c r="F438" s="47" t="s">
        <v>92</v>
      </c>
    </row>
    <row r="439" spans="1:6" hidden="1" x14ac:dyDescent="0.25">
      <c r="A439" s="36">
        <v>2.4</v>
      </c>
      <c r="B439" s="192" t="s">
        <v>213</v>
      </c>
      <c r="C439" s="55">
        <f ca="1">SUM(C440,C442)/2</f>
        <v>0</v>
      </c>
      <c r="D439" s="55">
        <f t="shared" ref="D439:E439" ca="1" si="79">SUM(D440,D442)/2</f>
        <v>0</v>
      </c>
      <c r="E439" s="56">
        <f t="shared" ca="1" si="79"/>
        <v>0</v>
      </c>
      <c r="F439" s="47" t="s">
        <v>92</v>
      </c>
    </row>
    <row r="440" spans="1:6" hidden="1" x14ac:dyDescent="0.25">
      <c r="A440" s="1" t="s">
        <v>311</v>
      </c>
      <c r="B440" s="187" t="s">
        <v>746</v>
      </c>
      <c r="C440" s="142">
        <f ca="1">C441</f>
        <v>0</v>
      </c>
      <c r="D440" s="142">
        <f t="shared" ref="D440:E440" ca="1" si="80">D441</f>
        <v>0</v>
      </c>
      <c r="E440" s="143">
        <f t="shared" ca="1" si="80"/>
        <v>0</v>
      </c>
      <c r="F440" s="47" t="s">
        <v>92</v>
      </c>
    </row>
    <row r="441" spans="1:6" hidden="1" x14ac:dyDescent="0.25">
      <c r="A441" s="1" t="s">
        <v>319</v>
      </c>
      <c r="B441" s="187" t="s">
        <v>117</v>
      </c>
      <c r="C441" s="126">
        <f ca="1">_xlfn.IFNA(VLOOKUP(A441,Worksheet!$B$1:$G$600,3,FALSE),C441)</f>
        <v>0</v>
      </c>
      <c r="D441" s="126">
        <f ca="1">_xlfn.IFNA(VLOOKUP(A441,Worksheet!$B$1:$G$600,4,FALSE),D441)</f>
        <v>0</v>
      </c>
      <c r="E441" s="127">
        <f ca="1">_xlfn.IFNA(VLOOKUP(A441,Worksheet!$B$1:$G$600,5,FALSE),E441)</f>
        <v>0</v>
      </c>
      <c r="F441" s="47" t="s">
        <v>92</v>
      </c>
    </row>
    <row r="442" spans="1:6" hidden="1" x14ac:dyDescent="0.25">
      <c r="A442" s="1" t="s">
        <v>312</v>
      </c>
      <c r="B442" s="187" t="s">
        <v>751</v>
      </c>
      <c r="C442" s="142">
        <f ca="1">SUM(C443,C445)</f>
        <v>0</v>
      </c>
      <c r="D442" s="142">
        <f t="shared" ref="D442:E442" ca="1" si="81">SUM(D443,D445)</f>
        <v>0</v>
      </c>
      <c r="E442" s="143">
        <f t="shared" ca="1" si="81"/>
        <v>0</v>
      </c>
      <c r="F442" s="47" t="s">
        <v>92</v>
      </c>
    </row>
    <row r="443" spans="1:6" hidden="1" x14ac:dyDescent="0.25">
      <c r="A443" s="1" t="s">
        <v>313</v>
      </c>
      <c r="B443" s="187" t="s">
        <v>29</v>
      </c>
      <c r="C443" s="142">
        <f ca="1">C444</f>
        <v>0</v>
      </c>
      <c r="D443" s="142">
        <f t="shared" ref="D443:E443" ca="1" si="82">D444</f>
        <v>0</v>
      </c>
      <c r="E443" s="143">
        <f t="shared" ca="1" si="82"/>
        <v>0</v>
      </c>
      <c r="F443" s="47" t="s">
        <v>92</v>
      </c>
    </row>
    <row r="444" spans="1:6" hidden="1" x14ac:dyDescent="0.25">
      <c r="A444" s="1" t="s">
        <v>318</v>
      </c>
      <c r="B444" s="187" t="s">
        <v>28</v>
      </c>
      <c r="C444" s="126">
        <f ca="1">_xlfn.IFNA(VLOOKUP(A444,Worksheet!$B$1:$G$600,3,FALSE),C444)</f>
        <v>0</v>
      </c>
      <c r="D444" s="126">
        <f ca="1">_xlfn.IFNA(VLOOKUP(A444,Worksheet!$B$1:$G$600,4,FALSE),D444)</f>
        <v>0</v>
      </c>
      <c r="E444" s="127">
        <f ca="1">_xlfn.IFNA(VLOOKUP(A444,Worksheet!$B$1:$G$600,5,FALSE),E444)</f>
        <v>0</v>
      </c>
      <c r="F444" s="47" t="s">
        <v>92</v>
      </c>
    </row>
    <row r="445" spans="1:6" hidden="1" x14ac:dyDescent="0.25">
      <c r="A445" s="1" t="s">
        <v>314</v>
      </c>
      <c r="B445" s="187" t="s">
        <v>30</v>
      </c>
      <c r="C445" s="142">
        <f ca="1">C446</f>
        <v>0</v>
      </c>
      <c r="D445" s="142">
        <f t="shared" ref="D445:E445" ca="1" si="83">D446</f>
        <v>0</v>
      </c>
      <c r="E445" s="143">
        <f t="shared" ca="1" si="83"/>
        <v>0</v>
      </c>
      <c r="F445" s="47" t="s">
        <v>92</v>
      </c>
    </row>
    <row r="446" spans="1:6" hidden="1" x14ac:dyDescent="0.25">
      <c r="A446" s="1" t="s">
        <v>317</v>
      </c>
      <c r="B446" s="187" t="s">
        <v>28</v>
      </c>
      <c r="C446" s="126">
        <f ca="1">_xlfn.IFNA(VLOOKUP(A446,Worksheet!$B$1:$G$600,3,FALSE),C446)</f>
        <v>0</v>
      </c>
      <c r="D446" s="126">
        <f ca="1">_xlfn.IFNA(VLOOKUP(A446,Worksheet!$B$1:$G$600,4,FALSE),D446)</f>
        <v>0</v>
      </c>
      <c r="E446" s="127">
        <f ca="1">_xlfn.IFNA(VLOOKUP(A446,Worksheet!$B$1:$G$600,5,FALSE),E446)</f>
        <v>0</v>
      </c>
      <c r="F446" s="47" t="s">
        <v>92</v>
      </c>
    </row>
    <row r="447" spans="1:6" hidden="1" x14ac:dyDescent="0.25">
      <c r="A447" s="1" t="s">
        <v>315</v>
      </c>
      <c r="B447" s="187" t="s">
        <v>752</v>
      </c>
      <c r="C447" s="142">
        <f ca="1">C448</f>
        <v>0</v>
      </c>
      <c r="D447" s="142">
        <f t="shared" ref="D447:E447" ca="1" si="84">D448</f>
        <v>0</v>
      </c>
      <c r="E447" s="143">
        <f t="shared" ca="1" si="84"/>
        <v>0</v>
      </c>
      <c r="F447" s="47" t="s">
        <v>92</v>
      </c>
    </row>
    <row r="448" spans="1:6" hidden="1" x14ac:dyDescent="0.25">
      <c r="A448" s="1" t="s">
        <v>316</v>
      </c>
      <c r="B448" s="187" t="s">
        <v>28</v>
      </c>
      <c r="C448" s="126">
        <f ca="1">_xlfn.IFNA(VLOOKUP(A448,Worksheet!$B$1:$G$600,3,FALSE),C448)</f>
        <v>0</v>
      </c>
      <c r="D448" s="126">
        <f ca="1">_xlfn.IFNA(VLOOKUP(A448,Worksheet!$B$1:$G$600,4,FALSE),D448)</f>
        <v>0</v>
      </c>
      <c r="E448" s="127">
        <f ca="1">_xlfn.IFNA(VLOOKUP(A448,Worksheet!$B$1:$G$600,5,FALSE),E448)</f>
        <v>0</v>
      </c>
      <c r="F448" s="47" t="s">
        <v>92</v>
      </c>
    </row>
    <row r="449" spans="1:8" s="4" customFormat="1" hidden="1" x14ac:dyDescent="0.25">
      <c r="A449" s="1"/>
      <c r="B449" s="191" t="s">
        <v>25</v>
      </c>
      <c r="C449" s="142"/>
      <c r="D449" s="55"/>
      <c r="E449" s="56"/>
      <c r="F449" s="47" t="s">
        <v>92</v>
      </c>
    </row>
    <row r="450" spans="1:8" s="4" customFormat="1" hidden="1" x14ac:dyDescent="0.25">
      <c r="A450" s="36">
        <v>2.5</v>
      </c>
      <c r="B450" s="192" t="s">
        <v>216</v>
      </c>
      <c r="C450" s="142">
        <f ca="1">SUM(C451,C454,C457)/2</f>
        <v>0</v>
      </c>
      <c r="D450" s="142">
        <f t="shared" ref="D450:E450" ca="1" si="85">SUM(D451,D454,D457)/2</f>
        <v>0</v>
      </c>
      <c r="E450" s="143">
        <f t="shared" ca="1" si="85"/>
        <v>0</v>
      </c>
      <c r="F450" s="47" t="s">
        <v>92</v>
      </c>
    </row>
    <row r="451" spans="1:8" s="4" customFormat="1" ht="30" hidden="1" x14ac:dyDescent="0.25">
      <c r="A451" s="1" t="s">
        <v>320</v>
      </c>
      <c r="B451" s="187" t="s">
        <v>747</v>
      </c>
      <c r="C451" s="142">
        <f ca="1">SUM(C452:C453)/2</f>
        <v>0</v>
      </c>
      <c r="D451" s="142">
        <f t="shared" ref="D451:E451" ca="1" si="86">SUM(D452:D453)/2</f>
        <v>0</v>
      </c>
      <c r="E451" s="143">
        <f t="shared" ca="1" si="86"/>
        <v>0</v>
      </c>
      <c r="F451" s="47" t="s">
        <v>92</v>
      </c>
      <c r="G451" s="6"/>
      <c r="H451" s="6"/>
    </row>
    <row r="452" spans="1:8" s="4" customFormat="1" hidden="1" x14ac:dyDescent="0.25">
      <c r="A452" s="1" t="s">
        <v>330</v>
      </c>
      <c r="B452" s="189" t="s">
        <v>28</v>
      </c>
      <c r="C452" s="124">
        <f ca="1">_xlfn.IFNA(VLOOKUP(A452,Worksheet!$B$1:$G$600,3,FALSE),C452)</f>
        <v>0</v>
      </c>
      <c r="D452" s="124">
        <f ca="1">_xlfn.IFNA(VLOOKUP(A452,Worksheet!$B$1:$G$600,4,FALSE),D452)</f>
        <v>0</v>
      </c>
      <c r="E452" s="125">
        <f ca="1">_xlfn.IFNA(VLOOKUP(A452,Worksheet!$B$1:$G$600,5,FALSE),E452)</f>
        <v>0</v>
      </c>
      <c r="F452" s="47" t="s">
        <v>92</v>
      </c>
    </row>
    <row r="453" spans="1:8" s="4" customFormat="1" hidden="1" x14ac:dyDescent="0.25">
      <c r="A453" s="1" t="s">
        <v>331</v>
      </c>
      <c r="B453" s="188" t="s">
        <v>713</v>
      </c>
      <c r="C453" s="126">
        <f ca="1">_xlfn.IFNA(VLOOKUP(A453,Worksheet!$B$1:$G$600,3,FALSE),C453)</f>
        <v>0</v>
      </c>
      <c r="D453" s="126">
        <f ca="1">_xlfn.IFNA(VLOOKUP(A453,Worksheet!$B$1:$G$600,4,FALSE),D453)</f>
        <v>0</v>
      </c>
      <c r="E453" s="127">
        <f ca="1">_xlfn.IFNA(VLOOKUP(A453,Worksheet!$B$1:$G$600,5,FALSE),E453)</f>
        <v>0</v>
      </c>
      <c r="F453" s="47" t="s">
        <v>92</v>
      </c>
    </row>
    <row r="454" spans="1:8" s="4" customFormat="1" hidden="1" x14ac:dyDescent="0.25">
      <c r="A454" s="1" t="s">
        <v>321</v>
      </c>
      <c r="B454" s="187" t="s">
        <v>753</v>
      </c>
      <c r="C454" s="142">
        <f ca="1">SUM(C455:C456)/2</f>
        <v>0</v>
      </c>
      <c r="D454" s="142">
        <f t="shared" ref="D454:E454" ca="1" si="87">SUM(D455:D456)/2</f>
        <v>0</v>
      </c>
      <c r="E454" s="143">
        <f t="shared" ca="1" si="87"/>
        <v>0</v>
      </c>
      <c r="F454" s="47" t="s">
        <v>92</v>
      </c>
      <c r="G454" s="6"/>
      <c r="H454" s="6"/>
    </row>
    <row r="455" spans="1:8" s="4" customFormat="1" hidden="1" x14ac:dyDescent="0.25">
      <c r="A455" s="1" t="s">
        <v>328</v>
      </c>
      <c r="B455" s="189" t="s">
        <v>28</v>
      </c>
      <c r="C455" s="124">
        <f ca="1">_xlfn.IFNA(VLOOKUP(A455,Worksheet!$B$1:$G$600,3,FALSE),C455)</f>
        <v>0</v>
      </c>
      <c r="D455" s="124">
        <f ca="1">_xlfn.IFNA(VLOOKUP(A455,Worksheet!$B$1:$G$600,4,FALSE),D455)</f>
        <v>0</v>
      </c>
      <c r="E455" s="125">
        <f ca="1">_xlfn.IFNA(VLOOKUP(A455,Worksheet!$B$1:$G$600,5,FALSE),E455)</f>
        <v>0</v>
      </c>
      <c r="F455" s="47" t="s">
        <v>92</v>
      </c>
    </row>
    <row r="456" spans="1:8" s="4" customFormat="1" hidden="1" x14ac:dyDescent="0.25">
      <c r="A456" s="1" t="s">
        <v>329</v>
      </c>
      <c r="B456" s="188" t="s">
        <v>713</v>
      </c>
      <c r="C456" s="126">
        <f ca="1">_xlfn.IFNA(VLOOKUP(A456,Worksheet!$B$1:$G$600,3,FALSE),C456)</f>
        <v>0</v>
      </c>
      <c r="D456" s="126">
        <f ca="1">_xlfn.IFNA(VLOOKUP(A456,Worksheet!$B$1:$G$600,4,FALSE),D456)</f>
        <v>0</v>
      </c>
      <c r="E456" s="127">
        <f ca="1">_xlfn.IFNA(VLOOKUP(A456,Worksheet!$B$1:$G$600,5,FALSE),E456)</f>
        <v>0</v>
      </c>
      <c r="F456" s="47" t="s">
        <v>92</v>
      </c>
    </row>
    <row r="457" spans="1:8" s="4" customFormat="1" hidden="1" x14ac:dyDescent="0.25">
      <c r="A457" s="1" t="s">
        <v>322</v>
      </c>
      <c r="B457" s="187" t="s">
        <v>754</v>
      </c>
      <c r="C457" s="142">
        <f ca="1">SUM(C458:C459)/2</f>
        <v>0</v>
      </c>
      <c r="D457" s="142">
        <f t="shared" ref="D457:E457" ca="1" si="88">SUM(D458:D459)/2</f>
        <v>0</v>
      </c>
      <c r="E457" s="143">
        <f t="shared" ca="1" si="88"/>
        <v>0</v>
      </c>
      <c r="F457" s="47" t="s">
        <v>92</v>
      </c>
      <c r="G457" s="6"/>
      <c r="H457" s="6"/>
    </row>
    <row r="458" spans="1:8" s="4" customFormat="1" hidden="1" x14ac:dyDescent="0.25">
      <c r="A458" s="1" t="s">
        <v>326</v>
      </c>
      <c r="B458" s="189" t="s">
        <v>28</v>
      </c>
      <c r="C458" s="124">
        <f ca="1">_xlfn.IFNA(VLOOKUP(A458,Worksheet!$B$1:$G$600,3,FALSE),C458)</f>
        <v>0</v>
      </c>
      <c r="D458" s="124">
        <f ca="1">_xlfn.IFNA(VLOOKUP(A458,Worksheet!$B$1:$G$600,4,FALSE),D458)</f>
        <v>0</v>
      </c>
      <c r="E458" s="125">
        <f ca="1">_xlfn.IFNA(VLOOKUP(A458,Worksheet!$B$1:$G$600,5,FALSE),E458)</f>
        <v>0</v>
      </c>
      <c r="F458" s="47" t="s">
        <v>92</v>
      </c>
    </row>
    <row r="459" spans="1:8" s="4" customFormat="1" hidden="1" x14ac:dyDescent="0.25">
      <c r="A459" s="1" t="s">
        <v>327</v>
      </c>
      <c r="B459" s="188" t="s">
        <v>713</v>
      </c>
      <c r="C459" s="126">
        <f ca="1">_xlfn.IFNA(VLOOKUP(A459,Worksheet!$B$1:$G$600,3,FALSE),C459)</f>
        <v>0</v>
      </c>
      <c r="D459" s="126">
        <f ca="1">_xlfn.IFNA(VLOOKUP(A459,Worksheet!$B$1:$G$600,4,FALSE),D459)</f>
        <v>0</v>
      </c>
      <c r="E459" s="127">
        <f ca="1">_xlfn.IFNA(VLOOKUP(A459,Worksheet!$B$1:$G$600,5,FALSE),E459)</f>
        <v>0</v>
      </c>
      <c r="F459" s="47" t="s">
        <v>92</v>
      </c>
    </row>
    <row r="460" spans="1:8" s="4" customFormat="1" hidden="1" x14ac:dyDescent="0.25">
      <c r="A460" s="1" t="s">
        <v>323</v>
      </c>
      <c r="B460" s="187" t="s">
        <v>755</v>
      </c>
      <c r="C460" s="142">
        <f ca="1">SUM(C461:C462)/2</f>
        <v>0</v>
      </c>
      <c r="D460" s="142">
        <f t="shared" ref="D460:E460" ca="1" si="89">SUM(D461:D462)/2</f>
        <v>0</v>
      </c>
      <c r="E460" s="143">
        <f t="shared" ca="1" si="89"/>
        <v>0</v>
      </c>
      <c r="F460" s="47" t="s">
        <v>92</v>
      </c>
      <c r="G460" s="6"/>
      <c r="H460" s="6"/>
    </row>
    <row r="461" spans="1:8" s="4" customFormat="1" hidden="1" x14ac:dyDescent="0.25">
      <c r="A461" s="1" t="s">
        <v>324</v>
      </c>
      <c r="B461" s="189" t="s">
        <v>28</v>
      </c>
      <c r="C461" s="124">
        <f ca="1">_xlfn.IFNA(VLOOKUP(A461,Worksheet!$B$1:$G$600,3,FALSE),C461)</f>
        <v>0</v>
      </c>
      <c r="D461" s="124">
        <f ca="1">_xlfn.IFNA(VLOOKUP(A461,Worksheet!$B$1:$G$600,4,FALSE),D461)</f>
        <v>0</v>
      </c>
      <c r="E461" s="125">
        <f ca="1">_xlfn.IFNA(VLOOKUP(A461,Worksheet!$B$1:$G$600,5,FALSE),E461)</f>
        <v>0</v>
      </c>
      <c r="F461" s="47" t="s">
        <v>92</v>
      </c>
    </row>
    <row r="462" spans="1:8" s="4" customFormat="1" hidden="1" x14ac:dyDescent="0.25">
      <c r="A462" s="1" t="s">
        <v>325</v>
      </c>
      <c r="B462" s="188" t="s">
        <v>713</v>
      </c>
      <c r="C462" s="126">
        <f ca="1">_xlfn.IFNA(VLOOKUP(A462,Worksheet!$B$1:$G$600,3,FALSE),C462)</f>
        <v>0</v>
      </c>
      <c r="D462" s="126">
        <f ca="1">_xlfn.IFNA(VLOOKUP(A462,Worksheet!$B$1:$G$600,4,FALSE),D462)</f>
        <v>0</v>
      </c>
      <c r="E462" s="127">
        <f ca="1">_xlfn.IFNA(VLOOKUP(A462,Worksheet!$B$1:$G$600,5,FALSE),E462)</f>
        <v>0</v>
      </c>
      <c r="F462" s="47" t="s">
        <v>92</v>
      </c>
    </row>
    <row r="463" spans="1:8" hidden="1" x14ac:dyDescent="0.25">
      <c r="A463" s="36">
        <v>3</v>
      </c>
      <c r="B463" s="270" t="s">
        <v>33</v>
      </c>
      <c r="C463" s="271"/>
      <c r="D463" s="271"/>
      <c r="E463" s="272"/>
      <c r="F463" t="s">
        <v>95</v>
      </c>
    </row>
    <row r="464" spans="1:8" hidden="1" x14ac:dyDescent="0.25">
      <c r="A464" s="1"/>
      <c r="B464" s="186" t="s">
        <v>6</v>
      </c>
      <c r="C464" s="142" t="s">
        <v>84</v>
      </c>
      <c r="D464" s="55" t="s">
        <v>85</v>
      </c>
      <c r="E464" s="56" t="s">
        <v>86</v>
      </c>
      <c r="F464" t="s">
        <v>95</v>
      </c>
    </row>
    <row r="465" spans="1:6" hidden="1" x14ac:dyDescent="0.25">
      <c r="A465" s="36">
        <v>3.1</v>
      </c>
      <c r="B465" s="187" t="s">
        <v>756</v>
      </c>
      <c r="C465" s="142">
        <f ca="1">SUM(C466,C468,C470)/3</f>
        <v>4.666666666666667</v>
      </c>
      <c r="D465" s="142">
        <f t="shared" ref="D465:E465" ca="1" si="90">SUM(D466,D468,D470)/3</f>
        <v>1.3333333333333333</v>
      </c>
      <c r="E465" s="143">
        <f t="shared" ca="1" si="90"/>
        <v>1.3333333333333333</v>
      </c>
      <c r="F465" t="s">
        <v>95</v>
      </c>
    </row>
    <row r="466" spans="1:6" hidden="1" x14ac:dyDescent="0.25">
      <c r="A466" s="1" t="s">
        <v>332</v>
      </c>
      <c r="B466" s="199" t="s">
        <v>757</v>
      </c>
      <c r="C466" s="142">
        <f ca="1">C467</f>
        <v>0</v>
      </c>
      <c r="D466" s="142">
        <f t="shared" ref="D466:E466" ca="1" si="91">D467</f>
        <v>0</v>
      </c>
      <c r="E466" s="143">
        <f t="shared" ca="1" si="91"/>
        <v>0</v>
      </c>
      <c r="F466" t="s">
        <v>95</v>
      </c>
    </row>
    <row r="467" spans="1:6" hidden="1" x14ac:dyDescent="0.25">
      <c r="A467" s="1" t="s">
        <v>333</v>
      </c>
      <c r="B467" s="199" t="s">
        <v>120</v>
      </c>
      <c r="C467" s="126">
        <f ca="1">_xlfn.IFNA(VLOOKUP(A467,Worksheet!$B$1:$G$600,3,FALSE),C467)</f>
        <v>0</v>
      </c>
      <c r="D467" s="126">
        <f ca="1">_xlfn.IFNA(VLOOKUP(A467,Worksheet!$B$1:$G$600,4,FALSE),D467)</f>
        <v>0</v>
      </c>
      <c r="E467" s="127">
        <f ca="1">_xlfn.IFNA(VLOOKUP(A467,Worksheet!$B$1:$G$600,5,FALSE),E467)</f>
        <v>0</v>
      </c>
      <c r="F467" t="s">
        <v>95</v>
      </c>
    </row>
    <row r="468" spans="1:6" hidden="1" x14ac:dyDescent="0.25">
      <c r="A468" s="1" t="s">
        <v>334</v>
      </c>
      <c r="B468" s="199" t="s">
        <v>758</v>
      </c>
      <c r="C468" s="142">
        <f ca="1">C469</f>
        <v>12</v>
      </c>
      <c r="D468" s="142">
        <f t="shared" ref="D468:E468" ca="1" si="92">D469</f>
        <v>0</v>
      </c>
      <c r="E468" s="143">
        <f t="shared" ca="1" si="92"/>
        <v>0</v>
      </c>
      <c r="F468" t="s">
        <v>95</v>
      </c>
    </row>
    <row r="469" spans="1:6" hidden="1" x14ac:dyDescent="0.25">
      <c r="A469" s="1" t="s">
        <v>335</v>
      </c>
      <c r="B469" s="199" t="s">
        <v>121</v>
      </c>
      <c r="C469" s="126">
        <f ca="1">_xlfn.IFNA(VLOOKUP(A469,Worksheet!$B$1:$G$600,3,FALSE),C469)</f>
        <v>12</v>
      </c>
      <c r="D469" s="126">
        <f ca="1">_xlfn.IFNA(VLOOKUP(A469,Worksheet!$B$1:$G$600,4,FALSE),D469)</f>
        <v>0</v>
      </c>
      <c r="E469" s="127">
        <f ca="1">_xlfn.IFNA(VLOOKUP(A469,Worksheet!$B$1:$G$600,5,FALSE),E469)</f>
        <v>0</v>
      </c>
      <c r="F469" t="s">
        <v>95</v>
      </c>
    </row>
    <row r="470" spans="1:6" hidden="1" x14ac:dyDescent="0.25">
      <c r="A470" s="1" t="s">
        <v>336</v>
      </c>
      <c r="B470" s="187" t="s">
        <v>759</v>
      </c>
      <c r="C470" s="142">
        <f ca="1">C471</f>
        <v>2</v>
      </c>
      <c r="D470" s="142">
        <f t="shared" ref="D470:E470" ca="1" si="93">D471</f>
        <v>4</v>
      </c>
      <c r="E470" s="143">
        <f t="shared" ca="1" si="93"/>
        <v>4</v>
      </c>
      <c r="F470" t="s">
        <v>95</v>
      </c>
    </row>
    <row r="471" spans="1:6" hidden="1" x14ac:dyDescent="0.25">
      <c r="A471" s="1" t="s">
        <v>337</v>
      </c>
      <c r="B471" s="199" t="s">
        <v>120</v>
      </c>
      <c r="C471" s="126">
        <f ca="1">_xlfn.IFNA(VLOOKUP(A471,Worksheet!$B$1:$G$600,3,FALSE),C471)</f>
        <v>2</v>
      </c>
      <c r="D471" s="126">
        <f ca="1">_xlfn.IFNA(VLOOKUP(A471,Worksheet!$B$1:$G$600,4,FALSE),D471)</f>
        <v>4</v>
      </c>
      <c r="E471" s="127">
        <f ca="1">_xlfn.IFNA(VLOOKUP(A471,Worksheet!$B$1:$G$600,5,FALSE),E471)</f>
        <v>4</v>
      </c>
      <c r="F471" t="s">
        <v>95</v>
      </c>
    </row>
    <row r="472" spans="1:6" hidden="1" x14ac:dyDescent="0.25">
      <c r="A472" s="1"/>
      <c r="B472" s="191" t="s">
        <v>12</v>
      </c>
      <c r="C472" s="142"/>
      <c r="D472" s="142"/>
      <c r="E472" s="143"/>
      <c r="F472" t="s">
        <v>95</v>
      </c>
    </row>
    <row r="473" spans="1:6" hidden="1" x14ac:dyDescent="0.25">
      <c r="A473" s="46">
        <v>3.2</v>
      </c>
      <c r="B473" s="192" t="s">
        <v>762</v>
      </c>
      <c r="C473" s="142">
        <f ca="1">C474</f>
        <v>1.3333333333333333</v>
      </c>
      <c r="D473" s="142">
        <f ca="1">D474</f>
        <v>1.6666666666666667</v>
      </c>
      <c r="E473" s="143">
        <f ca="1">E474</f>
        <v>0</v>
      </c>
      <c r="F473" t="s">
        <v>95</v>
      </c>
    </row>
    <row r="474" spans="1:6" hidden="1" x14ac:dyDescent="0.25">
      <c r="A474" s="1" t="s">
        <v>338</v>
      </c>
      <c r="B474" s="187" t="s">
        <v>760</v>
      </c>
      <c r="C474" s="149">
        <f ca="1">AVERAGE(C475:C477)</f>
        <v>1.3333333333333333</v>
      </c>
      <c r="D474" s="149">
        <f ca="1">AVERAGE(D475:D477)</f>
        <v>1.6666666666666667</v>
      </c>
      <c r="E474" s="62">
        <f ca="1">AVERAGE(E475:E477)</f>
        <v>0</v>
      </c>
      <c r="F474" t="s">
        <v>95</v>
      </c>
    </row>
    <row r="475" spans="1:6" hidden="1" x14ac:dyDescent="0.25">
      <c r="A475" s="1" t="s">
        <v>339</v>
      </c>
      <c r="B475" s="189" t="s">
        <v>120</v>
      </c>
      <c r="C475" s="124">
        <f ca="1">_xlfn.IFNA(VLOOKUP(A475,Worksheet!$B$1:$G$600,3,FALSE),C475)</f>
        <v>4</v>
      </c>
      <c r="D475" s="124">
        <f ca="1">_xlfn.IFNA(VLOOKUP(A475,Worksheet!$B$1:$G$600,4,FALSE),D475)</f>
        <v>5</v>
      </c>
      <c r="E475" s="125">
        <f ca="1">_xlfn.IFNA(VLOOKUP(A475,Worksheet!$B$1:$G$600,5,FALSE),E475)</f>
        <v>0</v>
      </c>
      <c r="F475" t="s">
        <v>95</v>
      </c>
    </row>
    <row r="476" spans="1:6" hidden="1" x14ac:dyDescent="0.25">
      <c r="A476" s="1" t="s">
        <v>340</v>
      </c>
      <c r="B476" s="189" t="s">
        <v>709</v>
      </c>
      <c r="C476" s="124">
        <f ca="1">_xlfn.IFNA(VLOOKUP(A476,Worksheet!$B$1:$G$600,3,FALSE),C476)</f>
        <v>0</v>
      </c>
      <c r="D476" s="124">
        <f ca="1">_xlfn.IFNA(VLOOKUP(A476,Worksheet!$B$1:$G$600,4,FALSE),D476)</f>
        <v>0</v>
      </c>
      <c r="E476" s="125">
        <f ca="1">_xlfn.IFNA(VLOOKUP(A476,Worksheet!$B$1:$G$600,5,FALSE),E476)</f>
        <v>0</v>
      </c>
      <c r="F476" t="s">
        <v>95</v>
      </c>
    </row>
    <row r="477" spans="1:6" hidden="1" x14ac:dyDescent="0.25">
      <c r="A477" s="1" t="s">
        <v>341</v>
      </c>
      <c r="B477" s="188" t="s">
        <v>761</v>
      </c>
      <c r="C477" s="126">
        <f ca="1">_xlfn.IFNA(VLOOKUP(A477,Worksheet!$B$1:$G$600,3,FALSE),C477)</f>
        <v>0</v>
      </c>
      <c r="D477" s="126">
        <f ca="1">_xlfn.IFNA(VLOOKUP(A477,Worksheet!$B$1:$G$600,4,FALSE),D477)</f>
        <v>0</v>
      </c>
      <c r="E477" s="127">
        <f ca="1">_xlfn.IFNA(VLOOKUP(A477,Worksheet!$B$1:$G$600,5,FALSE),E477)</f>
        <v>0</v>
      </c>
      <c r="F477" t="s">
        <v>95</v>
      </c>
    </row>
    <row r="478" spans="1:6" hidden="1" x14ac:dyDescent="0.25">
      <c r="A478" s="1"/>
      <c r="B478" s="191" t="s">
        <v>13</v>
      </c>
      <c r="C478" s="142"/>
      <c r="D478" s="142"/>
      <c r="E478" s="56"/>
      <c r="F478" t="s">
        <v>95</v>
      </c>
    </row>
    <row r="479" spans="1:6" hidden="1" x14ac:dyDescent="0.25">
      <c r="A479" s="36">
        <v>3.3</v>
      </c>
      <c r="B479" s="192" t="s">
        <v>791</v>
      </c>
      <c r="C479" s="142">
        <f ca="1">SUM(C480,C484,C488)/2</f>
        <v>0</v>
      </c>
      <c r="D479" s="142">
        <f t="shared" ref="D479:E479" ca="1" si="94">SUM(D480,D484,D488)/2</f>
        <v>0</v>
      </c>
      <c r="E479" s="143">
        <f t="shared" ca="1" si="94"/>
        <v>0</v>
      </c>
      <c r="F479" t="s">
        <v>95</v>
      </c>
    </row>
    <row r="480" spans="1:6" hidden="1" x14ac:dyDescent="0.25">
      <c r="A480" s="36" t="s">
        <v>343</v>
      </c>
      <c r="B480" s="187" t="s">
        <v>34</v>
      </c>
      <c r="C480" s="55">
        <f ca="1">C481</f>
        <v>0</v>
      </c>
      <c r="D480" s="55">
        <f t="shared" ref="D480:E480" ca="1" si="95">D481</f>
        <v>0</v>
      </c>
      <c r="E480" s="56">
        <f t="shared" ca="1" si="95"/>
        <v>0</v>
      </c>
      <c r="F480" t="s">
        <v>95</v>
      </c>
    </row>
    <row r="481" spans="1:6" hidden="1" x14ac:dyDescent="0.25">
      <c r="A481" s="36" t="s">
        <v>344</v>
      </c>
      <c r="B481" s="192" t="s">
        <v>120</v>
      </c>
      <c r="C481" s="57">
        <f ca="1">SUM(C482:C483)</f>
        <v>0</v>
      </c>
      <c r="D481" s="57">
        <f t="shared" ref="D481:E481" ca="1" si="96">SUM(D482:D483)</f>
        <v>0</v>
      </c>
      <c r="E481" s="58">
        <f t="shared" ca="1" si="96"/>
        <v>0</v>
      </c>
      <c r="F481" t="s">
        <v>95</v>
      </c>
    </row>
    <row r="482" spans="1:6" hidden="1" x14ac:dyDescent="0.25">
      <c r="A482" s="36" t="s">
        <v>345</v>
      </c>
      <c r="B482" s="189" t="s">
        <v>35</v>
      </c>
      <c r="C482" s="124">
        <f ca="1">_xlfn.IFNA(VLOOKUP(A482,Worksheet!$B$1:$G$600,3,FALSE),C482)</f>
        <v>0</v>
      </c>
      <c r="D482" s="124">
        <f ca="1">_xlfn.IFNA(VLOOKUP(A482,Worksheet!$B$1:$G$600,4,FALSE),D482)</f>
        <v>0</v>
      </c>
      <c r="E482" s="125">
        <f ca="1">_xlfn.IFNA(VLOOKUP(A482,Worksheet!$B$1:$G$600,5,FALSE),E482)</f>
        <v>0</v>
      </c>
      <c r="F482" t="s">
        <v>95</v>
      </c>
    </row>
    <row r="483" spans="1:6" hidden="1" x14ac:dyDescent="0.25">
      <c r="A483" s="36" t="s">
        <v>346</v>
      </c>
      <c r="B483" s="188" t="s">
        <v>36</v>
      </c>
      <c r="C483" s="126">
        <f ca="1">_xlfn.IFNA(VLOOKUP(A483,Worksheet!$B$1:$G$600,3,FALSE),C483)</f>
        <v>0</v>
      </c>
      <c r="D483" s="126">
        <f ca="1">_xlfn.IFNA(VLOOKUP(A483,Worksheet!$B$1:$G$600,4,FALSE),D483)</f>
        <v>0</v>
      </c>
      <c r="E483" s="127">
        <f ca="1">_xlfn.IFNA(VLOOKUP(A483,Worksheet!$B$1:$G$600,5,FALSE),E483)</f>
        <v>0</v>
      </c>
      <c r="F483" t="s">
        <v>95</v>
      </c>
    </row>
    <row r="484" spans="1:6" hidden="1" x14ac:dyDescent="0.25">
      <c r="A484" s="36" t="s">
        <v>347</v>
      </c>
      <c r="B484" s="187" t="s">
        <v>766</v>
      </c>
      <c r="C484" s="55">
        <f ca="1">C485</f>
        <v>0</v>
      </c>
      <c r="D484" s="55">
        <f t="shared" ref="D484:E484" ca="1" si="97">D485</f>
        <v>0</v>
      </c>
      <c r="E484" s="56">
        <f t="shared" ca="1" si="97"/>
        <v>0</v>
      </c>
      <c r="F484" t="s">
        <v>95</v>
      </c>
    </row>
    <row r="485" spans="1:6" hidden="1" x14ac:dyDescent="0.25">
      <c r="A485" s="36" t="s">
        <v>348</v>
      </c>
      <c r="B485" s="192" t="s">
        <v>120</v>
      </c>
      <c r="C485" s="57">
        <f ca="1">SUM(C486:C487)</f>
        <v>0</v>
      </c>
      <c r="D485" s="57">
        <f t="shared" ref="D485:E485" ca="1" si="98">SUM(D486:D487)</f>
        <v>0</v>
      </c>
      <c r="E485" s="58">
        <f t="shared" ca="1" si="98"/>
        <v>0</v>
      </c>
      <c r="F485" t="s">
        <v>95</v>
      </c>
    </row>
    <row r="486" spans="1:6" hidden="1" x14ac:dyDescent="0.25">
      <c r="A486" s="36" t="s">
        <v>349</v>
      </c>
      <c r="B486" s="189" t="s">
        <v>35</v>
      </c>
      <c r="C486" s="124">
        <f ca="1">_xlfn.IFNA(VLOOKUP(A486,Worksheet!$B$1:$G$600,3,FALSE),C486)</f>
        <v>0</v>
      </c>
      <c r="D486" s="124">
        <f ca="1">_xlfn.IFNA(VLOOKUP(A486,Worksheet!$B$1:$G$600,4,FALSE),D486)</f>
        <v>0</v>
      </c>
      <c r="E486" s="125">
        <f ca="1">_xlfn.IFNA(VLOOKUP(A486,Worksheet!$B$1:$G$600,5,FALSE),E486)</f>
        <v>0</v>
      </c>
      <c r="F486" t="s">
        <v>95</v>
      </c>
    </row>
    <row r="487" spans="1:6" hidden="1" x14ac:dyDescent="0.25">
      <c r="A487" s="36" t="s">
        <v>350</v>
      </c>
      <c r="B487" s="188" t="s">
        <v>36</v>
      </c>
      <c r="C487" s="126">
        <f ca="1">_xlfn.IFNA(VLOOKUP(A487,Worksheet!$B$1:$G$600,3,FALSE),C487)</f>
        <v>0</v>
      </c>
      <c r="D487" s="126">
        <f ca="1">_xlfn.IFNA(VLOOKUP(A487,Worksheet!$B$1:$G$600,4,FALSE),D487)</f>
        <v>0</v>
      </c>
      <c r="E487" s="127">
        <f ca="1">_xlfn.IFNA(VLOOKUP(A487,Worksheet!$B$1:$G$600,5,FALSE),E487)</f>
        <v>0</v>
      </c>
      <c r="F487" t="s">
        <v>95</v>
      </c>
    </row>
    <row r="488" spans="1:6" hidden="1" x14ac:dyDescent="0.25">
      <c r="A488" s="36" t="s">
        <v>342</v>
      </c>
      <c r="B488" s="187" t="s">
        <v>767</v>
      </c>
      <c r="C488" s="55">
        <f ca="1">C489</f>
        <v>0</v>
      </c>
      <c r="D488" s="55">
        <f t="shared" ref="D488:E488" ca="1" si="99">D489</f>
        <v>0</v>
      </c>
      <c r="E488" s="56">
        <f t="shared" ca="1" si="99"/>
        <v>0</v>
      </c>
      <c r="F488" t="s">
        <v>95</v>
      </c>
    </row>
    <row r="489" spans="1:6" hidden="1" x14ac:dyDescent="0.25">
      <c r="A489" s="36" t="s">
        <v>351</v>
      </c>
      <c r="B489" s="192" t="s">
        <v>120</v>
      </c>
      <c r="C489" s="57">
        <f ca="1">SUM(C490:C491)</f>
        <v>0</v>
      </c>
      <c r="D489" s="57">
        <f t="shared" ref="D489:E489" ca="1" si="100">SUM(D490:D491)</f>
        <v>0</v>
      </c>
      <c r="E489" s="58">
        <f t="shared" ca="1" si="100"/>
        <v>0</v>
      </c>
      <c r="F489" t="s">
        <v>95</v>
      </c>
    </row>
    <row r="490" spans="1:6" hidden="1" x14ac:dyDescent="0.25">
      <c r="A490" s="36" t="s">
        <v>352</v>
      </c>
      <c r="B490" s="189" t="s">
        <v>35</v>
      </c>
      <c r="C490" s="124">
        <f ca="1">_xlfn.IFNA(VLOOKUP(A490,Worksheet!$B$1:$G$600,3,FALSE),C490)</f>
        <v>0</v>
      </c>
      <c r="D490" s="124">
        <f ca="1">_xlfn.IFNA(VLOOKUP(A490,Worksheet!$B$1:$G$600,4,FALSE),D490)</f>
        <v>0</v>
      </c>
      <c r="E490" s="125">
        <f ca="1">_xlfn.IFNA(VLOOKUP(A490,Worksheet!$B$1:$G$600,5,FALSE),E490)</f>
        <v>0</v>
      </c>
      <c r="F490" t="s">
        <v>95</v>
      </c>
    </row>
    <row r="491" spans="1:6" hidden="1" x14ac:dyDescent="0.25">
      <c r="A491" s="36" t="s">
        <v>353</v>
      </c>
      <c r="B491" s="188" t="s">
        <v>36</v>
      </c>
      <c r="C491" s="126">
        <f ca="1">_xlfn.IFNA(VLOOKUP(A491,Worksheet!$B$1:$G$600,3,FALSE),C491)</f>
        <v>0</v>
      </c>
      <c r="D491" s="126">
        <f ca="1">_xlfn.IFNA(VLOOKUP(A491,Worksheet!$B$1:$G$600,4,FALSE),D491)</f>
        <v>0</v>
      </c>
      <c r="E491" s="127">
        <f ca="1">_xlfn.IFNA(VLOOKUP(A491,Worksheet!$B$1:$G$600,5,FALSE),E491)</f>
        <v>0</v>
      </c>
      <c r="F491" t="s">
        <v>95</v>
      </c>
    </row>
    <row r="492" spans="1:6" hidden="1" x14ac:dyDescent="0.25">
      <c r="A492" s="36"/>
      <c r="B492" s="191" t="s">
        <v>23</v>
      </c>
      <c r="C492" s="55"/>
      <c r="D492" s="55"/>
      <c r="E492" s="56"/>
      <c r="F492" t="s">
        <v>95</v>
      </c>
    </row>
    <row r="493" spans="1:6" hidden="1" x14ac:dyDescent="0.25">
      <c r="A493" s="36">
        <v>3.4</v>
      </c>
      <c r="B493" s="192" t="s">
        <v>763</v>
      </c>
      <c r="C493" s="142">
        <f ca="1">SUM(C494,C496,C498)/2</f>
        <v>0</v>
      </c>
      <c r="D493" s="142">
        <f t="shared" ref="D493:E493" ca="1" si="101">SUM(D494,D496,D498)/2</f>
        <v>0</v>
      </c>
      <c r="E493" s="143">
        <f t="shared" ca="1" si="101"/>
        <v>0</v>
      </c>
      <c r="F493" t="s">
        <v>95</v>
      </c>
    </row>
    <row r="494" spans="1:6" hidden="1" x14ac:dyDescent="0.25">
      <c r="A494" s="36" t="s">
        <v>356</v>
      </c>
      <c r="B494" s="187" t="s">
        <v>768</v>
      </c>
      <c r="C494" s="55">
        <f ca="1">C495</f>
        <v>0</v>
      </c>
      <c r="D494" s="55">
        <f t="shared" ref="D494:E494" ca="1" si="102">D495</f>
        <v>0</v>
      </c>
      <c r="E494" s="56">
        <f t="shared" ca="1" si="102"/>
        <v>0</v>
      </c>
      <c r="F494" t="s">
        <v>95</v>
      </c>
    </row>
    <row r="495" spans="1:6" hidden="1" x14ac:dyDescent="0.25">
      <c r="A495" s="36" t="s">
        <v>361</v>
      </c>
      <c r="B495" s="192" t="s">
        <v>120</v>
      </c>
      <c r="C495" s="171">
        <f ca="1">_xlfn.IFNA(VLOOKUP(A495,Worksheet!$B$1:$G$600,3,FALSE),C495)</f>
        <v>0</v>
      </c>
      <c r="D495" s="171">
        <f ca="1">_xlfn.IFNA(VLOOKUP(A495,Worksheet!$B$1:$G$600,4,FALSE),D495)</f>
        <v>0</v>
      </c>
      <c r="E495" s="172">
        <f ca="1">_xlfn.IFNA(VLOOKUP(A495,Worksheet!$B$1:$G$600,5,FALSE),E495)</f>
        <v>0</v>
      </c>
      <c r="F495" t="s">
        <v>95</v>
      </c>
    </row>
    <row r="496" spans="1:6" hidden="1" x14ac:dyDescent="0.25">
      <c r="A496" s="36" t="s">
        <v>357</v>
      </c>
      <c r="B496" s="187" t="s">
        <v>769</v>
      </c>
      <c r="C496" s="55">
        <f ca="1">C497</f>
        <v>0</v>
      </c>
      <c r="D496" s="55">
        <f t="shared" ref="D496:E496" ca="1" si="103">D497</f>
        <v>0</v>
      </c>
      <c r="E496" s="56">
        <f t="shared" ca="1" si="103"/>
        <v>0</v>
      </c>
      <c r="F496" t="s">
        <v>95</v>
      </c>
    </row>
    <row r="497" spans="1:10" hidden="1" x14ac:dyDescent="0.25">
      <c r="A497" s="36" t="s">
        <v>360</v>
      </c>
      <c r="B497" s="192" t="s">
        <v>120</v>
      </c>
      <c r="C497" s="126">
        <f ca="1">_xlfn.IFNA(VLOOKUP(A497,Worksheet!$B$1:$G$600,3,FALSE),C497)</f>
        <v>0</v>
      </c>
      <c r="D497" s="126">
        <f ca="1">_xlfn.IFNA(VLOOKUP(A497,Worksheet!$B$1:$G$600,4,FALSE),D497)</f>
        <v>0</v>
      </c>
      <c r="E497" s="127">
        <f ca="1">_xlfn.IFNA(VLOOKUP(A497,Worksheet!$B$1:$G$600,5,FALSE),E497)</f>
        <v>0</v>
      </c>
      <c r="F497" t="s">
        <v>95</v>
      </c>
    </row>
    <row r="498" spans="1:10" hidden="1" x14ac:dyDescent="0.25">
      <c r="A498" s="36" t="s">
        <v>358</v>
      </c>
      <c r="B498" s="187" t="s">
        <v>770</v>
      </c>
      <c r="C498" s="55">
        <f ca="1">C499</f>
        <v>0</v>
      </c>
      <c r="D498" s="55">
        <f t="shared" ref="D498:E498" ca="1" si="104">D499</f>
        <v>0</v>
      </c>
      <c r="E498" s="56">
        <f t="shared" ca="1" si="104"/>
        <v>0</v>
      </c>
      <c r="F498" t="s">
        <v>95</v>
      </c>
    </row>
    <row r="499" spans="1:10" hidden="1" x14ac:dyDescent="0.25">
      <c r="A499" s="36" t="s">
        <v>359</v>
      </c>
      <c r="B499" s="187" t="s">
        <v>120</v>
      </c>
      <c r="C499" s="126">
        <f ca="1">_xlfn.IFNA(VLOOKUP(A499,Worksheet!$B$1:$G$600,3,FALSE),C499)</f>
        <v>0</v>
      </c>
      <c r="D499" s="126">
        <f ca="1">_xlfn.IFNA(VLOOKUP(A499,Worksheet!$B$1:$G$600,4,FALSE),D499)</f>
        <v>0</v>
      </c>
      <c r="E499" s="127">
        <f ca="1">_xlfn.IFNA(VLOOKUP(A499,Worksheet!$B$1:$G$600,5,FALSE),E499)</f>
        <v>0</v>
      </c>
      <c r="F499" t="s">
        <v>95</v>
      </c>
    </row>
    <row r="500" spans="1:10" hidden="1" x14ac:dyDescent="0.25">
      <c r="A500" s="1"/>
      <c r="B500" s="191" t="s">
        <v>25</v>
      </c>
      <c r="C500" s="142"/>
      <c r="D500" s="55"/>
      <c r="E500" s="56"/>
      <c r="F500" t="s">
        <v>95</v>
      </c>
    </row>
    <row r="501" spans="1:10" hidden="1" x14ac:dyDescent="0.25">
      <c r="A501" s="36">
        <v>3.5</v>
      </c>
      <c r="B501" s="192" t="s">
        <v>124</v>
      </c>
      <c r="C501" s="142">
        <f ca="1">SUM(C502,C506,C510)</f>
        <v>0</v>
      </c>
      <c r="D501" s="142">
        <f t="shared" ref="D501:E501" ca="1" si="105">SUM(D502,D506,D510)</f>
        <v>0</v>
      </c>
      <c r="E501" s="143">
        <f t="shared" ca="1" si="105"/>
        <v>1.3333333333333333</v>
      </c>
      <c r="F501" t="s">
        <v>95</v>
      </c>
      <c r="J501" t="s">
        <v>1871</v>
      </c>
    </row>
    <row r="502" spans="1:10" hidden="1" x14ac:dyDescent="0.25">
      <c r="A502" s="36" t="s">
        <v>354</v>
      </c>
      <c r="B502" s="187" t="s">
        <v>122</v>
      </c>
      <c r="C502" s="55">
        <f ca="1">AVERAGE(C503:C505)</f>
        <v>0</v>
      </c>
      <c r="D502" s="55">
        <f t="shared" ref="D502:E502" ca="1" si="106">AVERAGE(D503:D505)</f>
        <v>0</v>
      </c>
      <c r="E502" s="56">
        <f t="shared" ca="1" si="106"/>
        <v>0</v>
      </c>
      <c r="F502" t="s">
        <v>95</v>
      </c>
    </row>
    <row r="503" spans="1:10" hidden="1" x14ac:dyDescent="0.25">
      <c r="A503" s="36" t="s">
        <v>1129</v>
      </c>
      <c r="B503" s="190" t="s">
        <v>120</v>
      </c>
      <c r="C503" s="124">
        <f ca="1">_xlfn.IFNA(VLOOKUP(A503,Worksheet!$B$1:$G$600,3,FALSE),C503)</f>
        <v>0</v>
      </c>
      <c r="D503" s="124">
        <f ca="1">_xlfn.IFNA(VLOOKUP(A503,Worksheet!$B$1:$G$600,4,FALSE),D503)</f>
        <v>0</v>
      </c>
      <c r="E503" s="125">
        <f ca="1">_xlfn.IFNA(VLOOKUP(A503,Worksheet!$B$1:$G$600,5,FALSE),E503)</f>
        <v>0</v>
      </c>
      <c r="F503" t="s">
        <v>95</v>
      </c>
    </row>
    <row r="504" spans="1:10" hidden="1" x14ac:dyDescent="0.25">
      <c r="A504" s="36" t="s">
        <v>1130</v>
      </c>
      <c r="B504" s="189" t="s">
        <v>713</v>
      </c>
      <c r="C504" s="124">
        <f ca="1">_xlfn.IFNA(VLOOKUP(A504,Worksheet!$B$1:$G$600,3,FALSE),C504)</f>
        <v>0</v>
      </c>
      <c r="D504" s="124">
        <f ca="1">_xlfn.IFNA(VLOOKUP(A504,Worksheet!$B$1:$G$600,4,FALSE),D504)</f>
        <v>0</v>
      </c>
      <c r="E504" s="125">
        <f ca="1">_xlfn.IFNA(VLOOKUP(A504,Worksheet!$B$1:$G$600,5,FALSE),E504)</f>
        <v>0</v>
      </c>
      <c r="F504" t="s">
        <v>95</v>
      </c>
    </row>
    <row r="505" spans="1:10" hidden="1" x14ac:dyDescent="0.25">
      <c r="A505" s="36" t="s">
        <v>1131</v>
      </c>
      <c r="B505" s="188" t="s">
        <v>761</v>
      </c>
      <c r="C505" s="126">
        <f ca="1">_xlfn.IFNA(VLOOKUP(A505,Worksheet!$B$1:$G$600,3,FALSE),C505)</f>
        <v>0</v>
      </c>
      <c r="D505" s="126">
        <f ca="1">_xlfn.IFNA(VLOOKUP(A505,Worksheet!$B$1:$G$600,4,FALSE),D505)</f>
        <v>0</v>
      </c>
      <c r="E505" s="127">
        <f ca="1">_xlfn.IFNA(VLOOKUP(A505,Worksheet!$B$1:$G$600,5,FALSE),E505)</f>
        <v>0</v>
      </c>
      <c r="F505" t="s">
        <v>95</v>
      </c>
    </row>
    <row r="506" spans="1:10" hidden="1" x14ac:dyDescent="0.25">
      <c r="A506" s="36" t="s">
        <v>355</v>
      </c>
      <c r="B506" s="187" t="s">
        <v>123</v>
      </c>
      <c r="C506" s="55">
        <f ca="1">AVERAGE(C507:C509)</f>
        <v>0</v>
      </c>
      <c r="D506" s="55">
        <f t="shared" ref="D506:E506" ca="1" si="107">AVERAGE(D507:D509)</f>
        <v>0</v>
      </c>
      <c r="E506" s="56">
        <f t="shared" ca="1" si="107"/>
        <v>0</v>
      </c>
      <c r="F506" t="s">
        <v>95</v>
      </c>
    </row>
    <row r="507" spans="1:10" hidden="1" x14ac:dyDescent="0.25">
      <c r="A507" s="36" t="s">
        <v>1132</v>
      </c>
      <c r="B507" s="190" t="s">
        <v>120</v>
      </c>
      <c r="C507" s="124">
        <f ca="1">_xlfn.IFNA(VLOOKUP(A507,Worksheet!$B$1:$G$600,3,FALSE),C507)</f>
        <v>0</v>
      </c>
      <c r="D507" s="124">
        <f ca="1">_xlfn.IFNA(VLOOKUP(A507,Worksheet!$B$1:$G$600,4,FALSE),D507)</f>
        <v>0</v>
      </c>
      <c r="E507" s="125">
        <f ca="1">_xlfn.IFNA(VLOOKUP(A507,Worksheet!$B$1:$G$600,5,FALSE),E507)</f>
        <v>0</v>
      </c>
      <c r="F507" t="s">
        <v>95</v>
      </c>
    </row>
    <row r="508" spans="1:10" hidden="1" x14ac:dyDescent="0.25">
      <c r="A508" s="36" t="s">
        <v>1133</v>
      </c>
      <c r="B508" s="189" t="s">
        <v>713</v>
      </c>
      <c r="C508" s="124">
        <f ca="1">_xlfn.IFNA(VLOOKUP(A508,Worksheet!$B$1:$G$600,3,FALSE),C508)</f>
        <v>0</v>
      </c>
      <c r="D508" s="124">
        <f ca="1">_xlfn.IFNA(VLOOKUP(A508,Worksheet!$B$1:$G$600,4,FALSE),D508)</f>
        <v>0</v>
      </c>
      <c r="E508" s="125">
        <f ca="1">_xlfn.IFNA(VLOOKUP(A508,Worksheet!$B$1:$G$600,5,FALSE),E508)</f>
        <v>0</v>
      </c>
      <c r="F508" t="s">
        <v>95</v>
      </c>
    </row>
    <row r="509" spans="1:10" hidden="1" x14ac:dyDescent="0.25">
      <c r="A509" s="36" t="s">
        <v>1134</v>
      </c>
      <c r="B509" s="188" t="s">
        <v>761</v>
      </c>
      <c r="C509" s="126">
        <f ca="1">_xlfn.IFNA(VLOOKUP(A509,Worksheet!$B$1:$G$600,3,FALSE),C509)</f>
        <v>0</v>
      </c>
      <c r="D509" s="126">
        <f ca="1">_xlfn.IFNA(VLOOKUP(A509,Worksheet!$B$1:$G$600,4,FALSE),D509)</f>
        <v>0</v>
      </c>
      <c r="E509" s="127">
        <f ca="1">_xlfn.IFNA(VLOOKUP(A509,Worksheet!$B$1:$G$600,5,FALSE),E509)</f>
        <v>0</v>
      </c>
      <c r="F509" t="s">
        <v>95</v>
      </c>
    </row>
    <row r="510" spans="1:10" hidden="1" x14ac:dyDescent="0.25">
      <c r="A510" s="36" t="s">
        <v>1135</v>
      </c>
      <c r="B510" s="187" t="s">
        <v>764</v>
      </c>
      <c r="C510" s="55">
        <f ca="1">AVERAGE(C511:C513)</f>
        <v>0</v>
      </c>
      <c r="D510" s="55">
        <f t="shared" ref="D510:E510" ca="1" si="108">AVERAGE(D511:D513)</f>
        <v>0</v>
      </c>
      <c r="E510" s="56">
        <f t="shared" ca="1" si="108"/>
        <v>1.3333333333333333</v>
      </c>
      <c r="F510" t="s">
        <v>95</v>
      </c>
    </row>
    <row r="511" spans="1:10" hidden="1" x14ac:dyDescent="0.25">
      <c r="A511" s="36" t="s">
        <v>1136</v>
      </c>
      <c r="B511" s="190" t="s">
        <v>120</v>
      </c>
      <c r="C511" s="124">
        <f ca="1">_xlfn.IFNA(VLOOKUP(A511,Worksheet!$B$1:$G$600,3,FALSE),C511)</f>
        <v>0</v>
      </c>
      <c r="D511" s="124">
        <f ca="1">_xlfn.IFNA(VLOOKUP(A511,Worksheet!$B$1:$G$600,4,FALSE),D511)</f>
        <v>0</v>
      </c>
      <c r="E511" s="125">
        <f ca="1">_xlfn.IFNA(VLOOKUP(A511,Worksheet!$B$1:$G$600,5,FALSE),E511)</f>
        <v>0</v>
      </c>
      <c r="F511" t="s">
        <v>95</v>
      </c>
    </row>
    <row r="512" spans="1:10" hidden="1" x14ac:dyDescent="0.25">
      <c r="A512" s="36" t="s">
        <v>1137</v>
      </c>
      <c r="B512" s="189" t="s">
        <v>713</v>
      </c>
      <c r="C512" s="124">
        <f ca="1">_xlfn.IFNA(VLOOKUP(A512,Worksheet!$B$1:$G$600,3,FALSE),C512)</f>
        <v>0</v>
      </c>
      <c r="D512" s="124">
        <f ca="1">_xlfn.IFNA(VLOOKUP(A512,Worksheet!$B$1:$G$600,4,FALSE),D512)</f>
        <v>0</v>
      </c>
      <c r="E512" s="125">
        <v>4</v>
      </c>
      <c r="F512" t="s">
        <v>95</v>
      </c>
    </row>
    <row r="513" spans="1:7" hidden="1" x14ac:dyDescent="0.25">
      <c r="A513" s="36" t="s">
        <v>1138</v>
      </c>
      <c r="B513" s="188" t="s">
        <v>761</v>
      </c>
      <c r="C513" s="126">
        <f ca="1">_xlfn.IFNA(VLOOKUP(A513,Worksheet!$B$1:$G$600,3,FALSE),C513)</f>
        <v>0</v>
      </c>
      <c r="D513" s="126">
        <f ca="1">_xlfn.IFNA(VLOOKUP(A513,Worksheet!$B$1:$G$600,4,FALSE),D513)</f>
        <v>0</v>
      </c>
      <c r="E513" s="127">
        <f ca="1">_xlfn.IFNA(VLOOKUP(A513,Worksheet!$B$1:$G$600,5,FALSE),E513)</f>
        <v>0</v>
      </c>
      <c r="F513" t="s">
        <v>95</v>
      </c>
    </row>
    <row r="514" spans="1:7" hidden="1" x14ac:dyDescent="0.25">
      <c r="A514" s="36">
        <v>4</v>
      </c>
      <c r="B514" s="265" t="s">
        <v>37</v>
      </c>
      <c r="C514" s="266"/>
      <c r="D514" s="266"/>
      <c r="E514" s="266"/>
      <c r="F514" t="s">
        <v>98</v>
      </c>
    </row>
    <row r="515" spans="1:7" hidden="1" x14ac:dyDescent="0.25">
      <c r="A515" s="36"/>
      <c r="B515" s="200" t="s">
        <v>6</v>
      </c>
      <c r="C515" s="201" t="s">
        <v>84</v>
      </c>
      <c r="D515" s="201" t="s">
        <v>85</v>
      </c>
      <c r="E515" s="166" t="s">
        <v>86</v>
      </c>
      <c r="F515" t="s">
        <v>98</v>
      </c>
    </row>
    <row r="516" spans="1:7" hidden="1" x14ac:dyDescent="0.25">
      <c r="A516" s="36">
        <v>4.0999999999999996</v>
      </c>
      <c r="B516" s="151" t="s">
        <v>125</v>
      </c>
      <c r="C516" s="173">
        <f ca="1">SUM(C517,C519,C521,C523)</f>
        <v>0</v>
      </c>
      <c r="D516" s="173">
        <f t="shared" ref="D516:E516" ca="1" si="109">SUM(D517,D519,D521,D523)</f>
        <v>0</v>
      </c>
      <c r="E516" s="173">
        <f t="shared" ca="1" si="109"/>
        <v>0</v>
      </c>
      <c r="F516" t="s">
        <v>98</v>
      </c>
    </row>
    <row r="517" spans="1:7" hidden="1" x14ac:dyDescent="0.25">
      <c r="A517" s="36" t="s">
        <v>362</v>
      </c>
      <c r="B517" s="152" t="s">
        <v>773</v>
      </c>
      <c r="C517" s="173">
        <f ca="1">C518</f>
        <v>0</v>
      </c>
      <c r="D517" s="173">
        <f t="shared" ref="D517:E517" ca="1" si="110">D518</f>
        <v>0</v>
      </c>
      <c r="E517" s="173">
        <f t="shared" ca="1" si="110"/>
        <v>0</v>
      </c>
      <c r="F517" t="s">
        <v>98</v>
      </c>
    </row>
    <row r="518" spans="1:7" hidden="1" x14ac:dyDescent="0.25">
      <c r="A518" s="36" t="s">
        <v>363</v>
      </c>
      <c r="B518" s="153" t="s">
        <v>120</v>
      </c>
      <c r="C518" s="124">
        <f ca="1">_xlfn.IFNA(VLOOKUP(A518,Worksheet!$B$1:$G$600,3,FALSE),C518)</f>
        <v>0</v>
      </c>
      <c r="D518" s="124">
        <f ca="1">_xlfn.IFNA(VLOOKUP(A518,Worksheet!$B$1:$G$600,4,FALSE),D518)</f>
        <v>0</v>
      </c>
      <c r="E518" s="124">
        <f ca="1">_xlfn.IFNA(VLOOKUP(A518,Worksheet!$B$1:$G$600,5,FALSE),E518)</f>
        <v>0</v>
      </c>
      <c r="F518" t="s">
        <v>98</v>
      </c>
    </row>
    <row r="519" spans="1:7" hidden="1" x14ac:dyDescent="0.25">
      <c r="A519" s="36" t="s">
        <v>364</v>
      </c>
      <c r="B519" s="152" t="s">
        <v>772</v>
      </c>
      <c r="C519" s="202">
        <f ca="1">C520</f>
        <v>0</v>
      </c>
      <c r="D519" s="202">
        <f t="shared" ref="D519:E519" ca="1" si="111">D520</f>
        <v>0</v>
      </c>
      <c r="E519" s="202">
        <f t="shared" ca="1" si="111"/>
        <v>0</v>
      </c>
      <c r="F519" t="s">
        <v>98</v>
      </c>
    </row>
    <row r="520" spans="1:7" hidden="1" x14ac:dyDescent="0.25">
      <c r="A520" s="36" t="s">
        <v>365</v>
      </c>
      <c r="B520" s="153" t="s">
        <v>120</v>
      </c>
      <c r="C520" s="124">
        <f ca="1">_xlfn.IFNA(VLOOKUP(A520,Worksheet!$B$1:$G$600,3,FALSE),C520)</f>
        <v>0</v>
      </c>
      <c r="D520" s="124">
        <f ca="1">_xlfn.IFNA(VLOOKUP(A520,Worksheet!$B$1:$G$600,4,FALSE),D520)</f>
        <v>0</v>
      </c>
      <c r="E520" s="124">
        <f ca="1">_xlfn.IFNA(VLOOKUP(A520,Worksheet!$B$1:$G$600,5,FALSE),E520)</f>
        <v>0</v>
      </c>
      <c r="F520" t="s">
        <v>98</v>
      </c>
    </row>
    <row r="521" spans="1:7" hidden="1" x14ac:dyDescent="0.25">
      <c r="A521" s="36" t="s">
        <v>366</v>
      </c>
      <c r="B521" s="154" t="s">
        <v>771</v>
      </c>
      <c r="C521" s="202">
        <f ca="1">C522</f>
        <v>0</v>
      </c>
      <c r="D521" s="202">
        <f t="shared" ref="D521:E521" ca="1" si="112">D522</f>
        <v>0</v>
      </c>
      <c r="E521" s="202">
        <f t="shared" ca="1" si="112"/>
        <v>0</v>
      </c>
      <c r="F521" t="s">
        <v>98</v>
      </c>
    </row>
    <row r="522" spans="1:7" hidden="1" x14ac:dyDescent="0.25">
      <c r="A522" s="36" t="s">
        <v>367</v>
      </c>
      <c r="B522" s="153" t="s">
        <v>120</v>
      </c>
      <c r="C522" s="124">
        <f ca="1">_xlfn.IFNA(VLOOKUP(A522,Worksheet!$B$1:$G$600,3,FALSE),C522)</f>
        <v>0</v>
      </c>
      <c r="D522" s="124">
        <f ca="1">_xlfn.IFNA(VLOOKUP(A522,Worksheet!$B$1:$G$600,4,FALSE),D522)</f>
        <v>0</v>
      </c>
      <c r="E522" s="124">
        <f ca="1">_xlfn.IFNA(VLOOKUP(A522,Worksheet!$B$1:$G$600,5,FALSE),E522)</f>
        <v>0</v>
      </c>
      <c r="F522" t="s">
        <v>98</v>
      </c>
    </row>
    <row r="523" spans="1:7" hidden="1" x14ac:dyDescent="0.25">
      <c r="A523" s="36" t="s">
        <v>1139</v>
      </c>
      <c r="B523" s="154" t="s">
        <v>774</v>
      </c>
      <c r="C523" s="202">
        <f ca="1">C524</f>
        <v>0</v>
      </c>
      <c r="D523" s="202">
        <f t="shared" ref="D523:E523" ca="1" si="113">D524</f>
        <v>0</v>
      </c>
      <c r="E523" s="202">
        <f t="shared" ca="1" si="113"/>
        <v>0</v>
      </c>
      <c r="F523" t="s">
        <v>98</v>
      </c>
    </row>
    <row r="524" spans="1:7" hidden="1" x14ac:dyDescent="0.25">
      <c r="A524" s="36" t="s">
        <v>1140</v>
      </c>
      <c r="B524" s="153" t="s">
        <v>120</v>
      </c>
      <c r="C524" s="124">
        <f ca="1">_xlfn.IFNA(VLOOKUP(A524,Worksheet!$B$1:$G$600,3,FALSE),C524)</f>
        <v>0</v>
      </c>
      <c r="D524" s="124">
        <f ca="1">_xlfn.IFNA(VLOOKUP(A524,Worksheet!$B$1:$G$600,4,FALSE),D524)</f>
        <v>0</v>
      </c>
      <c r="E524" s="124">
        <f ca="1">_xlfn.IFNA(VLOOKUP(A524,Worksheet!$B$1:$G$600,5,FALSE),E524)</f>
        <v>0</v>
      </c>
      <c r="F524" t="s">
        <v>98</v>
      </c>
    </row>
    <row r="525" spans="1:7" hidden="1" x14ac:dyDescent="0.25">
      <c r="A525" s="36"/>
      <c r="B525" s="203" t="s">
        <v>12</v>
      </c>
      <c r="C525" s="166"/>
      <c r="D525" s="166"/>
      <c r="E525" s="166"/>
      <c r="F525" t="s">
        <v>98</v>
      </c>
    </row>
    <row r="526" spans="1:7" hidden="1" x14ac:dyDescent="0.25">
      <c r="A526" s="36">
        <v>4.2</v>
      </c>
      <c r="B526" s="155" t="s">
        <v>775</v>
      </c>
      <c r="C526" s="179">
        <f ca="1">AVERAGE(C527:C530)</f>
        <v>33</v>
      </c>
      <c r="D526" s="179">
        <f ca="1">AVERAGE(D527:D530)</f>
        <v>43.5</v>
      </c>
      <c r="E526" s="179">
        <f ca="1">AVERAGE(E527:E530)</f>
        <v>32.5</v>
      </c>
      <c r="F526" t="s">
        <v>98</v>
      </c>
      <c r="G526" s="4"/>
    </row>
    <row r="527" spans="1:7" hidden="1" x14ac:dyDescent="0.25">
      <c r="A527" s="36" t="s">
        <v>368</v>
      </c>
      <c r="B527" s="156" t="s">
        <v>120</v>
      </c>
      <c r="C527" s="179">
        <f ca="1">SUM(C528:C529)/2</f>
        <v>33</v>
      </c>
      <c r="D527" s="179">
        <f ca="1">SUM(D528:D529)/2</f>
        <v>43.5</v>
      </c>
      <c r="E527" s="179">
        <f ca="1">SUM(E528:E529)/2</f>
        <v>32.5</v>
      </c>
      <c r="F527" t="s">
        <v>98</v>
      </c>
    </row>
    <row r="528" spans="1:7" hidden="1" x14ac:dyDescent="0.25">
      <c r="A528" s="36" t="s">
        <v>369</v>
      </c>
      <c r="B528" s="156" t="s">
        <v>709</v>
      </c>
      <c r="C528" s="124">
        <f ca="1">_xlfn.IFNA(VLOOKUP(A528,Worksheet!$B$1:$G$600,3,FALSE),C528)</f>
        <v>0</v>
      </c>
      <c r="D528" s="124">
        <f ca="1">_xlfn.IFNA(VLOOKUP(A528,Worksheet!$B$1:$G$600,4,FALSE),D528)</f>
        <v>0</v>
      </c>
      <c r="E528" s="124">
        <f ca="1">_xlfn.IFNA(VLOOKUP(A528,Worksheet!$B$1:$G$600,5,FALSE),E528)</f>
        <v>0</v>
      </c>
      <c r="F528" t="s">
        <v>98</v>
      </c>
    </row>
    <row r="529" spans="1:6" hidden="1" x14ac:dyDescent="0.25">
      <c r="A529" s="36" t="s">
        <v>1141</v>
      </c>
      <c r="B529" s="156" t="s">
        <v>24</v>
      </c>
      <c r="C529" s="124">
        <f ca="1">_xlfn.IFNA(VLOOKUP(A529,Worksheet!$B$1:$G$600,3,FALSE),C529)</f>
        <v>0</v>
      </c>
      <c r="D529" s="124">
        <f ca="1">_xlfn.IFNA(VLOOKUP(A529,Worksheet!$B$1:$G$600,4,FALSE),D529)</f>
        <v>0</v>
      </c>
      <c r="E529" s="124">
        <f ca="1">_xlfn.IFNA(VLOOKUP(A529,Worksheet!$B$1:$G$600,5,FALSE),E529)</f>
        <v>0</v>
      </c>
      <c r="F529" t="s">
        <v>98</v>
      </c>
    </row>
    <row r="530" spans="1:6" hidden="1" x14ac:dyDescent="0.25">
      <c r="A530" s="36" t="s">
        <v>1142</v>
      </c>
      <c r="B530" s="156" t="s">
        <v>761</v>
      </c>
      <c r="C530" s="124">
        <f ca="1">_xlfn.IFNA(VLOOKUP(A530,Worksheet!$B$1:$G$600,3,FALSE),C530)</f>
        <v>0</v>
      </c>
      <c r="D530" s="124">
        <f ca="1">_xlfn.IFNA(VLOOKUP(A530,Worksheet!$B$1:$G$600,4,FALSE),D530)</f>
        <v>0</v>
      </c>
      <c r="E530" s="124">
        <f ca="1">_xlfn.IFNA(VLOOKUP(A530,Worksheet!$B$1:$G$600,5,FALSE),E530)</f>
        <v>0</v>
      </c>
      <c r="F530" t="s">
        <v>98</v>
      </c>
    </row>
    <row r="531" spans="1:6" hidden="1" x14ac:dyDescent="0.25">
      <c r="A531" s="36"/>
      <c r="B531" s="203" t="s">
        <v>13</v>
      </c>
      <c r="C531" s="166"/>
      <c r="D531" s="201"/>
      <c r="E531" s="201"/>
      <c r="F531" t="s">
        <v>98</v>
      </c>
    </row>
    <row r="532" spans="1:6" hidden="1" x14ac:dyDescent="0.25">
      <c r="A532" s="36">
        <v>4.3</v>
      </c>
      <c r="B532" s="157" t="s">
        <v>790</v>
      </c>
      <c r="C532" s="179">
        <f ca="1">SUM(C533,C535,C537,C539)</f>
        <v>67</v>
      </c>
      <c r="D532" s="179">
        <f t="shared" ref="D532:E532" ca="1" si="114">SUM(D533,D535,D537,D539)</f>
        <v>46</v>
      </c>
      <c r="E532" s="179">
        <f t="shared" ca="1" si="114"/>
        <v>58</v>
      </c>
      <c r="F532" t="s">
        <v>98</v>
      </c>
    </row>
    <row r="533" spans="1:6" hidden="1" x14ac:dyDescent="0.25">
      <c r="A533" s="36" t="s">
        <v>370</v>
      </c>
      <c r="B533" s="152" t="s">
        <v>776</v>
      </c>
      <c r="C533" s="202">
        <f ca="1">C534</f>
        <v>23</v>
      </c>
      <c r="D533" s="173">
        <f ca="1">D534</f>
        <v>33</v>
      </c>
      <c r="E533" s="173">
        <f ca="1">E534</f>
        <v>23</v>
      </c>
      <c r="F533" t="s">
        <v>98</v>
      </c>
    </row>
    <row r="534" spans="1:6" hidden="1" x14ac:dyDescent="0.25">
      <c r="A534" s="36" t="s">
        <v>371</v>
      </c>
      <c r="B534" s="156" t="s">
        <v>120</v>
      </c>
      <c r="C534" s="124">
        <f ca="1">_xlfn.IFNA(VLOOKUP(A534,Worksheet!$B$1:$G$600,3,FALSE),C534)</f>
        <v>0</v>
      </c>
      <c r="D534" s="124">
        <f ca="1">_xlfn.IFNA(VLOOKUP(A534,Worksheet!$B$1:$G$600,4,FALSE),D534)</f>
        <v>0</v>
      </c>
      <c r="E534" s="124">
        <f ca="1">_xlfn.IFNA(VLOOKUP(A534,Worksheet!$B$1:$G$600,5,FALSE),E534)</f>
        <v>0</v>
      </c>
      <c r="F534" t="s">
        <v>98</v>
      </c>
    </row>
    <row r="535" spans="1:6" hidden="1" x14ac:dyDescent="0.25">
      <c r="A535" s="36" t="s">
        <v>372</v>
      </c>
      <c r="B535" s="152" t="s">
        <v>777</v>
      </c>
      <c r="C535" s="202">
        <f ca="1">C536</f>
        <v>43</v>
      </c>
      <c r="D535" s="173">
        <f ca="1">D536</f>
        <v>12</v>
      </c>
      <c r="E535" s="173">
        <f ca="1">E536</f>
        <v>34</v>
      </c>
      <c r="F535" t="s">
        <v>98</v>
      </c>
    </row>
    <row r="536" spans="1:6" hidden="1" x14ac:dyDescent="0.25">
      <c r="A536" s="36" t="s">
        <v>373</v>
      </c>
      <c r="B536" s="156" t="s">
        <v>120</v>
      </c>
      <c r="C536" s="124">
        <f ca="1">_xlfn.IFNA(VLOOKUP(A536,Worksheet!$B$1:$G$600,3,FALSE),C536)</f>
        <v>0</v>
      </c>
      <c r="D536" s="124">
        <f ca="1">_xlfn.IFNA(VLOOKUP(A536,Worksheet!$B$1:$G$600,4,FALSE),D536)</f>
        <v>0</v>
      </c>
      <c r="E536" s="124">
        <f ca="1">_xlfn.IFNA(VLOOKUP(A536,Worksheet!$B$1:$G$600,5,FALSE),E536)</f>
        <v>0</v>
      </c>
      <c r="F536" t="s">
        <v>98</v>
      </c>
    </row>
    <row r="537" spans="1:6" hidden="1" x14ac:dyDescent="0.25">
      <c r="A537" s="36" t="s">
        <v>374</v>
      </c>
      <c r="B537" s="152" t="s">
        <v>778</v>
      </c>
      <c r="C537" s="202">
        <f ca="1">C538</f>
        <v>1</v>
      </c>
      <c r="D537" s="173">
        <f ca="1">D538</f>
        <v>1</v>
      </c>
      <c r="E537" s="173">
        <f ca="1">E538</f>
        <v>1</v>
      </c>
      <c r="F537" t="s">
        <v>98</v>
      </c>
    </row>
    <row r="538" spans="1:6" hidden="1" x14ac:dyDescent="0.25">
      <c r="A538" s="36" t="s">
        <v>375</v>
      </c>
      <c r="B538" s="156" t="s">
        <v>120</v>
      </c>
      <c r="C538" s="124">
        <f ca="1">_xlfn.IFNA(VLOOKUP(A538,Worksheet!$B$1:$G$600,3,FALSE),C538)</f>
        <v>0</v>
      </c>
      <c r="D538" s="124">
        <f ca="1">_xlfn.IFNA(VLOOKUP(A538,Worksheet!$B$1:$G$600,4,FALSE),D538)</f>
        <v>0</v>
      </c>
      <c r="E538" s="124">
        <f ca="1">_xlfn.IFNA(VLOOKUP(A538,Worksheet!$B$1:$G$600,5,FALSE),E538)</f>
        <v>0</v>
      </c>
      <c r="F538" t="s">
        <v>98</v>
      </c>
    </row>
    <row r="539" spans="1:6" hidden="1" x14ac:dyDescent="0.25">
      <c r="A539" s="36" t="s">
        <v>376</v>
      </c>
      <c r="B539" s="152" t="s">
        <v>779</v>
      </c>
      <c r="C539" s="202">
        <f ca="1">C540</f>
        <v>0</v>
      </c>
      <c r="D539" s="173">
        <f ca="1">D540</f>
        <v>0</v>
      </c>
      <c r="E539" s="173">
        <f ca="1">E540</f>
        <v>0</v>
      </c>
      <c r="F539" t="s">
        <v>98</v>
      </c>
    </row>
    <row r="540" spans="1:6" hidden="1" x14ac:dyDescent="0.25">
      <c r="A540" s="36" t="s">
        <v>377</v>
      </c>
      <c r="B540" s="156" t="s">
        <v>120</v>
      </c>
      <c r="C540" s="124">
        <f ca="1">_xlfn.IFNA(VLOOKUP(A540,Worksheet!$B$1:$G$600,3,FALSE),C540)</f>
        <v>0</v>
      </c>
      <c r="D540" s="124">
        <f ca="1">_xlfn.IFNA(VLOOKUP(A540,Worksheet!$B$1:$G$600,4,FALSE),D540)</f>
        <v>0</v>
      </c>
      <c r="E540" s="124">
        <f ca="1">_xlfn.IFNA(VLOOKUP(A540,Worksheet!$B$1:$G$600,5,FALSE),E540)</f>
        <v>0</v>
      </c>
      <c r="F540" t="s">
        <v>98</v>
      </c>
    </row>
    <row r="541" spans="1:6" hidden="1" x14ac:dyDescent="0.25">
      <c r="A541" s="36"/>
      <c r="B541" s="203" t="s">
        <v>23</v>
      </c>
      <c r="C541" s="201"/>
      <c r="D541" s="166"/>
      <c r="E541" s="201"/>
      <c r="F541" t="s">
        <v>98</v>
      </c>
    </row>
    <row r="542" spans="1:6" s="4" customFormat="1" hidden="1" x14ac:dyDescent="0.25">
      <c r="A542" s="36">
        <v>4.4000000000000004</v>
      </c>
      <c r="B542" s="157" t="s">
        <v>126</v>
      </c>
      <c r="C542" s="204">
        <f ca="1">SUM(C543,C551,C555,C559)</f>
        <v>14.5</v>
      </c>
      <c r="D542" s="204">
        <f ca="1">SUM(D543,D551,D555,D559)</f>
        <v>24.5</v>
      </c>
      <c r="E542" s="204">
        <f ca="1">SUM(E543,E551,E555,E559)</f>
        <v>27.5</v>
      </c>
      <c r="F542" t="s">
        <v>98</v>
      </c>
    </row>
    <row r="543" spans="1:6" s="4" customFormat="1" hidden="1" x14ac:dyDescent="0.25">
      <c r="A543" s="36" t="s">
        <v>378</v>
      </c>
      <c r="B543" s="156" t="s">
        <v>780</v>
      </c>
      <c r="C543" s="124">
        <f ca="1">_xlfn.IFNA(VLOOKUP(A543,Worksheet!$B$1:$G$600,3,FALSE),C543)</f>
        <v>0</v>
      </c>
      <c r="D543" s="124">
        <f ca="1">_xlfn.IFNA(VLOOKUP(A543,Worksheet!$B$1:$G$600,4,FALSE),D543)</f>
        <v>0</v>
      </c>
      <c r="E543" s="124">
        <f ca="1">_xlfn.IFNA(VLOOKUP(A543,Worksheet!$B$1:$G$600,5,FALSE),E543)</f>
        <v>0</v>
      </c>
      <c r="F543" t="s">
        <v>98</v>
      </c>
    </row>
    <row r="544" spans="1:6" s="4" customFormat="1" hidden="1" x14ac:dyDescent="0.25">
      <c r="A544" s="36" t="s">
        <v>379</v>
      </c>
      <c r="B544" s="158" t="s">
        <v>120</v>
      </c>
      <c r="C544" s="124">
        <f ca="1">_xlfn.IFNA(VLOOKUP(A544,Worksheet!$B$1:$G$600,3,FALSE),C544)</f>
        <v>0</v>
      </c>
      <c r="D544" s="124">
        <f ca="1">_xlfn.IFNA(VLOOKUP(A544,Worksheet!$B$1:$G$600,4,FALSE),D544)</f>
        <v>0</v>
      </c>
      <c r="E544" s="124">
        <f ca="1">_xlfn.IFNA(VLOOKUP(A544,Worksheet!$B$1:$G$600,5,FALSE),E544)</f>
        <v>0</v>
      </c>
      <c r="F544" t="s">
        <v>98</v>
      </c>
    </row>
    <row r="545" spans="1:13" hidden="1" x14ac:dyDescent="0.25">
      <c r="A545" s="36"/>
      <c r="B545" s="203" t="s">
        <v>25</v>
      </c>
      <c r="C545" s="159"/>
      <c r="D545" s="159"/>
      <c r="E545" s="159"/>
      <c r="F545" t="s">
        <v>98</v>
      </c>
    </row>
    <row r="546" spans="1:13" hidden="1" x14ac:dyDescent="0.25">
      <c r="A546" s="36">
        <v>4.5</v>
      </c>
      <c r="B546" s="151" t="s">
        <v>781</v>
      </c>
      <c r="C546" s="177">
        <f ca="1">SUM(C547,C551,C555,C559)</f>
        <v>50</v>
      </c>
      <c r="D546" s="177">
        <f t="shared" ref="D546:E546" ca="1" si="115">SUM(D547,D551,D555,D559)</f>
        <v>62.5</v>
      </c>
      <c r="E546" s="177">
        <f t="shared" ca="1" si="115"/>
        <v>71</v>
      </c>
      <c r="F546" t="s">
        <v>98</v>
      </c>
      <c r="M546" s="3"/>
    </row>
    <row r="547" spans="1:13" hidden="1" x14ac:dyDescent="0.25">
      <c r="A547" s="36" t="s">
        <v>386</v>
      </c>
      <c r="B547" s="152" t="s">
        <v>782</v>
      </c>
      <c r="C547" s="177">
        <f ca="1">AVERAGE(C548:C550)</f>
        <v>35.5</v>
      </c>
      <c r="D547" s="177">
        <f t="shared" ref="D547:E547" ca="1" si="116">AVERAGE(D548:D550)</f>
        <v>38</v>
      </c>
      <c r="E547" s="177">
        <f t="shared" ca="1" si="116"/>
        <v>43.5</v>
      </c>
      <c r="F547" t="s">
        <v>98</v>
      </c>
      <c r="M547" s="3"/>
    </row>
    <row r="548" spans="1:13" hidden="1" x14ac:dyDescent="0.25">
      <c r="A548" s="36" t="s">
        <v>1143</v>
      </c>
      <c r="B548" s="158" t="s">
        <v>120</v>
      </c>
      <c r="C548" s="124">
        <f ca="1">_xlfn.IFNA(VLOOKUP(A548,Worksheet!$B$1:$G$600,3,FALSE),C548)</f>
        <v>0</v>
      </c>
      <c r="D548" s="124">
        <f ca="1">_xlfn.IFNA(VLOOKUP(A548,Worksheet!$B$1:$G$600,4,FALSE),D548)</f>
        <v>0</v>
      </c>
      <c r="E548" s="124">
        <f ca="1">_xlfn.IFNA(VLOOKUP(A548,Worksheet!$B$1:$G$600,5,FALSE),E548)</f>
        <v>0</v>
      </c>
      <c r="F548" t="s">
        <v>98</v>
      </c>
    </row>
    <row r="549" spans="1:13" hidden="1" x14ac:dyDescent="0.25">
      <c r="A549" s="36" t="s">
        <v>1144</v>
      </c>
      <c r="B549" s="158" t="s">
        <v>713</v>
      </c>
      <c r="C549" s="124">
        <f ca="1">_xlfn.IFNA(VLOOKUP(A549,Worksheet!$B$1:$G$600,3,FALSE),C549)</f>
        <v>0</v>
      </c>
      <c r="D549" s="124">
        <f ca="1">_xlfn.IFNA(VLOOKUP(A549,Worksheet!$B$1:$G$600,4,FALSE),D549)</f>
        <v>0</v>
      </c>
      <c r="E549" s="124">
        <f ca="1">_xlfn.IFNA(VLOOKUP(A549,Worksheet!$B$1:$G$600,5,FALSE),E549)</f>
        <v>0</v>
      </c>
      <c r="F549" t="s">
        <v>98</v>
      </c>
    </row>
    <row r="550" spans="1:13" hidden="1" x14ac:dyDescent="0.25">
      <c r="A550" s="36" t="s">
        <v>1145</v>
      </c>
      <c r="B550" s="158" t="s">
        <v>761</v>
      </c>
      <c r="C550" s="124">
        <f ca="1">_xlfn.IFNA(VLOOKUP(A550,Worksheet!$B$1:$G$600,3,FALSE),C550)</f>
        <v>0</v>
      </c>
      <c r="D550" s="124">
        <f ca="1">_xlfn.IFNA(VLOOKUP(A550,Worksheet!$B$1:$G$600,4,FALSE),D550)</f>
        <v>0</v>
      </c>
      <c r="E550" s="124">
        <f ca="1">_xlfn.IFNA(VLOOKUP(A550,Worksheet!$B$1:$G$600,5,FALSE),E550)</f>
        <v>0</v>
      </c>
      <c r="F550" t="s">
        <v>98</v>
      </c>
    </row>
    <row r="551" spans="1:13" s="4" customFormat="1" hidden="1" x14ac:dyDescent="0.25">
      <c r="A551" s="36" t="s">
        <v>387</v>
      </c>
      <c r="B551" s="152" t="s">
        <v>783</v>
      </c>
      <c r="C551" s="204">
        <f ca="1">AVERAGE(C552:C554)</f>
        <v>12.5</v>
      </c>
      <c r="D551" s="204">
        <f t="shared" ref="D551:E551" ca="1" si="117">AVERAGE(D552:D554)</f>
        <v>22</v>
      </c>
      <c r="E551" s="204">
        <f t="shared" ca="1" si="117"/>
        <v>26.5</v>
      </c>
      <c r="F551" t="s">
        <v>98</v>
      </c>
    </row>
    <row r="552" spans="1:13" s="4" customFormat="1" hidden="1" x14ac:dyDescent="0.25">
      <c r="A552" s="36" t="s">
        <v>1146</v>
      </c>
      <c r="B552" s="158" t="s">
        <v>120</v>
      </c>
      <c r="C552" s="124">
        <f ca="1">_xlfn.IFNA(VLOOKUP(A552,Worksheet!$B$1:$G$600,3,FALSE),C552)</f>
        <v>0</v>
      </c>
      <c r="D552" s="124">
        <f ca="1">_xlfn.IFNA(VLOOKUP(A552,Worksheet!$B$1:$G$600,4,FALSE),D552)</f>
        <v>0</v>
      </c>
      <c r="E552" s="124">
        <f ca="1">_xlfn.IFNA(VLOOKUP(A552,Worksheet!$B$1:$G$600,5,FALSE),E552)</f>
        <v>0</v>
      </c>
      <c r="F552" t="s">
        <v>98</v>
      </c>
    </row>
    <row r="553" spans="1:13" s="4" customFormat="1" hidden="1" x14ac:dyDescent="0.25">
      <c r="A553" s="36" t="s">
        <v>1147</v>
      </c>
      <c r="B553" s="158" t="s">
        <v>713</v>
      </c>
      <c r="C553" s="124">
        <f ca="1">_xlfn.IFNA(VLOOKUP(A553,Worksheet!$B$1:$G$600,3,FALSE),C553)</f>
        <v>0</v>
      </c>
      <c r="D553" s="124">
        <f ca="1">_xlfn.IFNA(VLOOKUP(A553,Worksheet!$B$1:$G$600,4,FALSE),D553)</f>
        <v>0</v>
      </c>
      <c r="E553" s="124">
        <f ca="1">_xlfn.IFNA(VLOOKUP(A553,Worksheet!$B$1:$G$600,5,FALSE),E553)</f>
        <v>0</v>
      </c>
      <c r="F553" t="s">
        <v>98</v>
      </c>
    </row>
    <row r="554" spans="1:13" s="4" customFormat="1" hidden="1" x14ac:dyDescent="0.25">
      <c r="A554" s="36" t="s">
        <v>1148</v>
      </c>
      <c r="B554" s="158" t="s">
        <v>761</v>
      </c>
      <c r="C554" s="124">
        <f ca="1">_xlfn.IFNA(VLOOKUP(A554,Worksheet!$B$1:$G$600,3,FALSE),C554)</f>
        <v>0</v>
      </c>
      <c r="D554" s="124">
        <f ca="1">_xlfn.IFNA(VLOOKUP(A554,Worksheet!$B$1:$G$600,4,FALSE),D554)</f>
        <v>0</v>
      </c>
      <c r="E554" s="124">
        <f ca="1">_xlfn.IFNA(VLOOKUP(A554,Worksheet!$B$1:$G$600,5,FALSE),E554)</f>
        <v>0</v>
      </c>
      <c r="F554" t="s">
        <v>98</v>
      </c>
    </row>
    <row r="555" spans="1:13" s="4" customFormat="1" hidden="1" x14ac:dyDescent="0.25">
      <c r="A555" s="36" t="s">
        <v>380</v>
      </c>
      <c r="B555" s="152" t="s">
        <v>784</v>
      </c>
      <c r="C555" s="204">
        <f ca="1">AVERAGE(C556:C558)</f>
        <v>1</v>
      </c>
      <c r="D555" s="204">
        <f t="shared" ref="D555:E555" ca="1" si="118">AVERAGE(D556:D558)</f>
        <v>1</v>
      </c>
      <c r="E555" s="204">
        <f t="shared" ca="1" si="118"/>
        <v>0</v>
      </c>
      <c r="F555" t="s">
        <v>98</v>
      </c>
    </row>
    <row r="556" spans="1:13" s="4" customFormat="1" hidden="1" x14ac:dyDescent="0.25">
      <c r="A556" s="36" t="s">
        <v>381</v>
      </c>
      <c r="B556" s="158" t="s">
        <v>120</v>
      </c>
      <c r="C556" s="124">
        <f ca="1">_xlfn.IFNA(VLOOKUP(A556,Worksheet!$B$1:$G$600,3,FALSE),C556)</f>
        <v>0</v>
      </c>
      <c r="D556" s="124">
        <f ca="1">_xlfn.IFNA(VLOOKUP(A556,Worksheet!$B$1:$G$600,4,FALSE),D556)</f>
        <v>0</v>
      </c>
      <c r="E556" s="124">
        <f ca="1">_xlfn.IFNA(VLOOKUP(A556,Worksheet!$B$1:$G$600,5,FALSE),E556)</f>
        <v>0</v>
      </c>
      <c r="F556" t="s">
        <v>98</v>
      </c>
    </row>
    <row r="557" spans="1:13" hidden="1" x14ac:dyDescent="0.25">
      <c r="A557" s="36" t="s">
        <v>383</v>
      </c>
      <c r="B557" s="158" t="s">
        <v>713</v>
      </c>
      <c r="C557" s="124">
        <f ca="1">_xlfn.IFNA(VLOOKUP(A557,Worksheet!$B$1:$G$600,3,FALSE),C557)</f>
        <v>0</v>
      </c>
      <c r="D557" s="124">
        <f ca="1">_xlfn.IFNA(VLOOKUP(A557,Worksheet!$B$1:$G$600,4,FALSE),D557)</f>
        <v>0</v>
      </c>
      <c r="E557" s="124">
        <f ca="1">_xlfn.IFNA(VLOOKUP(A557,Worksheet!$B$1:$G$600,5,FALSE),E557)</f>
        <v>0</v>
      </c>
      <c r="F557" t="s">
        <v>98</v>
      </c>
    </row>
    <row r="558" spans="1:13" hidden="1" x14ac:dyDescent="0.25">
      <c r="A558" s="36" t="s">
        <v>1149</v>
      </c>
      <c r="B558" s="158" t="s">
        <v>761</v>
      </c>
      <c r="C558" s="124">
        <f ca="1">_xlfn.IFNA(VLOOKUP(A558,Worksheet!$B$1:$G$600,3,FALSE),C558)</f>
        <v>0</v>
      </c>
      <c r="D558" s="124">
        <f ca="1">_xlfn.IFNA(VLOOKUP(A558,Worksheet!$B$1:$G$600,4,FALSE),D558)</f>
        <v>0</v>
      </c>
      <c r="E558" s="124">
        <f ca="1">_xlfn.IFNA(VLOOKUP(A558,Worksheet!$B$1:$G$600,5,FALSE),E558)</f>
        <v>0</v>
      </c>
      <c r="F558" t="s">
        <v>98</v>
      </c>
    </row>
    <row r="559" spans="1:13" hidden="1" x14ac:dyDescent="0.25">
      <c r="A559" s="36" t="s">
        <v>382</v>
      </c>
      <c r="B559" s="152" t="s">
        <v>127</v>
      </c>
      <c r="C559" s="179">
        <f ca="1">AVERAGE(C560:C562)</f>
        <v>1</v>
      </c>
      <c r="D559" s="179">
        <f t="shared" ref="D559:E559" ca="1" si="119">AVERAGE(D560:D562)</f>
        <v>1.5</v>
      </c>
      <c r="E559" s="179">
        <f t="shared" ca="1" si="119"/>
        <v>1</v>
      </c>
      <c r="F559" t="s">
        <v>98</v>
      </c>
    </row>
    <row r="560" spans="1:13" hidden="1" x14ac:dyDescent="0.25">
      <c r="A560" s="36" t="s">
        <v>384</v>
      </c>
      <c r="B560" s="158" t="s">
        <v>120</v>
      </c>
      <c r="C560" s="124">
        <f ca="1">_xlfn.IFNA(VLOOKUP(A560,Worksheet!$B$1:$G$600,3,FALSE),C560)</f>
        <v>0</v>
      </c>
      <c r="D560" s="124">
        <f ca="1">_xlfn.IFNA(VLOOKUP(A560,Worksheet!$B$1:$G$600,4,FALSE),D560)</f>
        <v>0</v>
      </c>
      <c r="E560" s="124">
        <f ca="1">_xlfn.IFNA(VLOOKUP(A560,Worksheet!$B$1:$G$600,5,FALSE),E560)</f>
        <v>0</v>
      </c>
      <c r="F560" t="s">
        <v>98</v>
      </c>
    </row>
    <row r="561" spans="1:6" hidden="1" x14ac:dyDescent="0.25">
      <c r="A561" s="36" t="s">
        <v>385</v>
      </c>
      <c r="B561" s="158" t="s">
        <v>713</v>
      </c>
      <c r="C561" s="124">
        <f ca="1">_xlfn.IFNA(VLOOKUP(A561,Worksheet!$B$1:$G$600,3,FALSE),C561)</f>
        <v>0</v>
      </c>
      <c r="D561" s="124">
        <f ca="1">_xlfn.IFNA(VLOOKUP(A561,Worksheet!$B$1:$G$600,4,FALSE),D561)</f>
        <v>0</v>
      </c>
      <c r="E561" s="124">
        <f ca="1">_xlfn.IFNA(VLOOKUP(A561,Worksheet!$B$1:$G$600,5,FALSE),E561)</f>
        <v>0</v>
      </c>
      <c r="F561" t="s">
        <v>98</v>
      </c>
    </row>
    <row r="562" spans="1:6" hidden="1" x14ac:dyDescent="0.25">
      <c r="A562" s="36" t="s">
        <v>1150</v>
      </c>
      <c r="B562" s="160" t="s">
        <v>761</v>
      </c>
      <c r="C562" s="124">
        <f ca="1">_xlfn.IFNA(VLOOKUP(A562,Worksheet!$B$1:$G$600,3,FALSE),C562)</f>
        <v>0</v>
      </c>
      <c r="D562" s="124">
        <f ca="1">_xlfn.IFNA(VLOOKUP(A562,Worksheet!$B$1:$G$600,4,FALSE),D562)</f>
        <v>0</v>
      </c>
      <c r="E562" s="124">
        <f ca="1">_xlfn.IFNA(VLOOKUP(A562,Worksheet!$B$1:$G$600,5,FALSE),E562)</f>
        <v>0</v>
      </c>
      <c r="F562" t="s">
        <v>98</v>
      </c>
    </row>
    <row r="563" spans="1:6" x14ac:dyDescent="0.25">
      <c r="A563" s="36">
        <v>5</v>
      </c>
      <c r="B563" s="267" t="s">
        <v>54</v>
      </c>
      <c r="C563" s="268"/>
      <c r="D563" s="268"/>
      <c r="E563" s="269"/>
      <c r="F563" t="s">
        <v>106</v>
      </c>
    </row>
    <row r="564" spans="1:6" x14ac:dyDescent="0.25">
      <c r="A564" s="36"/>
      <c r="B564" s="186" t="s">
        <v>6</v>
      </c>
      <c r="C564" s="144" t="s">
        <v>84</v>
      </c>
      <c r="D564" s="144" t="s">
        <v>85</v>
      </c>
      <c r="E564" s="143" t="s">
        <v>86</v>
      </c>
      <c r="F564" t="s">
        <v>106</v>
      </c>
    </row>
    <row r="565" spans="1:6" x14ac:dyDescent="0.25">
      <c r="A565" s="36">
        <v>5.0999999999999996</v>
      </c>
      <c r="B565" s="205" t="s">
        <v>786</v>
      </c>
      <c r="C565" s="144">
        <f ca="1">SUM(C566,C569,C572)/2</f>
        <v>0</v>
      </c>
      <c r="D565" s="144">
        <f t="shared" ref="D565:E565" ca="1" si="120">SUM(D566,D569,D572)/2</f>
        <v>0</v>
      </c>
      <c r="E565" s="145">
        <f t="shared" ca="1" si="120"/>
        <v>0</v>
      </c>
      <c r="F565" t="s">
        <v>106</v>
      </c>
    </row>
    <row r="566" spans="1:6" x14ac:dyDescent="0.25">
      <c r="A566" s="36" t="s">
        <v>388</v>
      </c>
      <c r="B566" s="199" t="s">
        <v>785</v>
      </c>
      <c r="C566" s="142">
        <f ca="1">SUM(C567:C568)/2</f>
        <v>0</v>
      </c>
      <c r="D566" s="144">
        <f ca="1">SUM(D567:D568)/2</f>
        <v>0</v>
      </c>
      <c r="E566" s="143">
        <f ca="1">SUM(E567:E568)/2</f>
        <v>0</v>
      </c>
      <c r="F566" t="s">
        <v>106</v>
      </c>
    </row>
    <row r="567" spans="1:6" x14ac:dyDescent="0.25">
      <c r="A567" s="36" t="s">
        <v>1151</v>
      </c>
      <c r="B567" s="194" t="s">
        <v>710</v>
      </c>
      <c r="C567" s="124">
        <f ca="1">_xlfn.IFNA(VLOOKUP(A567,Worksheet!$B$1:$G$600,3,FALSE),C567)</f>
        <v>0</v>
      </c>
      <c r="D567" s="124">
        <f ca="1">_xlfn.IFNA(VLOOKUP(A567,Worksheet!$B$1:$G$600,4,FALSE),D567)</f>
        <v>0</v>
      </c>
      <c r="E567" s="125">
        <f ca="1">_xlfn.IFNA(VLOOKUP(A567,Worksheet!$B$1:$G$600,5,FALSE),E567)</f>
        <v>0</v>
      </c>
      <c r="F567" t="s">
        <v>106</v>
      </c>
    </row>
    <row r="568" spans="1:6" x14ac:dyDescent="0.25">
      <c r="A568" s="36" t="s">
        <v>1152</v>
      </c>
      <c r="B568" s="199" t="s">
        <v>129</v>
      </c>
      <c r="C568" s="126">
        <f ca="1">_xlfn.IFNA(VLOOKUP(A568,Worksheet!$B$1:$G$600,3,FALSE),C568)</f>
        <v>0</v>
      </c>
      <c r="D568" s="126">
        <f ca="1">_xlfn.IFNA(VLOOKUP(A568,Worksheet!$B$1:$G$600,4,FALSE),D568)</f>
        <v>0</v>
      </c>
      <c r="E568" s="127">
        <f ca="1">_xlfn.IFNA(VLOOKUP(A568,Worksheet!$B$1:$G$600,5,FALSE),E568)</f>
        <v>0</v>
      </c>
      <c r="F568" t="s">
        <v>106</v>
      </c>
    </row>
    <row r="569" spans="1:6" x14ac:dyDescent="0.25">
      <c r="A569" s="36" t="s">
        <v>389</v>
      </c>
      <c r="B569" s="199" t="s">
        <v>787</v>
      </c>
      <c r="C569" s="142">
        <f ca="1">SUM(C570:C571)/2</f>
        <v>0</v>
      </c>
      <c r="D569" s="144">
        <f ca="1">SUM(D570:D571)/2</f>
        <v>0</v>
      </c>
      <c r="E569" s="143">
        <f ca="1">SUM(E570:E571)/2</f>
        <v>0</v>
      </c>
      <c r="F569" t="s">
        <v>106</v>
      </c>
    </row>
    <row r="570" spans="1:6" x14ac:dyDescent="0.25">
      <c r="A570" s="36" t="s">
        <v>1153</v>
      </c>
      <c r="B570" s="194" t="s">
        <v>710</v>
      </c>
      <c r="C570" s="124">
        <f ca="1">_xlfn.IFNA(VLOOKUP(A570,Worksheet!$B$1:$G$600,3,FALSE),C570)</f>
        <v>0</v>
      </c>
      <c r="D570" s="124">
        <f ca="1">_xlfn.IFNA(VLOOKUP(A570,Worksheet!$B$1:$G$600,4,FALSE),D570)</f>
        <v>0</v>
      </c>
      <c r="E570" s="125">
        <f ca="1">_xlfn.IFNA(VLOOKUP(A570,Worksheet!$B$1:$G$600,5,FALSE),E570)</f>
        <v>0</v>
      </c>
      <c r="F570" t="s">
        <v>106</v>
      </c>
    </row>
    <row r="571" spans="1:6" x14ac:dyDescent="0.25">
      <c r="A571" s="36" t="s">
        <v>1154</v>
      </c>
      <c r="B571" s="199" t="s">
        <v>129</v>
      </c>
      <c r="C571" s="126">
        <f ca="1">_xlfn.IFNA(VLOOKUP(A571,Worksheet!$B$1:$G$600,3,FALSE),C571)</f>
        <v>0</v>
      </c>
      <c r="D571" s="126">
        <f ca="1">_xlfn.IFNA(VLOOKUP(A571,Worksheet!$B$1:$G$600,4,FALSE),D571)</f>
        <v>0</v>
      </c>
      <c r="E571" s="127">
        <f ca="1">_xlfn.IFNA(VLOOKUP(A571,Worksheet!$B$1:$G$600,5,FALSE),E571)</f>
        <v>0</v>
      </c>
      <c r="F571" t="s">
        <v>106</v>
      </c>
    </row>
    <row r="572" spans="1:6" x14ac:dyDescent="0.25">
      <c r="A572" s="36" t="s">
        <v>1155</v>
      </c>
      <c r="B572" s="199" t="s">
        <v>788</v>
      </c>
      <c r="C572" s="142">
        <f ca="1">SUM(C573:C574)/2</f>
        <v>0</v>
      </c>
      <c r="D572" s="144">
        <f ca="1">SUM(D573:D574)/2</f>
        <v>0</v>
      </c>
      <c r="E572" s="143">
        <f ca="1">SUM(E573:E574)/2</f>
        <v>0</v>
      </c>
      <c r="F572" t="s">
        <v>106</v>
      </c>
    </row>
    <row r="573" spans="1:6" x14ac:dyDescent="0.25">
      <c r="A573" s="36" t="s">
        <v>1156</v>
      </c>
      <c r="B573" s="194" t="s">
        <v>710</v>
      </c>
      <c r="C573" s="124">
        <f ca="1">_xlfn.IFNA(VLOOKUP(A573,Worksheet!$B$1:$G$600,3,FALSE),C573)</f>
        <v>0</v>
      </c>
      <c r="D573" s="124">
        <f ca="1">_xlfn.IFNA(VLOOKUP(A573,Worksheet!$B$1:$G$600,4,FALSE),D573)</f>
        <v>0</v>
      </c>
      <c r="E573" s="125">
        <f ca="1">_xlfn.IFNA(VLOOKUP(A573,Worksheet!$B$1:$G$600,5,FALSE),E573)</f>
        <v>0</v>
      </c>
      <c r="F573" t="s">
        <v>106</v>
      </c>
    </row>
    <row r="574" spans="1:6" x14ac:dyDescent="0.25">
      <c r="A574" s="36" t="s">
        <v>1157</v>
      </c>
      <c r="B574" s="199" t="s">
        <v>129</v>
      </c>
      <c r="C574" s="126">
        <f ca="1">_xlfn.IFNA(VLOOKUP(A574,Worksheet!$B$1:$G$600,3,FALSE),C574)</f>
        <v>0</v>
      </c>
      <c r="D574" s="126">
        <f ca="1">_xlfn.IFNA(VLOOKUP(A574,Worksheet!$B$1:$G$600,4,FALSE),D574)</f>
        <v>0</v>
      </c>
      <c r="E574" s="127">
        <f ca="1">_xlfn.IFNA(VLOOKUP(A574,Worksheet!$B$1:$G$600,5,FALSE),E574)</f>
        <v>0</v>
      </c>
      <c r="F574" t="s">
        <v>106</v>
      </c>
    </row>
    <row r="575" spans="1:6" x14ac:dyDescent="0.25">
      <c r="A575" s="36"/>
      <c r="B575" s="191" t="s">
        <v>12</v>
      </c>
      <c r="C575" s="55"/>
      <c r="D575" s="55"/>
      <c r="E575" s="56"/>
      <c r="F575" t="s">
        <v>106</v>
      </c>
    </row>
    <row r="576" spans="1:6" x14ac:dyDescent="0.25">
      <c r="A576" s="36">
        <v>5.2</v>
      </c>
      <c r="B576" s="205" t="s">
        <v>711</v>
      </c>
      <c r="C576" s="55">
        <f ca="1">C577</f>
        <v>0</v>
      </c>
      <c r="D576" s="55">
        <f t="shared" ref="D576:E576" ca="1" si="121">D577</f>
        <v>0</v>
      </c>
      <c r="E576" s="56">
        <f t="shared" ca="1" si="121"/>
        <v>0</v>
      </c>
      <c r="F576" t="s">
        <v>106</v>
      </c>
    </row>
    <row r="577" spans="1:6" x14ac:dyDescent="0.25">
      <c r="A577" s="36" t="s">
        <v>390</v>
      </c>
      <c r="B577" s="199" t="s">
        <v>789</v>
      </c>
      <c r="C577" s="142">
        <f ca="1">SUM(C578:C579)/2</f>
        <v>0</v>
      </c>
      <c r="D577" s="142">
        <f t="shared" ref="D577:E577" ca="1" si="122">SUM(D578:D579)/2</f>
        <v>0</v>
      </c>
      <c r="E577" s="143">
        <f t="shared" ca="1" si="122"/>
        <v>0</v>
      </c>
      <c r="F577" t="s">
        <v>106</v>
      </c>
    </row>
    <row r="578" spans="1:6" x14ac:dyDescent="0.25">
      <c r="A578" s="36" t="s">
        <v>1158</v>
      </c>
      <c r="B578" s="194" t="s">
        <v>710</v>
      </c>
      <c r="C578" s="124">
        <f ca="1">_xlfn.IFNA(VLOOKUP(A578,Worksheet!$B$1:$G$600,3,FALSE),C578)</f>
        <v>0</v>
      </c>
      <c r="D578" s="124">
        <f ca="1">_xlfn.IFNA(VLOOKUP(A578,Worksheet!$B$1:$G$600,4,FALSE),D578)</f>
        <v>0</v>
      </c>
      <c r="E578" s="125">
        <f ca="1">_xlfn.IFNA(VLOOKUP(A578,Worksheet!$B$1:$G$600,5,FALSE),E578)</f>
        <v>0</v>
      </c>
      <c r="F578" t="s">
        <v>106</v>
      </c>
    </row>
    <row r="579" spans="1:6" x14ac:dyDescent="0.25">
      <c r="A579" s="36" t="s">
        <v>1159</v>
      </c>
      <c r="B579" s="194" t="s">
        <v>129</v>
      </c>
      <c r="C579" s="124">
        <f ca="1">_xlfn.IFNA(VLOOKUP(A579,Worksheet!$B$1:$G$600,3,FALSE),C579)</f>
        <v>0</v>
      </c>
      <c r="D579" s="124">
        <f ca="1">_xlfn.IFNA(VLOOKUP(A579,Worksheet!$B$1:$G$600,4,FALSE),D579)</f>
        <v>0</v>
      </c>
      <c r="E579" s="125">
        <f ca="1">_xlfn.IFNA(VLOOKUP(A579,Worksheet!$B$1:$G$600,5,FALSE),E579)</f>
        <v>0</v>
      </c>
      <c r="F579" t="s">
        <v>106</v>
      </c>
    </row>
    <row r="580" spans="1:6" x14ac:dyDescent="0.25">
      <c r="A580" s="36" t="s">
        <v>1160</v>
      </c>
      <c r="B580" s="194" t="s">
        <v>24</v>
      </c>
      <c r="C580" s="124">
        <f ca="1">_xlfn.IFNA(VLOOKUP(A580,Worksheet!$B$1:$G$600,3,FALSE),C580)</f>
        <v>0</v>
      </c>
      <c r="D580" s="124">
        <f ca="1">_xlfn.IFNA(VLOOKUP(A580,Worksheet!$B$1:$G$600,4,FALSE),D580)</f>
        <v>0</v>
      </c>
      <c r="E580" s="125">
        <f ca="1">_xlfn.IFNA(VLOOKUP(A580,Worksheet!$B$1:$G$600,5,FALSE),E580)</f>
        <v>0</v>
      </c>
      <c r="F580" t="s">
        <v>106</v>
      </c>
    </row>
    <row r="581" spans="1:6" x14ac:dyDescent="0.25">
      <c r="A581" s="36" t="s">
        <v>1161</v>
      </c>
      <c r="B581" s="199" t="s">
        <v>761</v>
      </c>
      <c r="C581" s="126">
        <f ca="1">_xlfn.IFNA(VLOOKUP(A581,Worksheet!$B$1:$G$600,3,FALSE),C581)</f>
        <v>0</v>
      </c>
      <c r="D581" s="126">
        <f ca="1">_xlfn.IFNA(VLOOKUP(A581,Worksheet!$B$1:$G$600,4,FALSE),D581)</f>
        <v>0</v>
      </c>
      <c r="E581" s="127">
        <f ca="1">_xlfn.IFNA(VLOOKUP(A581,Worksheet!$B$1:$G$600,5,FALSE),E581)</f>
        <v>0</v>
      </c>
      <c r="F581" t="s">
        <v>106</v>
      </c>
    </row>
    <row r="582" spans="1:6" x14ac:dyDescent="0.25">
      <c r="A582" s="36"/>
      <c r="B582" s="191" t="s">
        <v>44</v>
      </c>
      <c r="C582" s="55"/>
      <c r="D582" s="55"/>
      <c r="E582" s="56"/>
      <c r="F582" t="s">
        <v>106</v>
      </c>
    </row>
    <row r="583" spans="1:6" x14ac:dyDescent="0.25">
      <c r="A583" s="36">
        <v>5.3</v>
      </c>
      <c r="B583" s="192" t="s">
        <v>796</v>
      </c>
      <c r="C583" s="55">
        <f ca="1">SUM(C584,C599)/2</f>
        <v>0</v>
      </c>
      <c r="D583" s="55">
        <f t="shared" ref="D583:E583" ca="1" si="123">SUM(D584,D599)/2</f>
        <v>0</v>
      </c>
      <c r="E583" s="56">
        <f t="shared" ca="1" si="123"/>
        <v>0</v>
      </c>
      <c r="F583" t="s">
        <v>106</v>
      </c>
    </row>
    <row r="584" spans="1:6" x14ac:dyDescent="0.25">
      <c r="A584" s="36" t="s">
        <v>391</v>
      </c>
      <c r="B584" s="187" t="s">
        <v>794</v>
      </c>
      <c r="C584" s="144">
        <f ca="1">SUM(C585,C592)</f>
        <v>0</v>
      </c>
      <c r="D584" s="144">
        <f t="shared" ref="D584:E584" ca="1" si="124">SUM(D585,D592)</f>
        <v>0</v>
      </c>
      <c r="E584" s="145">
        <f t="shared" ca="1" si="124"/>
        <v>0</v>
      </c>
      <c r="F584" t="s">
        <v>106</v>
      </c>
    </row>
    <row r="585" spans="1:6" x14ac:dyDescent="0.25">
      <c r="A585" s="36" t="s">
        <v>393</v>
      </c>
      <c r="B585" s="187" t="s">
        <v>14</v>
      </c>
      <c r="C585" s="144">
        <f ca="1">SUM(C586:C589)/2</f>
        <v>0</v>
      </c>
      <c r="D585" s="144">
        <f ca="1">SUM(D586:D589)/2</f>
        <v>0</v>
      </c>
      <c r="E585" s="143">
        <f ca="1">SUM(E586:E589)/2</f>
        <v>0</v>
      </c>
      <c r="F585" t="s">
        <v>106</v>
      </c>
    </row>
    <row r="586" spans="1:6" x14ac:dyDescent="0.25">
      <c r="A586" s="36" t="s">
        <v>394</v>
      </c>
      <c r="B586" s="194" t="s">
        <v>710</v>
      </c>
      <c r="C586" s="173">
        <f ca="1">SUM(C587:C588)</f>
        <v>0</v>
      </c>
      <c r="D586" s="173">
        <f t="shared" ref="D586:E586" ca="1" si="125">SUM(D587:D588)</f>
        <v>0</v>
      </c>
      <c r="E586" s="174">
        <f t="shared" ca="1" si="125"/>
        <v>0</v>
      </c>
      <c r="F586" t="s">
        <v>106</v>
      </c>
    </row>
    <row r="587" spans="1:6" x14ac:dyDescent="0.25">
      <c r="A587" s="36" t="s">
        <v>400</v>
      </c>
      <c r="B587" s="189" t="s">
        <v>55</v>
      </c>
      <c r="C587" s="124">
        <f ca="1">_xlfn.IFNA(VLOOKUP(A587,Worksheet!$B$1:$G$600,3,FALSE),C587)</f>
        <v>0</v>
      </c>
      <c r="D587" s="124">
        <f ca="1">_xlfn.IFNA(VLOOKUP(A587,Worksheet!$B$1:$G$600,4,FALSE),D587)</f>
        <v>0</v>
      </c>
      <c r="E587" s="125">
        <f ca="1">_xlfn.IFNA(VLOOKUP(A587,Worksheet!$B$1:$G$600,5,FALSE),E587)</f>
        <v>0</v>
      </c>
      <c r="F587" t="s">
        <v>106</v>
      </c>
    </row>
    <row r="588" spans="1:6" x14ac:dyDescent="0.25">
      <c r="A588" s="36" t="s">
        <v>401</v>
      </c>
      <c r="B588" s="188" t="s">
        <v>56</v>
      </c>
      <c r="C588" s="126">
        <f ca="1">_xlfn.IFNA(VLOOKUP(A588,Worksheet!$B$1:$G$600,3,FALSE),C588)</f>
        <v>0</v>
      </c>
      <c r="D588" s="126">
        <f ca="1">_xlfn.IFNA(VLOOKUP(A588,Worksheet!$B$1:$G$600,4,FALSE),D588)</f>
        <v>0</v>
      </c>
      <c r="E588" s="127">
        <f ca="1">_xlfn.IFNA(VLOOKUP(A588,Worksheet!$B$1:$G$600,5,FALSE),E588)</f>
        <v>0</v>
      </c>
      <c r="F588" t="s">
        <v>106</v>
      </c>
    </row>
    <row r="589" spans="1:6" x14ac:dyDescent="0.25">
      <c r="A589" s="36" t="s">
        <v>399</v>
      </c>
      <c r="B589" s="187" t="s">
        <v>128</v>
      </c>
      <c r="C589" s="144">
        <f ca="1">SUM(C590:C591)</f>
        <v>0</v>
      </c>
      <c r="D589" s="144">
        <f t="shared" ref="D589:E589" ca="1" si="126">SUM(D590:D591)</f>
        <v>0</v>
      </c>
      <c r="E589" s="145">
        <f t="shared" ca="1" si="126"/>
        <v>0</v>
      </c>
      <c r="F589" t="s">
        <v>106</v>
      </c>
    </row>
    <row r="590" spans="1:6" x14ac:dyDescent="0.25">
      <c r="A590" s="36" t="s">
        <v>400</v>
      </c>
      <c r="B590" s="189" t="s">
        <v>55</v>
      </c>
      <c r="C590" s="124">
        <f ca="1">_xlfn.IFNA(VLOOKUP(A590,Worksheet!$B$1:$G$600,3,FALSE),C590)</f>
        <v>0</v>
      </c>
      <c r="D590" s="124">
        <f ca="1">_xlfn.IFNA(VLOOKUP(A590,Worksheet!$B$1:$G$600,4,FALSE),D590)</f>
        <v>0</v>
      </c>
      <c r="E590" s="125">
        <f ca="1">_xlfn.IFNA(VLOOKUP(A590,Worksheet!$B$1:$G$600,5,FALSE),E590)</f>
        <v>0</v>
      </c>
      <c r="F590" t="s">
        <v>106</v>
      </c>
    </row>
    <row r="591" spans="1:6" x14ac:dyDescent="0.25">
      <c r="A591" s="36" t="s">
        <v>401</v>
      </c>
      <c r="B591" s="188" t="s">
        <v>56</v>
      </c>
      <c r="C591" s="126">
        <f ca="1">_xlfn.IFNA(VLOOKUP(A591,Worksheet!$B$1:$G$600,3,FALSE),C591)</f>
        <v>0</v>
      </c>
      <c r="D591" s="126">
        <f ca="1">_xlfn.IFNA(VLOOKUP(A591,Worksheet!$B$1:$G$600,4,FALSE),D591)</f>
        <v>0</v>
      </c>
      <c r="E591" s="127">
        <f ca="1">_xlfn.IFNA(VLOOKUP(A591,Worksheet!$B$1:$G$600,5,FALSE),E591)</f>
        <v>0</v>
      </c>
      <c r="F591" t="s">
        <v>106</v>
      </c>
    </row>
    <row r="592" spans="1:6" x14ac:dyDescent="0.25">
      <c r="A592" s="36" t="s">
        <v>395</v>
      </c>
      <c r="B592" s="188" t="s">
        <v>15</v>
      </c>
      <c r="C592" s="142">
        <f ca="1">SUM(C593:C596)/2</f>
        <v>0</v>
      </c>
      <c r="D592" s="142">
        <f t="shared" ref="D592:E592" ca="1" si="127">SUM(D593:D596)/2</f>
        <v>0</v>
      </c>
      <c r="E592" s="143">
        <f t="shared" ca="1" si="127"/>
        <v>0</v>
      </c>
      <c r="F592" t="s">
        <v>106</v>
      </c>
    </row>
    <row r="593" spans="1:6" x14ac:dyDescent="0.25">
      <c r="A593" s="36" t="s">
        <v>396</v>
      </c>
      <c r="B593" s="194" t="s">
        <v>710</v>
      </c>
      <c r="C593" s="173">
        <f ca="1">SUM(C594:C595)</f>
        <v>0</v>
      </c>
      <c r="D593" s="173">
        <f t="shared" ref="D593:E593" ca="1" si="128">SUM(D594:D595)</f>
        <v>0</v>
      </c>
      <c r="E593" s="174">
        <f t="shared" ca="1" si="128"/>
        <v>0</v>
      </c>
      <c r="F593" t="s">
        <v>106</v>
      </c>
    </row>
    <row r="594" spans="1:6" x14ac:dyDescent="0.25">
      <c r="A594" s="36" t="s">
        <v>400</v>
      </c>
      <c r="B594" s="189" t="s">
        <v>55</v>
      </c>
      <c r="C594" s="124">
        <f ca="1">_xlfn.IFNA(VLOOKUP(A594,Worksheet!$B$1:$G$600,3,FALSE),C594)</f>
        <v>0</v>
      </c>
      <c r="D594" s="124">
        <f ca="1">_xlfn.IFNA(VLOOKUP(A594,Worksheet!$B$1:$G$600,4,FALSE),D594)</f>
        <v>0</v>
      </c>
      <c r="E594" s="125">
        <f ca="1">_xlfn.IFNA(VLOOKUP(A594,Worksheet!$B$1:$G$600,5,FALSE),E594)</f>
        <v>0</v>
      </c>
      <c r="F594" t="s">
        <v>106</v>
      </c>
    </row>
    <row r="595" spans="1:6" x14ac:dyDescent="0.25">
      <c r="A595" s="36" t="s">
        <v>401</v>
      </c>
      <c r="B595" s="188" t="s">
        <v>56</v>
      </c>
      <c r="C595" s="126">
        <f ca="1">_xlfn.IFNA(VLOOKUP(A595,Worksheet!$B$1:$G$600,3,FALSE),C595)</f>
        <v>0</v>
      </c>
      <c r="D595" s="126">
        <f ca="1">_xlfn.IFNA(VLOOKUP(A595,Worksheet!$B$1:$G$600,4,FALSE),D595)</f>
        <v>0</v>
      </c>
      <c r="E595" s="127">
        <f ca="1">_xlfn.IFNA(VLOOKUP(A595,Worksheet!$B$1:$G$600,5,FALSE),E595)</f>
        <v>0</v>
      </c>
      <c r="F595" t="s">
        <v>106</v>
      </c>
    </row>
    <row r="596" spans="1:6" x14ac:dyDescent="0.25">
      <c r="A596" s="36" t="s">
        <v>392</v>
      </c>
      <c r="B596" s="187" t="s">
        <v>128</v>
      </c>
      <c r="C596" s="144">
        <f ca="1">SUM(C597:C598)</f>
        <v>0</v>
      </c>
      <c r="D596" s="144">
        <f t="shared" ref="D596:E596" ca="1" si="129">SUM(D597:D598)</f>
        <v>0</v>
      </c>
      <c r="E596" s="145">
        <f t="shared" ca="1" si="129"/>
        <v>0</v>
      </c>
      <c r="F596" t="s">
        <v>106</v>
      </c>
    </row>
    <row r="597" spans="1:6" x14ac:dyDescent="0.25">
      <c r="A597" s="36" t="s">
        <v>397</v>
      </c>
      <c r="B597" s="189" t="s">
        <v>55</v>
      </c>
      <c r="C597" s="124">
        <f ca="1">_xlfn.IFNA(VLOOKUP(A597,Worksheet!$B$1:$G$600,3,FALSE),C597)</f>
        <v>0</v>
      </c>
      <c r="D597" s="124">
        <f ca="1">_xlfn.IFNA(VLOOKUP(A597,Worksheet!$B$1:$G$600,4,FALSE),D597)</f>
        <v>0</v>
      </c>
      <c r="E597" s="125">
        <f ca="1">_xlfn.IFNA(VLOOKUP(A597,Worksheet!$B$1:$G$600,5,FALSE),E597)</f>
        <v>0</v>
      </c>
      <c r="F597" t="s">
        <v>106</v>
      </c>
    </row>
    <row r="598" spans="1:6" x14ac:dyDescent="0.25">
      <c r="A598" s="36" t="s">
        <v>398</v>
      </c>
      <c r="B598" s="188" t="s">
        <v>56</v>
      </c>
      <c r="C598" s="126">
        <f ca="1">_xlfn.IFNA(VLOOKUP(A598,Worksheet!$B$1:$G$600,3,FALSE),C598)</f>
        <v>0</v>
      </c>
      <c r="D598" s="126">
        <f ca="1">_xlfn.IFNA(VLOOKUP(A598,Worksheet!$B$1:$G$600,4,FALSE),D598)</f>
        <v>0</v>
      </c>
      <c r="E598" s="127">
        <f ca="1">_xlfn.IFNA(VLOOKUP(A598,Worksheet!$B$1:$G$600,5,FALSE),E598)</f>
        <v>0</v>
      </c>
      <c r="F598" t="s">
        <v>106</v>
      </c>
    </row>
    <row r="599" spans="1:6" x14ac:dyDescent="0.25">
      <c r="A599" s="36" t="s">
        <v>402</v>
      </c>
      <c r="B599" s="199" t="s">
        <v>795</v>
      </c>
      <c r="C599" s="55">
        <f ca="1">SUM(C600,C604,C608)</f>
        <v>0</v>
      </c>
      <c r="D599" s="55">
        <f t="shared" ref="D599:E599" ca="1" si="130">SUM(D600,D604,D608)</f>
        <v>0</v>
      </c>
      <c r="E599" s="56">
        <f t="shared" ca="1" si="130"/>
        <v>0</v>
      </c>
      <c r="F599" t="s">
        <v>106</v>
      </c>
    </row>
    <row r="600" spans="1:6" x14ac:dyDescent="0.25">
      <c r="A600" s="36" t="s">
        <v>403</v>
      </c>
      <c r="B600" s="199" t="s">
        <v>57</v>
      </c>
      <c r="C600" s="144">
        <f ca="1">C601</f>
        <v>0</v>
      </c>
      <c r="D600" s="144">
        <f t="shared" ref="D600:E600" ca="1" si="131">D601</f>
        <v>0</v>
      </c>
      <c r="E600" s="145">
        <f t="shared" ca="1" si="131"/>
        <v>0</v>
      </c>
      <c r="F600" t="s">
        <v>106</v>
      </c>
    </row>
    <row r="601" spans="1:6" x14ac:dyDescent="0.25">
      <c r="A601" s="36" t="s">
        <v>404</v>
      </c>
      <c r="B601" s="194" t="s">
        <v>710</v>
      </c>
      <c r="C601" s="175">
        <f ca="1">SUM(C602:C603)</f>
        <v>0</v>
      </c>
      <c r="D601" s="175">
        <f t="shared" ref="D601:E601" ca="1" si="132">SUM(D602:D603)</f>
        <v>0</v>
      </c>
      <c r="E601" s="176">
        <f t="shared" ca="1" si="132"/>
        <v>0</v>
      </c>
      <c r="F601" t="s">
        <v>106</v>
      </c>
    </row>
    <row r="602" spans="1:6" x14ac:dyDescent="0.25">
      <c r="A602" s="36" t="s">
        <v>405</v>
      </c>
      <c r="B602" s="189" t="s">
        <v>55</v>
      </c>
      <c r="C602" s="124">
        <f ca="1">_xlfn.IFNA(VLOOKUP(A602,Worksheet!$B$1:$G$600,3,FALSE),C602)</f>
        <v>0</v>
      </c>
      <c r="D602" s="124">
        <f ca="1">_xlfn.IFNA(VLOOKUP(A602,Worksheet!$B$1:$G$600,4,FALSE),D602)</f>
        <v>0</v>
      </c>
      <c r="E602" s="125">
        <f ca="1">_xlfn.IFNA(VLOOKUP(A602,Worksheet!$B$1:$G$600,5,FALSE),E602)</f>
        <v>0</v>
      </c>
      <c r="F602" t="s">
        <v>106</v>
      </c>
    </row>
    <row r="603" spans="1:6" x14ac:dyDescent="0.25">
      <c r="A603" s="36" t="s">
        <v>406</v>
      </c>
      <c r="B603" s="188" t="s">
        <v>56</v>
      </c>
      <c r="C603" s="126">
        <f ca="1">_xlfn.IFNA(VLOOKUP(A603,Worksheet!$B$1:$G$600,3,FALSE),C603)</f>
        <v>0</v>
      </c>
      <c r="D603" s="126">
        <f ca="1">_xlfn.IFNA(VLOOKUP(A603,Worksheet!$B$1:$G$600,4,FALSE),D603)</f>
        <v>0</v>
      </c>
      <c r="E603" s="127">
        <f ca="1">_xlfn.IFNA(VLOOKUP(A603,Worksheet!$B$1:$G$600,5,FALSE),E603)</f>
        <v>0</v>
      </c>
      <c r="F603" t="s">
        <v>106</v>
      </c>
    </row>
    <row r="604" spans="1:6" x14ac:dyDescent="0.25">
      <c r="A604" s="36" t="s">
        <v>407</v>
      </c>
      <c r="B604" s="188" t="s">
        <v>58</v>
      </c>
      <c r="C604" s="55">
        <f ca="1">C605</f>
        <v>0</v>
      </c>
      <c r="D604" s="55">
        <f t="shared" ref="D604:E604" ca="1" si="133">D605</f>
        <v>0</v>
      </c>
      <c r="E604" s="56">
        <f t="shared" ca="1" si="133"/>
        <v>0</v>
      </c>
      <c r="F604" t="s">
        <v>106</v>
      </c>
    </row>
    <row r="605" spans="1:6" x14ac:dyDescent="0.25">
      <c r="A605" s="36" t="s">
        <v>408</v>
      </c>
      <c r="B605" s="194" t="s">
        <v>710</v>
      </c>
      <c r="C605" s="175">
        <f ca="1">SUM(C606:C607)</f>
        <v>0</v>
      </c>
      <c r="D605" s="175">
        <f t="shared" ref="D605:E605" ca="1" si="134">SUM(D606:D607)</f>
        <v>0</v>
      </c>
      <c r="E605" s="176">
        <f t="shared" ca="1" si="134"/>
        <v>0</v>
      </c>
      <c r="F605" t="s">
        <v>106</v>
      </c>
    </row>
    <row r="606" spans="1:6" x14ac:dyDescent="0.25">
      <c r="A606" s="36" t="s">
        <v>409</v>
      </c>
      <c r="B606" s="189" t="s">
        <v>55</v>
      </c>
      <c r="C606" s="124">
        <f ca="1">_xlfn.IFNA(VLOOKUP(A606,Worksheet!$B$1:$G$600,3,FALSE),C606)</f>
        <v>0</v>
      </c>
      <c r="D606" s="124">
        <f ca="1">_xlfn.IFNA(VLOOKUP(A606,Worksheet!$B$1:$G$600,4,FALSE),D606)</f>
        <v>0</v>
      </c>
      <c r="E606" s="125">
        <f ca="1">_xlfn.IFNA(VLOOKUP(A606,Worksheet!$B$1:$G$600,5,FALSE),E606)</f>
        <v>0</v>
      </c>
      <c r="F606" t="s">
        <v>106</v>
      </c>
    </row>
    <row r="607" spans="1:6" x14ac:dyDescent="0.25">
      <c r="A607" s="36" t="s">
        <v>410</v>
      </c>
      <c r="B607" s="188" t="s">
        <v>56</v>
      </c>
      <c r="C607" s="126">
        <f ca="1">_xlfn.IFNA(VLOOKUP(A607,Worksheet!$B$1:$G$600,3,FALSE),C607)</f>
        <v>0</v>
      </c>
      <c r="D607" s="126">
        <f ca="1">_xlfn.IFNA(VLOOKUP(A607,Worksheet!$B$1:$G$600,4,FALSE),D607)</f>
        <v>0</v>
      </c>
      <c r="E607" s="127">
        <f ca="1">_xlfn.IFNA(VLOOKUP(A607,Worksheet!$B$1:$G$600,5,FALSE),E607)</f>
        <v>0</v>
      </c>
      <c r="F607" t="s">
        <v>106</v>
      </c>
    </row>
    <row r="608" spans="1:6" x14ac:dyDescent="0.25">
      <c r="A608" s="36" t="s">
        <v>411</v>
      </c>
      <c r="B608" s="187" t="s">
        <v>59</v>
      </c>
      <c r="C608" s="55">
        <f ca="1">C609</f>
        <v>0</v>
      </c>
      <c r="D608" s="55">
        <f t="shared" ref="D608:E608" ca="1" si="135">D609</f>
        <v>0</v>
      </c>
      <c r="E608" s="56">
        <f t="shared" ca="1" si="135"/>
        <v>0</v>
      </c>
      <c r="F608" t="s">
        <v>106</v>
      </c>
    </row>
    <row r="609" spans="1:6" x14ac:dyDescent="0.25">
      <c r="A609" s="36" t="s">
        <v>412</v>
      </c>
      <c r="B609" s="194" t="s">
        <v>710</v>
      </c>
      <c r="C609" s="175">
        <f ca="1">SUM(C610:C611)</f>
        <v>0</v>
      </c>
      <c r="D609" s="175">
        <f t="shared" ref="D609:E609" ca="1" si="136">SUM(D610:D611)</f>
        <v>0</v>
      </c>
      <c r="E609" s="176">
        <f t="shared" ca="1" si="136"/>
        <v>0</v>
      </c>
      <c r="F609" t="s">
        <v>106</v>
      </c>
    </row>
    <row r="610" spans="1:6" x14ac:dyDescent="0.25">
      <c r="A610" s="36" t="s">
        <v>413</v>
      </c>
      <c r="B610" s="189" t="s">
        <v>55</v>
      </c>
      <c r="C610" s="124">
        <f ca="1">_xlfn.IFNA(VLOOKUP(A610,Worksheet!$B$1:$G$600,3,FALSE),C610)</f>
        <v>0</v>
      </c>
      <c r="D610" s="124">
        <f ca="1">_xlfn.IFNA(VLOOKUP(A610,Worksheet!$B$1:$G$600,4,FALSE),D610)</f>
        <v>0</v>
      </c>
      <c r="E610" s="125">
        <f ca="1">_xlfn.IFNA(VLOOKUP(A610,Worksheet!$B$1:$G$600,5,FALSE),E610)</f>
        <v>0</v>
      </c>
      <c r="F610" t="s">
        <v>106</v>
      </c>
    </row>
    <row r="611" spans="1:6" x14ac:dyDescent="0.25">
      <c r="A611" s="36" t="s">
        <v>414</v>
      </c>
      <c r="B611" s="188" t="s">
        <v>56</v>
      </c>
      <c r="C611" s="126">
        <f ca="1">_xlfn.IFNA(VLOOKUP(A611,Worksheet!$B$1:$G$600,3,FALSE),C611)</f>
        <v>0</v>
      </c>
      <c r="D611" s="126">
        <f ca="1">_xlfn.IFNA(VLOOKUP(A611,Worksheet!$B$1:$G$600,4,FALSE),D611)</f>
        <v>0</v>
      </c>
      <c r="E611" s="127">
        <f ca="1">_xlfn.IFNA(VLOOKUP(A611,Worksheet!$B$1:$G$600,5,FALSE),E611)</f>
        <v>0</v>
      </c>
      <c r="F611" t="s">
        <v>106</v>
      </c>
    </row>
    <row r="612" spans="1:6" x14ac:dyDescent="0.25">
      <c r="A612" s="36"/>
      <c r="B612" s="191" t="s">
        <v>23</v>
      </c>
      <c r="C612" s="55"/>
      <c r="D612" s="55"/>
      <c r="E612" s="56"/>
      <c r="F612" t="s">
        <v>106</v>
      </c>
    </row>
    <row r="613" spans="1:6" x14ac:dyDescent="0.25">
      <c r="A613" s="36">
        <v>5.4</v>
      </c>
      <c r="B613" s="192" t="s">
        <v>152</v>
      </c>
      <c r="C613" s="55">
        <f ca="1">C614</f>
        <v>0</v>
      </c>
      <c r="D613" s="55">
        <f t="shared" ref="D613:E613" ca="1" si="137">D614</f>
        <v>0</v>
      </c>
      <c r="E613" s="56">
        <f t="shared" ca="1" si="137"/>
        <v>0</v>
      </c>
      <c r="F613" t="s">
        <v>106</v>
      </c>
    </row>
    <row r="614" spans="1:6" x14ac:dyDescent="0.25">
      <c r="A614" s="36" t="s">
        <v>415</v>
      </c>
      <c r="B614" s="187" t="s">
        <v>797</v>
      </c>
      <c r="C614" s="55">
        <f ca="1">SUM(C615:C616)/2</f>
        <v>0</v>
      </c>
      <c r="D614" s="55">
        <f t="shared" ref="D614:E614" ca="1" si="138">SUM(D615:D616)/2</f>
        <v>0</v>
      </c>
      <c r="E614" s="56">
        <f t="shared" ca="1" si="138"/>
        <v>0</v>
      </c>
      <c r="F614" t="s">
        <v>106</v>
      </c>
    </row>
    <row r="615" spans="1:6" x14ac:dyDescent="0.25">
      <c r="A615" s="36" t="s">
        <v>416</v>
      </c>
      <c r="B615" s="189" t="s">
        <v>129</v>
      </c>
      <c r="C615" s="124">
        <f ca="1">_xlfn.IFNA(VLOOKUP(A615,Worksheet!$B$1:$G$600,3,FALSE),C615)</f>
        <v>0</v>
      </c>
      <c r="D615" s="124">
        <f ca="1">_xlfn.IFNA(VLOOKUP(A615,Worksheet!$B$1:$G$600,4,FALSE),D615)</f>
        <v>0</v>
      </c>
      <c r="E615" s="125">
        <f ca="1">_xlfn.IFNA(VLOOKUP(A615,Worksheet!$B$1:$G$600,5,FALSE),E615)</f>
        <v>0</v>
      </c>
      <c r="F615" t="s">
        <v>106</v>
      </c>
    </row>
    <row r="616" spans="1:6" x14ac:dyDescent="0.25">
      <c r="A616" s="36" t="s">
        <v>417</v>
      </c>
      <c r="B616" s="199" t="s">
        <v>710</v>
      </c>
      <c r="C616" s="126">
        <f ca="1">_xlfn.IFNA(VLOOKUP(A616,Worksheet!$B$1:$G$600,3,FALSE),C616)</f>
        <v>0</v>
      </c>
      <c r="D616" s="126">
        <f ca="1">_xlfn.IFNA(VLOOKUP(A616,Worksheet!$B$1:$G$600,4,FALSE),D616)</f>
        <v>0</v>
      </c>
      <c r="E616" s="127">
        <f ca="1">_xlfn.IFNA(VLOOKUP(A616,Worksheet!$B$1:$G$600,5,FALSE),E616)</f>
        <v>0</v>
      </c>
      <c r="F616" t="s">
        <v>106</v>
      </c>
    </row>
    <row r="617" spans="1:6" x14ac:dyDescent="0.25">
      <c r="A617" s="36"/>
      <c r="B617" s="191" t="s">
        <v>25</v>
      </c>
      <c r="C617" s="142"/>
      <c r="D617" s="55"/>
      <c r="E617" s="56"/>
      <c r="F617" t="s">
        <v>106</v>
      </c>
    </row>
    <row r="618" spans="1:6" x14ac:dyDescent="0.25">
      <c r="A618" s="36">
        <v>5.5</v>
      </c>
      <c r="B618" s="206" t="s">
        <v>217</v>
      </c>
      <c r="C618" s="55">
        <f ca="1">SUM(C619,C622,C627,C631)/3</f>
        <v>0</v>
      </c>
      <c r="D618" s="55">
        <f t="shared" ref="D618:E618" ca="1" si="139">SUM(D619,D622,D627,D631)/3</f>
        <v>0</v>
      </c>
      <c r="E618" s="56">
        <f t="shared" ca="1" si="139"/>
        <v>0</v>
      </c>
      <c r="F618" t="s">
        <v>106</v>
      </c>
    </row>
    <row r="619" spans="1:6" x14ac:dyDescent="0.25">
      <c r="A619" s="36" t="s">
        <v>418</v>
      </c>
      <c r="B619" s="187" t="s">
        <v>798</v>
      </c>
      <c r="C619" s="55">
        <f ca="1">SUM(C620:C622)/3</f>
        <v>0</v>
      </c>
      <c r="D619" s="55">
        <f t="shared" ref="D619:E619" ca="1" si="140">SUM(D620:D622)/3</f>
        <v>0</v>
      </c>
      <c r="E619" s="56">
        <f t="shared" ca="1" si="140"/>
        <v>0</v>
      </c>
      <c r="F619" t="s">
        <v>106</v>
      </c>
    </row>
    <row r="620" spans="1:6" x14ac:dyDescent="0.25">
      <c r="A620" s="36" t="s">
        <v>1166</v>
      </c>
      <c r="B620" s="189" t="s">
        <v>129</v>
      </c>
      <c r="C620" s="124">
        <f ca="1">_xlfn.IFNA(VLOOKUP(A620,Worksheet!$B$1:$G$600,3,FALSE),C620)</f>
        <v>0</v>
      </c>
      <c r="D620" s="124">
        <f ca="1">_xlfn.IFNA(VLOOKUP(A620,Worksheet!$B$1:$G$600,4,FALSE),D620)</f>
        <v>0</v>
      </c>
      <c r="E620" s="125">
        <f ca="1">_xlfn.IFNA(VLOOKUP(A620,Worksheet!$B$1:$G$600,5,FALSE),E620)</f>
        <v>0</v>
      </c>
      <c r="F620" t="s">
        <v>106</v>
      </c>
    </row>
    <row r="621" spans="1:6" x14ac:dyDescent="0.25">
      <c r="A621" s="36" t="s">
        <v>1167</v>
      </c>
      <c r="B621" s="194" t="s">
        <v>710</v>
      </c>
      <c r="C621" s="124">
        <f ca="1">_xlfn.IFNA(VLOOKUP(A621,Worksheet!$B$1:$G$600,3,FALSE),C621)</f>
        <v>0</v>
      </c>
      <c r="D621" s="124">
        <f ca="1">_xlfn.IFNA(VLOOKUP(A621,Worksheet!$B$1:$G$600,4,FALSE),D621)</f>
        <v>0</v>
      </c>
      <c r="E621" s="125">
        <f ca="1">_xlfn.IFNA(VLOOKUP(A621,Worksheet!$B$1:$G$600,5,FALSE),E621)</f>
        <v>0</v>
      </c>
      <c r="F621" t="s">
        <v>106</v>
      </c>
    </row>
    <row r="622" spans="1:6" x14ac:dyDescent="0.25">
      <c r="A622" s="36" t="s">
        <v>1168</v>
      </c>
      <c r="B622" s="187" t="s">
        <v>761</v>
      </c>
      <c r="C622" s="132">
        <f ca="1">SUM(C623:C624)/2</f>
        <v>0</v>
      </c>
      <c r="D622" s="132">
        <f t="shared" ref="D622:E622" ca="1" si="141">SUM(D623:D624)/2</f>
        <v>0</v>
      </c>
      <c r="E622" s="133">
        <f t="shared" ca="1" si="141"/>
        <v>0</v>
      </c>
      <c r="F622" t="s">
        <v>106</v>
      </c>
    </row>
    <row r="623" spans="1:6" x14ac:dyDescent="0.25">
      <c r="A623" s="36" t="s">
        <v>419</v>
      </c>
      <c r="B623" s="187" t="s">
        <v>800</v>
      </c>
      <c r="C623" s="146">
        <f ca="1">_xlfn.IFNA(VLOOKUP(A623,Worksheet!$B$1:$G$600,3,FALSE),C623)</f>
        <v>0</v>
      </c>
      <c r="D623" s="146">
        <f ca="1">_xlfn.IFNA(VLOOKUP(A623,Worksheet!$B$1:$G$600,4,FALSE),D623)</f>
        <v>0</v>
      </c>
      <c r="E623" s="147">
        <f ca="1">_xlfn.IFNA(VLOOKUP(A623,Worksheet!$B$1:$G$600,5,FALSE),E623)</f>
        <v>0</v>
      </c>
      <c r="F623" t="s">
        <v>106</v>
      </c>
    </row>
    <row r="624" spans="1:6" x14ac:dyDescent="0.25">
      <c r="A624" s="36" t="s">
        <v>1162</v>
      </c>
      <c r="B624" s="189" t="s">
        <v>129</v>
      </c>
      <c r="C624" s="124">
        <f ca="1">_xlfn.IFNA(VLOOKUP(A624,Worksheet!$B$1:$G$600,3,FALSE),C624)</f>
        <v>0</v>
      </c>
      <c r="D624" s="124">
        <f ca="1">_xlfn.IFNA(VLOOKUP(A624,Worksheet!$B$1:$G$600,4,FALSE),D624)</f>
        <v>0</v>
      </c>
      <c r="E624" s="125">
        <f ca="1">_xlfn.IFNA(VLOOKUP(A624,Worksheet!$B$1:$G$600,5,FALSE),E624)</f>
        <v>0</v>
      </c>
      <c r="F624" t="s">
        <v>106</v>
      </c>
    </row>
    <row r="625" spans="1:6" x14ac:dyDescent="0.25">
      <c r="A625" s="36" t="s">
        <v>1163</v>
      </c>
      <c r="B625" s="194" t="s">
        <v>710</v>
      </c>
      <c r="C625" s="124">
        <f ca="1">_xlfn.IFNA(VLOOKUP(A625,Worksheet!$B$1:$G$600,3,FALSE),C625)</f>
        <v>0</v>
      </c>
      <c r="D625" s="124">
        <f ca="1">_xlfn.IFNA(VLOOKUP(A625,Worksheet!$B$1:$G$600,4,FALSE),D625)</f>
        <v>0</v>
      </c>
      <c r="E625" s="125">
        <f ca="1">_xlfn.IFNA(VLOOKUP(A625,Worksheet!$B$1:$G$600,5,FALSE),E625)</f>
        <v>0</v>
      </c>
      <c r="F625" t="s">
        <v>106</v>
      </c>
    </row>
    <row r="626" spans="1:6" x14ac:dyDescent="0.25">
      <c r="A626" s="36" t="s">
        <v>1164</v>
      </c>
      <c r="B626" s="187" t="s">
        <v>761</v>
      </c>
      <c r="C626" s="126">
        <f ca="1">_xlfn.IFNA(VLOOKUP(A626,Worksheet!$B$1:$G$600,3,FALSE),C626)</f>
        <v>0</v>
      </c>
      <c r="D626" s="126">
        <f ca="1">_xlfn.IFNA(VLOOKUP(A626,Worksheet!$B$1:$G$600,4,FALSE),D626)</f>
        <v>0</v>
      </c>
      <c r="E626" s="127">
        <f ca="1">_xlfn.IFNA(VLOOKUP(A626,Worksheet!$B$1:$G$600,5,FALSE),E626)</f>
        <v>0</v>
      </c>
      <c r="F626" t="s">
        <v>106</v>
      </c>
    </row>
    <row r="627" spans="1:6" x14ac:dyDescent="0.25">
      <c r="A627" s="36" t="s">
        <v>420</v>
      </c>
      <c r="B627" s="187" t="s">
        <v>801</v>
      </c>
      <c r="C627" s="55">
        <f ca="1">AVERAGE(C628:C630)</f>
        <v>0</v>
      </c>
      <c r="D627" s="55">
        <f t="shared" ref="D627:E627" ca="1" si="142">AVERAGE(D628:D630)</f>
        <v>0</v>
      </c>
      <c r="E627" s="56">
        <f t="shared" ca="1" si="142"/>
        <v>0</v>
      </c>
      <c r="F627" t="s">
        <v>106</v>
      </c>
    </row>
    <row r="628" spans="1:6" x14ac:dyDescent="0.25">
      <c r="A628" s="36" t="s">
        <v>1169</v>
      </c>
      <c r="B628" s="189" t="s">
        <v>129</v>
      </c>
      <c r="C628" s="124">
        <f ca="1">_xlfn.IFNA(VLOOKUP(A628,Worksheet!$B$1:$G$600,3,FALSE),C628)</f>
        <v>0</v>
      </c>
      <c r="D628" s="124">
        <f ca="1">_xlfn.IFNA(VLOOKUP(A628,Worksheet!$B$1:$G$600,4,FALSE),D628)</f>
        <v>0</v>
      </c>
      <c r="E628" s="125">
        <f ca="1">_xlfn.IFNA(VLOOKUP(A628,Worksheet!$B$1:$G$600,5,FALSE),E628)</f>
        <v>0</v>
      </c>
      <c r="F628" t="s">
        <v>106</v>
      </c>
    </row>
    <row r="629" spans="1:6" x14ac:dyDescent="0.25">
      <c r="A629" s="36" t="s">
        <v>1170</v>
      </c>
      <c r="B629" s="194" t="s">
        <v>710</v>
      </c>
      <c r="C629" s="175">
        <v>0</v>
      </c>
      <c r="D629" s="128">
        <v>0</v>
      </c>
      <c r="E629" s="129">
        <v>0</v>
      </c>
      <c r="F629" t="s">
        <v>106</v>
      </c>
    </row>
    <row r="630" spans="1:6" x14ac:dyDescent="0.25">
      <c r="A630" s="36" t="s">
        <v>1171</v>
      </c>
      <c r="B630" s="187" t="s">
        <v>761</v>
      </c>
      <c r="C630" s="126">
        <f ca="1">_xlfn.IFNA(VLOOKUP(A630,Worksheet!$B$1:$G$600,3,FALSE),C630)</f>
        <v>0</v>
      </c>
      <c r="D630" s="126">
        <f ca="1">_xlfn.IFNA(VLOOKUP(A630,Worksheet!$B$1:$G$600,4,FALSE),D630)</f>
        <v>0</v>
      </c>
      <c r="E630" s="127">
        <f ca="1">_xlfn.IFNA(VLOOKUP(A630,Worksheet!$B$1:$G$600,5,FALSE),E630)</f>
        <v>0</v>
      </c>
      <c r="F630" t="s">
        <v>106</v>
      </c>
    </row>
    <row r="631" spans="1:6" x14ac:dyDescent="0.25">
      <c r="A631" s="36" t="s">
        <v>1165</v>
      </c>
      <c r="B631" s="187" t="s">
        <v>802</v>
      </c>
      <c r="C631" s="55">
        <f ca="1">AVERAGE(C632:C634)</f>
        <v>0</v>
      </c>
      <c r="D631" s="55">
        <f t="shared" ref="D631:E631" ca="1" si="143">AVERAGE(D632:D634)</f>
        <v>0</v>
      </c>
      <c r="E631" s="56">
        <f t="shared" ca="1" si="143"/>
        <v>0</v>
      </c>
      <c r="F631" t="s">
        <v>106</v>
      </c>
    </row>
    <row r="632" spans="1:6" x14ac:dyDescent="0.25">
      <c r="A632" s="36" t="s">
        <v>1172</v>
      </c>
      <c r="B632" s="189" t="s">
        <v>129</v>
      </c>
      <c r="C632" s="177">
        <v>0</v>
      </c>
      <c r="D632" s="177">
        <v>0</v>
      </c>
      <c r="E632" s="178">
        <v>0</v>
      </c>
      <c r="F632" t="s">
        <v>106</v>
      </c>
    </row>
    <row r="633" spans="1:6" x14ac:dyDescent="0.25">
      <c r="A633" s="36" t="s">
        <v>1173</v>
      </c>
      <c r="B633" s="194" t="s">
        <v>710</v>
      </c>
      <c r="C633" s="124">
        <f ca="1">_xlfn.IFNA(VLOOKUP(A633,Worksheet!$B$1:$G$600,3,FALSE),C633)</f>
        <v>0</v>
      </c>
      <c r="D633" s="124">
        <f ca="1">_xlfn.IFNA(VLOOKUP(A633,Worksheet!$B$1:$G$600,4,FALSE),D633)</f>
        <v>0</v>
      </c>
      <c r="E633" s="125">
        <f ca="1">_xlfn.IFNA(VLOOKUP(A633,Worksheet!$B$1:$G$600,5,FALSE),E633)</f>
        <v>0</v>
      </c>
      <c r="F633" t="s">
        <v>106</v>
      </c>
    </row>
    <row r="634" spans="1:6" x14ac:dyDescent="0.25">
      <c r="A634" s="36" t="s">
        <v>1174</v>
      </c>
      <c r="B634" s="187" t="s">
        <v>761</v>
      </c>
      <c r="C634" s="126">
        <f ca="1">_xlfn.IFNA(VLOOKUP(A634,Worksheet!$B$1:$G$600,3,FALSE),C634)</f>
        <v>0</v>
      </c>
      <c r="D634" s="126">
        <f ca="1">_xlfn.IFNA(VLOOKUP(A634,Worksheet!$B$1:$G$600,4,FALSE),D634)</f>
        <v>0</v>
      </c>
      <c r="E634" s="127">
        <f ca="1">_xlfn.IFNA(VLOOKUP(A634,Worksheet!$B$1:$G$600,5,FALSE),E634)</f>
        <v>0</v>
      </c>
      <c r="F634" t="s">
        <v>106</v>
      </c>
    </row>
    <row r="635" spans="1:6" hidden="1" x14ac:dyDescent="0.25">
      <c r="A635" s="36">
        <v>6</v>
      </c>
      <c r="B635" s="265" t="s">
        <v>38</v>
      </c>
      <c r="C635" s="266"/>
      <c r="D635" s="266"/>
      <c r="E635" s="266"/>
      <c r="F635" t="s">
        <v>103</v>
      </c>
    </row>
    <row r="636" spans="1:6" hidden="1" x14ac:dyDescent="0.25">
      <c r="A636" s="36"/>
      <c r="B636" s="200" t="s">
        <v>6</v>
      </c>
      <c r="C636" s="179" t="s">
        <v>84</v>
      </c>
      <c r="D636" s="179" t="s">
        <v>85</v>
      </c>
      <c r="E636" s="179" t="s">
        <v>86</v>
      </c>
      <c r="F636" t="s">
        <v>103</v>
      </c>
    </row>
    <row r="637" spans="1:6" hidden="1" x14ac:dyDescent="0.25">
      <c r="A637" s="36">
        <v>6.1</v>
      </c>
      <c r="B637" s="203" t="s">
        <v>218</v>
      </c>
      <c r="C637" s="177">
        <f ca="1">SUM(C638,C640)/2</f>
        <v>0</v>
      </c>
      <c r="D637" s="177">
        <f t="shared" ref="D637:E637" ca="1" si="144">SUM(D638,D640)/2</f>
        <v>0</v>
      </c>
      <c r="E637" s="177">
        <f t="shared" ca="1" si="144"/>
        <v>0</v>
      </c>
      <c r="F637" t="s">
        <v>103</v>
      </c>
    </row>
    <row r="638" spans="1:6" hidden="1" x14ac:dyDescent="0.25">
      <c r="A638" s="36" t="s">
        <v>430</v>
      </c>
      <c r="B638" s="151" t="s">
        <v>803</v>
      </c>
      <c r="C638" s="204">
        <f ca="1">C639</f>
        <v>0</v>
      </c>
      <c r="D638" s="204">
        <f t="shared" ref="D638:E638" ca="1" si="145">D639</f>
        <v>0</v>
      </c>
      <c r="E638" s="204">
        <f t="shared" ca="1" si="145"/>
        <v>0</v>
      </c>
      <c r="F638" t="s">
        <v>103</v>
      </c>
    </row>
    <row r="639" spans="1:6" hidden="1" x14ac:dyDescent="0.25">
      <c r="A639" s="36" t="s">
        <v>431</v>
      </c>
      <c r="B639" s="153" t="s">
        <v>130</v>
      </c>
      <c r="C639" s="124">
        <f ca="1">_xlfn.IFNA(VLOOKUP(A639,Worksheet!$B$1:$G$600,3,FALSE),C639)</f>
        <v>0</v>
      </c>
      <c r="D639" s="124">
        <f ca="1">_xlfn.IFNA(VLOOKUP(A639,Worksheet!$B$1:$G$600,4,FALSE),D639)</f>
        <v>0</v>
      </c>
      <c r="E639" s="124">
        <f ca="1">_xlfn.IFNA(VLOOKUP(A639,Worksheet!$B$1:$G$600,5,FALSE),E639)</f>
        <v>0</v>
      </c>
      <c r="F639" t="s">
        <v>103</v>
      </c>
    </row>
    <row r="640" spans="1:6" hidden="1" x14ac:dyDescent="0.25">
      <c r="A640" s="36" t="s">
        <v>432</v>
      </c>
      <c r="B640" s="152" t="s">
        <v>804</v>
      </c>
      <c r="C640" s="202">
        <f ca="1">C641</f>
        <v>0</v>
      </c>
      <c r="D640" s="202">
        <f t="shared" ref="D640:E640" ca="1" si="146">D641</f>
        <v>0</v>
      </c>
      <c r="E640" s="202">
        <f t="shared" ca="1" si="146"/>
        <v>0</v>
      </c>
      <c r="F640" t="s">
        <v>103</v>
      </c>
    </row>
    <row r="641" spans="1:6" hidden="1" x14ac:dyDescent="0.25">
      <c r="A641" s="36" t="s">
        <v>433</v>
      </c>
      <c r="B641" s="156" t="s">
        <v>130</v>
      </c>
      <c r="C641" s="124">
        <f ca="1">_xlfn.IFNA(VLOOKUP(A641,Worksheet!$B$1:$G$600,3,FALSE),C641)</f>
        <v>0</v>
      </c>
      <c r="D641" s="124">
        <f ca="1">_xlfn.IFNA(VLOOKUP(A641,Worksheet!$B$1:$G$600,4,FALSE),D641)</f>
        <v>0</v>
      </c>
      <c r="E641" s="124">
        <f ca="1">_xlfn.IFNA(VLOOKUP(A641,Worksheet!$B$1:$G$600,5,FALSE),E641)</f>
        <v>0</v>
      </c>
      <c r="F641" t="s">
        <v>103</v>
      </c>
    </row>
    <row r="642" spans="1:6" hidden="1" x14ac:dyDescent="0.25">
      <c r="A642" s="36" t="s">
        <v>434</v>
      </c>
      <c r="B642" s="152" t="s">
        <v>805</v>
      </c>
      <c r="C642" s="202">
        <f ca="1">C643</f>
        <v>0</v>
      </c>
      <c r="D642" s="202">
        <f t="shared" ref="D642:E642" ca="1" si="147">D643</f>
        <v>0</v>
      </c>
      <c r="E642" s="202">
        <f t="shared" ca="1" si="147"/>
        <v>0</v>
      </c>
      <c r="F642" t="s">
        <v>103</v>
      </c>
    </row>
    <row r="643" spans="1:6" hidden="1" x14ac:dyDescent="0.25">
      <c r="A643" s="36" t="s">
        <v>435</v>
      </c>
      <c r="B643" s="156" t="s">
        <v>39</v>
      </c>
      <c r="C643" s="124">
        <f ca="1">_xlfn.IFNA(VLOOKUP(A643,Worksheet!$B$1:$G$600,3,FALSE),C643)</f>
        <v>0</v>
      </c>
      <c r="D643" s="124">
        <f ca="1">_xlfn.IFNA(VLOOKUP(A643,Worksheet!$B$1:$G$600,4,FALSE),D643)</f>
        <v>0</v>
      </c>
      <c r="E643" s="124">
        <f ca="1">_xlfn.IFNA(VLOOKUP(A643,Worksheet!$B$1:$G$600,5,FALSE),E643)</f>
        <v>0</v>
      </c>
      <c r="F643" t="s">
        <v>103</v>
      </c>
    </row>
    <row r="644" spans="1:6" hidden="1" x14ac:dyDescent="0.25">
      <c r="A644" s="36"/>
      <c r="B644" s="203" t="s">
        <v>12</v>
      </c>
      <c r="C644" s="166"/>
      <c r="D644" s="166"/>
      <c r="E644" s="166"/>
      <c r="F644" t="s">
        <v>103</v>
      </c>
    </row>
    <row r="645" spans="1:6" hidden="1" x14ac:dyDescent="0.25">
      <c r="A645" s="36">
        <v>6.2</v>
      </c>
      <c r="B645" s="151" t="s">
        <v>131</v>
      </c>
      <c r="C645" s="179">
        <f ca="1">SUM(C646:C648)/3</f>
        <v>17.666666666666668</v>
      </c>
      <c r="D645" s="179">
        <f t="shared" ref="D645:E645" ca="1" si="148">SUM(D646:D648)/3</f>
        <v>23</v>
      </c>
      <c r="E645" s="179">
        <f t="shared" ca="1" si="148"/>
        <v>29.333333333333332</v>
      </c>
      <c r="F645" t="s">
        <v>103</v>
      </c>
    </row>
    <row r="646" spans="1:6" hidden="1" x14ac:dyDescent="0.25">
      <c r="A646" s="36" t="s">
        <v>421</v>
      </c>
      <c r="B646" s="156" t="s">
        <v>132</v>
      </c>
      <c r="C646" s="124">
        <f ca="1">_xlfn.IFNA(VLOOKUP(A646,Worksheet!$B$1:$G$600,3,FALSE),C646)</f>
        <v>0</v>
      </c>
      <c r="D646" s="124">
        <f ca="1">_xlfn.IFNA(VLOOKUP(A646,Worksheet!$B$1:$G$600,4,FALSE),D646)</f>
        <v>0</v>
      </c>
      <c r="E646" s="124">
        <f ca="1">_xlfn.IFNA(VLOOKUP(A646,Worksheet!$B$1:$G$600,5,FALSE),E646)</f>
        <v>0</v>
      </c>
      <c r="F646" t="s">
        <v>103</v>
      </c>
    </row>
    <row r="647" spans="1:6" hidden="1" x14ac:dyDescent="0.25">
      <c r="A647" s="36" t="s">
        <v>422</v>
      </c>
      <c r="B647" s="156" t="s">
        <v>24</v>
      </c>
      <c r="C647" s="124">
        <f ca="1">_xlfn.IFNA(VLOOKUP(A647,Worksheet!$B$1:$G$600,3,FALSE),C647)</f>
        <v>0</v>
      </c>
      <c r="D647" s="124">
        <f ca="1">_xlfn.IFNA(VLOOKUP(A647,Worksheet!$B$1:$G$600,4,FALSE),D647)</f>
        <v>0</v>
      </c>
      <c r="E647" s="124">
        <f ca="1">_xlfn.IFNA(VLOOKUP(A647,Worksheet!$B$1:$G$600,5,FALSE),E647)</f>
        <v>0</v>
      </c>
      <c r="F647" t="s">
        <v>103</v>
      </c>
    </row>
    <row r="648" spans="1:6" hidden="1" x14ac:dyDescent="0.25">
      <c r="A648" s="36" t="s">
        <v>1175</v>
      </c>
      <c r="B648" s="156" t="s">
        <v>761</v>
      </c>
      <c r="C648" s="124">
        <f ca="1">_xlfn.IFNA(VLOOKUP(A648,Worksheet!$B$1:$G$600,3,FALSE),C648)</f>
        <v>0</v>
      </c>
      <c r="D648" s="124">
        <f ca="1">_xlfn.IFNA(VLOOKUP(A648,Worksheet!$B$1:$G$600,4,FALSE),D648)</f>
        <v>0</v>
      </c>
      <c r="E648" s="124">
        <f ca="1">_xlfn.IFNA(VLOOKUP(A648,Worksheet!$B$1:$G$600,5,FALSE),E648)</f>
        <v>0</v>
      </c>
      <c r="F648" t="s">
        <v>103</v>
      </c>
    </row>
    <row r="649" spans="1:6" hidden="1" x14ac:dyDescent="0.25">
      <c r="A649" s="36"/>
      <c r="B649" s="203" t="s">
        <v>13</v>
      </c>
      <c r="C649" s="159"/>
      <c r="D649" s="159"/>
      <c r="E649" s="159"/>
      <c r="F649" t="s">
        <v>103</v>
      </c>
    </row>
    <row r="650" spans="1:6" hidden="1" x14ac:dyDescent="0.25">
      <c r="A650" s="36">
        <v>6.3</v>
      </c>
      <c r="B650" s="155" t="s">
        <v>219</v>
      </c>
      <c r="C650" s="177">
        <f ca="1">SUM(C651,C654,C656)</f>
        <v>0</v>
      </c>
      <c r="D650" s="177">
        <f ca="1">SUM(D651,D654,D656)</f>
        <v>0</v>
      </c>
      <c r="E650" s="177">
        <f ca="1">SUM(E651,E654,E656)</f>
        <v>0</v>
      </c>
      <c r="F650" t="s">
        <v>103</v>
      </c>
    </row>
    <row r="651" spans="1:6" hidden="1" x14ac:dyDescent="0.25">
      <c r="A651" s="36" t="s">
        <v>423</v>
      </c>
      <c r="B651" s="154" t="s">
        <v>806</v>
      </c>
      <c r="C651" s="202">
        <f ca="1">SUM(C652:C653)</f>
        <v>0</v>
      </c>
      <c r="D651" s="202">
        <f t="shared" ref="D651:E651" ca="1" si="149">SUM(D652:D653)</f>
        <v>0</v>
      </c>
      <c r="E651" s="202">
        <f t="shared" ca="1" si="149"/>
        <v>0</v>
      </c>
      <c r="F651" t="s">
        <v>103</v>
      </c>
    </row>
    <row r="652" spans="1:6" hidden="1" x14ac:dyDescent="0.25">
      <c r="A652" s="36" t="s">
        <v>424</v>
      </c>
      <c r="B652" s="158" t="s">
        <v>40</v>
      </c>
      <c r="C652" s="124">
        <f ca="1">_xlfn.IFNA(VLOOKUP(A652,Worksheet!$B$1:$G$600,3,FALSE),C652)</f>
        <v>0</v>
      </c>
      <c r="D652" s="124">
        <f ca="1">_xlfn.IFNA(VLOOKUP(A652,Worksheet!$B$1:$G$600,4,FALSE),D652)</f>
        <v>0</v>
      </c>
      <c r="E652" s="124">
        <f ca="1">_xlfn.IFNA(VLOOKUP(A652,Worksheet!$B$1:$G$600,5,FALSE),E652)</f>
        <v>0</v>
      </c>
      <c r="F652" t="s">
        <v>103</v>
      </c>
    </row>
    <row r="653" spans="1:6" hidden="1" x14ac:dyDescent="0.25">
      <c r="A653" s="36" t="s">
        <v>425</v>
      </c>
      <c r="B653" s="156" t="s">
        <v>41</v>
      </c>
      <c r="C653" s="124">
        <f ca="1">_xlfn.IFNA(VLOOKUP(A653,Worksheet!$B$1:$G$600,3,FALSE),C653)</f>
        <v>0</v>
      </c>
      <c r="D653" s="124">
        <f ca="1">_xlfn.IFNA(VLOOKUP(A653,Worksheet!$B$1:$G$600,4,FALSE),D653)</f>
        <v>0</v>
      </c>
      <c r="E653" s="124">
        <f ca="1">_xlfn.IFNA(VLOOKUP(A653,Worksheet!$B$1:$G$600,5,FALSE),E653)</f>
        <v>0</v>
      </c>
      <c r="F653" t="s">
        <v>103</v>
      </c>
    </row>
    <row r="654" spans="1:6" hidden="1" x14ac:dyDescent="0.25">
      <c r="A654" s="36" t="s">
        <v>426</v>
      </c>
      <c r="B654" s="154" t="s">
        <v>807</v>
      </c>
      <c r="C654" s="202">
        <f ca="1">C655</f>
        <v>0</v>
      </c>
      <c r="D654" s="202">
        <f t="shared" ref="D654:E654" ca="1" si="150">D655</f>
        <v>0</v>
      </c>
      <c r="E654" s="202">
        <f t="shared" ca="1" si="150"/>
        <v>0</v>
      </c>
      <c r="F654" t="s">
        <v>103</v>
      </c>
    </row>
    <row r="655" spans="1:6" hidden="1" x14ac:dyDescent="0.25">
      <c r="A655" s="36" t="s">
        <v>427</v>
      </c>
      <c r="B655" s="156" t="s">
        <v>132</v>
      </c>
      <c r="C655" s="124">
        <f ca="1">_xlfn.IFNA(VLOOKUP(A655,Worksheet!$B$1:$G$600,3,FALSE),C655)</f>
        <v>0</v>
      </c>
      <c r="D655" s="124">
        <f ca="1">_xlfn.IFNA(VLOOKUP(A655,Worksheet!$B$1:$G$600,4,FALSE),D655)</f>
        <v>0</v>
      </c>
      <c r="E655" s="124">
        <f ca="1">_xlfn.IFNA(VLOOKUP(A655,Worksheet!$B$1:$G$600,5,FALSE),E655)</f>
        <v>0</v>
      </c>
      <c r="F655" t="s">
        <v>103</v>
      </c>
    </row>
    <row r="656" spans="1:6" hidden="1" x14ac:dyDescent="0.25">
      <c r="A656" s="36" t="s">
        <v>428</v>
      </c>
      <c r="B656" s="154" t="s">
        <v>42</v>
      </c>
      <c r="C656" s="202">
        <f ca="1">C657</f>
        <v>0</v>
      </c>
      <c r="D656" s="202">
        <f t="shared" ref="D656:E656" ca="1" si="151">D657</f>
        <v>0</v>
      </c>
      <c r="E656" s="202">
        <f t="shared" ca="1" si="151"/>
        <v>0</v>
      </c>
      <c r="F656" t="s">
        <v>103</v>
      </c>
    </row>
    <row r="657" spans="1:6" hidden="1" x14ac:dyDescent="0.25">
      <c r="A657" s="36" t="s">
        <v>429</v>
      </c>
      <c r="B657" s="156" t="s">
        <v>132</v>
      </c>
      <c r="C657" s="124">
        <f ca="1">_xlfn.IFNA(VLOOKUP(A657,Worksheet!$B$1:$G$600,3,FALSE),C657)</f>
        <v>0</v>
      </c>
      <c r="D657" s="124">
        <f ca="1">_xlfn.IFNA(VLOOKUP(A657,Worksheet!$B$1:$G$600,4,FALSE),D657)</f>
        <v>0</v>
      </c>
      <c r="E657" s="124">
        <f ca="1">_xlfn.IFNA(VLOOKUP(A657,Worksheet!$B$1:$G$600,5,FALSE),E657)</f>
        <v>0</v>
      </c>
      <c r="F657" t="s">
        <v>103</v>
      </c>
    </row>
    <row r="658" spans="1:6" hidden="1" x14ac:dyDescent="0.25">
      <c r="A658" s="36"/>
      <c r="B658" s="203" t="s">
        <v>23</v>
      </c>
      <c r="C658" s="201"/>
      <c r="D658" s="166"/>
      <c r="E658" s="201"/>
      <c r="F658" t="s">
        <v>103</v>
      </c>
    </row>
    <row r="659" spans="1:6" hidden="1" x14ac:dyDescent="0.25">
      <c r="A659" s="36">
        <v>6.4</v>
      </c>
      <c r="B659" s="157" t="s">
        <v>220</v>
      </c>
      <c r="C659" s="204">
        <f ca="1">C660</f>
        <v>32</v>
      </c>
      <c r="D659" s="204">
        <f t="shared" ref="D659:E659" ca="1" si="152">D660</f>
        <v>32</v>
      </c>
      <c r="E659" s="204">
        <f t="shared" ca="1" si="152"/>
        <v>32</v>
      </c>
      <c r="F659" t="s">
        <v>103</v>
      </c>
    </row>
    <row r="660" spans="1:6" hidden="1" x14ac:dyDescent="0.25">
      <c r="A660" s="36" t="s">
        <v>436</v>
      </c>
      <c r="B660" s="161" t="s">
        <v>808</v>
      </c>
      <c r="C660" s="177">
        <f ca="1">C661</f>
        <v>32</v>
      </c>
      <c r="D660" s="177">
        <f ca="1">D661</f>
        <v>32</v>
      </c>
      <c r="E660" s="177">
        <f ca="1">E661</f>
        <v>32</v>
      </c>
      <c r="F660" t="s">
        <v>103</v>
      </c>
    </row>
    <row r="661" spans="1:6" hidden="1" x14ac:dyDescent="0.25">
      <c r="A661" s="36" t="s">
        <v>437</v>
      </c>
      <c r="B661" s="162" t="s">
        <v>132</v>
      </c>
      <c r="C661" s="124">
        <f ca="1">_xlfn.IFNA(VLOOKUP(A661,Worksheet!$B$1:$G$600,3,FALSE),C661)</f>
        <v>0</v>
      </c>
      <c r="D661" s="124">
        <f ca="1">_xlfn.IFNA(VLOOKUP(A661,Worksheet!$B$1:$G$600,4,FALSE),D661)</f>
        <v>0</v>
      </c>
      <c r="E661" s="124">
        <f ca="1">_xlfn.IFNA(VLOOKUP(A661,Worksheet!$B$1:$G$600,5,FALSE),E661)</f>
        <v>0</v>
      </c>
      <c r="F661" t="s">
        <v>103</v>
      </c>
    </row>
    <row r="662" spans="1:6" hidden="1" x14ac:dyDescent="0.25">
      <c r="A662" s="36"/>
      <c r="B662" s="203" t="s">
        <v>25</v>
      </c>
      <c r="C662" s="159"/>
      <c r="D662" s="159"/>
      <c r="E662" s="159"/>
      <c r="F662" t="s">
        <v>103</v>
      </c>
    </row>
    <row r="663" spans="1:6" hidden="1" x14ac:dyDescent="0.25">
      <c r="A663" s="36">
        <v>6.5</v>
      </c>
      <c r="B663" s="155" t="s">
        <v>221</v>
      </c>
      <c r="C663" s="179">
        <f ca="1">SUM(C664,C668,C672,C676)</f>
        <v>91</v>
      </c>
      <c r="D663" s="179">
        <f t="shared" ref="D663:E663" ca="1" si="153">SUM(D664,D668,D672,D676)</f>
        <v>90.666666666666671</v>
      </c>
      <c r="E663" s="179">
        <f t="shared" ca="1" si="153"/>
        <v>98.666666666666671</v>
      </c>
      <c r="F663" t="s">
        <v>103</v>
      </c>
    </row>
    <row r="664" spans="1:6" hidden="1" x14ac:dyDescent="0.25">
      <c r="A664" s="36" t="s">
        <v>438</v>
      </c>
      <c r="B664" s="154" t="s">
        <v>809</v>
      </c>
      <c r="C664" s="177">
        <f ca="1">SUM(C665:C667)/3</f>
        <v>22.333333333333332</v>
      </c>
      <c r="D664" s="177">
        <f t="shared" ref="D664:E664" ca="1" si="154">SUM(D665:D667)/3</f>
        <v>22.333333333333332</v>
      </c>
      <c r="E664" s="177">
        <f t="shared" ca="1" si="154"/>
        <v>25.666666666666668</v>
      </c>
      <c r="F664" t="s">
        <v>103</v>
      </c>
    </row>
    <row r="665" spans="1:6" hidden="1" x14ac:dyDescent="0.25">
      <c r="A665" s="36" t="s">
        <v>439</v>
      </c>
      <c r="B665" s="158" t="s">
        <v>132</v>
      </c>
      <c r="C665" s="124">
        <f ca="1">_xlfn.IFNA(VLOOKUP(A665,Worksheet!$B$1:$G$600,3,FALSE),C665)</f>
        <v>0</v>
      </c>
      <c r="D665" s="124">
        <f ca="1">_xlfn.IFNA(VLOOKUP(A665,Worksheet!$B$1:$G$600,4,FALSE),D665)</f>
        <v>0</v>
      </c>
      <c r="E665" s="124">
        <f ca="1">_xlfn.IFNA(VLOOKUP(A665,Worksheet!$B$1:$G$600,5,FALSE),E665)</f>
        <v>0</v>
      </c>
      <c r="F665" t="s">
        <v>103</v>
      </c>
    </row>
    <row r="666" spans="1:6" hidden="1" x14ac:dyDescent="0.25">
      <c r="A666" s="36" t="s">
        <v>440</v>
      </c>
      <c r="B666" s="158" t="s">
        <v>24</v>
      </c>
      <c r="C666" s="124">
        <f ca="1">_xlfn.IFNA(VLOOKUP(A666,Worksheet!$B$1:$G$600,3,FALSE),C666)</f>
        <v>0</v>
      </c>
      <c r="D666" s="124">
        <f ca="1">_xlfn.IFNA(VLOOKUP(A666,Worksheet!$B$1:$G$600,4,FALSE),D666)</f>
        <v>0</v>
      </c>
      <c r="E666" s="124">
        <f ca="1">_xlfn.IFNA(VLOOKUP(A666,Worksheet!$B$1:$G$600,5,FALSE),E666)</f>
        <v>0</v>
      </c>
      <c r="F666" t="s">
        <v>103</v>
      </c>
    </row>
    <row r="667" spans="1:6" hidden="1" x14ac:dyDescent="0.25">
      <c r="A667" s="36" t="s">
        <v>1176</v>
      </c>
      <c r="B667" s="158" t="s">
        <v>761</v>
      </c>
      <c r="C667" s="124">
        <f ca="1">_xlfn.IFNA(VLOOKUP(A667,Worksheet!$B$1:$G$600,3,FALSE),C667)</f>
        <v>0</v>
      </c>
      <c r="D667" s="124">
        <f ca="1">_xlfn.IFNA(VLOOKUP(A667,Worksheet!$B$1:$G$600,4,FALSE),D667)</f>
        <v>0</v>
      </c>
      <c r="E667" s="124">
        <f ca="1">_xlfn.IFNA(VLOOKUP(A667,Worksheet!$B$1:$G$600,5,FALSE),E667)</f>
        <v>0</v>
      </c>
      <c r="F667" t="s">
        <v>103</v>
      </c>
    </row>
    <row r="668" spans="1:6" hidden="1" x14ac:dyDescent="0.25">
      <c r="A668" s="36" t="s">
        <v>441</v>
      </c>
      <c r="B668" s="152" t="s">
        <v>810</v>
      </c>
      <c r="C668" s="177">
        <f ca="1">SUM(C669:C671)/3</f>
        <v>25.666666666666668</v>
      </c>
      <c r="D668" s="177">
        <f t="shared" ref="D668:E668" ca="1" si="155">SUM(D669:D671)/3</f>
        <v>25</v>
      </c>
      <c r="E668" s="177">
        <f t="shared" ca="1" si="155"/>
        <v>29.333333333333332</v>
      </c>
      <c r="F668" t="s">
        <v>103</v>
      </c>
    </row>
    <row r="669" spans="1:6" hidden="1" x14ac:dyDescent="0.25">
      <c r="A669" s="36" t="s">
        <v>442</v>
      </c>
      <c r="B669" s="158" t="s">
        <v>132</v>
      </c>
      <c r="C669" s="124">
        <f ca="1">_xlfn.IFNA(VLOOKUP(A669,Worksheet!$B$1:$G$600,3,FALSE),C669)</f>
        <v>0</v>
      </c>
      <c r="D669" s="124">
        <f ca="1">_xlfn.IFNA(VLOOKUP(A669,Worksheet!$B$1:$G$600,4,FALSE),D669)</f>
        <v>0</v>
      </c>
      <c r="E669" s="124">
        <f ca="1">_xlfn.IFNA(VLOOKUP(A669,Worksheet!$B$1:$G$600,5,FALSE),E669)</f>
        <v>0</v>
      </c>
      <c r="F669" t="s">
        <v>103</v>
      </c>
    </row>
    <row r="670" spans="1:6" hidden="1" x14ac:dyDescent="0.25">
      <c r="A670" s="36" t="s">
        <v>443</v>
      </c>
      <c r="B670" s="158" t="s">
        <v>24</v>
      </c>
      <c r="C670" s="124">
        <f ca="1">_xlfn.IFNA(VLOOKUP(A670,Worksheet!$B$1:$G$600,3,FALSE),C670)</f>
        <v>0</v>
      </c>
      <c r="D670" s="124">
        <f ca="1">_xlfn.IFNA(VLOOKUP(A670,Worksheet!$B$1:$G$600,4,FALSE),D670)</f>
        <v>0</v>
      </c>
      <c r="E670" s="124">
        <f ca="1">_xlfn.IFNA(VLOOKUP(A670,Worksheet!$B$1:$G$600,5,FALSE),E670)</f>
        <v>0</v>
      </c>
      <c r="F670" t="s">
        <v>103</v>
      </c>
    </row>
    <row r="671" spans="1:6" hidden="1" x14ac:dyDescent="0.25">
      <c r="A671" s="36" t="s">
        <v>1177</v>
      </c>
      <c r="B671" s="158" t="s">
        <v>761</v>
      </c>
      <c r="C671" s="124">
        <f ca="1">_xlfn.IFNA(VLOOKUP(A671,Worksheet!$B$1:$G$600,3,FALSE),C671)</f>
        <v>0</v>
      </c>
      <c r="D671" s="124">
        <f ca="1">_xlfn.IFNA(VLOOKUP(A671,Worksheet!$B$1:$G$600,4,FALSE),D671)</f>
        <v>0</v>
      </c>
      <c r="E671" s="124">
        <f ca="1">_xlfn.IFNA(VLOOKUP(A671,Worksheet!$B$1:$G$600,5,FALSE),E671)</f>
        <v>0</v>
      </c>
      <c r="F671" t="s">
        <v>103</v>
      </c>
    </row>
    <row r="672" spans="1:6" hidden="1" x14ac:dyDescent="0.25">
      <c r="A672" s="36" t="s">
        <v>444</v>
      </c>
      <c r="B672" s="152" t="s">
        <v>812</v>
      </c>
      <c r="C672" s="177">
        <f ca="1">SUM(C673:C675)/3</f>
        <v>21.666666666666668</v>
      </c>
      <c r="D672" s="177">
        <f t="shared" ref="D672:E672" ca="1" si="156">SUM(D673:D675)/3</f>
        <v>21.666666666666668</v>
      </c>
      <c r="E672" s="177">
        <f t="shared" ca="1" si="156"/>
        <v>21.666666666666668</v>
      </c>
      <c r="F672" t="s">
        <v>103</v>
      </c>
    </row>
    <row r="673" spans="1:6" hidden="1" x14ac:dyDescent="0.25">
      <c r="A673" s="36" t="s">
        <v>445</v>
      </c>
      <c r="B673" s="158" t="s">
        <v>132</v>
      </c>
      <c r="C673" s="124">
        <f ca="1">_xlfn.IFNA(VLOOKUP(A673,Worksheet!$B$1:$G$600,3,FALSE),C673)</f>
        <v>0</v>
      </c>
      <c r="D673" s="124">
        <f ca="1">_xlfn.IFNA(VLOOKUP(A673,Worksheet!$B$1:$G$600,4,FALSE),D673)</f>
        <v>0</v>
      </c>
      <c r="E673" s="124">
        <f ca="1">_xlfn.IFNA(VLOOKUP(A673,Worksheet!$B$1:$G$600,5,FALSE),E673)</f>
        <v>0</v>
      </c>
      <c r="F673" t="s">
        <v>103</v>
      </c>
    </row>
    <row r="674" spans="1:6" hidden="1" x14ac:dyDescent="0.25">
      <c r="A674" s="36" t="s">
        <v>446</v>
      </c>
      <c r="B674" s="158" t="s">
        <v>24</v>
      </c>
      <c r="C674" s="124">
        <f ca="1">_xlfn.IFNA(VLOOKUP(A674,Worksheet!$B$1:$G$600,3,FALSE),C674)</f>
        <v>0</v>
      </c>
      <c r="D674" s="124">
        <f ca="1">_xlfn.IFNA(VLOOKUP(A674,Worksheet!$B$1:$G$600,4,FALSE),D674)</f>
        <v>0</v>
      </c>
      <c r="E674" s="124">
        <f ca="1">_xlfn.IFNA(VLOOKUP(A674,Worksheet!$B$1:$G$600,5,FALSE),E674)</f>
        <v>0</v>
      </c>
      <c r="F674" t="s">
        <v>103</v>
      </c>
    </row>
    <row r="675" spans="1:6" hidden="1" x14ac:dyDescent="0.25">
      <c r="A675" s="36" t="s">
        <v>1178</v>
      </c>
      <c r="B675" s="158" t="s">
        <v>761</v>
      </c>
      <c r="C675" s="124">
        <f ca="1">_xlfn.IFNA(VLOOKUP(A675,Worksheet!$B$1:$G$600,3,FALSE),C675)</f>
        <v>0</v>
      </c>
      <c r="D675" s="124">
        <f ca="1">_xlfn.IFNA(VLOOKUP(A675,Worksheet!$B$1:$G$600,4,FALSE),D675)</f>
        <v>0</v>
      </c>
      <c r="E675" s="124">
        <f ca="1">_xlfn.IFNA(VLOOKUP(A675,Worksheet!$B$1:$G$600,5,FALSE),E675)</f>
        <v>0</v>
      </c>
      <c r="F675" t="s">
        <v>103</v>
      </c>
    </row>
    <row r="676" spans="1:6" hidden="1" x14ac:dyDescent="0.25">
      <c r="A676" s="36">
        <v>6.4</v>
      </c>
      <c r="B676" s="152" t="s">
        <v>811</v>
      </c>
      <c r="C676" s="177">
        <f ca="1">SUM(C677:C679)/3</f>
        <v>21.333333333333332</v>
      </c>
      <c r="D676" s="177">
        <f t="shared" ref="D676:E676" ca="1" si="157">SUM(D677:D679)/3</f>
        <v>21.666666666666668</v>
      </c>
      <c r="E676" s="177">
        <f t="shared" ca="1" si="157"/>
        <v>22</v>
      </c>
      <c r="F676" t="s">
        <v>103</v>
      </c>
    </row>
    <row r="677" spans="1:6" hidden="1" x14ac:dyDescent="0.25">
      <c r="A677" s="36" t="s">
        <v>447</v>
      </c>
      <c r="B677" s="156" t="s">
        <v>132</v>
      </c>
      <c r="C677" s="124">
        <f ca="1">_xlfn.IFNA(VLOOKUP(A677,Worksheet!$B$1:$G$600,3,FALSE),C677)</f>
        <v>0</v>
      </c>
      <c r="D677" s="124">
        <f ca="1">_xlfn.IFNA(VLOOKUP(A677,Worksheet!$B$1:$G$600,4,FALSE),D677)</f>
        <v>0</v>
      </c>
      <c r="E677" s="124">
        <f ca="1">_xlfn.IFNA(VLOOKUP(A677,Worksheet!$B$1:$G$600,5,FALSE),E677)</f>
        <v>0</v>
      </c>
      <c r="F677" t="s">
        <v>103</v>
      </c>
    </row>
    <row r="678" spans="1:6" hidden="1" x14ac:dyDescent="0.25">
      <c r="A678" s="36" t="s">
        <v>448</v>
      </c>
      <c r="B678" s="158" t="s">
        <v>24</v>
      </c>
      <c r="C678" s="124">
        <f ca="1">_xlfn.IFNA(VLOOKUP(A678,Worksheet!$B$1:$G$600,3,FALSE),C678)</f>
        <v>0</v>
      </c>
      <c r="D678" s="124">
        <f ca="1">_xlfn.IFNA(VLOOKUP(A678,Worksheet!$B$1:$G$600,4,FALSE),D678)</f>
        <v>0</v>
      </c>
      <c r="E678" s="124">
        <f ca="1">_xlfn.IFNA(VLOOKUP(A678,Worksheet!$B$1:$G$600,5,FALSE),E678)</f>
        <v>0</v>
      </c>
      <c r="F678" t="s">
        <v>103</v>
      </c>
    </row>
    <row r="679" spans="1:6" hidden="1" x14ac:dyDescent="0.25">
      <c r="A679" s="36" t="s">
        <v>1179</v>
      </c>
      <c r="B679" s="160" t="s">
        <v>761</v>
      </c>
      <c r="C679" s="124">
        <f ca="1">_xlfn.IFNA(VLOOKUP(A679,Worksheet!$B$1:$G$600,3,FALSE),C679)</f>
        <v>0</v>
      </c>
      <c r="D679" s="124">
        <f ca="1">_xlfn.IFNA(VLOOKUP(A679,Worksheet!$B$1:$G$600,4,FALSE),D679)</f>
        <v>0</v>
      </c>
      <c r="E679" s="124">
        <f ca="1">_xlfn.IFNA(VLOOKUP(A679,Worksheet!$B$1:$G$600,5,FALSE),E679)</f>
        <v>0</v>
      </c>
      <c r="F679" t="s">
        <v>103</v>
      </c>
    </row>
    <row r="680" spans="1:6" hidden="1" x14ac:dyDescent="0.25">
      <c r="A680" s="46">
        <v>7</v>
      </c>
      <c r="B680" s="267" t="s">
        <v>43</v>
      </c>
      <c r="C680" s="268"/>
      <c r="D680" s="268"/>
      <c r="E680" s="269"/>
      <c r="F680" t="s">
        <v>104</v>
      </c>
    </row>
    <row r="681" spans="1:6" hidden="1" x14ac:dyDescent="0.25">
      <c r="A681" s="46"/>
      <c r="B681" s="186" t="s">
        <v>6</v>
      </c>
      <c r="C681" s="61" t="s">
        <v>133</v>
      </c>
      <c r="D681" s="61" t="s">
        <v>134</v>
      </c>
      <c r="E681" s="62" t="s">
        <v>86</v>
      </c>
      <c r="F681" t="s">
        <v>104</v>
      </c>
    </row>
    <row r="682" spans="1:6" hidden="1" x14ac:dyDescent="0.25">
      <c r="A682" s="46">
        <v>7.1</v>
      </c>
      <c r="B682" s="197" t="s">
        <v>813</v>
      </c>
      <c r="C682" s="53">
        <f ca="1">SUM(C683,C686,C697)/3</f>
        <v>12.666666666666666</v>
      </c>
      <c r="D682" s="53">
        <f ca="1">SUM(D683,D686,D697)/3</f>
        <v>9.1666666666666661</v>
      </c>
      <c r="E682" s="54">
        <f ca="1">SUM(E683,E686,E697)/3</f>
        <v>0</v>
      </c>
      <c r="F682" t="s">
        <v>104</v>
      </c>
    </row>
    <row r="683" spans="1:6" hidden="1" x14ac:dyDescent="0.25">
      <c r="A683" s="46" t="s">
        <v>449</v>
      </c>
      <c r="B683" s="199" t="s">
        <v>814</v>
      </c>
      <c r="C683" s="55">
        <f ca="1">SUM(C684:C685)/2</f>
        <v>38</v>
      </c>
      <c r="D683" s="55">
        <f t="shared" ref="D683:E683" ca="1" si="158">SUM(D684:D685)/2</f>
        <v>27.5</v>
      </c>
      <c r="E683" s="56">
        <f t="shared" ca="1" si="158"/>
        <v>0</v>
      </c>
      <c r="F683" t="s">
        <v>104</v>
      </c>
    </row>
    <row r="684" spans="1:6" hidden="1" x14ac:dyDescent="0.25">
      <c r="A684" s="46" t="s">
        <v>450</v>
      </c>
      <c r="B684" s="189" t="s">
        <v>39</v>
      </c>
      <c r="C684" s="124">
        <f ca="1">_xlfn.IFNA(VLOOKUP(A684,Worksheet!$B$1:$G$600,3,FALSE),C684)</f>
        <v>23</v>
      </c>
      <c r="D684" s="124">
        <f ca="1">_xlfn.IFNA(VLOOKUP(A684,Worksheet!$B$1:$G$600,4,FALSE),D684)</f>
        <v>12</v>
      </c>
      <c r="E684" s="125">
        <f ca="1">_xlfn.IFNA(VLOOKUP(A684,Worksheet!$B$1:$G$600,5,FALSE),E684)</f>
        <v>0</v>
      </c>
      <c r="F684" t="s">
        <v>104</v>
      </c>
    </row>
    <row r="685" spans="1:6" hidden="1" x14ac:dyDescent="0.25">
      <c r="A685" s="46" t="s">
        <v>451</v>
      </c>
      <c r="B685" s="188" t="s">
        <v>24</v>
      </c>
      <c r="C685" s="124">
        <f ca="1">_xlfn.IFNA(VLOOKUP(A685,Worksheet!$B$1:$G$600,3,FALSE),C685)</f>
        <v>53</v>
      </c>
      <c r="D685" s="124">
        <f ca="1">_xlfn.IFNA(VLOOKUP(A685,Worksheet!$B$1:$G$600,4,FALSE),D685)</f>
        <v>43</v>
      </c>
      <c r="E685" s="125">
        <f ca="1">_xlfn.IFNA(VLOOKUP(A685,Worksheet!$B$1:$G$600,5,FALSE),E685)</f>
        <v>0</v>
      </c>
      <c r="F685" t="s">
        <v>104</v>
      </c>
    </row>
    <row r="686" spans="1:6" hidden="1" x14ac:dyDescent="0.25">
      <c r="A686" s="46" t="s">
        <v>452</v>
      </c>
      <c r="B686" s="205" t="s">
        <v>819</v>
      </c>
      <c r="C686" s="57">
        <f ca="1">AVERAGE(C687:C688)</f>
        <v>0</v>
      </c>
      <c r="D686" s="57">
        <f t="shared" ref="D686:E686" ca="1" si="159">AVERAGE(D687:D688)</f>
        <v>0</v>
      </c>
      <c r="E686" s="58">
        <f t="shared" ca="1" si="159"/>
        <v>0</v>
      </c>
      <c r="F686" t="s">
        <v>104</v>
      </c>
    </row>
    <row r="687" spans="1:6" hidden="1" x14ac:dyDescent="0.25">
      <c r="A687" s="46" t="s">
        <v>453</v>
      </c>
      <c r="B687" s="190" t="s">
        <v>39</v>
      </c>
      <c r="C687" s="124">
        <f ca="1">_xlfn.IFNA(VLOOKUP(A687,Worksheet!$B$1:$G$600,3,FALSE),C687)</f>
        <v>4</v>
      </c>
      <c r="D687" s="124">
        <f ca="1">_xlfn.IFNA(VLOOKUP(A687,Worksheet!$B$1:$G$600,4,FALSE),D687)</f>
        <v>0</v>
      </c>
      <c r="E687" s="125">
        <f ca="1">_xlfn.IFNA(VLOOKUP(A687,Worksheet!$B$1:$G$600,5,FALSE),E687)</f>
        <v>0</v>
      </c>
      <c r="F687" t="s">
        <v>104</v>
      </c>
    </row>
    <row r="688" spans="1:6" hidden="1" x14ac:dyDescent="0.25">
      <c r="A688" s="46" t="s">
        <v>1180</v>
      </c>
      <c r="B688" s="188" t="s">
        <v>24</v>
      </c>
      <c r="C688" s="124">
        <f ca="1">_xlfn.IFNA(VLOOKUP(A688,Worksheet!$B$1:$G$600,3,FALSE),C688)</f>
        <v>0</v>
      </c>
      <c r="D688" s="124">
        <f ca="1">_xlfn.IFNA(VLOOKUP(A688,Worksheet!$B$1:$G$600,4,FALSE),D688)</f>
        <v>0</v>
      </c>
      <c r="E688" s="125">
        <f ca="1">_xlfn.IFNA(VLOOKUP(A688,Worksheet!$B$1:$G$600,5,FALSE),E688)</f>
        <v>0</v>
      </c>
      <c r="F688" t="s">
        <v>104</v>
      </c>
    </row>
    <row r="689" spans="1:6" hidden="1" x14ac:dyDescent="0.25">
      <c r="A689" s="46" t="s">
        <v>454</v>
      </c>
      <c r="B689" s="205" t="s">
        <v>818</v>
      </c>
      <c r="C689" s="57">
        <f ca="1">AVERAGE(C690:C691)</f>
        <v>0</v>
      </c>
      <c r="D689" s="57">
        <f t="shared" ref="D689:E689" ca="1" si="160">AVERAGE(D690:D691)</f>
        <v>0</v>
      </c>
      <c r="E689" s="58">
        <f t="shared" ca="1" si="160"/>
        <v>0</v>
      </c>
      <c r="F689" t="s">
        <v>104</v>
      </c>
    </row>
    <row r="690" spans="1:6" hidden="1" x14ac:dyDescent="0.25">
      <c r="A690" s="46" t="s">
        <v>455</v>
      </c>
      <c r="B690" s="190" t="s">
        <v>39</v>
      </c>
      <c r="C690" s="124">
        <f ca="1">_xlfn.IFNA(VLOOKUP(A690,Worksheet!$B$1:$G$600,3,FALSE),C690)</f>
        <v>0</v>
      </c>
      <c r="D690" s="124">
        <f ca="1">_xlfn.IFNA(VLOOKUP(A690,Worksheet!$B$1:$G$600,4,FALSE),D690)</f>
        <v>0</v>
      </c>
      <c r="E690" s="125">
        <f ca="1">_xlfn.IFNA(VLOOKUP(A690,Worksheet!$B$1:$G$600,5,FALSE),E690)</f>
        <v>0</v>
      </c>
      <c r="F690" t="s">
        <v>104</v>
      </c>
    </row>
    <row r="691" spans="1:6" hidden="1" x14ac:dyDescent="0.25">
      <c r="A691" s="46" t="s">
        <v>456</v>
      </c>
      <c r="B691" s="188" t="s">
        <v>24</v>
      </c>
      <c r="C691" s="180">
        <v>0</v>
      </c>
      <c r="D691" s="180">
        <v>0</v>
      </c>
      <c r="E691" s="181">
        <v>0</v>
      </c>
      <c r="F691" t="s">
        <v>104</v>
      </c>
    </row>
    <row r="692" spans="1:6" hidden="1" x14ac:dyDescent="0.25">
      <c r="A692" s="46" t="s">
        <v>1181</v>
      </c>
      <c r="B692" s="205" t="s">
        <v>820</v>
      </c>
      <c r="C692" s="57">
        <f ca="1">AVERAGE(C693:C694)</f>
        <v>0</v>
      </c>
      <c r="D692" s="57">
        <f t="shared" ref="D692:E692" ca="1" si="161">AVERAGE(D693:D694)</f>
        <v>0</v>
      </c>
      <c r="E692" s="58">
        <f t="shared" ca="1" si="161"/>
        <v>0</v>
      </c>
      <c r="F692" t="s">
        <v>104</v>
      </c>
    </row>
    <row r="693" spans="1:6" hidden="1" x14ac:dyDescent="0.25">
      <c r="A693" s="46" t="s">
        <v>1182</v>
      </c>
      <c r="B693" s="190" t="s">
        <v>39</v>
      </c>
      <c r="C693" s="124">
        <f ca="1">_xlfn.IFNA(VLOOKUP(A693,Worksheet!$B$1:$G$600,3,FALSE),C693)</f>
        <v>0</v>
      </c>
      <c r="D693" s="124">
        <f ca="1">_xlfn.IFNA(VLOOKUP(A693,Worksheet!$B$1:$G$600,4,FALSE),D693)</f>
        <v>0</v>
      </c>
      <c r="E693" s="125">
        <f ca="1">_xlfn.IFNA(VLOOKUP(A693,Worksheet!$B$1:$G$600,5,FALSE),E693)</f>
        <v>0</v>
      </c>
      <c r="F693" t="s">
        <v>104</v>
      </c>
    </row>
    <row r="694" spans="1:6" hidden="1" x14ac:dyDescent="0.25">
      <c r="A694" s="46" t="s">
        <v>1183</v>
      </c>
      <c r="B694" s="188" t="s">
        <v>24</v>
      </c>
      <c r="C694" s="126">
        <f ca="1">_xlfn.IFNA(VLOOKUP(A694,Worksheet!$B$1:$G$600,3,FALSE),C694)</f>
        <v>0</v>
      </c>
      <c r="D694" s="126">
        <f ca="1">_xlfn.IFNA(VLOOKUP(A694,Worksheet!$B$1:$G$600,4,FALSE),D694)</f>
        <v>0</v>
      </c>
      <c r="E694" s="127">
        <f ca="1">_xlfn.IFNA(VLOOKUP(A694,Worksheet!$B$1:$G$600,5,FALSE),E694)</f>
        <v>0</v>
      </c>
      <c r="F694" t="s">
        <v>104</v>
      </c>
    </row>
    <row r="695" spans="1:6" hidden="1" x14ac:dyDescent="0.25">
      <c r="A695" s="46" t="s">
        <v>1184</v>
      </c>
      <c r="B695" s="205" t="s">
        <v>817</v>
      </c>
      <c r="C695" s="57">
        <f ca="1">C696</f>
        <v>0</v>
      </c>
      <c r="D695" s="57">
        <f t="shared" ref="D695:E695" ca="1" si="162">D696</f>
        <v>0</v>
      </c>
      <c r="E695" s="58">
        <f t="shared" ca="1" si="162"/>
        <v>0</v>
      </c>
      <c r="F695" t="s">
        <v>104</v>
      </c>
    </row>
    <row r="696" spans="1:6" hidden="1" x14ac:dyDescent="0.25">
      <c r="A696" s="46" t="s">
        <v>1185</v>
      </c>
      <c r="B696" s="205" t="s">
        <v>136</v>
      </c>
      <c r="C696" s="171">
        <f ca="1">_xlfn.IFNA(VLOOKUP(A696,Worksheet!$B$1:$G$600,3,FALSE),C696)</f>
        <v>0</v>
      </c>
      <c r="D696" s="171">
        <f ca="1">_xlfn.IFNA(VLOOKUP(A696,Worksheet!$B$1:$G$600,4,FALSE),D696)</f>
        <v>0</v>
      </c>
      <c r="E696" s="172">
        <f ca="1">_xlfn.IFNA(VLOOKUP(A696,Worksheet!$B$1:$G$600,5,FALSE),E696)</f>
        <v>0</v>
      </c>
      <c r="F696" t="s">
        <v>104</v>
      </c>
    </row>
    <row r="697" spans="1:6" hidden="1" x14ac:dyDescent="0.25">
      <c r="A697" s="46" t="s">
        <v>1186</v>
      </c>
      <c r="B697" s="206" t="s">
        <v>815</v>
      </c>
      <c r="C697" s="57">
        <f ca="1">AVERAGE(C698:C699)</f>
        <v>0</v>
      </c>
      <c r="D697" s="57">
        <f t="shared" ref="D697:E697" ca="1" si="163">AVERAGE(D698:D699)</f>
        <v>0</v>
      </c>
      <c r="E697" s="58">
        <f t="shared" ca="1" si="163"/>
        <v>0</v>
      </c>
      <c r="F697" t="s">
        <v>104</v>
      </c>
    </row>
    <row r="698" spans="1:6" hidden="1" x14ac:dyDescent="0.25">
      <c r="A698" s="46" t="s">
        <v>1187</v>
      </c>
      <c r="B698" s="194" t="s">
        <v>39</v>
      </c>
      <c r="C698" s="124">
        <f ca="1">_xlfn.IFNA(VLOOKUP(A698,Worksheet!$B$1:$G$600,3,FALSE),C698)</f>
        <v>0</v>
      </c>
      <c r="D698" s="124">
        <f ca="1">_xlfn.IFNA(VLOOKUP(A698,Worksheet!$B$1:$G$600,4,FALSE),D698)</f>
        <v>0</v>
      </c>
      <c r="E698" s="125">
        <f ca="1">_xlfn.IFNA(VLOOKUP(A698,Worksheet!$B$1:$G$600,5,FALSE),E698)</f>
        <v>0</v>
      </c>
      <c r="F698" t="s">
        <v>104</v>
      </c>
    </row>
    <row r="699" spans="1:6" hidden="1" x14ac:dyDescent="0.25">
      <c r="A699" s="46" t="s">
        <v>1188</v>
      </c>
      <c r="B699" s="199" t="s">
        <v>24</v>
      </c>
      <c r="C699" s="126">
        <f ca="1">_xlfn.IFNA(VLOOKUP(A699,Worksheet!$B$1:$G$600,3,FALSE),C699)</f>
        <v>0</v>
      </c>
      <c r="D699" s="124">
        <f ca="1">_xlfn.IFNA(VLOOKUP(A699,Worksheet!$B$1:$G$600,4,FALSE),D699)</f>
        <v>0</v>
      </c>
      <c r="E699" s="125">
        <f ca="1">_xlfn.IFNA(VLOOKUP(A699,Worksheet!$B$1:$G$600,5,FALSE),E699)</f>
        <v>0</v>
      </c>
      <c r="F699" t="s">
        <v>104</v>
      </c>
    </row>
    <row r="700" spans="1:6" hidden="1" x14ac:dyDescent="0.25">
      <c r="A700" s="46"/>
      <c r="B700" s="191" t="s">
        <v>12</v>
      </c>
      <c r="C700" s="55"/>
      <c r="D700" s="57"/>
      <c r="E700" s="58"/>
      <c r="F700" t="s">
        <v>104</v>
      </c>
    </row>
    <row r="701" spans="1:6" hidden="1" x14ac:dyDescent="0.25">
      <c r="A701" s="46">
        <v>7.2</v>
      </c>
      <c r="B701" s="187" t="s">
        <v>816</v>
      </c>
      <c r="C701" s="55">
        <f ca="1">AVERAGE(C702:C704)</f>
        <v>0</v>
      </c>
      <c r="D701" s="57">
        <f t="shared" ref="D701:E701" ca="1" si="164">AVERAGE(D702:D704)</f>
        <v>0</v>
      </c>
      <c r="E701" s="58">
        <f t="shared" ca="1" si="164"/>
        <v>0</v>
      </c>
      <c r="F701" t="s">
        <v>104</v>
      </c>
    </row>
    <row r="702" spans="1:6" hidden="1" x14ac:dyDescent="0.25">
      <c r="A702" s="46" t="s">
        <v>457</v>
      </c>
      <c r="B702" s="192" t="s">
        <v>39</v>
      </c>
      <c r="C702" s="57">
        <f ca="1">SUM(C703:C704)/2</f>
        <v>0</v>
      </c>
      <c r="D702" s="57">
        <f t="shared" ref="D702:E702" ca="1" si="165">SUM(D703:D704)/2</f>
        <v>0</v>
      </c>
      <c r="E702" s="58">
        <f t="shared" ca="1" si="165"/>
        <v>0</v>
      </c>
      <c r="F702" t="s">
        <v>104</v>
      </c>
    </row>
    <row r="703" spans="1:6" hidden="1" x14ac:dyDescent="0.25">
      <c r="A703" s="46" t="s">
        <v>1189</v>
      </c>
      <c r="B703" s="190" t="s">
        <v>24</v>
      </c>
      <c r="C703" s="124">
        <f ca="1">_xlfn.IFNA(VLOOKUP(A703,Worksheet!$B$1:$G$600,3,FALSE),C703)</f>
        <v>0</v>
      </c>
      <c r="D703" s="124">
        <f ca="1">_xlfn.IFNA(VLOOKUP(A703,Worksheet!$B$1:$G$600,4,FALSE),D703)</f>
        <v>0</v>
      </c>
      <c r="E703" s="125">
        <f ca="1">_xlfn.IFNA(VLOOKUP(A703,Worksheet!$B$1:$G$600,5,FALSE),E703)</f>
        <v>0</v>
      </c>
      <c r="F703" t="s">
        <v>104</v>
      </c>
    </row>
    <row r="704" spans="1:6" hidden="1" x14ac:dyDescent="0.25">
      <c r="A704" s="46" t="s">
        <v>1190</v>
      </c>
      <c r="B704" s="187" t="s">
        <v>761</v>
      </c>
      <c r="C704" s="126">
        <f ca="1">_xlfn.IFNA(VLOOKUP(A704,Worksheet!$B$1:$G$600,3,FALSE),C704)</f>
        <v>0</v>
      </c>
      <c r="D704" s="126">
        <f ca="1">_xlfn.IFNA(VLOOKUP(A704,Worksheet!$B$1:$G$600,4,FALSE),D704)</f>
        <v>0</v>
      </c>
      <c r="E704" s="127">
        <f ca="1">_xlfn.IFNA(VLOOKUP(A704,Worksheet!$B$1:$G$600,5,FALSE),E704)</f>
        <v>0</v>
      </c>
      <c r="F704" t="s">
        <v>104</v>
      </c>
    </row>
    <row r="705" spans="1:6" hidden="1" x14ac:dyDescent="0.25">
      <c r="A705" s="46"/>
      <c r="B705" s="191" t="s">
        <v>44</v>
      </c>
      <c r="C705" s="55"/>
      <c r="D705" s="55"/>
      <c r="E705" s="56"/>
      <c r="F705" t="s">
        <v>104</v>
      </c>
    </row>
    <row r="706" spans="1:6" hidden="1" x14ac:dyDescent="0.25">
      <c r="A706" s="46">
        <v>7.3</v>
      </c>
      <c r="B706" s="187" t="s">
        <v>821</v>
      </c>
      <c r="C706" s="55">
        <f ca="1">SUM(C707,C726,C728,C730)</f>
        <v>0</v>
      </c>
      <c r="D706" s="57">
        <f t="shared" ref="D706:E706" ca="1" si="166">SUM(D707,D726,D728,D730)</f>
        <v>0</v>
      </c>
      <c r="E706" s="58">
        <f t="shared" ca="1" si="166"/>
        <v>0</v>
      </c>
      <c r="F706" t="s">
        <v>104</v>
      </c>
    </row>
    <row r="707" spans="1:6" hidden="1" x14ac:dyDescent="0.25">
      <c r="A707" s="46" t="s">
        <v>458</v>
      </c>
      <c r="B707" s="187" t="s">
        <v>822</v>
      </c>
      <c r="C707" s="55">
        <f ca="1">SUM(C708,C717)</f>
        <v>0</v>
      </c>
      <c r="D707" s="55">
        <f t="shared" ref="D707:E707" ca="1" si="167">SUM(D708,D717)</f>
        <v>0</v>
      </c>
      <c r="E707" s="56">
        <f t="shared" ca="1" si="167"/>
        <v>0</v>
      </c>
      <c r="F707" t="s">
        <v>104</v>
      </c>
    </row>
    <row r="708" spans="1:6" hidden="1" x14ac:dyDescent="0.25">
      <c r="A708" s="46" t="s">
        <v>459</v>
      </c>
      <c r="B708" s="187" t="s">
        <v>14</v>
      </c>
      <c r="C708" s="55">
        <f ca="1">C709</f>
        <v>0</v>
      </c>
      <c r="D708" s="55">
        <f t="shared" ref="D708:E708" ca="1" si="168">D709</f>
        <v>0</v>
      </c>
      <c r="E708" s="56">
        <f t="shared" ca="1" si="168"/>
        <v>0</v>
      </c>
      <c r="F708" t="s">
        <v>104</v>
      </c>
    </row>
    <row r="709" spans="1:6" hidden="1" x14ac:dyDescent="0.25">
      <c r="A709" s="46" t="s">
        <v>460</v>
      </c>
      <c r="B709" s="187" t="s">
        <v>39</v>
      </c>
      <c r="C709" s="57">
        <f ca="1">SUM(C710:C716)</f>
        <v>0</v>
      </c>
      <c r="D709" s="57">
        <f t="shared" ref="D709:E709" ca="1" si="169">SUM(D710:D716)</f>
        <v>0</v>
      </c>
      <c r="E709" s="58">
        <f t="shared" ca="1" si="169"/>
        <v>0</v>
      </c>
      <c r="F709" t="s">
        <v>104</v>
      </c>
    </row>
    <row r="710" spans="1:6" hidden="1" x14ac:dyDescent="0.25">
      <c r="A710" s="46" t="s">
        <v>461</v>
      </c>
      <c r="B710" s="207" t="s">
        <v>16</v>
      </c>
      <c r="C710" s="124">
        <f ca="1">_xlfn.IFNA(VLOOKUP(A710,Worksheet!$B$1:$G$600,3,FALSE),C710)</f>
        <v>0</v>
      </c>
      <c r="D710" s="124">
        <f ca="1">_xlfn.IFNA(VLOOKUP(A710,Worksheet!$B$1:$G$600,4,FALSE),D710)</f>
        <v>0</v>
      </c>
      <c r="E710" s="125">
        <f ca="1">_xlfn.IFNA(VLOOKUP(A710,Worksheet!$B$1:$G$600,5,FALSE),E710)</f>
        <v>0</v>
      </c>
      <c r="F710" t="s">
        <v>104</v>
      </c>
    </row>
    <row r="711" spans="1:6" hidden="1" x14ac:dyDescent="0.25">
      <c r="A711" s="46" t="s">
        <v>462</v>
      </c>
      <c r="B711" s="208" t="s">
        <v>45</v>
      </c>
      <c r="C711" s="124">
        <f ca="1">_xlfn.IFNA(VLOOKUP(A711,Worksheet!$B$1:$G$600,3,FALSE),C711)</f>
        <v>0</v>
      </c>
      <c r="D711" s="124">
        <f ca="1">_xlfn.IFNA(VLOOKUP(A711,Worksheet!$B$1:$G$600,4,FALSE),D711)</f>
        <v>0</v>
      </c>
      <c r="E711" s="125">
        <f ca="1">_xlfn.IFNA(VLOOKUP(A711,Worksheet!$B$1:$G$600,5,FALSE),E711)</f>
        <v>0</v>
      </c>
      <c r="F711" t="s">
        <v>104</v>
      </c>
    </row>
    <row r="712" spans="1:6" hidden="1" x14ac:dyDescent="0.25">
      <c r="A712" s="46" t="s">
        <v>463</v>
      </c>
      <c r="B712" s="208" t="s">
        <v>46</v>
      </c>
      <c r="C712" s="124">
        <f ca="1">_xlfn.IFNA(VLOOKUP(A712,Worksheet!$B$1:$G$600,3,FALSE),C712)</f>
        <v>0</v>
      </c>
      <c r="D712" s="124">
        <f ca="1">_xlfn.IFNA(VLOOKUP(A712,Worksheet!$B$1:$G$600,4,FALSE),D712)</f>
        <v>0</v>
      </c>
      <c r="E712" s="125">
        <f ca="1">_xlfn.IFNA(VLOOKUP(A712,Worksheet!$B$1:$G$600,5,FALSE),E712)</f>
        <v>0</v>
      </c>
      <c r="F712" t="s">
        <v>104</v>
      </c>
    </row>
    <row r="713" spans="1:6" hidden="1" x14ac:dyDescent="0.25">
      <c r="A713" s="46" t="s">
        <v>464</v>
      </c>
      <c r="B713" s="207" t="s">
        <v>47</v>
      </c>
      <c r="C713" s="124">
        <f ca="1">_xlfn.IFNA(VLOOKUP(A713,Worksheet!$B$1:$G$600,3,FALSE),C713)</f>
        <v>0</v>
      </c>
      <c r="D713" s="124">
        <f ca="1">_xlfn.IFNA(VLOOKUP(A713,Worksheet!$B$1:$G$600,4,FALSE),D713)</f>
        <v>0</v>
      </c>
      <c r="E713" s="125">
        <f ca="1">_xlfn.IFNA(VLOOKUP(A713,Worksheet!$B$1:$G$600,5,FALSE),E713)</f>
        <v>0</v>
      </c>
      <c r="F713" t="s">
        <v>104</v>
      </c>
    </row>
    <row r="714" spans="1:6" hidden="1" x14ac:dyDescent="0.25">
      <c r="A714" s="46" t="s">
        <v>465</v>
      </c>
      <c r="B714" s="207" t="s">
        <v>48</v>
      </c>
      <c r="C714" s="124">
        <f ca="1">_xlfn.IFNA(VLOOKUP(A714,Worksheet!$B$1:$G$600,3,FALSE),C714)</f>
        <v>0</v>
      </c>
      <c r="D714" s="124">
        <f ca="1">_xlfn.IFNA(VLOOKUP(A714,Worksheet!$B$1:$G$600,4,FALSE),D714)</f>
        <v>0</v>
      </c>
      <c r="E714" s="125">
        <f ca="1">_xlfn.IFNA(VLOOKUP(A714,Worksheet!$B$1:$G$600,5,FALSE),E714)</f>
        <v>0</v>
      </c>
      <c r="F714" t="s">
        <v>104</v>
      </c>
    </row>
    <row r="715" spans="1:6" hidden="1" x14ac:dyDescent="0.25">
      <c r="A715" s="46" t="s">
        <v>466</v>
      </c>
      <c r="B715" s="207" t="s">
        <v>49</v>
      </c>
      <c r="C715" s="124">
        <f ca="1">_xlfn.IFNA(VLOOKUP(A715,Worksheet!$B$1:$G$600,3,FALSE),C715)</f>
        <v>0</v>
      </c>
      <c r="D715" s="124">
        <f ca="1">_xlfn.IFNA(VLOOKUP(A715,Worksheet!$B$1:$G$600,4,FALSE),D715)</f>
        <v>0</v>
      </c>
      <c r="E715" s="125">
        <f ca="1">_xlfn.IFNA(VLOOKUP(A715,Worksheet!$B$1:$G$600,5,FALSE),E715)</f>
        <v>0</v>
      </c>
      <c r="F715" t="s">
        <v>104</v>
      </c>
    </row>
    <row r="716" spans="1:6" hidden="1" x14ac:dyDescent="0.25">
      <c r="A716" s="46" t="s">
        <v>467</v>
      </c>
      <c r="B716" s="209" t="s">
        <v>50</v>
      </c>
      <c r="C716" s="126">
        <f ca="1">_xlfn.IFNA(VLOOKUP(A716,Worksheet!$B$1:$G$600,3,FALSE),C716)</f>
        <v>0</v>
      </c>
      <c r="D716" s="126">
        <f ca="1">_xlfn.IFNA(VLOOKUP(A716,Worksheet!$B$1:$G$600,4,FALSE),D716)</f>
        <v>0</v>
      </c>
      <c r="E716" s="127">
        <f ca="1">_xlfn.IFNA(VLOOKUP(A716,Worksheet!$B$1:$G$600,5,FALSE),E716)</f>
        <v>0</v>
      </c>
      <c r="F716" t="s">
        <v>104</v>
      </c>
    </row>
    <row r="717" spans="1:6" hidden="1" x14ac:dyDescent="0.25">
      <c r="A717" s="46" t="s">
        <v>468</v>
      </c>
      <c r="B717" s="209" t="s">
        <v>15</v>
      </c>
      <c r="C717" s="55">
        <f ca="1">C718</f>
        <v>0</v>
      </c>
      <c r="D717" s="55">
        <f t="shared" ref="D717:E717" ca="1" si="170">D718</f>
        <v>0</v>
      </c>
      <c r="E717" s="56">
        <f t="shared" ca="1" si="170"/>
        <v>0</v>
      </c>
      <c r="F717" t="s">
        <v>104</v>
      </c>
    </row>
    <row r="718" spans="1:6" hidden="1" x14ac:dyDescent="0.25">
      <c r="A718" s="46" t="s">
        <v>469</v>
      </c>
      <c r="B718" s="192" t="s">
        <v>39</v>
      </c>
      <c r="C718" s="57">
        <f ca="1">SUM(C719:C725)</f>
        <v>0</v>
      </c>
      <c r="D718" s="57">
        <f t="shared" ref="D718:E718" ca="1" si="171">SUM(D719:D725)</f>
        <v>0</v>
      </c>
      <c r="E718" s="58">
        <f t="shared" ca="1" si="171"/>
        <v>0</v>
      </c>
      <c r="F718" t="s">
        <v>104</v>
      </c>
    </row>
    <row r="719" spans="1:6" hidden="1" x14ac:dyDescent="0.25">
      <c r="A719" s="46" t="s">
        <v>470</v>
      </c>
      <c r="B719" s="207" t="s">
        <v>16</v>
      </c>
      <c r="C719" s="124">
        <f ca="1">_xlfn.IFNA(VLOOKUP(A719,Worksheet!$B$1:$G$600,3,FALSE),C719)</f>
        <v>0</v>
      </c>
      <c r="D719" s="124">
        <f ca="1">_xlfn.IFNA(VLOOKUP(A719,Worksheet!$B$1:$G$600,4,FALSE),D719)</f>
        <v>0</v>
      </c>
      <c r="E719" s="125">
        <f ca="1">_xlfn.IFNA(VLOOKUP(A719,Worksheet!$B$1:$G$600,5,FALSE),E719)</f>
        <v>0</v>
      </c>
      <c r="F719" t="s">
        <v>104</v>
      </c>
    </row>
    <row r="720" spans="1:6" hidden="1" x14ac:dyDescent="0.25">
      <c r="A720" s="46" t="s">
        <v>471</v>
      </c>
      <c r="B720" s="208" t="s">
        <v>45</v>
      </c>
      <c r="C720" s="124">
        <f ca="1">_xlfn.IFNA(VLOOKUP(A720,Worksheet!$B$1:$G$600,3,FALSE),C720)</f>
        <v>0</v>
      </c>
      <c r="D720" s="124">
        <f ca="1">_xlfn.IFNA(VLOOKUP(A720,Worksheet!$B$1:$G$600,4,FALSE),D720)</f>
        <v>0</v>
      </c>
      <c r="E720" s="125">
        <f ca="1">_xlfn.IFNA(VLOOKUP(A720,Worksheet!$B$1:$G$600,5,FALSE),E720)</f>
        <v>0</v>
      </c>
      <c r="F720" t="s">
        <v>104</v>
      </c>
    </row>
    <row r="721" spans="1:6" hidden="1" x14ac:dyDescent="0.25">
      <c r="A721" s="46" t="s">
        <v>472</v>
      </c>
      <c r="B721" s="208" t="s">
        <v>46</v>
      </c>
      <c r="C721" s="124">
        <f ca="1">_xlfn.IFNA(VLOOKUP(A721,Worksheet!$B$1:$G$600,3,FALSE),C721)</f>
        <v>0</v>
      </c>
      <c r="D721" s="124">
        <f ca="1">_xlfn.IFNA(VLOOKUP(A721,Worksheet!$B$1:$G$600,4,FALSE),D721)</f>
        <v>0</v>
      </c>
      <c r="E721" s="125">
        <f ca="1">_xlfn.IFNA(VLOOKUP(A721,Worksheet!$B$1:$G$600,5,FALSE),E721)</f>
        <v>0</v>
      </c>
      <c r="F721" t="s">
        <v>104</v>
      </c>
    </row>
    <row r="722" spans="1:6" hidden="1" x14ac:dyDescent="0.25">
      <c r="A722" s="46" t="s">
        <v>473</v>
      </c>
      <c r="B722" s="207" t="s">
        <v>47</v>
      </c>
      <c r="C722" s="124">
        <f ca="1">_xlfn.IFNA(VLOOKUP(A722,Worksheet!$B$1:$G$600,3,FALSE),C722)</f>
        <v>0</v>
      </c>
      <c r="D722" s="124">
        <f ca="1">_xlfn.IFNA(VLOOKUP(A722,Worksheet!$B$1:$G$600,4,FALSE),D722)</f>
        <v>0</v>
      </c>
      <c r="E722" s="125">
        <f ca="1">_xlfn.IFNA(VLOOKUP(A722,Worksheet!$B$1:$G$600,5,FALSE),E722)</f>
        <v>0</v>
      </c>
      <c r="F722" t="s">
        <v>104</v>
      </c>
    </row>
    <row r="723" spans="1:6" hidden="1" x14ac:dyDescent="0.25">
      <c r="A723" s="46" t="s">
        <v>474</v>
      </c>
      <c r="B723" s="207" t="s">
        <v>48</v>
      </c>
      <c r="C723" s="124">
        <f ca="1">_xlfn.IFNA(VLOOKUP(A723,Worksheet!$B$1:$G$600,3,FALSE),C723)</f>
        <v>0</v>
      </c>
      <c r="D723" s="124">
        <f ca="1">_xlfn.IFNA(VLOOKUP(A723,Worksheet!$B$1:$G$600,4,FALSE),D723)</f>
        <v>0</v>
      </c>
      <c r="E723" s="125">
        <f ca="1">_xlfn.IFNA(VLOOKUP(A723,Worksheet!$B$1:$G$600,5,FALSE),E723)</f>
        <v>0</v>
      </c>
      <c r="F723" t="s">
        <v>104</v>
      </c>
    </row>
    <row r="724" spans="1:6" hidden="1" x14ac:dyDescent="0.25">
      <c r="A724" s="46" t="s">
        <v>475</v>
      </c>
      <c r="B724" s="207" t="s">
        <v>49</v>
      </c>
      <c r="C724" s="124">
        <f ca="1">_xlfn.IFNA(VLOOKUP(A724,Worksheet!$B$1:$G$600,3,FALSE),C724)</f>
        <v>0</v>
      </c>
      <c r="D724" s="124">
        <f ca="1">_xlfn.IFNA(VLOOKUP(A724,Worksheet!$B$1:$G$600,4,FALSE),D724)</f>
        <v>0</v>
      </c>
      <c r="E724" s="125">
        <f ca="1">_xlfn.IFNA(VLOOKUP(A724,Worksheet!$B$1:$G$600,5,FALSE),E724)</f>
        <v>0</v>
      </c>
      <c r="F724" t="s">
        <v>104</v>
      </c>
    </row>
    <row r="725" spans="1:6" hidden="1" x14ac:dyDescent="0.25">
      <c r="A725" s="46" t="s">
        <v>476</v>
      </c>
      <c r="B725" s="209" t="s">
        <v>50</v>
      </c>
      <c r="C725" s="124">
        <f ca="1">_xlfn.IFNA(VLOOKUP(A725,Worksheet!$B$1:$G$600,3,FALSE),C725)</f>
        <v>0</v>
      </c>
      <c r="D725" s="124">
        <f ca="1">_xlfn.IFNA(VLOOKUP(A725,Worksheet!$B$1:$G$600,4,FALSE),D725)</f>
        <v>0</v>
      </c>
      <c r="E725" s="125">
        <f ca="1">_xlfn.IFNA(VLOOKUP(A725,Worksheet!$B$1:$G$600,5,FALSE),E725)</f>
        <v>0</v>
      </c>
      <c r="F725" t="s">
        <v>104</v>
      </c>
    </row>
    <row r="726" spans="1:6" hidden="1" x14ac:dyDescent="0.25">
      <c r="A726" s="46" t="s">
        <v>477</v>
      </c>
      <c r="B726" s="192" t="s">
        <v>824</v>
      </c>
      <c r="C726" s="59">
        <f ca="1">C727</f>
        <v>0</v>
      </c>
      <c r="D726" s="59">
        <f t="shared" ref="D726:E726" ca="1" si="172">D727</f>
        <v>0</v>
      </c>
      <c r="E726" s="60">
        <f t="shared" ca="1" si="172"/>
        <v>0</v>
      </c>
      <c r="F726" t="s">
        <v>104</v>
      </c>
    </row>
    <row r="727" spans="1:6" hidden="1" x14ac:dyDescent="0.25">
      <c r="A727" s="46" t="s">
        <v>478</v>
      </c>
      <c r="B727" s="192" t="s">
        <v>39</v>
      </c>
      <c r="C727" s="124">
        <f ca="1">_xlfn.IFNA(VLOOKUP(A727,Worksheet!$B$1:$G$600,3,FALSE),C727)</f>
        <v>0</v>
      </c>
      <c r="D727" s="124">
        <f ca="1">_xlfn.IFNA(VLOOKUP(A727,Worksheet!$B$1:$G$600,4,FALSE),D727)</f>
        <v>0</v>
      </c>
      <c r="E727" s="125">
        <f ca="1">_xlfn.IFNA(VLOOKUP(A727,Worksheet!$B$1:$G$600,5,FALSE),E727)</f>
        <v>0</v>
      </c>
      <c r="F727" t="s">
        <v>104</v>
      </c>
    </row>
    <row r="728" spans="1:6" hidden="1" x14ac:dyDescent="0.25">
      <c r="A728" s="46" t="s">
        <v>479</v>
      </c>
      <c r="B728" s="206" t="s">
        <v>825</v>
      </c>
      <c r="C728" s="57">
        <f ca="1">C729</f>
        <v>0</v>
      </c>
      <c r="D728" s="57">
        <f t="shared" ref="D728:E728" ca="1" si="173">D729</f>
        <v>0</v>
      </c>
      <c r="E728" s="58">
        <f t="shared" ca="1" si="173"/>
        <v>0</v>
      </c>
      <c r="F728" t="s">
        <v>104</v>
      </c>
    </row>
    <row r="729" spans="1:6" hidden="1" x14ac:dyDescent="0.25">
      <c r="A729" s="46" t="s">
        <v>480</v>
      </c>
      <c r="B729" s="206" t="s">
        <v>823</v>
      </c>
      <c r="C729" s="171">
        <f ca="1">_xlfn.IFNA(VLOOKUP(A729,Worksheet!$B$1:$G$600,3,FALSE),C729)</f>
        <v>0</v>
      </c>
      <c r="D729" s="171">
        <f ca="1">_xlfn.IFNA(VLOOKUP(A729,Worksheet!$B$1:$G$600,4,FALSE),D729)</f>
        <v>0</v>
      </c>
      <c r="E729" s="172">
        <f ca="1">_xlfn.IFNA(VLOOKUP(A729,Worksheet!$B$1:$G$600,5,FALSE),E729)</f>
        <v>0</v>
      </c>
      <c r="F729" t="s">
        <v>104</v>
      </c>
    </row>
    <row r="730" spans="1:6" hidden="1" x14ac:dyDescent="0.25">
      <c r="A730" s="46" t="s">
        <v>1191</v>
      </c>
      <c r="B730" s="206" t="s">
        <v>826</v>
      </c>
      <c r="C730" s="57">
        <f ca="1">SUM(C731:C735)</f>
        <v>0</v>
      </c>
      <c r="D730" s="57">
        <f t="shared" ref="D730:E730" ca="1" si="174">SUM(D731:D735)</f>
        <v>0</v>
      </c>
      <c r="E730" s="58">
        <f t="shared" ca="1" si="174"/>
        <v>0</v>
      </c>
      <c r="F730" t="s">
        <v>104</v>
      </c>
    </row>
    <row r="731" spans="1:6" hidden="1" x14ac:dyDescent="0.25">
      <c r="A731" s="46" t="s">
        <v>1192</v>
      </c>
      <c r="B731" s="189" t="s">
        <v>696</v>
      </c>
      <c r="C731" s="124">
        <f ca="1">_xlfn.IFNA(VLOOKUP(A731,Worksheet!$B$1:$G$600,3,FALSE),C731)</f>
        <v>0</v>
      </c>
      <c r="D731" s="124">
        <f ca="1">_xlfn.IFNA(VLOOKUP(A731,Worksheet!$B$1:$G$600,4,FALSE),D731)</f>
        <v>0</v>
      </c>
      <c r="E731" s="125">
        <f ca="1">_xlfn.IFNA(VLOOKUP(A731,Worksheet!$B$1:$G$600,5,FALSE),E731)</f>
        <v>0</v>
      </c>
      <c r="F731" t="s">
        <v>104</v>
      </c>
    </row>
    <row r="732" spans="1:6" hidden="1" x14ac:dyDescent="0.25">
      <c r="A732" s="46" t="s">
        <v>1193</v>
      </c>
      <c r="B732" s="189" t="s">
        <v>697</v>
      </c>
      <c r="C732" s="124">
        <f ca="1">_xlfn.IFNA(VLOOKUP(A732,Worksheet!$B$1:$G$600,3,FALSE),C732)</f>
        <v>0</v>
      </c>
      <c r="D732" s="124">
        <f ca="1">_xlfn.IFNA(VLOOKUP(A732,Worksheet!$B$1:$G$600,4,FALSE),D732)</f>
        <v>0</v>
      </c>
      <c r="E732" s="125">
        <f ca="1">_xlfn.IFNA(VLOOKUP(A732,Worksheet!$B$1:$G$600,5,FALSE),E732)</f>
        <v>0</v>
      </c>
      <c r="F732" t="s">
        <v>104</v>
      </c>
    </row>
    <row r="733" spans="1:6" hidden="1" x14ac:dyDescent="0.25">
      <c r="A733" s="46" t="s">
        <v>1194</v>
      </c>
      <c r="B733" s="189" t="s">
        <v>698</v>
      </c>
      <c r="C733" s="124">
        <f ca="1">_xlfn.IFNA(VLOOKUP(A733,Worksheet!$B$1:$G$600,3,FALSE),C733)</f>
        <v>0</v>
      </c>
      <c r="D733" s="124">
        <f ca="1">_xlfn.IFNA(VLOOKUP(A733,Worksheet!$B$1:$G$600,4,FALSE),D733)</f>
        <v>0</v>
      </c>
      <c r="E733" s="125">
        <f ca="1">_xlfn.IFNA(VLOOKUP(A733,Worksheet!$B$1:$G$600,5,FALSE),E733)</f>
        <v>0</v>
      </c>
      <c r="F733" t="s">
        <v>104</v>
      </c>
    </row>
    <row r="734" spans="1:6" hidden="1" x14ac:dyDescent="0.25">
      <c r="A734" s="46" t="s">
        <v>1195</v>
      </c>
      <c r="B734" s="189" t="s">
        <v>699</v>
      </c>
      <c r="C734" s="124">
        <f ca="1">_xlfn.IFNA(VLOOKUP(A734,Worksheet!$B$1:$G$600,3,FALSE),C734)</f>
        <v>0</v>
      </c>
      <c r="D734" s="124">
        <f ca="1">_xlfn.IFNA(VLOOKUP(A734,Worksheet!$B$1:$G$600,4,FALSE),D734)</f>
        <v>0</v>
      </c>
      <c r="E734" s="125">
        <f ca="1">_xlfn.IFNA(VLOOKUP(A734,Worksheet!$B$1:$G$600,5,FALSE),E734)</f>
        <v>0</v>
      </c>
      <c r="F734" t="s">
        <v>104</v>
      </c>
    </row>
    <row r="735" spans="1:6" hidden="1" x14ac:dyDescent="0.25">
      <c r="A735" s="46" t="s">
        <v>1196</v>
      </c>
      <c r="B735" s="189" t="s">
        <v>700</v>
      </c>
      <c r="C735" s="124">
        <f ca="1">_xlfn.IFNA(VLOOKUP(A735,Worksheet!$B$1:$G$600,3,FALSE),C735)</f>
        <v>0</v>
      </c>
      <c r="D735" s="124">
        <f ca="1">_xlfn.IFNA(VLOOKUP(A735,Worksheet!$B$1:$G$600,4,FALSE),D735)</f>
        <v>0</v>
      </c>
      <c r="E735" s="127">
        <f ca="1">_xlfn.IFNA(VLOOKUP(A735,Worksheet!$B$1:$G$600,5,FALSE),E735)</f>
        <v>0</v>
      </c>
      <c r="F735" t="s">
        <v>104</v>
      </c>
    </row>
    <row r="736" spans="1:6" hidden="1" x14ac:dyDescent="0.25">
      <c r="A736" s="46"/>
      <c r="B736" s="193" t="s">
        <v>23</v>
      </c>
      <c r="C736" s="59"/>
      <c r="D736" s="59"/>
      <c r="E736" s="60"/>
      <c r="F736" t="s">
        <v>104</v>
      </c>
    </row>
    <row r="737" spans="1:6" hidden="1" x14ac:dyDescent="0.25">
      <c r="A737" s="46">
        <v>7.4</v>
      </c>
      <c r="B737" s="187" t="s">
        <v>160</v>
      </c>
      <c r="C737" s="55">
        <f ca="1">C738</f>
        <v>0</v>
      </c>
      <c r="D737" s="55">
        <f t="shared" ref="D737:E737" ca="1" si="175">D738</f>
        <v>0</v>
      </c>
      <c r="E737" s="58">
        <f t="shared" ca="1" si="175"/>
        <v>0</v>
      </c>
      <c r="F737" t="s">
        <v>104</v>
      </c>
    </row>
    <row r="738" spans="1:6" hidden="1" x14ac:dyDescent="0.25">
      <c r="A738" s="46" t="s">
        <v>1197</v>
      </c>
      <c r="B738" s="192" t="s">
        <v>828</v>
      </c>
      <c r="C738" s="57">
        <f ca="1">SUM(C739:C740)/2</f>
        <v>0</v>
      </c>
      <c r="D738" s="57">
        <f t="shared" ref="D738:E738" ca="1" si="176">SUM(D739:D740)/2</f>
        <v>0</v>
      </c>
      <c r="E738" s="58">
        <f t="shared" ca="1" si="176"/>
        <v>0</v>
      </c>
      <c r="F738" t="s">
        <v>104</v>
      </c>
    </row>
    <row r="739" spans="1:6" hidden="1" x14ac:dyDescent="0.25">
      <c r="A739" s="46" t="s">
        <v>1198</v>
      </c>
      <c r="B739" s="189" t="s">
        <v>827</v>
      </c>
      <c r="C739" s="124">
        <f ca="1">_xlfn.IFNA(VLOOKUP(A739,Worksheet!$B$1:$G$600,3,FALSE),C739)</f>
        <v>0</v>
      </c>
      <c r="D739" s="124">
        <f ca="1">_xlfn.IFNA(VLOOKUP(A739,Worksheet!$B$1:$G$600,4,FALSE),D739)</f>
        <v>0</v>
      </c>
      <c r="E739" s="125">
        <f ca="1">_xlfn.IFNA(VLOOKUP(A739,Worksheet!$B$1:$G$600,5,FALSE),E739)</f>
        <v>0</v>
      </c>
      <c r="F739" t="s">
        <v>104</v>
      </c>
    </row>
    <row r="740" spans="1:6" hidden="1" x14ac:dyDescent="0.25">
      <c r="A740" s="46" t="s">
        <v>1199</v>
      </c>
      <c r="B740" s="189" t="s">
        <v>136</v>
      </c>
      <c r="C740" s="124">
        <f ca="1">_xlfn.IFNA(VLOOKUP(A740,Worksheet!$B$1:$G$600,3,FALSE),C740)</f>
        <v>0</v>
      </c>
      <c r="D740" s="126">
        <f ca="1">_xlfn.IFNA(VLOOKUP(A740,Worksheet!$B$1:$G$600,4,FALSE),D740)</f>
        <v>0</v>
      </c>
      <c r="E740" s="127">
        <f ca="1">_xlfn.IFNA(VLOOKUP(A740,Worksheet!$B$1:$G$600,5,FALSE),E740)</f>
        <v>0</v>
      </c>
      <c r="F740" t="s">
        <v>104</v>
      </c>
    </row>
    <row r="741" spans="1:6" hidden="1" x14ac:dyDescent="0.25">
      <c r="A741" s="46"/>
      <c r="B741" s="193" t="s">
        <v>25</v>
      </c>
      <c r="C741" s="57"/>
      <c r="D741" s="55"/>
      <c r="E741" s="56"/>
      <c r="F741" t="s">
        <v>104</v>
      </c>
    </row>
    <row r="742" spans="1:6" hidden="1" x14ac:dyDescent="0.25">
      <c r="A742" s="46">
        <v>7.5</v>
      </c>
      <c r="B742" s="199" t="s">
        <v>712</v>
      </c>
      <c r="C742" s="55">
        <f ca="1">SUM(C743,C747,C751,C755,C759)/2</f>
        <v>0</v>
      </c>
      <c r="D742" s="57">
        <f t="shared" ref="D742:E742" ca="1" si="177">SUM(D743,D747,D751,D755,D759)/2</f>
        <v>0</v>
      </c>
      <c r="E742" s="58">
        <f t="shared" ca="1" si="177"/>
        <v>0</v>
      </c>
      <c r="F742" t="s">
        <v>104</v>
      </c>
    </row>
    <row r="743" spans="1:6" hidden="1" x14ac:dyDescent="0.25">
      <c r="A743" s="46" t="s">
        <v>481</v>
      </c>
      <c r="B743" s="206" t="s">
        <v>830</v>
      </c>
      <c r="C743" s="57">
        <f ca="1">SUM(C744:C745)/2</f>
        <v>0</v>
      </c>
      <c r="D743" s="57">
        <f t="shared" ref="D743:E743" ca="1" si="178">SUM(D744:D745)/2</f>
        <v>0</v>
      </c>
      <c r="E743" s="58">
        <f t="shared" ca="1" si="178"/>
        <v>0</v>
      </c>
      <c r="F743" t="s">
        <v>104</v>
      </c>
    </row>
    <row r="744" spans="1:6" hidden="1" x14ac:dyDescent="0.25">
      <c r="A744" s="46" t="s">
        <v>1200</v>
      </c>
      <c r="B744" s="189" t="s">
        <v>39</v>
      </c>
      <c r="C744" s="124">
        <f ca="1">_xlfn.IFNA(VLOOKUP(A744,Worksheet!$B$1:$G$600,3,FALSE),C744)</f>
        <v>0</v>
      </c>
      <c r="D744" s="124">
        <f ca="1">_xlfn.IFNA(VLOOKUP(A744,Worksheet!$B$1:$G$600,4,FALSE),D744)</f>
        <v>0</v>
      </c>
      <c r="E744" s="125">
        <f ca="1">_xlfn.IFNA(VLOOKUP(A744,Worksheet!$B$1:$G$600,5,FALSE),E744)</f>
        <v>0</v>
      </c>
      <c r="F744" t="s">
        <v>104</v>
      </c>
    </row>
    <row r="745" spans="1:6" hidden="1" x14ac:dyDescent="0.25">
      <c r="A745" s="46" t="s">
        <v>1201</v>
      </c>
      <c r="B745" s="189" t="s">
        <v>715</v>
      </c>
      <c r="C745" s="124">
        <f ca="1">_xlfn.IFNA(VLOOKUP(A745,Worksheet!$B$1:$G$600,3,FALSE),C745)</f>
        <v>0</v>
      </c>
      <c r="D745" s="124">
        <f ca="1">_xlfn.IFNA(VLOOKUP(A745,Worksheet!$B$1:$G$600,4,FALSE),D745)</f>
        <v>0</v>
      </c>
      <c r="E745" s="125">
        <f ca="1">_xlfn.IFNA(VLOOKUP(A745,Worksheet!$B$1:$G$600,5,FALSE),E745)</f>
        <v>0</v>
      </c>
      <c r="F745" t="s">
        <v>104</v>
      </c>
    </row>
    <row r="746" spans="1:6" hidden="1" x14ac:dyDescent="0.25">
      <c r="A746" s="46" t="s">
        <v>1202</v>
      </c>
      <c r="B746" s="188" t="s">
        <v>761</v>
      </c>
      <c r="C746" s="126">
        <f ca="1">_xlfn.IFNA(VLOOKUP(A746,Worksheet!$B$1:$G$600,3,FALSE),C746)</f>
        <v>0</v>
      </c>
      <c r="D746" s="126">
        <f ca="1">_xlfn.IFNA(VLOOKUP(A746,Worksheet!$B$1:$G$600,4,FALSE),D746)</f>
        <v>0</v>
      </c>
      <c r="E746" s="127">
        <f ca="1">_xlfn.IFNA(VLOOKUP(A746,Worksheet!$B$1:$G$600,5,FALSE),E746)</f>
        <v>0</v>
      </c>
      <c r="F746" t="s">
        <v>104</v>
      </c>
    </row>
    <row r="747" spans="1:6" hidden="1" x14ac:dyDescent="0.25">
      <c r="A747" s="46" t="s">
        <v>482</v>
      </c>
      <c r="B747" s="206" t="s">
        <v>829</v>
      </c>
      <c r="C747" s="57">
        <f ca="1">AVERAGE(C748:C750)</f>
        <v>0</v>
      </c>
      <c r="D747" s="57">
        <f t="shared" ref="D747:E747" ca="1" si="179">AVERAGE(D748:D750)</f>
        <v>0</v>
      </c>
      <c r="E747" s="58">
        <f t="shared" ca="1" si="179"/>
        <v>0</v>
      </c>
      <c r="F747" t="s">
        <v>104</v>
      </c>
    </row>
    <row r="748" spans="1:6" hidden="1" x14ac:dyDescent="0.25">
      <c r="A748" s="46" t="s">
        <v>1203</v>
      </c>
      <c r="B748" s="189" t="s">
        <v>39</v>
      </c>
      <c r="C748" s="124">
        <f ca="1">_xlfn.IFNA(VLOOKUP(A748,Worksheet!$B$1:$G$600,3,FALSE),C748)</f>
        <v>0</v>
      </c>
      <c r="D748" s="124">
        <f ca="1">_xlfn.IFNA(VLOOKUP(A748,Worksheet!$B$1:$G$600,4,FALSE),D748)</f>
        <v>0</v>
      </c>
      <c r="E748" s="125">
        <f ca="1">_xlfn.IFNA(VLOOKUP(A748,Worksheet!$B$1:$G$600,5,FALSE),E748)</f>
        <v>0</v>
      </c>
      <c r="F748" t="s">
        <v>104</v>
      </c>
    </row>
    <row r="749" spans="1:6" hidden="1" x14ac:dyDescent="0.25">
      <c r="A749" s="46" t="s">
        <v>1204</v>
      </c>
      <c r="B749" s="189" t="s">
        <v>715</v>
      </c>
      <c r="C749" s="124">
        <f ca="1">_xlfn.IFNA(VLOOKUP(A749,Worksheet!$B$1:$G$600,3,FALSE),C749)</f>
        <v>0</v>
      </c>
      <c r="D749" s="124">
        <f ca="1">_xlfn.IFNA(VLOOKUP(A749,Worksheet!$B$1:$G$600,4,FALSE),D749)</f>
        <v>0</v>
      </c>
      <c r="E749" s="125">
        <f ca="1">_xlfn.IFNA(VLOOKUP(A749,Worksheet!$B$1:$G$600,5,FALSE),E749)</f>
        <v>0</v>
      </c>
      <c r="F749" t="s">
        <v>104</v>
      </c>
    </row>
    <row r="750" spans="1:6" hidden="1" x14ac:dyDescent="0.25">
      <c r="A750" s="46" t="s">
        <v>1205</v>
      </c>
      <c r="B750" s="188" t="s">
        <v>761</v>
      </c>
      <c r="C750" s="126">
        <f ca="1">_xlfn.IFNA(VLOOKUP(A750,Worksheet!$B$1:$G$600,3,FALSE),C750)</f>
        <v>0</v>
      </c>
      <c r="D750" s="126">
        <f ca="1">_xlfn.IFNA(VLOOKUP(A750,Worksheet!$B$1:$G$600,4,FALSE),D750)</f>
        <v>0</v>
      </c>
      <c r="E750" s="127">
        <f ca="1">_xlfn.IFNA(VLOOKUP(A750,Worksheet!$B$1:$G$600,5,FALSE),E750)</f>
        <v>0</v>
      </c>
      <c r="F750" t="s">
        <v>104</v>
      </c>
    </row>
    <row r="751" spans="1:6" hidden="1" x14ac:dyDescent="0.25">
      <c r="A751" s="46" t="s">
        <v>1206</v>
      </c>
      <c r="B751" s="206" t="s">
        <v>831</v>
      </c>
      <c r="C751" s="57">
        <f ca="1">AVERAGE(C752:C754)</f>
        <v>0</v>
      </c>
      <c r="D751" s="57">
        <f t="shared" ref="D751:E751" ca="1" si="180">AVERAGE(D752:D754)</f>
        <v>0</v>
      </c>
      <c r="E751" s="58">
        <f t="shared" ca="1" si="180"/>
        <v>0</v>
      </c>
      <c r="F751" t="s">
        <v>104</v>
      </c>
    </row>
    <row r="752" spans="1:6" hidden="1" x14ac:dyDescent="0.25">
      <c r="A752" s="46" t="s">
        <v>1207</v>
      </c>
      <c r="B752" s="189" t="s">
        <v>39</v>
      </c>
      <c r="C752" s="124">
        <f ca="1">_xlfn.IFNA(VLOOKUP(A752,Worksheet!$B$1:$G$600,3,FALSE),C752)</f>
        <v>0</v>
      </c>
      <c r="D752" s="124">
        <f ca="1">_xlfn.IFNA(VLOOKUP(A752,Worksheet!$B$1:$G$600,4,FALSE),D752)</f>
        <v>0</v>
      </c>
      <c r="E752" s="125">
        <f ca="1">_xlfn.IFNA(VLOOKUP(A752,Worksheet!$B$1:$G$600,5,FALSE),E752)</f>
        <v>0</v>
      </c>
      <c r="F752" t="s">
        <v>104</v>
      </c>
    </row>
    <row r="753" spans="1:7" hidden="1" x14ac:dyDescent="0.25">
      <c r="A753" s="46" t="s">
        <v>1208</v>
      </c>
      <c r="B753" s="189" t="s">
        <v>715</v>
      </c>
      <c r="C753" s="124">
        <f ca="1">_xlfn.IFNA(VLOOKUP(A753,Worksheet!$B$1:$G$600,3,FALSE),C753)</f>
        <v>0</v>
      </c>
      <c r="D753" s="124">
        <f ca="1">_xlfn.IFNA(VLOOKUP(A753,Worksheet!$B$1:$G$600,4,FALSE),D753)</f>
        <v>0</v>
      </c>
      <c r="E753" s="125">
        <f ca="1">_xlfn.IFNA(VLOOKUP(A753,Worksheet!$B$1:$G$600,5,FALSE),E753)</f>
        <v>0</v>
      </c>
      <c r="F753" t="s">
        <v>104</v>
      </c>
    </row>
    <row r="754" spans="1:7" hidden="1" x14ac:dyDescent="0.25">
      <c r="A754" s="46" t="s">
        <v>1209</v>
      </c>
      <c r="B754" s="188" t="s">
        <v>761</v>
      </c>
      <c r="C754" s="124">
        <f ca="1">_xlfn.IFNA(VLOOKUP(A754,Worksheet!$B$1:$G$600,3,FALSE),C754)</f>
        <v>0</v>
      </c>
      <c r="D754" s="124">
        <f ca="1">_xlfn.IFNA(VLOOKUP(A754,Worksheet!$B$1:$G$600,4,FALSE),D754)</f>
        <v>0</v>
      </c>
      <c r="E754" s="125">
        <f ca="1">_xlfn.IFNA(VLOOKUP(A754,Worksheet!$B$1:$G$600,5,FALSE),E754)</f>
        <v>0</v>
      </c>
      <c r="F754" t="s">
        <v>104</v>
      </c>
    </row>
    <row r="755" spans="1:7" hidden="1" x14ac:dyDescent="0.25">
      <c r="A755" s="46" t="s">
        <v>1210</v>
      </c>
      <c r="B755" s="210" t="s">
        <v>137</v>
      </c>
      <c r="C755" s="57">
        <f ca="1">AVERAGE(C756:C758)</f>
        <v>0</v>
      </c>
      <c r="D755" s="57">
        <f t="shared" ref="D755:E755" ca="1" si="181">AVERAGE(D756:D758)</f>
        <v>0</v>
      </c>
      <c r="E755" s="58">
        <f t="shared" ca="1" si="181"/>
        <v>0</v>
      </c>
      <c r="F755" t="s">
        <v>104</v>
      </c>
    </row>
    <row r="756" spans="1:7" hidden="1" x14ac:dyDescent="0.25">
      <c r="A756" s="46" t="s">
        <v>1211</v>
      </c>
      <c r="B756" s="189" t="s">
        <v>39</v>
      </c>
      <c r="C756" s="124">
        <f ca="1">_xlfn.IFNA(VLOOKUP(A756,Worksheet!$B$1:$G$600,3,FALSE),C756)</f>
        <v>0</v>
      </c>
      <c r="D756" s="124">
        <f ca="1">_xlfn.IFNA(VLOOKUP(A756,Worksheet!$B$1:$G$600,4,FALSE),D756)</f>
        <v>0</v>
      </c>
      <c r="E756" s="125">
        <f ca="1">_xlfn.IFNA(VLOOKUP(A756,Worksheet!$B$1:$G$600,5,FALSE),E756)</f>
        <v>0</v>
      </c>
      <c r="F756" t="s">
        <v>104</v>
      </c>
    </row>
    <row r="757" spans="1:7" hidden="1" x14ac:dyDescent="0.25">
      <c r="A757" s="46" t="s">
        <v>1212</v>
      </c>
      <c r="B757" s="189" t="s">
        <v>761</v>
      </c>
      <c r="C757" s="124">
        <f ca="1">_xlfn.IFNA(VLOOKUP(A757,Worksheet!$B$1:$G$600,3,FALSE),C757)</f>
        <v>0</v>
      </c>
      <c r="D757" s="124">
        <f ca="1">_xlfn.IFNA(VLOOKUP(A757,Worksheet!$B$1:$G$600,4,FALSE),D757)</f>
        <v>0</v>
      </c>
      <c r="E757" s="125">
        <f ca="1">_xlfn.IFNA(VLOOKUP(A757,Worksheet!$B$1:$G$600,5,FALSE),E757)</f>
        <v>0</v>
      </c>
      <c r="F757" t="s">
        <v>104</v>
      </c>
    </row>
    <row r="758" spans="1:7" hidden="1" x14ac:dyDescent="0.25">
      <c r="A758" s="46" t="s">
        <v>1213</v>
      </c>
      <c r="B758" s="188" t="s">
        <v>715</v>
      </c>
      <c r="C758" s="126">
        <f ca="1">_xlfn.IFNA(VLOOKUP(A758,Worksheet!$B$1:$G$600,3,FALSE),C758)</f>
        <v>0</v>
      </c>
      <c r="D758" s="126">
        <f ca="1">_xlfn.IFNA(VLOOKUP(A758,Worksheet!$B$1:$G$600,4,FALSE),D758)</f>
        <v>0</v>
      </c>
      <c r="E758" s="127">
        <f ca="1">_xlfn.IFNA(VLOOKUP(A758,Worksheet!$B$1:$G$600,5,FALSE),E758)</f>
        <v>0</v>
      </c>
      <c r="F758" t="s">
        <v>104</v>
      </c>
    </row>
    <row r="759" spans="1:7" hidden="1" x14ac:dyDescent="0.25">
      <c r="A759" s="46" t="s">
        <v>1214</v>
      </c>
      <c r="B759" s="206" t="s">
        <v>135</v>
      </c>
      <c r="C759" s="57">
        <f ca="1">AVERAGE(C760:C761)</f>
        <v>0</v>
      </c>
      <c r="D759" s="57">
        <f t="shared" ref="D759:E759" ca="1" si="182">AVERAGE(D760:D761)</f>
        <v>0</v>
      </c>
      <c r="E759" s="58">
        <f t="shared" ca="1" si="182"/>
        <v>0</v>
      </c>
      <c r="F759" t="s">
        <v>104</v>
      </c>
    </row>
    <row r="760" spans="1:7" hidden="1" x14ac:dyDescent="0.25">
      <c r="A760" s="46" t="s">
        <v>1215</v>
      </c>
      <c r="B760" s="194" t="s">
        <v>823</v>
      </c>
      <c r="C760" s="124">
        <f ca="1">_xlfn.IFNA(VLOOKUP(A760,Worksheet!$B$1:$G$600,3,FALSE),C760)</f>
        <v>0</v>
      </c>
      <c r="D760" s="124">
        <f ca="1">_xlfn.IFNA(VLOOKUP(A760,Worksheet!$B$1:$G$600,4,FALSE),D760)</f>
        <v>0</v>
      </c>
      <c r="E760" s="125">
        <f ca="1">_xlfn.IFNA(VLOOKUP(A760,Worksheet!$B$1:$G$600,5,FALSE),E760)</f>
        <v>0</v>
      </c>
      <c r="F760" t="s">
        <v>104</v>
      </c>
    </row>
    <row r="761" spans="1:7" hidden="1" x14ac:dyDescent="0.25">
      <c r="A761" s="46" t="s">
        <v>1216</v>
      </c>
      <c r="B761" s="194" t="s">
        <v>761</v>
      </c>
      <c r="C761" s="124">
        <f ca="1">_xlfn.IFNA(VLOOKUP(A761,Worksheet!$B$1:$G$600,3,FALSE),C761)</f>
        <v>0</v>
      </c>
      <c r="D761" s="124">
        <f ca="1">_xlfn.IFNA(VLOOKUP(A761,Worksheet!$B$1:$G$600,4,FALSE),D761)</f>
        <v>0</v>
      </c>
      <c r="E761" s="125">
        <f ca="1">_xlfn.IFNA(VLOOKUP(A761,Worksheet!$B$1:$G$600,5,FALSE),E761)</f>
        <v>0</v>
      </c>
      <c r="F761" t="s">
        <v>104</v>
      </c>
    </row>
    <row r="762" spans="1:7" ht="14.45" hidden="1" customHeight="1" x14ac:dyDescent="0.25">
      <c r="A762" s="36">
        <v>8</v>
      </c>
      <c r="B762" s="267" t="s">
        <v>32</v>
      </c>
      <c r="C762" s="268"/>
      <c r="D762" s="268"/>
      <c r="E762" s="269"/>
      <c r="F762" s="7" t="s">
        <v>1455</v>
      </c>
      <c r="G762" s="7"/>
    </row>
    <row r="763" spans="1:7" hidden="1" x14ac:dyDescent="0.25">
      <c r="A763" s="36"/>
      <c r="B763" s="186" t="s">
        <v>6</v>
      </c>
      <c r="C763" s="142" t="s">
        <v>161</v>
      </c>
      <c r="D763" s="142" t="s">
        <v>85</v>
      </c>
      <c r="E763" s="143" t="s">
        <v>86</v>
      </c>
      <c r="F763" s="7" t="s">
        <v>1455</v>
      </c>
    </row>
    <row r="764" spans="1:7" hidden="1" x14ac:dyDescent="0.25">
      <c r="A764" s="36">
        <v>8.1</v>
      </c>
      <c r="B764" s="187" t="s">
        <v>832</v>
      </c>
      <c r="C764" s="55">
        <f ca="1">SUM(C765,C767,C769)/2</f>
        <v>0</v>
      </c>
      <c r="D764" s="55">
        <f t="shared" ref="D764:E764" ca="1" si="183">SUM(D765,D767,D769)/2</f>
        <v>0</v>
      </c>
      <c r="E764" s="56">
        <f t="shared" ca="1" si="183"/>
        <v>0</v>
      </c>
      <c r="F764" s="7" t="s">
        <v>1455</v>
      </c>
    </row>
    <row r="765" spans="1:7" hidden="1" x14ac:dyDescent="0.25">
      <c r="A765" s="36" t="s">
        <v>483</v>
      </c>
      <c r="B765" s="187" t="s">
        <v>833</v>
      </c>
      <c r="C765" s="146">
        <f ca="1">C766</f>
        <v>0</v>
      </c>
      <c r="D765" s="146">
        <f t="shared" ref="D765:E765" ca="1" si="184">D766</f>
        <v>0</v>
      </c>
      <c r="E765" s="147">
        <f t="shared" ca="1" si="184"/>
        <v>0</v>
      </c>
      <c r="F765" s="7" t="s">
        <v>1455</v>
      </c>
    </row>
    <row r="766" spans="1:7" hidden="1" x14ac:dyDescent="0.25">
      <c r="A766" s="36" t="s">
        <v>484</v>
      </c>
      <c r="B766" s="187" t="s">
        <v>138</v>
      </c>
      <c r="C766" s="126">
        <f ca="1">_xlfn.IFNA(VLOOKUP(A766,Worksheet!$B$1:$G$600,3,FALSE),C766)</f>
        <v>0</v>
      </c>
      <c r="D766" s="126">
        <f ca="1">_xlfn.IFNA(VLOOKUP(A766,Worksheet!$B$1:$G$600,4,FALSE),D766)</f>
        <v>0</v>
      </c>
      <c r="E766" s="127">
        <f ca="1">_xlfn.IFNA(VLOOKUP(A766,Worksheet!$B$1:$G$600,5,FALSE),E766)</f>
        <v>0</v>
      </c>
      <c r="F766" s="7" t="s">
        <v>1455</v>
      </c>
    </row>
    <row r="767" spans="1:7" hidden="1" x14ac:dyDescent="0.25">
      <c r="A767" s="36" t="s">
        <v>485</v>
      </c>
      <c r="B767" s="187" t="s">
        <v>834</v>
      </c>
      <c r="C767" s="146">
        <f ca="1">C768</f>
        <v>0</v>
      </c>
      <c r="D767" s="146">
        <f t="shared" ref="D767:E767" ca="1" si="185">D768</f>
        <v>0</v>
      </c>
      <c r="E767" s="147">
        <f t="shared" ca="1" si="185"/>
        <v>0</v>
      </c>
      <c r="F767" s="7" t="s">
        <v>1455</v>
      </c>
    </row>
    <row r="768" spans="1:7" hidden="1" x14ac:dyDescent="0.25">
      <c r="A768" s="36" t="s">
        <v>486</v>
      </c>
      <c r="B768" s="187" t="s">
        <v>138</v>
      </c>
      <c r="C768" s="126">
        <f ca="1">_xlfn.IFNA(VLOOKUP(A768,Worksheet!$B$1:$G$600,3,FALSE),C768)</f>
        <v>0</v>
      </c>
      <c r="D768" s="126">
        <f ca="1">_xlfn.IFNA(VLOOKUP(A768,Worksheet!$B$1:$G$600,4,FALSE),D768)</f>
        <v>0</v>
      </c>
      <c r="E768" s="127">
        <f ca="1">_xlfn.IFNA(VLOOKUP(A768,Worksheet!$B$1:$G$600,5,FALSE),E768)</f>
        <v>0</v>
      </c>
      <c r="F768" s="7" t="s">
        <v>1455</v>
      </c>
    </row>
    <row r="769" spans="1:12" hidden="1" x14ac:dyDescent="0.25">
      <c r="A769" s="36" t="s">
        <v>487</v>
      </c>
      <c r="B769" s="187" t="s">
        <v>835</v>
      </c>
      <c r="C769" s="146">
        <f ca="1">C770</f>
        <v>0</v>
      </c>
      <c r="D769" s="146">
        <f t="shared" ref="D769:E769" ca="1" si="186">D770</f>
        <v>0</v>
      </c>
      <c r="E769" s="147">
        <f t="shared" ca="1" si="186"/>
        <v>0</v>
      </c>
      <c r="F769" s="7" t="s">
        <v>1455</v>
      </c>
    </row>
    <row r="770" spans="1:12" hidden="1" x14ac:dyDescent="0.25">
      <c r="A770" s="36" t="s">
        <v>488</v>
      </c>
      <c r="B770" s="187" t="s">
        <v>138</v>
      </c>
      <c r="C770" s="126">
        <f ca="1">_xlfn.IFNA(VLOOKUP(A770,Worksheet!$B$1:$G$600,3,FALSE),C770)</f>
        <v>0</v>
      </c>
      <c r="D770" s="126">
        <f ca="1">_xlfn.IFNA(VLOOKUP(A770,Worksheet!$B$1:$G$600,4,FALSE),D770)</f>
        <v>0</v>
      </c>
      <c r="E770" s="127">
        <f ca="1">_xlfn.IFNA(VLOOKUP(A770,Worksheet!$B$1:$G$600,5,FALSE),E770)</f>
        <v>0</v>
      </c>
      <c r="F770" s="7" t="s">
        <v>1455</v>
      </c>
    </row>
    <row r="771" spans="1:12" hidden="1" x14ac:dyDescent="0.25">
      <c r="A771" s="36"/>
      <c r="B771" s="191" t="s">
        <v>12</v>
      </c>
      <c r="C771" s="142"/>
      <c r="D771" s="144"/>
      <c r="E771" s="143"/>
      <c r="F771" s="7" t="s">
        <v>1455</v>
      </c>
    </row>
    <row r="772" spans="1:12" hidden="1" x14ac:dyDescent="0.25">
      <c r="A772" s="36">
        <v>8.1999999999999993</v>
      </c>
      <c r="B772" s="192" t="s">
        <v>154</v>
      </c>
      <c r="C772" s="55">
        <f ca="1">AVERAGE(C773:C775)</f>
        <v>5.333333333333333</v>
      </c>
      <c r="D772" s="55">
        <f t="shared" ref="D772:E772" ca="1" si="187">AVERAGE(D773:D775)</f>
        <v>1.6666666666666667</v>
      </c>
      <c r="E772" s="56">
        <f t="shared" ca="1" si="187"/>
        <v>4.333333333333333</v>
      </c>
      <c r="F772" s="7" t="s">
        <v>1455</v>
      </c>
    </row>
    <row r="773" spans="1:12" hidden="1" x14ac:dyDescent="0.25">
      <c r="A773" s="36" t="s">
        <v>489</v>
      </c>
      <c r="B773" s="190" t="s">
        <v>140</v>
      </c>
      <c r="C773" s="126">
        <f ca="1">_xlfn.IFNA(VLOOKUP(A773,Worksheet!$B$1:$G$600,3,FALSE),C773)</f>
        <v>0</v>
      </c>
      <c r="D773" s="126">
        <f ca="1">_xlfn.IFNA(VLOOKUP(A773,Worksheet!$B$1:$G$600,4,FALSE),D773)</f>
        <v>0</v>
      </c>
      <c r="E773" s="127">
        <f ca="1">_xlfn.IFNA(VLOOKUP(A773,Worksheet!$B$1:$G$600,5,FALSE),E773)</f>
        <v>0</v>
      </c>
      <c r="F773" s="7" t="s">
        <v>1455</v>
      </c>
    </row>
    <row r="774" spans="1:12" hidden="1" x14ac:dyDescent="0.25">
      <c r="A774" s="36" t="s">
        <v>490</v>
      </c>
      <c r="B774" s="190" t="s">
        <v>713</v>
      </c>
      <c r="C774" s="126">
        <f ca="1">_xlfn.IFNA(VLOOKUP(A774,Worksheet!$B$1:$G$600,3,FALSE),C774)</f>
        <v>0</v>
      </c>
      <c r="D774" s="126">
        <f ca="1">_xlfn.IFNA(VLOOKUP(A774,Worksheet!$B$1:$G$600,4,FALSE),D774)</f>
        <v>0</v>
      </c>
      <c r="E774" s="127">
        <f ca="1">_xlfn.IFNA(VLOOKUP(A774,Worksheet!$B$1:$G$600,5,FALSE),E774)</f>
        <v>0</v>
      </c>
      <c r="F774" s="7" t="s">
        <v>1455</v>
      </c>
    </row>
    <row r="775" spans="1:12" hidden="1" x14ac:dyDescent="0.25">
      <c r="A775" s="36" t="s">
        <v>1217</v>
      </c>
      <c r="B775" s="187" t="s">
        <v>761</v>
      </c>
      <c r="C775" s="126">
        <f ca="1">_xlfn.IFNA(VLOOKUP(A775,Worksheet!$B$1:$G$600,3,FALSE),C775)</f>
        <v>0</v>
      </c>
      <c r="D775" s="126">
        <f ca="1">_xlfn.IFNA(VLOOKUP(A775,Worksheet!$B$1:$G$600,4,FALSE),D775)</f>
        <v>0</v>
      </c>
      <c r="E775" s="127">
        <f ca="1">_xlfn.IFNA(VLOOKUP(A775,Worksheet!$B$1:$G$600,5,FALSE),E775)</f>
        <v>0</v>
      </c>
      <c r="F775" s="7" t="s">
        <v>1455</v>
      </c>
    </row>
    <row r="776" spans="1:12" hidden="1" x14ac:dyDescent="0.25">
      <c r="A776" s="36"/>
      <c r="B776" s="191" t="s">
        <v>13</v>
      </c>
      <c r="C776" s="55"/>
      <c r="D776" s="55"/>
      <c r="E776" s="56"/>
      <c r="F776" s="7" t="s">
        <v>1455</v>
      </c>
    </row>
    <row r="777" spans="1:12" hidden="1" x14ac:dyDescent="0.25">
      <c r="A777" s="36">
        <v>8.3000000000000007</v>
      </c>
      <c r="B777" s="192" t="s">
        <v>836</v>
      </c>
      <c r="C777" s="55">
        <f ca="1">SUM(C778,C780,C782,C784,C786)/2</f>
        <v>17</v>
      </c>
      <c r="D777" s="55">
        <f t="shared" ref="D777:E777" ca="1" si="188">SUM(D778,D780,D782,D784,D786)/2</f>
        <v>21.5</v>
      </c>
      <c r="E777" s="56">
        <f t="shared" ca="1" si="188"/>
        <v>17</v>
      </c>
      <c r="F777" s="7" t="s">
        <v>1455</v>
      </c>
    </row>
    <row r="778" spans="1:12" hidden="1" x14ac:dyDescent="0.25">
      <c r="A778" s="36" t="s">
        <v>491</v>
      </c>
      <c r="B778" s="187" t="s">
        <v>837</v>
      </c>
      <c r="C778" s="146">
        <f ca="1">C779</f>
        <v>34</v>
      </c>
      <c r="D778" s="146">
        <f t="shared" ref="D778:E778" ca="1" si="189">D779</f>
        <v>43</v>
      </c>
      <c r="E778" s="147">
        <f t="shared" ca="1" si="189"/>
        <v>34</v>
      </c>
      <c r="F778" s="7" t="s">
        <v>1455</v>
      </c>
      <c r="L778" s="23"/>
    </row>
    <row r="779" spans="1:12" hidden="1" x14ac:dyDescent="0.25">
      <c r="A779" s="36" t="s">
        <v>492</v>
      </c>
      <c r="B779" s="199" t="s">
        <v>140</v>
      </c>
      <c r="C779" s="126">
        <f ca="1">_xlfn.IFNA(VLOOKUP(A779,Worksheet!$B$1:$G$600,3,FALSE),C779)</f>
        <v>0</v>
      </c>
      <c r="D779" s="126">
        <f ca="1">_xlfn.IFNA(VLOOKUP(A779,Worksheet!$B$1:$G$600,4,FALSE),D779)</f>
        <v>0</v>
      </c>
      <c r="E779" s="127">
        <f ca="1">_xlfn.IFNA(VLOOKUP(A779,Worksheet!$B$1:$G$600,5,FALSE),E779)</f>
        <v>0</v>
      </c>
      <c r="F779" s="7" t="s">
        <v>1455</v>
      </c>
    </row>
    <row r="780" spans="1:12" hidden="1" x14ac:dyDescent="0.25">
      <c r="A780" s="36" t="s">
        <v>493</v>
      </c>
      <c r="B780" s="187" t="s">
        <v>838</v>
      </c>
      <c r="C780" s="146">
        <f ca="1">C781</f>
        <v>0</v>
      </c>
      <c r="D780" s="146">
        <f t="shared" ref="D780:E780" ca="1" si="190">D781</f>
        <v>0</v>
      </c>
      <c r="E780" s="147">
        <f t="shared" ca="1" si="190"/>
        <v>0</v>
      </c>
      <c r="F780" s="7" t="s">
        <v>1455</v>
      </c>
    </row>
    <row r="781" spans="1:12" hidden="1" x14ac:dyDescent="0.25">
      <c r="A781" s="36" t="s">
        <v>494</v>
      </c>
      <c r="B781" s="199" t="s">
        <v>141</v>
      </c>
      <c r="C781" s="126">
        <f ca="1">_xlfn.IFNA(VLOOKUP(A781,Worksheet!$B$1:$G$600,3,FALSE),C781)</f>
        <v>0</v>
      </c>
      <c r="D781" s="126">
        <f ca="1">_xlfn.IFNA(VLOOKUP(A781,Worksheet!$B$1:$G$600,4,FALSE),D781)</f>
        <v>0</v>
      </c>
      <c r="E781" s="127">
        <f ca="1">_xlfn.IFNA(VLOOKUP(A781,Worksheet!$B$1:$G$600,5,FALSE),E781)</f>
        <v>0</v>
      </c>
      <c r="F781" s="7" t="s">
        <v>1455</v>
      </c>
    </row>
    <row r="782" spans="1:12" hidden="1" x14ac:dyDescent="0.25">
      <c r="A782" s="36" t="s">
        <v>495</v>
      </c>
      <c r="B782" s="187" t="s">
        <v>840</v>
      </c>
      <c r="C782" s="146">
        <f ca="1">C783</f>
        <v>0</v>
      </c>
      <c r="D782" s="146">
        <f t="shared" ref="D782:E782" ca="1" si="191">D783</f>
        <v>0</v>
      </c>
      <c r="E782" s="147">
        <f t="shared" ca="1" si="191"/>
        <v>0</v>
      </c>
      <c r="F782" s="7" t="s">
        <v>1455</v>
      </c>
    </row>
    <row r="783" spans="1:12" hidden="1" x14ac:dyDescent="0.25">
      <c r="A783" s="36" t="s">
        <v>496</v>
      </c>
      <c r="B783" s="187" t="s">
        <v>140</v>
      </c>
      <c r="C783" s="126">
        <f ca="1">_xlfn.IFNA(VLOOKUP(A783,Worksheet!$B$1:$G$600,3,FALSE),C783)</f>
        <v>0</v>
      </c>
      <c r="D783" s="126">
        <f ca="1">_xlfn.IFNA(VLOOKUP(A783,Worksheet!$B$1:$G$600,4,FALSE),D783)</f>
        <v>0</v>
      </c>
      <c r="E783" s="127">
        <f ca="1">_xlfn.IFNA(VLOOKUP(A783,Worksheet!$B$1:$G$600,5,FALSE),E783)</f>
        <v>0</v>
      </c>
      <c r="F783" s="7" t="s">
        <v>1455</v>
      </c>
    </row>
    <row r="784" spans="1:12" hidden="1" x14ac:dyDescent="0.25">
      <c r="A784" s="36" t="s">
        <v>497</v>
      </c>
      <c r="B784" s="187" t="s">
        <v>839</v>
      </c>
      <c r="C784" s="146">
        <f ca="1">C785</f>
        <v>0</v>
      </c>
      <c r="D784" s="146">
        <f t="shared" ref="D784:E784" ca="1" si="192">D785</f>
        <v>0</v>
      </c>
      <c r="E784" s="147">
        <f t="shared" ca="1" si="192"/>
        <v>0</v>
      </c>
      <c r="F784" s="7" t="s">
        <v>1455</v>
      </c>
    </row>
    <row r="785" spans="1:12" hidden="1" x14ac:dyDescent="0.25">
      <c r="A785" s="36" t="s">
        <v>498</v>
      </c>
      <c r="B785" s="187" t="s">
        <v>140</v>
      </c>
      <c r="C785" s="126">
        <f ca="1">_xlfn.IFNA(VLOOKUP(A785,Worksheet!$B$1:$G$600,3,FALSE),C785)</f>
        <v>0</v>
      </c>
      <c r="D785" s="126">
        <f ca="1">_xlfn.IFNA(VLOOKUP(A785,Worksheet!$B$1:$G$600,4,FALSE),D785)</f>
        <v>0</v>
      </c>
      <c r="E785" s="127">
        <f ca="1">_xlfn.IFNA(VLOOKUP(A785,Worksheet!$B$1:$G$600,5,FALSE),E785)</f>
        <v>0</v>
      </c>
      <c r="F785" s="7" t="s">
        <v>1455</v>
      </c>
    </row>
    <row r="786" spans="1:12" hidden="1" x14ac:dyDescent="0.25">
      <c r="A786" s="36" t="s">
        <v>499</v>
      </c>
      <c r="B786" s="187" t="s">
        <v>841</v>
      </c>
      <c r="C786" s="146">
        <f ca="1">C787</f>
        <v>0</v>
      </c>
      <c r="D786" s="146">
        <f t="shared" ref="D786:E786" ca="1" si="193">D787</f>
        <v>0</v>
      </c>
      <c r="E786" s="147">
        <f t="shared" ca="1" si="193"/>
        <v>0</v>
      </c>
      <c r="F786" s="7" t="s">
        <v>1455</v>
      </c>
    </row>
    <row r="787" spans="1:12" hidden="1" x14ac:dyDescent="0.25">
      <c r="A787" s="36" t="s">
        <v>500</v>
      </c>
      <c r="B787" s="187" t="s">
        <v>138</v>
      </c>
      <c r="C787" s="126">
        <f ca="1">_xlfn.IFNA(VLOOKUP(A787,Worksheet!$B$1:$G$600,3,FALSE),C787)</f>
        <v>0</v>
      </c>
      <c r="D787" s="126">
        <f ca="1">_xlfn.IFNA(VLOOKUP(A787,Worksheet!$B$1:$G$600,4,FALSE),D787)</f>
        <v>0</v>
      </c>
      <c r="E787" s="127">
        <f ca="1">_xlfn.IFNA(VLOOKUP(A787,Worksheet!$B$1:$G$600,5,FALSE),E787)</f>
        <v>0</v>
      </c>
      <c r="F787" s="7" t="s">
        <v>1455</v>
      </c>
    </row>
    <row r="788" spans="1:12" hidden="1" x14ac:dyDescent="0.25">
      <c r="A788" s="36"/>
      <c r="B788" s="198" t="s">
        <v>23</v>
      </c>
      <c r="C788" s="55"/>
      <c r="D788" s="55"/>
      <c r="E788" s="56"/>
      <c r="F788" s="7" t="s">
        <v>1455</v>
      </c>
    </row>
    <row r="789" spans="1:12" hidden="1" x14ac:dyDescent="0.25">
      <c r="A789" s="36">
        <v>8.4</v>
      </c>
      <c r="B789" s="192" t="s">
        <v>153</v>
      </c>
      <c r="C789" s="55">
        <f ca="1">SUM(C790,C793)</f>
        <v>0</v>
      </c>
      <c r="D789" s="55">
        <f t="shared" ref="D789:E789" ca="1" si="194">SUM(D790,D793)</f>
        <v>0</v>
      </c>
      <c r="E789" s="56">
        <f t="shared" ca="1" si="194"/>
        <v>0</v>
      </c>
      <c r="F789" s="7" t="s">
        <v>1455</v>
      </c>
    </row>
    <row r="790" spans="1:12" hidden="1" x14ac:dyDescent="0.25">
      <c r="A790" s="36" t="s">
        <v>501</v>
      </c>
      <c r="B790" s="187" t="s">
        <v>842</v>
      </c>
      <c r="C790" s="55">
        <f ca="1">SUM(C791:C792)/2</f>
        <v>0</v>
      </c>
      <c r="D790" s="55">
        <f t="shared" ref="D790:E790" ca="1" si="195">SUM(D791:D792)/2</f>
        <v>0</v>
      </c>
      <c r="E790" s="56">
        <f t="shared" ca="1" si="195"/>
        <v>0</v>
      </c>
      <c r="F790" s="7" t="s">
        <v>1455</v>
      </c>
    </row>
    <row r="791" spans="1:12" hidden="1" x14ac:dyDescent="0.25">
      <c r="A791" s="36" t="s">
        <v>502</v>
      </c>
      <c r="B791" s="189" t="s">
        <v>140</v>
      </c>
      <c r="C791" s="124">
        <f ca="1">_xlfn.IFNA(VLOOKUP(A791,Worksheet!$B$1:$G$600,3,FALSE),C791)</f>
        <v>0</v>
      </c>
      <c r="D791" s="124">
        <f ca="1">_xlfn.IFNA(VLOOKUP(A791,Worksheet!$B$1:$G$600,4,FALSE),D791)</f>
        <v>0</v>
      </c>
      <c r="E791" s="125">
        <f ca="1">_xlfn.IFNA(VLOOKUP(A791,Worksheet!$B$1:$G$600,5,FALSE),E791)</f>
        <v>0</v>
      </c>
      <c r="F791" s="7" t="s">
        <v>1455</v>
      </c>
    </row>
    <row r="792" spans="1:12" hidden="1" x14ac:dyDescent="0.25">
      <c r="A792" s="36" t="s">
        <v>503</v>
      </c>
      <c r="B792" s="188" t="s">
        <v>142</v>
      </c>
      <c r="C792" s="126">
        <f ca="1">_xlfn.IFNA(VLOOKUP(A792,Worksheet!$B$1:$G$600,3,FALSE),C792)</f>
        <v>0</v>
      </c>
      <c r="D792" s="126">
        <f ca="1">_xlfn.IFNA(VLOOKUP(A792,Worksheet!$B$1:$G$600,4,FALSE),D792)</f>
        <v>0</v>
      </c>
      <c r="E792" s="127">
        <f ca="1">_xlfn.IFNA(VLOOKUP(A792,Worksheet!$B$1:$G$600,5,FALSE),E792)</f>
        <v>0</v>
      </c>
      <c r="F792" s="7" t="s">
        <v>1455</v>
      </c>
    </row>
    <row r="793" spans="1:12" hidden="1" x14ac:dyDescent="0.25">
      <c r="A793" s="36" t="s">
        <v>504</v>
      </c>
      <c r="B793" s="187" t="s">
        <v>843</v>
      </c>
      <c r="C793" s="55">
        <f ca="1">C794</f>
        <v>0</v>
      </c>
      <c r="D793" s="55">
        <f t="shared" ref="D793:E793" ca="1" si="196">D794</f>
        <v>0</v>
      </c>
      <c r="E793" s="56">
        <f t="shared" ca="1" si="196"/>
        <v>0</v>
      </c>
      <c r="F793" s="7" t="s">
        <v>1455</v>
      </c>
    </row>
    <row r="794" spans="1:12" hidden="1" x14ac:dyDescent="0.25">
      <c r="A794" s="36" t="s">
        <v>505</v>
      </c>
      <c r="B794" s="188" t="s">
        <v>139</v>
      </c>
      <c r="C794" s="126">
        <f ca="1">_xlfn.IFNA(VLOOKUP(A794,Worksheet!$B$1:$G$600,3,FALSE),C794)</f>
        <v>0</v>
      </c>
      <c r="D794" s="126">
        <f ca="1">_xlfn.IFNA(VLOOKUP(A794,Worksheet!$B$1:$G$600,4,FALSE),D794)</f>
        <v>0</v>
      </c>
      <c r="E794" s="127">
        <f ca="1">_xlfn.IFNA(VLOOKUP(A794,Worksheet!$B$1:$G$600,5,FALSE),E794)</f>
        <v>0</v>
      </c>
      <c r="F794" s="7" t="s">
        <v>1455</v>
      </c>
    </row>
    <row r="795" spans="1:12" hidden="1" x14ac:dyDescent="0.25">
      <c r="A795" s="36"/>
      <c r="B795" s="191" t="s">
        <v>25</v>
      </c>
      <c r="C795" s="142"/>
      <c r="D795" s="55"/>
      <c r="E795" s="56"/>
      <c r="F795" s="7" t="s">
        <v>1455</v>
      </c>
    </row>
    <row r="796" spans="1:12" ht="15.75" hidden="1" customHeight="1" x14ac:dyDescent="0.25">
      <c r="A796" s="36">
        <v>8.5</v>
      </c>
      <c r="B796" s="192" t="s">
        <v>844</v>
      </c>
      <c r="C796" s="55">
        <f ca="1">SUM(C799:C799)/2</f>
        <v>0</v>
      </c>
      <c r="D796" s="55">
        <f ca="1">SUM(D799:D799)/2</f>
        <v>0</v>
      </c>
      <c r="E796" s="56">
        <f ca="1">SUM(E799:E799)/2</f>
        <v>0</v>
      </c>
      <c r="F796" s="7" t="s">
        <v>1455</v>
      </c>
    </row>
    <row r="797" spans="1:12" ht="15.75" hidden="1" customHeight="1" x14ac:dyDescent="0.25">
      <c r="A797" s="36" t="s">
        <v>506</v>
      </c>
      <c r="B797" s="187" t="s">
        <v>837</v>
      </c>
      <c r="C797" s="55">
        <f ca="1">AVERAGE(C798:C800)</f>
        <v>1</v>
      </c>
      <c r="D797" s="55">
        <f t="shared" ref="D797:E797" ca="1" si="197">AVERAGE(D798:D800)</f>
        <v>1</v>
      </c>
      <c r="E797" s="56">
        <f t="shared" ca="1" si="197"/>
        <v>1</v>
      </c>
      <c r="F797" s="7" t="s">
        <v>1455</v>
      </c>
    </row>
    <row r="798" spans="1:12" ht="15.75" hidden="1" customHeight="1" x14ac:dyDescent="0.25">
      <c r="A798" s="36" t="s">
        <v>1218</v>
      </c>
      <c r="B798" s="189" t="s">
        <v>141</v>
      </c>
      <c r="C798" s="124">
        <f ca="1">_xlfn.IFNA(VLOOKUP(A798,Worksheet!$B$1:$G$600,3,FALSE),C798)</f>
        <v>0</v>
      </c>
      <c r="D798" s="124">
        <f ca="1">_xlfn.IFNA(VLOOKUP(A798,Worksheet!$B$1:$G$600,4,FALSE),D798)</f>
        <v>0</v>
      </c>
      <c r="E798" s="125">
        <f ca="1">_xlfn.IFNA(VLOOKUP(A798,Worksheet!$B$1:$G$600,5,FALSE),E798)</f>
        <v>0</v>
      </c>
      <c r="F798" s="7" t="s">
        <v>1455</v>
      </c>
    </row>
    <row r="799" spans="1:12" hidden="1" x14ac:dyDescent="0.25">
      <c r="A799" s="36" t="s">
        <v>1219</v>
      </c>
      <c r="B799" s="189" t="s">
        <v>713</v>
      </c>
      <c r="C799" s="124">
        <f ca="1">_xlfn.IFNA(VLOOKUP(A799,Worksheet!$B$1:$G$600,3,FALSE),C799)</f>
        <v>0</v>
      </c>
      <c r="D799" s="124">
        <f ca="1">_xlfn.IFNA(VLOOKUP(A799,Worksheet!$B$1:$G$600,4,FALSE),D799)</f>
        <v>0</v>
      </c>
      <c r="E799" s="125">
        <f ca="1">_xlfn.IFNA(VLOOKUP(A799,Worksheet!$B$1:$G$600,5,FALSE),E799)</f>
        <v>0</v>
      </c>
      <c r="F799" s="7" t="s">
        <v>1455</v>
      </c>
    </row>
    <row r="800" spans="1:12" hidden="1" x14ac:dyDescent="0.25">
      <c r="A800" s="36" t="s">
        <v>1220</v>
      </c>
      <c r="B800" s="187" t="s">
        <v>761</v>
      </c>
      <c r="C800" s="126">
        <f ca="1">_xlfn.IFNA(VLOOKUP(A800,Worksheet!$B$1:$G$600,3,FALSE),C800)</f>
        <v>0</v>
      </c>
      <c r="D800" s="126">
        <f ca="1">_xlfn.IFNA(VLOOKUP(A800,Worksheet!$B$1:$G$600,4,FALSE),D800)</f>
        <v>0</v>
      </c>
      <c r="E800" s="127">
        <f ca="1">_xlfn.IFNA(VLOOKUP(A800,Worksheet!$B$1:$G$600,5,FALSE),E800)</f>
        <v>0</v>
      </c>
      <c r="F800" s="7" t="s">
        <v>1455</v>
      </c>
      <c r="L800" s="23"/>
    </row>
    <row r="801" spans="1:6" hidden="1" x14ac:dyDescent="0.25">
      <c r="A801" s="36" t="s">
        <v>1221</v>
      </c>
      <c r="B801" s="187" t="s">
        <v>838</v>
      </c>
      <c r="C801" s="146">
        <f ca="1">AVERAGE(C802:C804)</f>
        <v>1</v>
      </c>
      <c r="D801" s="146">
        <f t="shared" ref="D801:E801" ca="1" si="198">AVERAGE(D802:D804)</f>
        <v>1</v>
      </c>
      <c r="E801" s="147">
        <f t="shared" ca="1" si="198"/>
        <v>1</v>
      </c>
      <c r="F801" s="7" t="s">
        <v>1455</v>
      </c>
    </row>
    <row r="802" spans="1:6" hidden="1" x14ac:dyDescent="0.25">
      <c r="A802" s="36" t="s">
        <v>1222</v>
      </c>
      <c r="B802" s="194" t="s">
        <v>141</v>
      </c>
      <c r="C802" s="124">
        <f ca="1">_xlfn.IFNA(VLOOKUP(A802,Worksheet!$B$1:$G$600,3,FALSE),C802)</f>
        <v>0</v>
      </c>
      <c r="D802" s="124">
        <f ca="1">_xlfn.IFNA(VLOOKUP(A802,Worksheet!$B$1:$G$600,4,FALSE),D802)</f>
        <v>0</v>
      </c>
      <c r="E802" s="125">
        <f ca="1">_xlfn.IFNA(VLOOKUP(A802,Worksheet!$B$1:$G$600,5,FALSE),E802)</f>
        <v>0</v>
      </c>
      <c r="F802" s="7" t="s">
        <v>1455</v>
      </c>
    </row>
    <row r="803" spans="1:6" hidden="1" x14ac:dyDescent="0.25">
      <c r="A803" s="36" t="s">
        <v>1223</v>
      </c>
      <c r="B803" s="194" t="s">
        <v>713</v>
      </c>
      <c r="C803" s="124">
        <f ca="1">_xlfn.IFNA(VLOOKUP(A803,Worksheet!$B$1:$G$600,3,FALSE),C803)</f>
        <v>0</v>
      </c>
      <c r="D803" s="124">
        <f ca="1">_xlfn.IFNA(VLOOKUP(A803,Worksheet!$B$1:$G$600,4,FALSE),D803)</f>
        <v>0</v>
      </c>
      <c r="E803" s="125">
        <f ca="1">_xlfn.IFNA(VLOOKUP(A803,Worksheet!$B$1:$G$600,5,FALSE),E803)</f>
        <v>0</v>
      </c>
      <c r="F803" s="7" t="s">
        <v>1455</v>
      </c>
    </row>
    <row r="804" spans="1:6" hidden="1" x14ac:dyDescent="0.25">
      <c r="A804" s="36" t="s">
        <v>1224</v>
      </c>
      <c r="B804" s="199" t="s">
        <v>761</v>
      </c>
      <c r="C804" s="126">
        <f ca="1">_xlfn.IFNA(VLOOKUP(A804,Worksheet!$B$1:$G$600,3,FALSE),C804)</f>
        <v>0</v>
      </c>
      <c r="D804" s="126">
        <f ca="1">_xlfn.IFNA(VLOOKUP(A804,Worksheet!$B$1:$G$600,4,FALSE),D804)</f>
        <v>0</v>
      </c>
      <c r="E804" s="127">
        <f ca="1">_xlfn.IFNA(VLOOKUP(A804,Worksheet!$B$1:$G$600,5,FALSE),E804)</f>
        <v>0</v>
      </c>
      <c r="F804" s="7" t="s">
        <v>1455</v>
      </c>
    </row>
    <row r="805" spans="1:6" hidden="1" x14ac:dyDescent="0.25">
      <c r="A805" s="36" t="s">
        <v>1225</v>
      </c>
      <c r="B805" s="187" t="s">
        <v>840</v>
      </c>
      <c r="C805" s="146">
        <f ca="1">AVERAGE(C806:C808)</f>
        <v>2</v>
      </c>
      <c r="D805" s="146">
        <f t="shared" ref="D805:E805" ca="1" si="199">AVERAGE(D806:D808)</f>
        <v>4</v>
      </c>
      <c r="E805" s="147">
        <f t="shared" ca="1" si="199"/>
        <v>5</v>
      </c>
      <c r="F805" s="7" t="s">
        <v>1455</v>
      </c>
    </row>
    <row r="806" spans="1:6" hidden="1" x14ac:dyDescent="0.25">
      <c r="A806" s="36" t="s">
        <v>1226</v>
      </c>
      <c r="B806" s="190" t="s">
        <v>140</v>
      </c>
      <c r="C806" s="124">
        <f ca="1">_xlfn.IFNA(VLOOKUP(A806,Worksheet!$B$1:$G$600,3,FALSE),C806)</f>
        <v>0</v>
      </c>
      <c r="D806" s="124">
        <f ca="1">_xlfn.IFNA(VLOOKUP(A806,Worksheet!$B$1:$G$600,4,FALSE),D806)</f>
        <v>0</v>
      </c>
      <c r="E806" s="125">
        <f ca="1">_xlfn.IFNA(VLOOKUP(A806,Worksheet!$B$1:$G$600,5,FALSE),E806)</f>
        <v>0</v>
      </c>
      <c r="F806" s="7" t="s">
        <v>1455</v>
      </c>
    </row>
    <row r="807" spans="1:6" hidden="1" x14ac:dyDescent="0.25">
      <c r="A807" s="36" t="s">
        <v>1227</v>
      </c>
      <c r="B807" s="194" t="s">
        <v>713</v>
      </c>
      <c r="C807" s="124">
        <f ca="1">_xlfn.IFNA(VLOOKUP(A807,Worksheet!$B$1:$G$600,3,FALSE),C807)</f>
        <v>0</v>
      </c>
      <c r="D807" s="124">
        <f ca="1">_xlfn.IFNA(VLOOKUP(A807,Worksheet!$B$1:$G$600,4,FALSE),D807)</f>
        <v>0</v>
      </c>
      <c r="E807" s="125">
        <f ca="1">_xlfn.IFNA(VLOOKUP(A807,Worksheet!$B$1:$G$600,5,FALSE),E807)</f>
        <v>0</v>
      </c>
      <c r="F807" s="7" t="s">
        <v>1455</v>
      </c>
    </row>
    <row r="808" spans="1:6" hidden="1" x14ac:dyDescent="0.25">
      <c r="A808" s="36" t="s">
        <v>1228</v>
      </c>
      <c r="B808" s="187" t="s">
        <v>761</v>
      </c>
      <c r="C808" s="126">
        <f ca="1">_xlfn.IFNA(VLOOKUP(A808,Worksheet!$B$1:$G$600,3,FALSE),C808)</f>
        <v>0</v>
      </c>
      <c r="D808" s="126">
        <f ca="1">_xlfn.IFNA(VLOOKUP(A808,Worksheet!$B$1:$G$600,4,FALSE),D808)</f>
        <v>0</v>
      </c>
      <c r="E808" s="127">
        <f ca="1">_xlfn.IFNA(VLOOKUP(A808,Worksheet!$B$1:$G$600,5,FALSE),E808)</f>
        <v>0</v>
      </c>
      <c r="F808" s="7" t="s">
        <v>1455</v>
      </c>
    </row>
    <row r="809" spans="1:6" hidden="1" x14ac:dyDescent="0.25">
      <c r="A809" s="36" t="s">
        <v>1229</v>
      </c>
      <c r="B809" s="187" t="s">
        <v>839</v>
      </c>
      <c r="C809" s="146">
        <f ca="1">AVERAGE(C810:C812)</f>
        <v>4</v>
      </c>
      <c r="D809" s="146">
        <f t="shared" ref="D809:E809" ca="1" si="200">AVERAGE(D810:D812)</f>
        <v>4</v>
      </c>
      <c r="E809" s="147">
        <f t="shared" ca="1" si="200"/>
        <v>4</v>
      </c>
      <c r="F809" s="7" t="s">
        <v>1455</v>
      </c>
    </row>
    <row r="810" spans="1:6" hidden="1" x14ac:dyDescent="0.25">
      <c r="A810" s="36" t="s">
        <v>1230</v>
      </c>
      <c r="B810" s="190" t="s">
        <v>140</v>
      </c>
      <c r="C810" s="124">
        <f ca="1">_xlfn.IFNA(VLOOKUP(A810,Worksheet!$B$1:$G$600,3,FALSE),C810)</f>
        <v>0</v>
      </c>
      <c r="D810" s="124">
        <f ca="1">_xlfn.IFNA(VLOOKUP(A810,Worksheet!$B$1:$G$600,4,FALSE),D810)</f>
        <v>0</v>
      </c>
      <c r="E810" s="125">
        <f ca="1">_xlfn.IFNA(VLOOKUP(A810,Worksheet!$B$1:$G$600,5,FALSE),E810)</f>
        <v>0</v>
      </c>
      <c r="F810" s="7" t="s">
        <v>1455</v>
      </c>
    </row>
    <row r="811" spans="1:6" hidden="1" x14ac:dyDescent="0.25">
      <c r="A811" s="36" t="s">
        <v>1231</v>
      </c>
      <c r="B811" s="194" t="s">
        <v>713</v>
      </c>
      <c r="C811" s="124">
        <f ca="1">_xlfn.IFNA(VLOOKUP(A811,Worksheet!$B$1:$G$600,3,FALSE),C811)</f>
        <v>0</v>
      </c>
      <c r="D811" s="124">
        <f ca="1">_xlfn.IFNA(VLOOKUP(A811,Worksheet!$B$1:$G$600,4,FALSE),D811)</f>
        <v>0</v>
      </c>
      <c r="E811" s="125">
        <f ca="1">_xlfn.IFNA(VLOOKUP(A811,Worksheet!$B$1:$G$600,5,FALSE),E811)</f>
        <v>0</v>
      </c>
      <c r="F811" s="7" t="s">
        <v>1455</v>
      </c>
    </row>
    <row r="812" spans="1:6" hidden="1" x14ac:dyDescent="0.25">
      <c r="A812" s="36" t="s">
        <v>1232</v>
      </c>
      <c r="B812" s="187" t="s">
        <v>761</v>
      </c>
      <c r="C812" s="126">
        <f ca="1">_xlfn.IFNA(VLOOKUP(A812,Worksheet!$B$1:$G$600,3,FALSE),C812)</f>
        <v>0</v>
      </c>
      <c r="D812" s="126">
        <f ca="1">_xlfn.IFNA(VLOOKUP(A812,Worksheet!$B$1:$G$600,4,FALSE),D812)</f>
        <v>0</v>
      </c>
      <c r="E812" s="127">
        <f ca="1">_xlfn.IFNA(VLOOKUP(A812,Worksheet!$B$1:$G$600,5,FALSE),E812)</f>
        <v>0</v>
      </c>
      <c r="F812" s="7" t="s">
        <v>1455</v>
      </c>
    </row>
    <row r="813" spans="1:6" hidden="1" x14ac:dyDescent="0.25">
      <c r="A813" s="36" t="s">
        <v>1233</v>
      </c>
      <c r="B813" s="187" t="s">
        <v>841</v>
      </c>
      <c r="C813" s="146">
        <f ca="1">AVERAGE(C814:C816)</f>
        <v>2</v>
      </c>
      <c r="D813" s="146">
        <f t="shared" ref="D813:E813" ca="1" si="201">AVERAGE(D814:D816)</f>
        <v>2.5</v>
      </c>
      <c r="E813" s="147">
        <f t="shared" ca="1" si="201"/>
        <v>2.5</v>
      </c>
      <c r="F813" s="7" t="s">
        <v>1455</v>
      </c>
    </row>
    <row r="814" spans="1:6" hidden="1" x14ac:dyDescent="0.25">
      <c r="A814" s="36" t="s">
        <v>1234</v>
      </c>
      <c r="B814" s="190" t="s">
        <v>138</v>
      </c>
      <c r="C814" s="124">
        <f ca="1">_xlfn.IFNA(VLOOKUP(A814,Worksheet!$B$1:$G$600,3,FALSE),C814)</f>
        <v>0</v>
      </c>
      <c r="D814" s="124">
        <f ca="1">_xlfn.IFNA(VLOOKUP(A814,Worksheet!$B$1:$G$600,4,FALSE),D814)</f>
        <v>0</v>
      </c>
      <c r="E814" s="125">
        <f ca="1">_xlfn.IFNA(VLOOKUP(A814,Worksheet!$B$1:$G$600,5,FALSE),E814)</f>
        <v>0</v>
      </c>
      <c r="F814" s="7" t="s">
        <v>1455</v>
      </c>
    </row>
    <row r="815" spans="1:6" hidden="1" x14ac:dyDescent="0.25">
      <c r="A815" s="36" t="s">
        <v>1235</v>
      </c>
      <c r="B815" s="194" t="s">
        <v>713</v>
      </c>
      <c r="C815" s="124">
        <f ca="1">_xlfn.IFNA(VLOOKUP(A815,Worksheet!$B$1:$G$600,3,FALSE),C815)</f>
        <v>0</v>
      </c>
      <c r="D815" s="124">
        <f ca="1">_xlfn.IFNA(VLOOKUP(A815,Worksheet!$B$1:$G$600,4,FALSE),D815)</f>
        <v>0</v>
      </c>
      <c r="E815" s="125">
        <f ca="1">_xlfn.IFNA(VLOOKUP(A815,Worksheet!$B$1:$G$600,5,FALSE),E815)</f>
        <v>0</v>
      </c>
      <c r="F815" s="7" t="s">
        <v>1455</v>
      </c>
    </row>
    <row r="816" spans="1:6" hidden="1" x14ac:dyDescent="0.25">
      <c r="A816" s="36" t="s">
        <v>1236</v>
      </c>
      <c r="B816" s="187" t="s">
        <v>761</v>
      </c>
      <c r="C816" s="126">
        <f ca="1">_xlfn.IFNA(VLOOKUP(A816,Worksheet!$B$1:$G$600,3,FALSE),C816)</f>
        <v>0</v>
      </c>
      <c r="D816" s="126">
        <f ca="1">_xlfn.IFNA(VLOOKUP(A816,Worksheet!$B$1:$G$600,4,FALSE),D816)</f>
        <v>0</v>
      </c>
      <c r="E816" s="127">
        <f ca="1">_xlfn.IFNA(VLOOKUP(A816,Worksheet!$B$1:$G$600,5,FALSE),E816)</f>
        <v>0</v>
      </c>
      <c r="F816" s="7" t="s">
        <v>1455</v>
      </c>
    </row>
    <row r="817" spans="1:6" hidden="1" x14ac:dyDescent="0.25">
      <c r="A817" s="45">
        <v>9</v>
      </c>
      <c r="B817" s="267" t="s">
        <v>52</v>
      </c>
      <c r="C817" s="268"/>
      <c r="D817" s="268"/>
      <c r="E817" s="269"/>
      <c r="F817" t="s">
        <v>105</v>
      </c>
    </row>
    <row r="818" spans="1:6" hidden="1" x14ac:dyDescent="0.25">
      <c r="A818" s="45"/>
      <c r="B818" s="186" t="s">
        <v>6</v>
      </c>
      <c r="C818" s="144" t="s">
        <v>84</v>
      </c>
      <c r="D818" s="144" t="s">
        <v>85</v>
      </c>
      <c r="E818" s="145" t="s">
        <v>86</v>
      </c>
      <c r="F818" t="s">
        <v>105</v>
      </c>
    </row>
    <row r="819" spans="1:6" hidden="1" x14ac:dyDescent="0.25">
      <c r="A819" s="45">
        <v>9.1</v>
      </c>
      <c r="B819" s="188" t="s">
        <v>845</v>
      </c>
      <c r="C819" s="144">
        <f ca="1">SUM(C820,C823,C825)/2</f>
        <v>1.5</v>
      </c>
      <c r="D819" s="144">
        <f ca="1">SUM(D820,D823,D825)/2</f>
        <v>1.5</v>
      </c>
      <c r="E819" s="145">
        <f ca="1">SUM(E820,E823,E825)/2</f>
        <v>16</v>
      </c>
      <c r="F819" t="s">
        <v>105</v>
      </c>
    </row>
    <row r="820" spans="1:6" hidden="1" x14ac:dyDescent="0.25">
      <c r="A820" s="45" t="s">
        <v>507</v>
      </c>
      <c r="B820" s="199" t="s">
        <v>846</v>
      </c>
      <c r="C820" s="55">
        <f ca="1">AVERAGE(C821:C822)</f>
        <v>3</v>
      </c>
      <c r="D820" s="55">
        <f t="shared" ref="D820:E820" ca="1" si="202">AVERAGE(D821:D822)</f>
        <v>3</v>
      </c>
      <c r="E820" s="56">
        <f t="shared" ca="1" si="202"/>
        <v>32</v>
      </c>
      <c r="F820" t="s">
        <v>105</v>
      </c>
    </row>
    <row r="821" spans="1:6" hidden="1" x14ac:dyDescent="0.25">
      <c r="A821" s="45" t="s">
        <v>1237</v>
      </c>
      <c r="B821" s="194" t="s">
        <v>715</v>
      </c>
      <c r="C821" s="124">
        <f ca="1">_xlfn.IFNA(VLOOKUP(A821,Worksheet!$B$1:$G$600,3,FALSE),C821)</f>
        <v>0</v>
      </c>
      <c r="D821" s="124">
        <f ca="1">_xlfn.IFNA(VLOOKUP(A821,Worksheet!$B$1:$G$600,4,FALSE),D821)</f>
        <v>0</v>
      </c>
      <c r="E821" s="125">
        <f ca="1">_xlfn.IFNA(VLOOKUP(A821,Worksheet!$B$1:$G$600,5,FALSE),E821)</f>
        <v>0</v>
      </c>
      <c r="F821" t="s">
        <v>105</v>
      </c>
    </row>
    <row r="822" spans="1:6" hidden="1" x14ac:dyDescent="0.25">
      <c r="A822" s="45" t="s">
        <v>1238</v>
      </c>
      <c r="B822" s="199" t="s">
        <v>149</v>
      </c>
      <c r="C822" s="182">
        <f ca="1">_xlfn.IFNA(VLOOKUP(A822,Worksheet!$B$1:$G$600,3,FALSE),C822)</f>
        <v>0</v>
      </c>
      <c r="D822" s="126">
        <f ca="1">_xlfn.IFNA(VLOOKUP(A822,Worksheet!$B$1:$G$600,4,FALSE),D822)</f>
        <v>0</v>
      </c>
      <c r="E822" s="127">
        <f ca="1">_xlfn.IFNA(VLOOKUP(A822,Worksheet!$B$1:$G$600,5,FALSE),E822)</f>
        <v>0</v>
      </c>
      <c r="F822" t="s">
        <v>105</v>
      </c>
    </row>
    <row r="823" spans="1:6" hidden="1" x14ac:dyDescent="0.25">
      <c r="A823" s="45" t="s">
        <v>508</v>
      </c>
      <c r="B823" s="199" t="s">
        <v>847</v>
      </c>
      <c r="C823" s="55">
        <f ca="1">C824</f>
        <v>0</v>
      </c>
      <c r="D823" s="55">
        <f t="shared" ref="D823:E823" ca="1" si="203">D824</f>
        <v>0</v>
      </c>
      <c r="E823" s="56">
        <f t="shared" ca="1" si="203"/>
        <v>0</v>
      </c>
      <c r="F823" t="s">
        <v>105</v>
      </c>
    </row>
    <row r="824" spans="1:6" hidden="1" x14ac:dyDescent="0.25">
      <c r="A824" s="45" t="s">
        <v>1239</v>
      </c>
      <c r="B824" s="199" t="s">
        <v>715</v>
      </c>
      <c r="C824" s="126">
        <f ca="1">_xlfn.IFNA(VLOOKUP(A824,Worksheet!$B$1:$G$600,3,FALSE),C824)</f>
        <v>0</v>
      </c>
      <c r="D824" s="126">
        <f ca="1">_xlfn.IFNA(VLOOKUP(A824,Worksheet!$B$1:$G$600,4,FALSE),D824)</f>
        <v>0</v>
      </c>
      <c r="E824" s="127">
        <f ca="1">_xlfn.IFNA(VLOOKUP(A824,Worksheet!$B$1:$G$600,5,FALSE),E824)</f>
        <v>0</v>
      </c>
      <c r="F824" t="s">
        <v>105</v>
      </c>
    </row>
    <row r="825" spans="1:6" hidden="1" x14ac:dyDescent="0.25">
      <c r="A825" s="45" t="s">
        <v>1240</v>
      </c>
      <c r="B825" s="199" t="s">
        <v>714</v>
      </c>
      <c r="C825" s="55">
        <f ca="1">C826</f>
        <v>0</v>
      </c>
      <c r="D825" s="55">
        <f t="shared" ref="D825:E825" ca="1" si="204">D826</f>
        <v>0</v>
      </c>
      <c r="E825" s="56">
        <f t="shared" ca="1" si="204"/>
        <v>0</v>
      </c>
      <c r="F825" t="s">
        <v>105</v>
      </c>
    </row>
    <row r="826" spans="1:6" hidden="1" x14ac:dyDescent="0.25">
      <c r="A826" s="45" t="s">
        <v>1241</v>
      </c>
      <c r="B826" s="199" t="s">
        <v>39</v>
      </c>
      <c r="C826" s="126">
        <f ca="1">_xlfn.IFNA(VLOOKUP(A826,Worksheet!$B$1:$G$600,3,FALSE),C826)</f>
        <v>0</v>
      </c>
      <c r="D826" s="126">
        <f ca="1">_xlfn.IFNA(VLOOKUP(A826,Worksheet!$B$1:$G$600,4,FALSE),D826)</f>
        <v>0</v>
      </c>
      <c r="E826" s="127">
        <f ca="1">_xlfn.IFNA(VLOOKUP(A826,Worksheet!$B$1:$G$600,5,FALSE),E826)</f>
        <v>0</v>
      </c>
      <c r="F826" t="s">
        <v>105</v>
      </c>
    </row>
    <row r="827" spans="1:6" hidden="1" x14ac:dyDescent="0.25">
      <c r="A827" s="38"/>
      <c r="B827" s="211" t="s">
        <v>12</v>
      </c>
      <c r="C827" s="142"/>
      <c r="D827" s="142"/>
      <c r="E827" s="143"/>
      <c r="F827" t="s">
        <v>105</v>
      </c>
    </row>
    <row r="828" spans="1:6" hidden="1" x14ac:dyDescent="0.25">
      <c r="A828" s="45">
        <v>9.1999999999999993</v>
      </c>
      <c r="B828" s="206" t="s">
        <v>143</v>
      </c>
      <c r="C828" s="142">
        <f ca="1">C829</f>
        <v>15</v>
      </c>
      <c r="D828" s="142">
        <f t="shared" ref="D828:E828" ca="1" si="205">D829</f>
        <v>5.333333333333333</v>
      </c>
      <c r="E828" s="143">
        <f t="shared" ca="1" si="205"/>
        <v>3.6666666666666665</v>
      </c>
      <c r="F828" t="s">
        <v>105</v>
      </c>
    </row>
    <row r="829" spans="1:6" hidden="1" x14ac:dyDescent="0.25">
      <c r="A829" s="45" t="s">
        <v>509</v>
      </c>
      <c r="B829" s="199" t="s">
        <v>848</v>
      </c>
      <c r="C829" s="55">
        <f ca="1">AVERAGE(C830:C833)</f>
        <v>15</v>
      </c>
      <c r="D829" s="55">
        <f t="shared" ref="D829:E829" ca="1" si="206">AVERAGE(D830:D833)</f>
        <v>5.333333333333333</v>
      </c>
      <c r="E829" s="56">
        <f t="shared" ca="1" si="206"/>
        <v>3.6666666666666665</v>
      </c>
      <c r="F829" t="s">
        <v>105</v>
      </c>
    </row>
    <row r="830" spans="1:6" hidden="1" x14ac:dyDescent="0.25">
      <c r="A830" s="45" t="s">
        <v>1242</v>
      </c>
      <c r="B830" s="194" t="s">
        <v>39</v>
      </c>
      <c r="C830" s="124">
        <f ca="1">_xlfn.IFNA(VLOOKUP(A830,Worksheet!$B$1:$G$600,3,FALSE),C830)</f>
        <v>0</v>
      </c>
      <c r="D830" s="124">
        <f ca="1">_xlfn.IFNA(VLOOKUP(A830,Worksheet!$B$1:$G$600,4,FALSE),D830)</f>
        <v>0</v>
      </c>
      <c r="E830" s="125">
        <f ca="1">_xlfn.IFNA(VLOOKUP(A830,Worksheet!$B$1:$G$600,5,FALSE),E830)</f>
        <v>0</v>
      </c>
      <c r="F830" t="s">
        <v>105</v>
      </c>
    </row>
    <row r="831" spans="1:6" hidden="1" x14ac:dyDescent="0.25">
      <c r="A831" s="45" t="s">
        <v>1243</v>
      </c>
      <c r="B831" s="194" t="s">
        <v>149</v>
      </c>
      <c r="C831" s="124">
        <f ca="1">_xlfn.IFNA(VLOOKUP(A831,Worksheet!$B$1:$G$600,3,FALSE),C831)</f>
        <v>0</v>
      </c>
      <c r="D831" s="124">
        <f ca="1">_xlfn.IFNA(VLOOKUP(A831,Worksheet!$B$1:$G$600,4,FALSE),D831)</f>
        <v>0</v>
      </c>
      <c r="E831" s="125">
        <f ca="1">_xlfn.IFNA(VLOOKUP(A831,Worksheet!$B$1:$G$600,5,FALSE),E831)</f>
        <v>0</v>
      </c>
      <c r="F831" t="s">
        <v>105</v>
      </c>
    </row>
    <row r="832" spans="1:6" hidden="1" x14ac:dyDescent="0.25">
      <c r="A832" s="45" t="s">
        <v>1244</v>
      </c>
      <c r="B832" s="194" t="s">
        <v>24</v>
      </c>
      <c r="C832" s="124">
        <f ca="1">_xlfn.IFNA(VLOOKUP(A832,Worksheet!$B$1:$G$600,3,FALSE),C832)</f>
        <v>0</v>
      </c>
      <c r="D832" s="124">
        <f ca="1">_xlfn.IFNA(VLOOKUP(A832,Worksheet!$B$1:$G$600,4,FALSE),D832)</f>
        <v>0</v>
      </c>
      <c r="E832" s="125">
        <f ca="1">_xlfn.IFNA(VLOOKUP(A832,Worksheet!$B$1:$G$600,5,FALSE),E832)</f>
        <v>0</v>
      </c>
      <c r="F832" t="s">
        <v>105</v>
      </c>
    </row>
    <row r="833" spans="1:6" hidden="1" x14ac:dyDescent="0.25">
      <c r="A833" s="45" t="s">
        <v>1245</v>
      </c>
      <c r="B833" s="199" t="s">
        <v>761</v>
      </c>
      <c r="C833" s="182">
        <f ca="1">_xlfn.IFNA(VLOOKUP(A833,Worksheet!$B$1:$G$600,3,FALSE),C833)</f>
        <v>0</v>
      </c>
      <c r="D833" s="126">
        <f ca="1">_xlfn.IFNA(VLOOKUP(A833,Worksheet!$B$1:$G$600,4,FALSE),D833)</f>
        <v>0</v>
      </c>
      <c r="E833" s="127">
        <f ca="1">_xlfn.IFNA(VLOOKUP(A833,Worksheet!$B$1:$G$600,5,FALSE),E833)</f>
        <v>0</v>
      </c>
      <c r="F833" t="s">
        <v>105</v>
      </c>
    </row>
    <row r="834" spans="1:6" hidden="1" x14ac:dyDescent="0.25">
      <c r="A834" s="38"/>
      <c r="B834" s="191" t="s">
        <v>44</v>
      </c>
      <c r="C834" s="55"/>
      <c r="D834" s="55"/>
      <c r="E834" s="56"/>
      <c r="F834" t="s">
        <v>105</v>
      </c>
    </row>
    <row r="835" spans="1:6" hidden="1" x14ac:dyDescent="0.25">
      <c r="A835" s="38">
        <v>9.3000000000000007</v>
      </c>
      <c r="B835" s="206" t="s">
        <v>716</v>
      </c>
      <c r="C835" s="142">
        <f ca="1">SUM(C836,C871)/2</f>
        <v>0</v>
      </c>
      <c r="D835" s="142">
        <f t="shared" ref="D835:E835" ca="1" si="207">SUM(D836,D871)/2</f>
        <v>0</v>
      </c>
      <c r="E835" s="143">
        <f t="shared" ca="1" si="207"/>
        <v>0</v>
      </c>
      <c r="F835" t="s">
        <v>105</v>
      </c>
    </row>
    <row r="836" spans="1:6" hidden="1" x14ac:dyDescent="0.25">
      <c r="A836" s="38" t="s">
        <v>510</v>
      </c>
      <c r="B836" s="199" t="s">
        <v>849</v>
      </c>
      <c r="C836" s="142">
        <f ca="1">SUM(C837,C854)</f>
        <v>0</v>
      </c>
      <c r="D836" s="142">
        <f t="shared" ref="D836:E836" ca="1" si="208">SUM(D837,D854)</f>
        <v>0</v>
      </c>
      <c r="E836" s="143">
        <f t="shared" ca="1" si="208"/>
        <v>0</v>
      </c>
      <c r="F836" t="s">
        <v>105</v>
      </c>
    </row>
    <row r="837" spans="1:6" hidden="1" x14ac:dyDescent="0.25">
      <c r="A837" s="45" t="s">
        <v>511</v>
      </c>
      <c r="B837" s="199" t="s">
        <v>14</v>
      </c>
      <c r="C837" s="142">
        <f ca="1">SUM(C838:C846)/2</f>
        <v>0</v>
      </c>
      <c r="D837" s="142">
        <f t="shared" ref="D837:E837" ca="1" si="209">SUM(D838:D846)/2</f>
        <v>0</v>
      </c>
      <c r="E837" s="143">
        <f t="shared" ca="1" si="209"/>
        <v>0</v>
      </c>
      <c r="F837" t="s">
        <v>105</v>
      </c>
    </row>
    <row r="838" spans="1:6" hidden="1" x14ac:dyDescent="0.25">
      <c r="A838" s="45" t="s">
        <v>511</v>
      </c>
      <c r="B838" s="199" t="s">
        <v>39</v>
      </c>
      <c r="C838" s="142">
        <f ca="1">SUM(C839:C845)</f>
        <v>0</v>
      </c>
      <c r="D838" s="142">
        <f t="shared" ref="D838:E838" ca="1" si="210">SUM(D839:D845)</f>
        <v>0</v>
      </c>
      <c r="E838" s="143">
        <f t="shared" ca="1" si="210"/>
        <v>0</v>
      </c>
      <c r="F838" t="s">
        <v>105</v>
      </c>
    </row>
    <row r="839" spans="1:6" hidden="1" x14ac:dyDescent="0.25">
      <c r="A839" s="45" t="s">
        <v>1246</v>
      </c>
      <c r="B839" s="207" t="s">
        <v>16</v>
      </c>
      <c r="C839" s="124">
        <f ca="1">_xlfn.IFNA(VLOOKUP(A839,Worksheet!$B$1:$G$600,3,FALSE),C839)</f>
        <v>0</v>
      </c>
      <c r="D839" s="124">
        <f ca="1">_xlfn.IFNA(VLOOKUP(A839,Worksheet!$B$1:$G$600,4,FALSE),D839)</f>
        <v>0</v>
      </c>
      <c r="E839" s="125">
        <f ca="1">_xlfn.IFNA(VLOOKUP(A839,Worksheet!$B$1:$G$600,5,FALSE),E839)</f>
        <v>0</v>
      </c>
      <c r="F839" t="s">
        <v>105</v>
      </c>
    </row>
    <row r="840" spans="1:6" hidden="1" x14ac:dyDescent="0.25">
      <c r="A840" s="45" t="s">
        <v>1247</v>
      </c>
      <c r="B840" s="208" t="s">
        <v>45</v>
      </c>
      <c r="C840" s="124">
        <f ca="1">_xlfn.IFNA(VLOOKUP(A840,Worksheet!$B$1:$G$600,3,FALSE),C840)</f>
        <v>0</v>
      </c>
      <c r="D840" s="124">
        <f ca="1">_xlfn.IFNA(VLOOKUP(A840,Worksheet!$B$1:$G$600,4,FALSE),D840)</f>
        <v>0</v>
      </c>
      <c r="E840" s="125">
        <f ca="1">_xlfn.IFNA(VLOOKUP(A840,Worksheet!$B$1:$G$600,5,FALSE),E840)</f>
        <v>0</v>
      </c>
      <c r="F840" t="s">
        <v>105</v>
      </c>
    </row>
    <row r="841" spans="1:6" hidden="1" x14ac:dyDescent="0.25">
      <c r="A841" s="45" t="s">
        <v>1248</v>
      </c>
      <c r="B841" s="208" t="s">
        <v>46</v>
      </c>
      <c r="C841" s="124">
        <f ca="1">_xlfn.IFNA(VLOOKUP(A841,Worksheet!$B$1:$G$600,3,FALSE),C841)</f>
        <v>0</v>
      </c>
      <c r="D841" s="124">
        <f ca="1">_xlfn.IFNA(VLOOKUP(A841,Worksheet!$B$1:$G$600,4,FALSE),D841)</f>
        <v>0</v>
      </c>
      <c r="E841" s="125">
        <f ca="1">_xlfn.IFNA(VLOOKUP(A841,Worksheet!$B$1:$G$600,5,FALSE),E841)</f>
        <v>0</v>
      </c>
      <c r="F841" t="s">
        <v>105</v>
      </c>
    </row>
    <row r="842" spans="1:6" hidden="1" x14ac:dyDescent="0.25">
      <c r="A842" s="45" t="s">
        <v>1249</v>
      </c>
      <c r="B842" s="207" t="s">
        <v>47</v>
      </c>
      <c r="C842" s="124">
        <f ca="1">_xlfn.IFNA(VLOOKUP(A842,Worksheet!$B$1:$G$600,3,FALSE),C842)</f>
        <v>0</v>
      </c>
      <c r="D842" s="124">
        <f ca="1">_xlfn.IFNA(VLOOKUP(A842,Worksheet!$B$1:$G$600,4,FALSE),D842)</f>
        <v>0</v>
      </c>
      <c r="E842" s="125">
        <f ca="1">_xlfn.IFNA(VLOOKUP(A842,Worksheet!$B$1:$G$600,5,FALSE),E842)</f>
        <v>0</v>
      </c>
      <c r="F842" t="s">
        <v>105</v>
      </c>
    </row>
    <row r="843" spans="1:6" hidden="1" x14ac:dyDescent="0.25">
      <c r="A843" s="45" t="s">
        <v>1250</v>
      </c>
      <c r="B843" s="207" t="s">
        <v>48</v>
      </c>
      <c r="C843" s="124">
        <f ca="1">_xlfn.IFNA(VLOOKUP(A843,Worksheet!$B$1:$G$600,3,FALSE),C843)</f>
        <v>0</v>
      </c>
      <c r="D843" s="124">
        <f ca="1">_xlfn.IFNA(VLOOKUP(A843,Worksheet!$B$1:$G$600,4,FALSE),D843)</f>
        <v>0</v>
      </c>
      <c r="E843" s="125">
        <f ca="1">_xlfn.IFNA(VLOOKUP(A843,Worksheet!$B$1:$G$600,5,FALSE),E843)</f>
        <v>0</v>
      </c>
      <c r="F843" t="s">
        <v>105</v>
      </c>
    </row>
    <row r="844" spans="1:6" hidden="1" x14ac:dyDescent="0.25">
      <c r="A844" s="45" t="s">
        <v>1251</v>
      </c>
      <c r="B844" s="207" t="s">
        <v>49</v>
      </c>
      <c r="C844" s="124">
        <f ca="1">_xlfn.IFNA(VLOOKUP(A844,Worksheet!$B$1:$G$600,3,FALSE),C844)</f>
        <v>0</v>
      </c>
      <c r="D844" s="124">
        <f ca="1">_xlfn.IFNA(VLOOKUP(A844,Worksheet!$B$1:$G$600,4,FALSE),D844)</f>
        <v>0</v>
      </c>
      <c r="E844" s="125">
        <f ca="1">_xlfn.IFNA(VLOOKUP(A844,Worksheet!$B$1:$G$600,5,FALSE),E844)</f>
        <v>0</v>
      </c>
      <c r="F844" t="s">
        <v>105</v>
      </c>
    </row>
    <row r="845" spans="1:6" hidden="1" x14ac:dyDescent="0.25">
      <c r="A845" s="45" t="s">
        <v>1252</v>
      </c>
      <c r="B845" s="209" t="s">
        <v>50</v>
      </c>
      <c r="C845" s="126">
        <f ca="1">_xlfn.IFNA(VLOOKUP(A845,Worksheet!$B$1:$G$600,3,FALSE),C845)</f>
        <v>0</v>
      </c>
      <c r="D845" s="126">
        <f ca="1">_xlfn.IFNA(VLOOKUP(A845,Worksheet!$B$1:$G$600,4,FALSE),D845)</f>
        <v>0</v>
      </c>
      <c r="E845" s="127">
        <f ca="1">_xlfn.IFNA(VLOOKUP(A845,Worksheet!$B$1:$G$600,5,FALSE),E845)</f>
        <v>0</v>
      </c>
      <c r="F845" t="s">
        <v>105</v>
      </c>
    </row>
    <row r="846" spans="1:6" hidden="1" x14ac:dyDescent="0.25">
      <c r="A846" s="45" t="s">
        <v>512</v>
      </c>
      <c r="B846" s="199" t="s">
        <v>149</v>
      </c>
      <c r="C846" s="142">
        <f ca="1">SUM(C847:C853)</f>
        <v>0</v>
      </c>
      <c r="D846" s="142">
        <f t="shared" ref="D846:E846" ca="1" si="211">SUM(D847:D853)</f>
        <v>0</v>
      </c>
      <c r="E846" s="143">
        <f t="shared" ca="1" si="211"/>
        <v>0</v>
      </c>
      <c r="F846" t="s">
        <v>105</v>
      </c>
    </row>
    <row r="847" spans="1:6" hidden="1" x14ac:dyDescent="0.25">
      <c r="A847" s="45" t="s">
        <v>1253</v>
      </c>
      <c r="B847" s="207" t="s">
        <v>16</v>
      </c>
      <c r="C847" s="124">
        <f ca="1">_xlfn.IFNA(VLOOKUP(A847,Worksheet!$B$1:$G$600,3,FALSE),C847)</f>
        <v>0</v>
      </c>
      <c r="D847" s="124">
        <f ca="1">_xlfn.IFNA(VLOOKUP(A847,Worksheet!$B$1:$G$600,4,FALSE),D847)</f>
        <v>0</v>
      </c>
      <c r="E847" s="125">
        <f ca="1">_xlfn.IFNA(VLOOKUP(A847,Worksheet!$B$1:$G$600,5,FALSE),E847)</f>
        <v>0</v>
      </c>
      <c r="F847" t="s">
        <v>105</v>
      </c>
    </row>
    <row r="848" spans="1:6" hidden="1" x14ac:dyDescent="0.25">
      <c r="A848" s="45" t="s">
        <v>1254</v>
      </c>
      <c r="B848" s="208" t="s">
        <v>45</v>
      </c>
      <c r="C848" s="124">
        <f ca="1">_xlfn.IFNA(VLOOKUP(A848,Worksheet!$B$1:$G$600,3,FALSE),C848)</f>
        <v>0</v>
      </c>
      <c r="D848" s="124">
        <f ca="1">_xlfn.IFNA(VLOOKUP(A848,Worksheet!$B$1:$G$600,4,FALSE),D848)</f>
        <v>0</v>
      </c>
      <c r="E848" s="125">
        <f ca="1">_xlfn.IFNA(VLOOKUP(A848,Worksheet!$B$1:$G$600,5,FALSE),E848)</f>
        <v>0</v>
      </c>
      <c r="F848" t="s">
        <v>105</v>
      </c>
    </row>
    <row r="849" spans="1:16384" hidden="1" x14ac:dyDescent="0.25">
      <c r="A849" s="45" t="s">
        <v>1255</v>
      </c>
      <c r="B849" s="208" t="s">
        <v>46</v>
      </c>
      <c r="C849" s="124">
        <f ca="1">_xlfn.IFNA(VLOOKUP(A849,Worksheet!$B$1:$G$600,3,FALSE),C849)</f>
        <v>0</v>
      </c>
      <c r="D849" s="124">
        <f ca="1">_xlfn.IFNA(VLOOKUP(A849,Worksheet!$B$1:$G$600,4,FALSE),D849)</f>
        <v>0</v>
      </c>
      <c r="E849" s="125">
        <f ca="1">_xlfn.IFNA(VLOOKUP(A849,Worksheet!$B$1:$G$600,5,FALSE),E849)</f>
        <v>0</v>
      </c>
      <c r="F849" t="s">
        <v>105</v>
      </c>
    </row>
    <row r="850" spans="1:16384" hidden="1" x14ac:dyDescent="0.25">
      <c r="A850" s="45" t="s">
        <v>1256</v>
      </c>
      <c r="B850" s="207" t="s">
        <v>47</v>
      </c>
      <c r="C850" s="124">
        <f ca="1">_xlfn.IFNA(VLOOKUP(A850,Worksheet!$B$1:$G$600,3,FALSE),C850)</f>
        <v>0</v>
      </c>
      <c r="D850" s="124">
        <f ca="1">_xlfn.IFNA(VLOOKUP(A850,Worksheet!$B$1:$G$600,4,FALSE),D850)</f>
        <v>0</v>
      </c>
      <c r="E850" s="125">
        <f ca="1">_xlfn.IFNA(VLOOKUP(A850,Worksheet!$B$1:$G$600,5,FALSE),E850)</f>
        <v>0</v>
      </c>
      <c r="F850" t="s">
        <v>105</v>
      </c>
    </row>
    <row r="851" spans="1:16384" hidden="1" x14ac:dyDescent="0.25">
      <c r="A851" s="45" t="s">
        <v>1257</v>
      </c>
      <c r="B851" s="207" t="s">
        <v>48</v>
      </c>
      <c r="C851" s="124">
        <f ca="1">_xlfn.IFNA(VLOOKUP(A851,Worksheet!$B$1:$G$600,3,FALSE),C851)</f>
        <v>0</v>
      </c>
      <c r="D851" s="124">
        <f ca="1">_xlfn.IFNA(VLOOKUP(A851,Worksheet!$B$1:$G$600,4,FALSE),D851)</f>
        <v>0</v>
      </c>
      <c r="E851" s="125">
        <f ca="1">_xlfn.IFNA(VLOOKUP(A851,Worksheet!$B$1:$G$600,5,FALSE),E851)</f>
        <v>0</v>
      </c>
      <c r="F851" t="s">
        <v>105</v>
      </c>
    </row>
    <row r="852" spans="1:16384" hidden="1" x14ac:dyDescent="0.25">
      <c r="A852" s="45" t="s">
        <v>1258</v>
      </c>
      <c r="B852" s="207" t="s">
        <v>49</v>
      </c>
      <c r="C852" s="124">
        <f ca="1">_xlfn.IFNA(VLOOKUP(A852,Worksheet!$B$1:$G$600,3,FALSE),C852)</f>
        <v>0</v>
      </c>
      <c r="D852" s="124">
        <f ca="1">_xlfn.IFNA(VLOOKUP(A852,Worksheet!$B$1:$G$600,4,FALSE),D852)</f>
        <v>0</v>
      </c>
      <c r="E852" s="125">
        <f ca="1">_xlfn.IFNA(VLOOKUP(A852,Worksheet!$B$1:$G$600,5,FALSE),E852)</f>
        <v>0</v>
      </c>
      <c r="F852" t="s">
        <v>105</v>
      </c>
    </row>
    <row r="853" spans="1:16384" hidden="1" x14ac:dyDescent="0.25">
      <c r="A853" s="45" t="s">
        <v>1259</v>
      </c>
      <c r="B853" s="209" t="s">
        <v>50</v>
      </c>
      <c r="C853" s="126">
        <f ca="1">_xlfn.IFNA(VLOOKUP(A853,Worksheet!$B$1:$G$600,3,FALSE),C853)</f>
        <v>0</v>
      </c>
      <c r="D853" s="126">
        <f ca="1">_xlfn.IFNA(VLOOKUP(A853,Worksheet!$B$1:$G$600,4,FALSE),D853)</f>
        <v>0</v>
      </c>
      <c r="E853" s="127">
        <f ca="1">_xlfn.IFNA(VLOOKUP(A853,Worksheet!$B$1:$G$600,5,FALSE),E853)</f>
        <v>0</v>
      </c>
      <c r="F853" t="s">
        <v>105</v>
      </c>
    </row>
    <row r="854" spans="1:16384" hidden="1" x14ac:dyDescent="0.25">
      <c r="A854" s="45" t="s">
        <v>513</v>
      </c>
      <c r="B854" s="209" t="s">
        <v>15</v>
      </c>
      <c r="C854" s="55">
        <f ca="1">SUM(C855,C863)/2</f>
        <v>0</v>
      </c>
      <c r="D854" s="55">
        <f t="shared" ref="D854:E854" ca="1" si="212">SUM(D855,D863)/2</f>
        <v>0</v>
      </c>
      <c r="E854" s="56">
        <f t="shared" ca="1" si="212"/>
        <v>0</v>
      </c>
      <c r="F854" t="s">
        <v>105</v>
      </c>
    </row>
    <row r="855" spans="1:16384" hidden="1" x14ac:dyDescent="0.25">
      <c r="A855" s="45" t="s">
        <v>514</v>
      </c>
      <c r="B855" s="199" t="s">
        <v>39</v>
      </c>
      <c r="C855" s="142">
        <f ca="1">SUM(C856:C862)</f>
        <v>0</v>
      </c>
      <c r="D855" s="142">
        <f t="shared" ref="D855:E855" ca="1" si="213">SUM(D856:D862)</f>
        <v>0</v>
      </c>
      <c r="E855" s="143">
        <f t="shared" ca="1" si="213"/>
        <v>0</v>
      </c>
      <c r="F855" t="s">
        <v>105</v>
      </c>
    </row>
    <row r="856" spans="1:16384" hidden="1" x14ac:dyDescent="0.25">
      <c r="A856" s="45" t="s">
        <v>1260</v>
      </c>
      <c r="B856" s="207" t="s">
        <v>16</v>
      </c>
      <c r="C856" s="124">
        <f ca="1">_xlfn.IFNA(VLOOKUP(A856,Worksheet!$B$1:$G$600,3,FALSE),C856)</f>
        <v>0</v>
      </c>
      <c r="D856" s="124">
        <f ca="1">_xlfn.IFNA(VLOOKUP(A856,Worksheet!$B$1:$G$600,4,FALSE),D856)</f>
        <v>0</v>
      </c>
      <c r="E856" s="125">
        <f ca="1">_xlfn.IFNA(VLOOKUP(A856,Worksheet!$B$1:$G$600,5,FALSE),E856)</f>
        <v>0</v>
      </c>
      <c r="F856" t="s">
        <v>105</v>
      </c>
    </row>
    <row r="857" spans="1:16384" hidden="1" x14ac:dyDescent="0.25">
      <c r="A857" s="45" t="s">
        <v>1261</v>
      </c>
      <c r="B857" s="208" t="s">
        <v>45</v>
      </c>
      <c r="C857" s="124">
        <f ca="1">_xlfn.IFNA(VLOOKUP(A857,Worksheet!$B$1:$G$600,3,FALSE),C857)</f>
        <v>0</v>
      </c>
      <c r="D857" s="124">
        <f ca="1">_xlfn.IFNA(VLOOKUP(A857,Worksheet!$B$1:$G$600,4,FALSE),D857)</f>
        <v>0</v>
      </c>
      <c r="E857" s="125">
        <f ca="1">_xlfn.IFNA(VLOOKUP(A857,Worksheet!$B$1:$G$600,5,FALSE),E857)</f>
        <v>0</v>
      </c>
      <c r="F857" t="s">
        <v>105</v>
      </c>
    </row>
    <row r="858" spans="1:16384" hidden="1" x14ac:dyDescent="0.25">
      <c r="A858" s="45" t="s">
        <v>1262</v>
      </c>
      <c r="B858" s="208" t="s">
        <v>46</v>
      </c>
      <c r="C858" s="124">
        <f ca="1">_xlfn.IFNA(VLOOKUP(A858,Worksheet!$B$1:$G$600,3,FALSE),C858)</f>
        <v>0</v>
      </c>
      <c r="D858" s="124">
        <f ca="1">_xlfn.IFNA(VLOOKUP(A858,Worksheet!$B$1:$G$600,4,FALSE),D858)</f>
        <v>0</v>
      </c>
      <c r="E858" s="125">
        <f ca="1">_xlfn.IFNA(VLOOKUP(A858,Worksheet!$B$1:$G$600,5,FALSE),E858)</f>
        <v>0</v>
      </c>
      <c r="F858" t="s">
        <v>105</v>
      </c>
    </row>
    <row r="859" spans="1:16384" hidden="1" x14ac:dyDescent="0.25">
      <c r="A859" s="45" t="s">
        <v>1263</v>
      </c>
      <c r="B859" s="207" t="s">
        <v>47</v>
      </c>
      <c r="C859" s="124">
        <f ca="1">_xlfn.IFNA(VLOOKUP(A859,Worksheet!$B$1:$G$600,3,FALSE),C859)</f>
        <v>0</v>
      </c>
      <c r="D859" s="124">
        <f ca="1">_xlfn.IFNA(VLOOKUP(A859,Worksheet!$B$1:$G$600,4,FALSE),D859)</f>
        <v>0</v>
      </c>
      <c r="E859" s="125">
        <f ca="1">_xlfn.IFNA(VLOOKUP(A859,Worksheet!$B$1:$G$600,5,FALSE),E859)</f>
        <v>0</v>
      </c>
      <c r="F859" t="s">
        <v>105</v>
      </c>
    </row>
    <row r="860" spans="1:16384" hidden="1" x14ac:dyDescent="0.25">
      <c r="A860" s="45" t="s">
        <v>1264</v>
      </c>
      <c r="B860" s="207" t="s">
        <v>48</v>
      </c>
      <c r="C860" s="124">
        <f ca="1">_xlfn.IFNA(VLOOKUP(A860,Worksheet!$B$1:$G$600,3,FALSE),C860)</f>
        <v>0</v>
      </c>
      <c r="D860" s="124">
        <f ca="1">_xlfn.IFNA(VLOOKUP(A860,Worksheet!$B$1:$G$600,4,FALSE),D860)</f>
        <v>0</v>
      </c>
      <c r="E860" s="125">
        <f ca="1">_xlfn.IFNA(VLOOKUP(A860,Worksheet!$B$1:$G$600,5,FALSE),E860)</f>
        <v>0</v>
      </c>
      <c r="F860" t="s">
        <v>105</v>
      </c>
    </row>
    <row r="861" spans="1:16384" hidden="1" x14ac:dyDescent="0.25">
      <c r="A861" s="45" t="s">
        <v>1265</v>
      </c>
      <c r="B861" s="207" t="s">
        <v>49</v>
      </c>
      <c r="C861" s="124">
        <f ca="1">_xlfn.IFNA(VLOOKUP(A861,Worksheet!$B$1:$G$600,3,FALSE),C861)</f>
        <v>0</v>
      </c>
      <c r="D861" s="124">
        <f ca="1">_xlfn.IFNA(VLOOKUP(A861,Worksheet!$B$1:$G$600,4,FALSE),D861)</f>
        <v>0</v>
      </c>
      <c r="E861" s="125">
        <f ca="1">_xlfn.IFNA(VLOOKUP(A861,Worksheet!$B$1:$G$600,5,FALSE),E861)</f>
        <v>0</v>
      </c>
      <c r="F861" t="s">
        <v>105</v>
      </c>
    </row>
    <row r="862" spans="1:16384" hidden="1" x14ac:dyDescent="0.25">
      <c r="A862" s="45" t="s">
        <v>1266</v>
      </c>
      <c r="B862" s="209" t="s">
        <v>50</v>
      </c>
      <c r="C862" s="126">
        <f ca="1">_xlfn.IFNA(VLOOKUP(A862,Worksheet!$B$1:$G$600,3,FALSE),C862)</f>
        <v>0</v>
      </c>
      <c r="D862" s="126">
        <f ca="1">_xlfn.IFNA(VLOOKUP(A862,Worksheet!$B$1:$G$600,4,FALSE),D862)</f>
        <v>0</v>
      </c>
      <c r="E862" s="127">
        <f ca="1">_xlfn.IFNA(VLOOKUP(A862,Worksheet!$B$1:$G$600,5,FALSE),E862)</f>
        <v>0</v>
      </c>
      <c r="F862" t="s">
        <v>105</v>
      </c>
    </row>
    <row r="863" spans="1:16384" hidden="1" x14ac:dyDescent="0.25">
      <c r="A863" s="45" t="s">
        <v>515</v>
      </c>
      <c r="B863" s="199" t="s">
        <v>149</v>
      </c>
      <c r="C863" s="142">
        <f ca="1">SUM(C864:C870)</f>
        <v>0</v>
      </c>
      <c r="D863" s="142">
        <f t="shared" ref="D863:E863" ca="1" si="214">SUM(D864:D870)</f>
        <v>0</v>
      </c>
      <c r="E863" s="143">
        <f t="shared" ca="1" si="214"/>
        <v>0</v>
      </c>
      <c r="F863" t="s">
        <v>105</v>
      </c>
    </row>
    <row r="864" spans="1:16384" hidden="1" x14ac:dyDescent="0.25">
      <c r="A864" s="64" t="s">
        <v>1267</v>
      </c>
      <c r="B864" s="207" t="s">
        <v>16</v>
      </c>
      <c r="C864" s="124">
        <f ca="1">_xlfn.IFNA(VLOOKUP(A864,Worksheet!$B$1:$G$600,3,FALSE),C864)</f>
        <v>0</v>
      </c>
      <c r="D864" s="124">
        <f ca="1">_xlfn.IFNA(VLOOKUP(A864,Worksheet!$B$1:$G$600,4,FALSE),D864)</f>
        <v>0</v>
      </c>
      <c r="E864" s="125">
        <f ca="1">_xlfn.IFNA(VLOOKUP(A864,Worksheet!$B$1:$G$600,5,FALSE),E864)</f>
        <v>0</v>
      </c>
      <c r="F864" t="s">
        <v>105</v>
      </c>
      <c r="G864" s="42"/>
      <c r="H864" s="42"/>
      <c r="I864" s="42"/>
      <c r="J864" s="42"/>
      <c r="K864" s="42"/>
      <c r="L864" s="42"/>
      <c r="M864" s="42"/>
      <c r="N864" s="42"/>
      <c r="O864" s="42"/>
      <c r="P864" s="42"/>
      <c r="Q864" s="42"/>
      <c r="R864" s="42"/>
      <c r="S864" s="42"/>
      <c r="T864" s="42"/>
      <c r="U864" s="42"/>
      <c r="V864" s="42"/>
      <c r="W864" s="42"/>
      <c r="X864" s="42"/>
      <c r="Y864" s="42"/>
      <c r="Z864" s="42"/>
      <c r="AA864" s="42"/>
      <c r="AB864" s="42"/>
      <c r="AC864" s="42"/>
      <c r="AD864" s="42"/>
      <c r="AE864" s="42"/>
      <c r="AF864" s="42"/>
      <c r="AG864" s="42"/>
      <c r="AH864" s="42"/>
      <c r="AI864" s="41"/>
      <c r="AJ864" s="40"/>
      <c r="AK864" s="40"/>
      <c r="AL864" s="40"/>
      <c r="AM864" s="40"/>
      <c r="AN864" s="40"/>
      <c r="AO864" s="40"/>
      <c r="AP864" s="40"/>
      <c r="AQ864" s="40"/>
      <c r="AR864" s="40"/>
      <c r="AS864" s="40"/>
      <c r="AT864" s="40"/>
      <c r="AU864" s="40"/>
      <c r="AV864" s="40"/>
      <c r="AW864" s="40"/>
      <c r="AX864" s="40"/>
      <c r="AY864" s="40"/>
      <c r="AZ864" s="40"/>
      <c r="BA864" s="40"/>
      <c r="BB864" s="40"/>
      <c r="BC864" s="40"/>
      <c r="BD864" s="40"/>
      <c r="BE864" s="40"/>
      <c r="BF864" s="40"/>
      <c r="BG864" s="40"/>
      <c r="BH864" s="40"/>
      <c r="BI864" s="40"/>
      <c r="BJ864" s="40"/>
      <c r="BK864" s="40"/>
      <c r="BL864" s="40"/>
      <c r="BM864" s="40"/>
      <c r="BN864" s="40"/>
      <c r="BO864" s="40"/>
      <c r="BP864" s="40"/>
      <c r="BQ864" s="40"/>
      <c r="BR864" s="40"/>
      <c r="BS864" s="40"/>
      <c r="BT864" s="40"/>
      <c r="BU864" s="40"/>
      <c r="BV864" s="40"/>
      <c r="BW864" s="40"/>
      <c r="BX864" s="40"/>
      <c r="BY864" s="40"/>
      <c r="BZ864" s="40"/>
      <c r="CA864" s="40"/>
      <c r="CB864" s="40"/>
      <c r="CC864" s="40"/>
      <c r="CD864" s="40"/>
      <c r="CE864" s="40"/>
      <c r="CF864" s="40"/>
      <c r="CG864" s="40"/>
      <c r="CH864" s="40"/>
      <c r="CI864" s="40"/>
      <c r="CJ864" s="40"/>
      <c r="CK864" s="40"/>
      <c r="CL864" s="40"/>
      <c r="CM864" s="40"/>
      <c r="CN864" s="40"/>
      <c r="CO864" s="40"/>
      <c r="CP864" s="40"/>
      <c r="CQ864" s="40"/>
      <c r="CR864" s="40"/>
      <c r="CS864" s="40"/>
      <c r="CT864" s="40" t="s">
        <v>16</v>
      </c>
      <c r="CU864" s="40" t="s">
        <v>16</v>
      </c>
      <c r="CV864" s="40" t="s">
        <v>16</v>
      </c>
      <c r="CW864" s="40" t="s">
        <v>16</v>
      </c>
      <c r="CX864" s="40" t="s">
        <v>16</v>
      </c>
      <c r="CY864" s="40" t="s">
        <v>16</v>
      </c>
      <c r="CZ864" s="40" t="s">
        <v>16</v>
      </c>
      <c r="DA864" s="40" t="s">
        <v>16</v>
      </c>
      <c r="DB864" s="40" t="s">
        <v>16</v>
      </c>
      <c r="DC864" s="40" t="s">
        <v>16</v>
      </c>
      <c r="DD864" s="40" t="s">
        <v>16</v>
      </c>
      <c r="DE864" s="40" t="s">
        <v>16</v>
      </c>
      <c r="DF864" s="40" t="s">
        <v>16</v>
      </c>
      <c r="DG864" s="40" t="s">
        <v>16</v>
      </c>
      <c r="DH864" s="40" t="s">
        <v>16</v>
      </c>
      <c r="DI864" s="40" t="s">
        <v>16</v>
      </c>
      <c r="DJ864" s="40" t="s">
        <v>16</v>
      </c>
      <c r="DK864" s="40" t="s">
        <v>16</v>
      </c>
      <c r="DL864" s="40" t="s">
        <v>16</v>
      </c>
      <c r="DM864" s="40" t="s">
        <v>16</v>
      </c>
      <c r="DN864" s="40" t="s">
        <v>16</v>
      </c>
      <c r="DO864" s="40" t="s">
        <v>16</v>
      </c>
      <c r="DP864" s="40" t="s">
        <v>16</v>
      </c>
      <c r="DQ864" s="40" t="s">
        <v>16</v>
      </c>
      <c r="DR864" s="40" t="s">
        <v>16</v>
      </c>
      <c r="DS864" s="40" t="s">
        <v>16</v>
      </c>
      <c r="DT864" s="40" t="s">
        <v>16</v>
      </c>
      <c r="DU864" s="40" t="s">
        <v>16</v>
      </c>
      <c r="DV864" s="40" t="s">
        <v>16</v>
      </c>
      <c r="DW864" s="40" t="s">
        <v>16</v>
      </c>
      <c r="DX864" s="40" t="s">
        <v>16</v>
      </c>
      <c r="DY864" s="40" t="s">
        <v>16</v>
      </c>
      <c r="DZ864" s="40" t="s">
        <v>16</v>
      </c>
      <c r="EA864" s="40" t="s">
        <v>16</v>
      </c>
      <c r="EB864" s="40" t="s">
        <v>16</v>
      </c>
      <c r="EC864" s="40" t="s">
        <v>16</v>
      </c>
      <c r="ED864" s="40" t="s">
        <v>16</v>
      </c>
      <c r="EE864" s="40" t="s">
        <v>16</v>
      </c>
      <c r="EF864" s="40" t="s">
        <v>16</v>
      </c>
      <c r="EG864" s="40" t="s">
        <v>16</v>
      </c>
      <c r="EH864" s="40" t="s">
        <v>16</v>
      </c>
      <c r="EI864" s="40" t="s">
        <v>16</v>
      </c>
      <c r="EJ864" s="40" t="s">
        <v>16</v>
      </c>
      <c r="EK864" s="40" t="s">
        <v>16</v>
      </c>
      <c r="EL864" s="40" t="s">
        <v>16</v>
      </c>
      <c r="EM864" s="40" t="s">
        <v>16</v>
      </c>
      <c r="EN864" s="40" t="s">
        <v>16</v>
      </c>
      <c r="EO864" s="40" t="s">
        <v>16</v>
      </c>
      <c r="EP864" s="40" t="s">
        <v>16</v>
      </c>
      <c r="EQ864" s="40" t="s">
        <v>16</v>
      </c>
      <c r="ER864" s="40" t="s">
        <v>16</v>
      </c>
      <c r="ES864" s="40" t="s">
        <v>16</v>
      </c>
      <c r="ET864" s="40" t="s">
        <v>16</v>
      </c>
      <c r="EU864" s="40" t="s">
        <v>16</v>
      </c>
      <c r="EV864" s="40" t="s">
        <v>16</v>
      </c>
      <c r="EW864" s="40" t="s">
        <v>16</v>
      </c>
      <c r="EX864" s="40" t="s">
        <v>16</v>
      </c>
      <c r="EY864" s="40" t="s">
        <v>16</v>
      </c>
      <c r="EZ864" s="40" t="s">
        <v>16</v>
      </c>
      <c r="FA864" s="40" t="s">
        <v>16</v>
      </c>
      <c r="FB864" s="40" t="s">
        <v>16</v>
      </c>
      <c r="FC864" s="40" t="s">
        <v>16</v>
      </c>
      <c r="FD864" s="40" t="s">
        <v>16</v>
      </c>
      <c r="FE864" s="40" t="s">
        <v>16</v>
      </c>
      <c r="FF864" s="40" t="s">
        <v>16</v>
      </c>
      <c r="FG864" s="40" t="s">
        <v>16</v>
      </c>
      <c r="FH864" s="40" t="s">
        <v>16</v>
      </c>
      <c r="FI864" s="40" t="s">
        <v>16</v>
      </c>
      <c r="FJ864" s="40" t="s">
        <v>16</v>
      </c>
      <c r="FK864" s="40" t="s">
        <v>16</v>
      </c>
      <c r="FL864" s="40" t="s">
        <v>16</v>
      </c>
      <c r="FM864" s="40" t="s">
        <v>16</v>
      </c>
      <c r="FN864" s="40" t="s">
        <v>16</v>
      </c>
      <c r="FO864" s="40" t="s">
        <v>16</v>
      </c>
      <c r="FP864" s="40" t="s">
        <v>16</v>
      </c>
      <c r="FQ864" s="40" t="s">
        <v>16</v>
      </c>
      <c r="FR864" s="40" t="s">
        <v>16</v>
      </c>
      <c r="FS864" s="40" t="s">
        <v>16</v>
      </c>
      <c r="FT864" s="40" t="s">
        <v>16</v>
      </c>
      <c r="FU864" s="22" t="s">
        <v>16</v>
      </c>
      <c r="FV864" s="22" t="s">
        <v>16</v>
      </c>
      <c r="FW864" s="22" t="s">
        <v>16</v>
      </c>
      <c r="FX864" s="22" t="s">
        <v>16</v>
      </c>
      <c r="FY864" s="22" t="s">
        <v>16</v>
      </c>
      <c r="FZ864" s="22" t="s">
        <v>16</v>
      </c>
      <c r="GA864" s="22" t="s">
        <v>16</v>
      </c>
      <c r="GB864" s="22" t="s">
        <v>16</v>
      </c>
      <c r="GC864" s="22" t="s">
        <v>16</v>
      </c>
      <c r="GD864" s="22" t="s">
        <v>16</v>
      </c>
      <c r="GE864" s="22" t="s">
        <v>16</v>
      </c>
      <c r="GF864" s="22" t="s">
        <v>16</v>
      </c>
      <c r="GG864" s="22" t="s">
        <v>16</v>
      </c>
      <c r="GH864" s="22" t="s">
        <v>16</v>
      </c>
      <c r="GI864" s="22" t="s">
        <v>16</v>
      </c>
      <c r="GJ864" s="22" t="s">
        <v>16</v>
      </c>
      <c r="GK864" s="22" t="s">
        <v>16</v>
      </c>
      <c r="GL864" s="22" t="s">
        <v>16</v>
      </c>
      <c r="GM864" s="22" t="s">
        <v>16</v>
      </c>
      <c r="GN864" s="22" t="s">
        <v>16</v>
      </c>
      <c r="GO864" s="22" t="s">
        <v>16</v>
      </c>
      <c r="GP864" s="22" t="s">
        <v>16</v>
      </c>
      <c r="GQ864" s="22" t="s">
        <v>16</v>
      </c>
      <c r="GR864" s="22" t="s">
        <v>16</v>
      </c>
      <c r="GS864" s="22" t="s">
        <v>16</v>
      </c>
      <c r="GT864" s="22" t="s">
        <v>16</v>
      </c>
      <c r="GU864" s="22" t="s">
        <v>16</v>
      </c>
      <c r="GV864" s="22" t="s">
        <v>16</v>
      </c>
      <c r="GW864" s="22" t="s">
        <v>16</v>
      </c>
      <c r="GX864" s="22" t="s">
        <v>16</v>
      </c>
      <c r="GY864" s="22" t="s">
        <v>16</v>
      </c>
      <c r="GZ864" s="22" t="s">
        <v>16</v>
      </c>
      <c r="HA864" s="22" t="s">
        <v>16</v>
      </c>
      <c r="HB864" s="22" t="s">
        <v>16</v>
      </c>
      <c r="HC864" s="22" t="s">
        <v>16</v>
      </c>
      <c r="HD864" s="22" t="s">
        <v>16</v>
      </c>
      <c r="HE864" s="22" t="s">
        <v>16</v>
      </c>
      <c r="HF864" s="22" t="s">
        <v>16</v>
      </c>
      <c r="HG864" s="22" t="s">
        <v>16</v>
      </c>
      <c r="HH864" s="22" t="s">
        <v>16</v>
      </c>
      <c r="HI864" s="22" t="s">
        <v>16</v>
      </c>
      <c r="HJ864" s="22" t="s">
        <v>16</v>
      </c>
      <c r="HK864" s="22" t="s">
        <v>16</v>
      </c>
      <c r="HL864" s="22" t="s">
        <v>16</v>
      </c>
      <c r="HM864" s="22" t="s">
        <v>16</v>
      </c>
      <c r="HN864" s="22" t="s">
        <v>16</v>
      </c>
      <c r="HO864" s="22" t="s">
        <v>16</v>
      </c>
      <c r="HP864" s="22" t="s">
        <v>16</v>
      </c>
      <c r="HQ864" s="22" t="s">
        <v>16</v>
      </c>
      <c r="HR864" s="22" t="s">
        <v>16</v>
      </c>
      <c r="HS864" s="22" t="s">
        <v>16</v>
      </c>
      <c r="HT864" s="22" t="s">
        <v>16</v>
      </c>
      <c r="HU864" s="22" t="s">
        <v>16</v>
      </c>
      <c r="HV864" s="22" t="s">
        <v>16</v>
      </c>
      <c r="HW864" s="22" t="s">
        <v>16</v>
      </c>
      <c r="HX864" s="22" t="s">
        <v>16</v>
      </c>
      <c r="HY864" s="22" t="s">
        <v>16</v>
      </c>
      <c r="HZ864" s="22" t="s">
        <v>16</v>
      </c>
      <c r="IA864" s="22" t="s">
        <v>16</v>
      </c>
      <c r="IB864" s="22" t="s">
        <v>16</v>
      </c>
      <c r="IC864" s="22" t="s">
        <v>16</v>
      </c>
      <c r="ID864" s="22" t="s">
        <v>16</v>
      </c>
      <c r="IE864" s="22" t="s">
        <v>16</v>
      </c>
      <c r="IF864" s="22" t="s">
        <v>16</v>
      </c>
      <c r="IG864" s="22" t="s">
        <v>16</v>
      </c>
      <c r="IH864" s="22" t="s">
        <v>16</v>
      </c>
      <c r="II864" s="22" t="s">
        <v>16</v>
      </c>
      <c r="IJ864" s="22" t="s">
        <v>16</v>
      </c>
      <c r="IK864" s="22" t="s">
        <v>16</v>
      </c>
      <c r="IL864" s="22" t="s">
        <v>16</v>
      </c>
      <c r="IM864" s="22" t="s">
        <v>16</v>
      </c>
      <c r="IN864" s="22" t="s">
        <v>16</v>
      </c>
      <c r="IO864" s="22" t="s">
        <v>16</v>
      </c>
      <c r="IP864" s="22" t="s">
        <v>16</v>
      </c>
      <c r="IQ864" s="22" t="s">
        <v>16</v>
      </c>
      <c r="IR864" s="22" t="s">
        <v>16</v>
      </c>
      <c r="IS864" s="22" t="s">
        <v>16</v>
      </c>
      <c r="IT864" s="22" t="s">
        <v>16</v>
      </c>
      <c r="IU864" s="22" t="s">
        <v>16</v>
      </c>
      <c r="IV864" s="22" t="s">
        <v>16</v>
      </c>
      <c r="IW864" s="22" t="s">
        <v>16</v>
      </c>
      <c r="IX864" s="22" t="s">
        <v>16</v>
      </c>
      <c r="IY864" s="22" t="s">
        <v>16</v>
      </c>
      <c r="IZ864" s="22" t="s">
        <v>16</v>
      </c>
      <c r="JA864" s="22" t="s">
        <v>16</v>
      </c>
      <c r="JB864" s="22" t="s">
        <v>16</v>
      </c>
      <c r="JC864" s="22" t="s">
        <v>16</v>
      </c>
      <c r="JD864" s="22" t="s">
        <v>16</v>
      </c>
      <c r="JE864" s="22" t="s">
        <v>16</v>
      </c>
      <c r="JF864" s="22" t="s">
        <v>16</v>
      </c>
      <c r="JG864" s="22" t="s">
        <v>16</v>
      </c>
      <c r="JH864" s="22" t="s">
        <v>16</v>
      </c>
      <c r="JI864" s="22" t="s">
        <v>16</v>
      </c>
      <c r="JJ864" s="22" t="s">
        <v>16</v>
      </c>
      <c r="JK864" s="22" t="s">
        <v>16</v>
      </c>
      <c r="JL864" s="22" t="s">
        <v>16</v>
      </c>
      <c r="JM864" s="22" t="s">
        <v>16</v>
      </c>
      <c r="JN864" s="22" t="s">
        <v>16</v>
      </c>
      <c r="JO864" s="22" t="s">
        <v>16</v>
      </c>
      <c r="JP864" s="22" t="s">
        <v>16</v>
      </c>
      <c r="JQ864" s="22" t="s">
        <v>16</v>
      </c>
      <c r="JR864" s="22" t="s">
        <v>16</v>
      </c>
      <c r="JS864" s="22" t="s">
        <v>16</v>
      </c>
      <c r="JT864" s="22" t="s">
        <v>16</v>
      </c>
      <c r="JU864" s="22" t="s">
        <v>16</v>
      </c>
      <c r="JV864" s="22" t="s">
        <v>16</v>
      </c>
      <c r="JW864" s="22" t="s">
        <v>16</v>
      </c>
      <c r="JX864" s="22" t="s">
        <v>16</v>
      </c>
      <c r="JY864" s="22" t="s">
        <v>16</v>
      </c>
      <c r="JZ864" s="22" t="s">
        <v>16</v>
      </c>
      <c r="KA864" s="22" t="s">
        <v>16</v>
      </c>
      <c r="KB864" s="22" t="s">
        <v>16</v>
      </c>
      <c r="KC864" s="22" t="s">
        <v>16</v>
      </c>
      <c r="KD864" s="22" t="s">
        <v>16</v>
      </c>
      <c r="KE864" s="22" t="s">
        <v>16</v>
      </c>
      <c r="KF864" s="22" t="s">
        <v>16</v>
      </c>
      <c r="KG864" s="22" t="s">
        <v>16</v>
      </c>
      <c r="KH864" s="22" t="s">
        <v>16</v>
      </c>
      <c r="KI864" s="22" t="s">
        <v>16</v>
      </c>
      <c r="KJ864" s="22" t="s">
        <v>16</v>
      </c>
      <c r="KK864" s="22" t="s">
        <v>16</v>
      </c>
      <c r="KL864" s="22" t="s">
        <v>16</v>
      </c>
      <c r="KM864" s="22" t="s">
        <v>16</v>
      </c>
      <c r="KN864" s="22" t="s">
        <v>16</v>
      </c>
      <c r="KO864" s="22" t="s">
        <v>16</v>
      </c>
      <c r="KP864" s="22" t="s">
        <v>16</v>
      </c>
      <c r="KQ864" s="22" t="s">
        <v>16</v>
      </c>
      <c r="KR864" s="22" t="s">
        <v>16</v>
      </c>
      <c r="KS864" s="22" t="s">
        <v>16</v>
      </c>
      <c r="KT864" s="22" t="s">
        <v>16</v>
      </c>
      <c r="KU864" s="22" t="s">
        <v>16</v>
      </c>
      <c r="KV864" s="22" t="s">
        <v>16</v>
      </c>
      <c r="KW864" s="22" t="s">
        <v>16</v>
      </c>
      <c r="KX864" s="22" t="s">
        <v>16</v>
      </c>
      <c r="KY864" s="22" t="s">
        <v>16</v>
      </c>
      <c r="KZ864" s="22" t="s">
        <v>16</v>
      </c>
      <c r="LA864" s="22" t="s">
        <v>16</v>
      </c>
      <c r="LB864" s="22" t="s">
        <v>16</v>
      </c>
      <c r="LC864" s="22" t="s">
        <v>16</v>
      </c>
      <c r="LD864" s="22" t="s">
        <v>16</v>
      </c>
      <c r="LE864" s="22" t="s">
        <v>16</v>
      </c>
      <c r="LF864" s="22" t="s">
        <v>16</v>
      </c>
      <c r="LG864" s="22" t="s">
        <v>16</v>
      </c>
      <c r="LH864" s="22" t="s">
        <v>16</v>
      </c>
      <c r="LI864" s="22" t="s">
        <v>16</v>
      </c>
      <c r="LJ864" s="22" t="s">
        <v>16</v>
      </c>
      <c r="LK864" s="22" t="s">
        <v>16</v>
      </c>
      <c r="LL864" s="22" t="s">
        <v>16</v>
      </c>
      <c r="LM864" s="22" t="s">
        <v>16</v>
      </c>
      <c r="LN864" s="22" t="s">
        <v>16</v>
      </c>
      <c r="LO864" s="22" t="s">
        <v>16</v>
      </c>
      <c r="LP864" s="22" t="s">
        <v>16</v>
      </c>
      <c r="LQ864" s="22" t="s">
        <v>16</v>
      </c>
      <c r="LR864" s="22" t="s">
        <v>16</v>
      </c>
      <c r="LS864" s="22" t="s">
        <v>16</v>
      </c>
      <c r="LT864" s="22" t="s">
        <v>16</v>
      </c>
      <c r="LU864" s="22" t="s">
        <v>16</v>
      </c>
      <c r="LV864" s="22" t="s">
        <v>16</v>
      </c>
      <c r="LW864" s="22" t="s">
        <v>16</v>
      </c>
      <c r="LX864" s="22" t="s">
        <v>16</v>
      </c>
      <c r="LY864" s="22" t="s">
        <v>16</v>
      </c>
      <c r="LZ864" s="22" t="s">
        <v>16</v>
      </c>
      <c r="MA864" s="22" t="s">
        <v>16</v>
      </c>
      <c r="MB864" s="22" t="s">
        <v>16</v>
      </c>
      <c r="MC864" s="22" t="s">
        <v>16</v>
      </c>
      <c r="MD864" s="22" t="s">
        <v>16</v>
      </c>
      <c r="ME864" s="22" t="s">
        <v>16</v>
      </c>
      <c r="MF864" s="22" t="s">
        <v>16</v>
      </c>
      <c r="MG864" s="22" t="s">
        <v>16</v>
      </c>
      <c r="MH864" s="22" t="s">
        <v>16</v>
      </c>
      <c r="MI864" s="22" t="s">
        <v>16</v>
      </c>
      <c r="MJ864" s="22" t="s">
        <v>16</v>
      </c>
      <c r="MK864" s="22" t="s">
        <v>16</v>
      </c>
      <c r="ML864" s="22" t="s">
        <v>16</v>
      </c>
      <c r="MM864" s="22" t="s">
        <v>16</v>
      </c>
      <c r="MN864" s="22" t="s">
        <v>16</v>
      </c>
      <c r="MO864" s="22" t="s">
        <v>16</v>
      </c>
      <c r="MP864" s="22" t="s">
        <v>16</v>
      </c>
      <c r="MQ864" s="22" t="s">
        <v>16</v>
      </c>
      <c r="MR864" s="22" t="s">
        <v>16</v>
      </c>
      <c r="MS864" s="22" t="s">
        <v>16</v>
      </c>
      <c r="MT864" s="22" t="s">
        <v>16</v>
      </c>
      <c r="MU864" s="22" t="s">
        <v>16</v>
      </c>
      <c r="MV864" s="22" t="s">
        <v>16</v>
      </c>
      <c r="MW864" s="22" t="s">
        <v>16</v>
      </c>
      <c r="MX864" s="22" t="s">
        <v>16</v>
      </c>
      <c r="MY864" s="22" t="s">
        <v>16</v>
      </c>
      <c r="MZ864" s="22" t="s">
        <v>16</v>
      </c>
      <c r="NA864" s="22" t="s">
        <v>16</v>
      </c>
      <c r="NB864" s="22" t="s">
        <v>16</v>
      </c>
      <c r="NC864" s="22" t="s">
        <v>16</v>
      </c>
      <c r="ND864" s="22" t="s">
        <v>16</v>
      </c>
      <c r="NE864" s="22" t="s">
        <v>16</v>
      </c>
      <c r="NF864" s="22" t="s">
        <v>16</v>
      </c>
      <c r="NG864" s="22" t="s">
        <v>16</v>
      </c>
      <c r="NH864" s="22" t="s">
        <v>16</v>
      </c>
      <c r="NI864" s="22" t="s">
        <v>16</v>
      </c>
      <c r="NJ864" s="22" t="s">
        <v>16</v>
      </c>
      <c r="NK864" s="22" t="s">
        <v>16</v>
      </c>
      <c r="NL864" s="22" t="s">
        <v>16</v>
      </c>
      <c r="NM864" s="22" t="s">
        <v>16</v>
      </c>
      <c r="NN864" s="22" t="s">
        <v>16</v>
      </c>
      <c r="NO864" s="22" t="s">
        <v>16</v>
      </c>
      <c r="NP864" s="22" t="s">
        <v>16</v>
      </c>
      <c r="NQ864" s="22" t="s">
        <v>16</v>
      </c>
      <c r="NR864" s="22" t="s">
        <v>16</v>
      </c>
      <c r="NS864" s="22" t="s">
        <v>16</v>
      </c>
      <c r="NT864" s="22" t="s">
        <v>16</v>
      </c>
      <c r="NU864" s="22" t="s">
        <v>16</v>
      </c>
      <c r="NV864" s="22" t="s">
        <v>16</v>
      </c>
      <c r="NW864" s="22" t="s">
        <v>16</v>
      </c>
      <c r="NX864" s="22" t="s">
        <v>16</v>
      </c>
      <c r="NY864" s="22" t="s">
        <v>16</v>
      </c>
      <c r="NZ864" s="22" t="s">
        <v>16</v>
      </c>
      <c r="OA864" s="22" t="s">
        <v>16</v>
      </c>
      <c r="OB864" s="22" t="s">
        <v>16</v>
      </c>
      <c r="OC864" s="22" t="s">
        <v>16</v>
      </c>
      <c r="OD864" s="22" t="s">
        <v>16</v>
      </c>
      <c r="OE864" s="22" t="s">
        <v>16</v>
      </c>
      <c r="OF864" s="22" t="s">
        <v>16</v>
      </c>
      <c r="OG864" s="22" t="s">
        <v>16</v>
      </c>
      <c r="OH864" s="22" t="s">
        <v>16</v>
      </c>
      <c r="OI864" s="22" t="s">
        <v>16</v>
      </c>
      <c r="OJ864" s="22" t="s">
        <v>16</v>
      </c>
      <c r="OK864" s="22" t="s">
        <v>16</v>
      </c>
      <c r="OL864" s="22" t="s">
        <v>16</v>
      </c>
      <c r="OM864" s="22" t="s">
        <v>16</v>
      </c>
      <c r="ON864" s="22" t="s">
        <v>16</v>
      </c>
      <c r="OO864" s="22" t="s">
        <v>16</v>
      </c>
      <c r="OP864" s="22" t="s">
        <v>16</v>
      </c>
      <c r="OQ864" s="22" t="s">
        <v>16</v>
      </c>
      <c r="OR864" s="22" t="s">
        <v>16</v>
      </c>
      <c r="OS864" s="22" t="s">
        <v>16</v>
      </c>
      <c r="OT864" s="22" t="s">
        <v>16</v>
      </c>
      <c r="OU864" s="22" t="s">
        <v>16</v>
      </c>
      <c r="OV864" s="22" t="s">
        <v>16</v>
      </c>
      <c r="OW864" s="22" t="s">
        <v>16</v>
      </c>
      <c r="OX864" s="22" t="s">
        <v>16</v>
      </c>
      <c r="OY864" s="22" t="s">
        <v>16</v>
      </c>
      <c r="OZ864" s="22" t="s">
        <v>16</v>
      </c>
      <c r="PA864" s="22" t="s">
        <v>16</v>
      </c>
      <c r="PB864" s="22" t="s">
        <v>16</v>
      </c>
      <c r="PC864" s="22" t="s">
        <v>16</v>
      </c>
      <c r="PD864" s="22" t="s">
        <v>16</v>
      </c>
      <c r="PE864" s="22" t="s">
        <v>16</v>
      </c>
      <c r="PF864" s="22" t="s">
        <v>16</v>
      </c>
      <c r="PG864" s="22" t="s">
        <v>16</v>
      </c>
      <c r="PH864" s="22" t="s">
        <v>16</v>
      </c>
      <c r="PI864" s="22" t="s">
        <v>16</v>
      </c>
      <c r="PJ864" s="22" t="s">
        <v>16</v>
      </c>
      <c r="PK864" s="22" t="s">
        <v>16</v>
      </c>
      <c r="PL864" s="22" t="s">
        <v>16</v>
      </c>
      <c r="PM864" s="22" t="s">
        <v>16</v>
      </c>
      <c r="PN864" s="22" t="s">
        <v>16</v>
      </c>
      <c r="PO864" s="22" t="s">
        <v>16</v>
      </c>
      <c r="PP864" s="22" t="s">
        <v>16</v>
      </c>
      <c r="PQ864" s="22" t="s">
        <v>16</v>
      </c>
      <c r="PR864" s="22" t="s">
        <v>16</v>
      </c>
      <c r="PS864" s="22" t="s">
        <v>16</v>
      </c>
      <c r="PT864" s="22" t="s">
        <v>16</v>
      </c>
      <c r="PU864" s="22" t="s">
        <v>16</v>
      </c>
      <c r="PV864" s="22" t="s">
        <v>16</v>
      </c>
      <c r="PW864" s="22" t="s">
        <v>16</v>
      </c>
      <c r="PX864" s="22" t="s">
        <v>16</v>
      </c>
      <c r="PY864" s="22" t="s">
        <v>16</v>
      </c>
      <c r="PZ864" s="22" t="s">
        <v>16</v>
      </c>
      <c r="QA864" s="22" t="s">
        <v>16</v>
      </c>
      <c r="QB864" s="22" t="s">
        <v>16</v>
      </c>
      <c r="QC864" s="22" t="s">
        <v>16</v>
      </c>
      <c r="QD864" s="22" t="s">
        <v>16</v>
      </c>
      <c r="QE864" s="22" t="s">
        <v>16</v>
      </c>
      <c r="QF864" s="22" t="s">
        <v>16</v>
      </c>
      <c r="QG864" s="22" t="s">
        <v>16</v>
      </c>
      <c r="QH864" s="22" t="s">
        <v>16</v>
      </c>
      <c r="QI864" s="22" t="s">
        <v>16</v>
      </c>
      <c r="QJ864" s="22" t="s">
        <v>16</v>
      </c>
      <c r="QK864" s="22" t="s">
        <v>16</v>
      </c>
      <c r="QL864" s="22" t="s">
        <v>16</v>
      </c>
      <c r="QM864" s="22" t="s">
        <v>16</v>
      </c>
      <c r="QN864" s="22" t="s">
        <v>16</v>
      </c>
      <c r="QO864" s="22" t="s">
        <v>16</v>
      </c>
      <c r="QP864" s="22" t="s">
        <v>16</v>
      </c>
      <c r="QQ864" s="22" t="s">
        <v>16</v>
      </c>
      <c r="QR864" s="22" t="s">
        <v>16</v>
      </c>
      <c r="QS864" s="22" t="s">
        <v>16</v>
      </c>
      <c r="QT864" s="22" t="s">
        <v>16</v>
      </c>
      <c r="QU864" s="22" t="s">
        <v>16</v>
      </c>
      <c r="QV864" s="22" t="s">
        <v>16</v>
      </c>
      <c r="QW864" s="22" t="s">
        <v>16</v>
      </c>
      <c r="QX864" s="22" t="s">
        <v>16</v>
      </c>
      <c r="QY864" s="22" t="s">
        <v>16</v>
      </c>
      <c r="QZ864" s="22" t="s">
        <v>16</v>
      </c>
      <c r="RA864" s="22" t="s">
        <v>16</v>
      </c>
      <c r="RB864" s="22" t="s">
        <v>16</v>
      </c>
      <c r="RC864" s="22" t="s">
        <v>16</v>
      </c>
      <c r="RD864" s="22" t="s">
        <v>16</v>
      </c>
      <c r="RE864" s="22" t="s">
        <v>16</v>
      </c>
      <c r="RF864" s="22" t="s">
        <v>16</v>
      </c>
      <c r="RG864" s="22" t="s">
        <v>16</v>
      </c>
      <c r="RH864" s="22" t="s">
        <v>16</v>
      </c>
      <c r="RI864" s="22" t="s">
        <v>16</v>
      </c>
      <c r="RJ864" s="22" t="s">
        <v>16</v>
      </c>
      <c r="RK864" s="22" t="s">
        <v>16</v>
      </c>
      <c r="RL864" s="22" t="s">
        <v>16</v>
      </c>
      <c r="RM864" s="22" t="s">
        <v>16</v>
      </c>
      <c r="RN864" s="22" t="s">
        <v>16</v>
      </c>
      <c r="RO864" s="22" t="s">
        <v>16</v>
      </c>
      <c r="RP864" s="22" t="s">
        <v>16</v>
      </c>
      <c r="RQ864" s="22" t="s">
        <v>16</v>
      </c>
      <c r="RR864" s="22" t="s">
        <v>16</v>
      </c>
      <c r="RS864" s="22" t="s">
        <v>16</v>
      </c>
      <c r="RT864" s="22" t="s">
        <v>16</v>
      </c>
      <c r="RU864" s="22" t="s">
        <v>16</v>
      </c>
      <c r="RV864" s="22" t="s">
        <v>16</v>
      </c>
      <c r="RW864" s="22" t="s">
        <v>16</v>
      </c>
      <c r="RX864" s="22" t="s">
        <v>16</v>
      </c>
      <c r="RY864" s="22" t="s">
        <v>16</v>
      </c>
      <c r="RZ864" s="22" t="s">
        <v>16</v>
      </c>
      <c r="SA864" s="22" t="s">
        <v>16</v>
      </c>
      <c r="SB864" s="22" t="s">
        <v>16</v>
      </c>
      <c r="SC864" s="22" t="s">
        <v>16</v>
      </c>
      <c r="SD864" s="22" t="s">
        <v>16</v>
      </c>
      <c r="SE864" s="22" t="s">
        <v>16</v>
      </c>
      <c r="SF864" s="22" t="s">
        <v>16</v>
      </c>
      <c r="SG864" s="22" t="s">
        <v>16</v>
      </c>
      <c r="SH864" s="22" t="s">
        <v>16</v>
      </c>
      <c r="SI864" s="22" t="s">
        <v>16</v>
      </c>
      <c r="SJ864" s="22" t="s">
        <v>16</v>
      </c>
      <c r="SK864" s="22" t="s">
        <v>16</v>
      </c>
      <c r="SL864" s="22" t="s">
        <v>16</v>
      </c>
      <c r="SM864" s="22" t="s">
        <v>16</v>
      </c>
      <c r="SN864" s="22" t="s">
        <v>16</v>
      </c>
      <c r="SO864" s="22" t="s">
        <v>16</v>
      </c>
      <c r="SP864" s="22" t="s">
        <v>16</v>
      </c>
      <c r="SQ864" s="22" t="s">
        <v>16</v>
      </c>
      <c r="SR864" s="22" t="s">
        <v>16</v>
      </c>
      <c r="SS864" s="22" t="s">
        <v>16</v>
      </c>
      <c r="ST864" s="22" t="s">
        <v>16</v>
      </c>
      <c r="SU864" s="22" t="s">
        <v>16</v>
      </c>
      <c r="SV864" s="22" t="s">
        <v>16</v>
      </c>
      <c r="SW864" s="22" t="s">
        <v>16</v>
      </c>
      <c r="SX864" s="22" t="s">
        <v>16</v>
      </c>
      <c r="SY864" s="22" t="s">
        <v>16</v>
      </c>
      <c r="SZ864" s="22" t="s">
        <v>16</v>
      </c>
      <c r="TA864" s="22" t="s">
        <v>16</v>
      </c>
      <c r="TB864" s="22" t="s">
        <v>16</v>
      </c>
      <c r="TC864" s="22" t="s">
        <v>16</v>
      </c>
      <c r="TD864" s="22" t="s">
        <v>16</v>
      </c>
      <c r="TE864" s="22" t="s">
        <v>16</v>
      </c>
      <c r="TF864" s="22" t="s">
        <v>16</v>
      </c>
      <c r="TG864" s="22" t="s">
        <v>16</v>
      </c>
      <c r="TH864" s="22" t="s">
        <v>16</v>
      </c>
      <c r="TI864" s="22" t="s">
        <v>16</v>
      </c>
      <c r="TJ864" s="22" t="s">
        <v>16</v>
      </c>
      <c r="TK864" s="22" t="s">
        <v>16</v>
      </c>
      <c r="TL864" s="22" t="s">
        <v>16</v>
      </c>
      <c r="TM864" s="22" t="s">
        <v>16</v>
      </c>
      <c r="TN864" s="22" t="s">
        <v>16</v>
      </c>
      <c r="TO864" s="22" t="s">
        <v>16</v>
      </c>
      <c r="TP864" s="22" t="s">
        <v>16</v>
      </c>
      <c r="TQ864" s="22" t="s">
        <v>16</v>
      </c>
      <c r="TR864" s="22" t="s">
        <v>16</v>
      </c>
      <c r="TS864" s="22" t="s">
        <v>16</v>
      </c>
      <c r="TT864" s="22" t="s">
        <v>16</v>
      </c>
      <c r="TU864" s="22" t="s">
        <v>16</v>
      </c>
      <c r="TV864" s="22" t="s">
        <v>16</v>
      </c>
      <c r="TW864" s="22" t="s">
        <v>16</v>
      </c>
      <c r="TX864" s="22" t="s">
        <v>16</v>
      </c>
      <c r="TY864" s="22" t="s">
        <v>16</v>
      </c>
      <c r="TZ864" s="22" t="s">
        <v>16</v>
      </c>
      <c r="UA864" s="22" t="s">
        <v>16</v>
      </c>
      <c r="UB864" s="22" t="s">
        <v>16</v>
      </c>
      <c r="UC864" s="22" t="s">
        <v>16</v>
      </c>
      <c r="UD864" s="22" t="s">
        <v>16</v>
      </c>
      <c r="UE864" s="22" t="s">
        <v>16</v>
      </c>
      <c r="UF864" s="22" t="s">
        <v>16</v>
      </c>
      <c r="UG864" s="22" t="s">
        <v>16</v>
      </c>
      <c r="UH864" s="22" t="s">
        <v>16</v>
      </c>
      <c r="UI864" s="22" t="s">
        <v>16</v>
      </c>
      <c r="UJ864" s="22" t="s">
        <v>16</v>
      </c>
      <c r="UK864" s="22" t="s">
        <v>16</v>
      </c>
      <c r="UL864" s="22" t="s">
        <v>16</v>
      </c>
      <c r="UM864" s="22" t="s">
        <v>16</v>
      </c>
      <c r="UN864" s="22" t="s">
        <v>16</v>
      </c>
      <c r="UO864" s="22" t="s">
        <v>16</v>
      </c>
      <c r="UP864" s="22" t="s">
        <v>16</v>
      </c>
      <c r="UQ864" s="22" t="s">
        <v>16</v>
      </c>
      <c r="UR864" s="22" t="s">
        <v>16</v>
      </c>
      <c r="US864" s="22" t="s">
        <v>16</v>
      </c>
      <c r="UT864" s="22" t="s">
        <v>16</v>
      </c>
      <c r="UU864" s="22" t="s">
        <v>16</v>
      </c>
      <c r="UV864" s="22" t="s">
        <v>16</v>
      </c>
      <c r="UW864" s="22" t="s">
        <v>16</v>
      </c>
      <c r="UX864" s="22" t="s">
        <v>16</v>
      </c>
      <c r="UY864" s="22" t="s">
        <v>16</v>
      </c>
      <c r="UZ864" s="22" t="s">
        <v>16</v>
      </c>
      <c r="VA864" s="22" t="s">
        <v>16</v>
      </c>
      <c r="VB864" s="22" t="s">
        <v>16</v>
      </c>
      <c r="VC864" s="22" t="s">
        <v>16</v>
      </c>
      <c r="VD864" s="22" t="s">
        <v>16</v>
      </c>
      <c r="VE864" s="22" t="s">
        <v>16</v>
      </c>
      <c r="VF864" s="22" t="s">
        <v>16</v>
      </c>
      <c r="VG864" s="22" t="s">
        <v>16</v>
      </c>
      <c r="VH864" s="22" t="s">
        <v>16</v>
      </c>
      <c r="VI864" s="22" t="s">
        <v>16</v>
      </c>
      <c r="VJ864" s="22" t="s">
        <v>16</v>
      </c>
      <c r="VK864" s="22" t="s">
        <v>16</v>
      </c>
      <c r="VL864" s="22" t="s">
        <v>16</v>
      </c>
      <c r="VM864" s="22" t="s">
        <v>16</v>
      </c>
      <c r="VN864" s="22" t="s">
        <v>16</v>
      </c>
      <c r="VO864" s="22" t="s">
        <v>16</v>
      </c>
      <c r="VP864" s="22" t="s">
        <v>16</v>
      </c>
      <c r="VQ864" s="22" t="s">
        <v>16</v>
      </c>
      <c r="VR864" s="22" t="s">
        <v>16</v>
      </c>
      <c r="VS864" s="22" t="s">
        <v>16</v>
      </c>
      <c r="VT864" s="22" t="s">
        <v>16</v>
      </c>
      <c r="VU864" s="22" t="s">
        <v>16</v>
      </c>
      <c r="VV864" s="22" t="s">
        <v>16</v>
      </c>
      <c r="VW864" s="22" t="s">
        <v>16</v>
      </c>
      <c r="VX864" s="22" t="s">
        <v>16</v>
      </c>
      <c r="VY864" s="22" t="s">
        <v>16</v>
      </c>
      <c r="VZ864" s="22" t="s">
        <v>16</v>
      </c>
      <c r="WA864" s="22" t="s">
        <v>16</v>
      </c>
      <c r="WB864" s="22" t="s">
        <v>16</v>
      </c>
      <c r="WC864" s="22" t="s">
        <v>16</v>
      </c>
      <c r="WD864" s="22" t="s">
        <v>16</v>
      </c>
      <c r="WE864" s="22" t="s">
        <v>16</v>
      </c>
      <c r="WF864" s="22" t="s">
        <v>16</v>
      </c>
      <c r="WG864" s="22" t="s">
        <v>16</v>
      </c>
      <c r="WH864" s="22" t="s">
        <v>16</v>
      </c>
      <c r="WI864" s="22" t="s">
        <v>16</v>
      </c>
      <c r="WJ864" s="22" t="s">
        <v>16</v>
      </c>
      <c r="WK864" s="22" t="s">
        <v>16</v>
      </c>
      <c r="WL864" s="22" t="s">
        <v>16</v>
      </c>
      <c r="WM864" s="22" t="s">
        <v>16</v>
      </c>
      <c r="WN864" s="22" t="s">
        <v>16</v>
      </c>
      <c r="WO864" s="22" t="s">
        <v>16</v>
      </c>
      <c r="WP864" s="22" t="s">
        <v>16</v>
      </c>
      <c r="WQ864" s="22" t="s">
        <v>16</v>
      </c>
      <c r="WR864" s="22" t="s">
        <v>16</v>
      </c>
      <c r="WS864" s="22" t="s">
        <v>16</v>
      </c>
      <c r="WT864" s="22" t="s">
        <v>16</v>
      </c>
      <c r="WU864" s="22" t="s">
        <v>16</v>
      </c>
      <c r="WV864" s="22" t="s">
        <v>16</v>
      </c>
      <c r="WW864" s="22" t="s">
        <v>16</v>
      </c>
      <c r="WX864" s="22" t="s">
        <v>16</v>
      </c>
      <c r="WY864" s="22" t="s">
        <v>16</v>
      </c>
      <c r="WZ864" s="22" t="s">
        <v>16</v>
      </c>
      <c r="XA864" s="22" t="s">
        <v>16</v>
      </c>
      <c r="XB864" s="22" t="s">
        <v>16</v>
      </c>
      <c r="XC864" s="22" t="s">
        <v>16</v>
      </c>
      <c r="XD864" s="22" t="s">
        <v>16</v>
      </c>
      <c r="XE864" s="22" t="s">
        <v>16</v>
      </c>
      <c r="XF864" s="22" t="s">
        <v>16</v>
      </c>
      <c r="XG864" s="22" t="s">
        <v>16</v>
      </c>
      <c r="XH864" s="22" t="s">
        <v>16</v>
      </c>
      <c r="XI864" s="22" t="s">
        <v>16</v>
      </c>
      <c r="XJ864" s="22" t="s">
        <v>16</v>
      </c>
      <c r="XK864" s="22" t="s">
        <v>16</v>
      </c>
      <c r="XL864" s="22" t="s">
        <v>16</v>
      </c>
      <c r="XM864" s="22" t="s">
        <v>16</v>
      </c>
      <c r="XN864" s="22" t="s">
        <v>16</v>
      </c>
      <c r="XO864" s="22" t="s">
        <v>16</v>
      </c>
      <c r="XP864" s="22" t="s">
        <v>16</v>
      </c>
      <c r="XQ864" s="22" t="s">
        <v>16</v>
      </c>
      <c r="XR864" s="22" t="s">
        <v>16</v>
      </c>
      <c r="XS864" s="22" t="s">
        <v>16</v>
      </c>
      <c r="XT864" s="22" t="s">
        <v>16</v>
      </c>
      <c r="XU864" s="22" t="s">
        <v>16</v>
      </c>
      <c r="XV864" s="22" t="s">
        <v>16</v>
      </c>
      <c r="XW864" s="22" t="s">
        <v>16</v>
      </c>
      <c r="XX864" s="22" t="s">
        <v>16</v>
      </c>
      <c r="XY864" s="22" t="s">
        <v>16</v>
      </c>
      <c r="XZ864" s="22" t="s">
        <v>16</v>
      </c>
      <c r="YA864" s="22" t="s">
        <v>16</v>
      </c>
      <c r="YB864" s="22" t="s">
        <v>16</v>
      </c>
      <c r="YC864" s="22" t="s">
        <v>16</v>
      </c>
      <c r="YD864" s="22" t="s">
        <v>16</v>
      </c>
      <c r="YE864" s="22" t="s">
        <v>16</v>
      </c>
      <c r="YF864" s="22" t="s">
        <v>16</v>
      </c>
      <c r="YG864" s="22" t="s">
        <v>16</v>
      </c>
      <c r="YH864" s="22" t="s">
        <v>16</v>
      </c>
      <c r="YI864" s="22" t="s">
        <v>16</v>
      </c>
      <c r="YJ864" s="22" t="s">
        <v>16</v>
      </c>
      <c r="YK864" s="22" t="s">
        <v>16</v>
      </c>
      <c r="YL864" s="22" t="s">
        <v>16</v>
      </c>
      <c r="YM864" s="22" t="s">
        <v>16</v>
      </c>
      <c r="YN864" s="22" t="s">
        <v>16</v>
      </c>
      <c r="YO864" s="22" t="s">
        <v>16</v>
      </c>
      <c r="YP864" s="22" t="s">
        <v>16</v>
      </c>
      <c r="YQ864" s="22" t="s">
        <v>16</v>
      </c>
      <c r="YR864" s="22" t="s">
        <v>16</v>
      </c>
      <c r="YS864" s="22" t="s">
        <v>16</v>
      </c>
      <c r="YT864" s="22" t="s">
        <v>16</v>
      </c>
      <c r="YU864" s="22" t="s">
        <v>16</v>
      </c>
      <c r="YV864" s="22" t="s">
        <v>16</v>
      </c>
      <c r="YW864" s="22" t="s">
        <v>16</v>
      </c>
      <c r="YX864" s="22" t="s">
        <v>16</v>
      </c>
      <c r="YY864" s="22" t="s">
        <v>16</v>
      </c>
      <c r="YZ864" s="22" t="s">
        <v>16</v>
      </c>
      <c r="ZA864" s="22" t="s">
        <v>16</v>
      </c>
      <c r="ZB864" s="22" t="s">
        <v>16</v>
      </c>
      <c r="ZC864" s="22" t="s">
        <v>16</v>
      </c>
      <c r="ZD864" s="22" t="s">
        <v>16</v>
      </c>
      <c r="ZE864" s="22" t="s">
        <v>16</v>
      </c>
      <c r="ZF864" s="22" t="s">
        <v>16</v>
      </c>
      <c r="ZG864" s="22" t="s">
        <v>16</v>
      </c>
      <c r="ZH864" s="22" t="s">
        <v>16</v>
      </c>
      <c r="ZI864" s="22" t="s">
        <v>16</v>
      </c>
      <c r="ZJ864" s="22" t="s">
        <v>16</v>
      </c>
      <c r="ZK864" s="22" t="s">
        <v>16</v>
      </c>
      <c r="ZL864" s="22" t="s">
        <v>16</v>
      </c>
      <c r="ZM864" s="22" t="s">
        <v>16</v>
      </c>
      <c r="ZN864" s="22" t="s">
        <v>16</v>
      </c>
      <c r="ZO864" s="22" t="s">
        <v>16</v>
      </c>
      <c r="ZP864" s="22" t="s">
        <v>16</v>
      </c>
      <c r="ZQ864" s="22" t="s">
        <v>16</v>
      </c>
      <c r="ZR864" s="22" t="s">
        <v>16</v>
      </c>
      <c r="ZS864" s="22" t="s">
        <v>16</v>
      </c>
      <c r="ZT864" s="22" t="s">
        <v>16</v>
      </c>
      <c r="ZU864" s="22" t="s">
        <v>16</v>
      </c>
      <c r="ZV864" s="22" t="s">
        <v>16</v>
      </c>
      <c r="ZW864" s="22" t="s">
        <v>16</v>
      </c>
      <c r="ZX864" s="22" t="s">
        <v>16</v>
      </c>
      <c r="ZY864" s="22" t="s">
        <v>16</v>
      </c>
      <c r="ZZ864" s="22" t="s">
        <v>16</v>
      </c>
      <c r="AAA864" s="22" t="s">
        <v>16</v>
      </c>
      <c r="AAB864" s="22" t="s">
        <v>16</v>
      </c>
      <c r="AAC864" s="22" t="s">
        <v>16</v>
      </c>
      <c r="AAD864" s="22" t="s">
        <v>16</v>
      </c>
      <c r="AAE864" s="22" t="s">
        <v>16</v>
      </c>
      <c r="AAF864" s="22" t="s">
        <v>16</v>
      </c>
      <c r="AAG864" s="22" t="s">
        <v>16</v>
      </c>
      <c r="AAH864" s="22" t="s">
        <v>16</v>
      </c>
      <c r="AAI864" s="22" t="s">
        <v>16</v>
      </c>
      <c r="AAJ864" s="22" t="s">
        <v>16</v>
      </c>
      <c r="AAK864" s="22" t="s">
        <v>16</v>
      </c>
      <c r="AAL864" s="22" t="s">
        <v>16</v>
      </c>
      <c r="AAM864" s="22" t="s">
        <v>16</v>
      </c>
      <c r="AAN864" s="22" t="s">
        <v>16</v>
      </c>
      <c r="AAO864" s="22" t="s">
        <v>16</v>
      </c>
      <c r="AAP864" s="22" t="s">
        <v>16</v>
      </c>
      <c r="AAQ864" s="22" t="s">
        <v>16</v>
      </c>
      <c r="AAR864" s="22" t="s">
        <v>16</v>
      </c>
      <c r="AAS864" s="22" t="s">
        <v>16</v>
      </c>
      <c r="AAT864" s="22" t="s">
        <v>16</v>
      </c>
      <c r="AAU864" s="22" t="s">
        <v>16</v>
      </c>
      <c r="AAV864" s="22" t="s">
        <v>16</v>
      </c>
      <c r="AAW864" s="22" t="s">
        <v>16</v>
      </c>
      <c r="AAX864" s="22" t="s">
        <v>16</v>
      </c>
      <c r="AAY864" s="22" t="s">
        <v>16</v>
      </c>
      <c r="AAZ864" s="22" t="s">
        <v>16</v>
      </c>
      <c r="ABA864" s="22" t="s">
        <v>16</v>
      </c>
      <c r="ABB864" s="22" t="s">
        <v>16</v>
      </c>
      <c r="ABC864" s="22" t="s">
        <v>16</v>
      </c>
      <c r="ABD864" s="22" t="s">
        <v>16</v>
      </c>
      <c r="ABE864" s="22" t="s">
        <v>16</v>
      </c>
      <c r="ABF864" s="22" t="s">
        <v>16</v>
      </c>
      <c r="ABG864" s="22" t="s">
        <v>16</v>
      </c>
      <c r="ABH864" s="22" t="s">
        <v>16</v>
      </c>
      <c r="ABI864" s="22" t="s">
        <v>16</v>
      </c>
      <c r="ABJ864" s="22" t="s">
        <v>16</v>
      </c>
      <c r="ABK864" s="22" t="s">
        <v>16</v>
      </c>
      <c r="ABL864" s="22" t="s">
        <v>16</v>
      </c>
      <c r="ABM864" s="22" t="s">
        <v>16</v>
      </c>
      <c r="ABN864" s="22" t="s">
        <v>16</v>
      </c>
      <c r="ABO864" s="22" t="s">
        <v>16</v>
      </c>
      <c r="ABP864" s="22" t="s">
        <v>16</v>
      </c>
      <c r="ABQ864" s="22" t="s">
        <v>16</v>
      </c>
      <c r="ABR864" s="22" t="s">
        <v>16</v>
      </c>
      <c r="ABS864" s="22" t="s">
        <v>16</v>
      </c>
      <c r="ABT864" s="22" t="s">
        <v>16</v>
      </c>
      <c r="ABU864" s="22" t="s">
        <v>16</v>
      </c>
      <c r="ABV864" s="22" t="s">
        <v>16</v>
      </c>
      <c r="ABW864" s="22" t="s">
        <v>16</v>
      </c>
      <c r="ABX864" s="22" t="s">
        <v>16</v>
      </c>
      <c r="ABY864" s="22" t="s">
        <v>16</v>
      </c>
      <c r="ABZ864" s="22" t="s">
        <v>16</v>
      </c>
      <c r="ACA864" s="22" t="s">
        <v>16</v>
      </c>
      <c r="ACB864" s="22" t="s">
        <v>16</v>
      </c>
      <c r="ACC864" s="22" t="s">
        <v>16</v>
      </c>
      <c r="ACD864" s="22" t="s">
        <v>16</v>
      </c>
      <c r="ACE864" s="22" t="s">
        <v>16</v>
      </c>
      <c r="ACF864" s="22" t="s">
        <v>16</v>
      </c>
      <c r="ACG864" s="22" t="s">
        <v>16</v>
      </c>
      <c r="ACH864" s="22" t="s">
        <v>16</v>
      </c>
      <c r="ACI864" s="22" t="s">
        <v>16</v>
      </c>
      <c r="ACJ864" s="22" t="s">
        <v>16</v>
      </c>
      <c r="ACK864" s="22" t="s">
        <v>16</v>
      </c>
      <c r="ACL864" s="22" t="s">
        <v>16</v>
      </c>
      <c r="ACM864" s="22" t="s">
        <v>16</v>
      </c>
      <c r="ACN864" s="22" t="s">
        <v>16</v>
      </c>
      <c r="ACO864" s="22" t="s">
        <v>16</v>
      </c>
      <c r="ACP864" s="22" t="s">
        <v>16</v>
      </c>
      <c r="ACQ864" s="22" t="s">
        <v>16</v>
      </c>
      <c r="ACR864" s="22" t="s">
        <v>16</v>
      </c>
      <c r="ACS864" s="22" t="s">
        <v>16</v>
      </c>
      <c r="ACT864" s="22" t="s">
        <v>16</v>
      </c>
      <c r="ACU864" s="22" t="s">
        <v>16</v>
      </c>
      <c r="ACV864" s="22" t="s">
        <v>16</v>
      </c>
      <c r="ACW864" s="22" t="s">
        <v>16</v>
      </c>
      <c r="ACX864" s="22" t="s">
        <v>16</v>
      </c>
      <c r="ACY864" s="22" t="s">
        <v>16</v>
      </c>
      <c r="ACZ864" s="22" t="s">
        <v>16</v>
      </c>
      <c r="ADA864" s="22" t="s">
        <v>16</v>
      </c>
      <c r="ADB864" s="22" t="s">
        <v>16</v>
      </c>
      <c r="ADC864" s="22" t="s">
        <v>16</v>
      </c>
      <c r="ADD864" s="22" t="s">
        <v>16</v>
      </c>
      <c r="ADE864" s="22" t="s">
        <v>16</v>
      </c>
      <c r="ADF864" s="22" t="s">
        <v>16</v>
      </c>
      <c r="ADG864" s="22" t="s">
        <v>16</v>
      </c>
      <c r="ADH864" s="22" t="s">
        <v>16</v>
      </c>
      <c r="ADI864" s="22" t="s">
        <v>16</v>
      </c>
      <c r="ADJ864" s="22" t="s">
        <v>16</v>
      </c>
      <c r="ADK864" s="22" t="s">
        <v>16</v>
      </c>
      <c r="ADL864" s="22" t="s">
        <v>16</v>
      </c>
      <c r="ADM864" s="22" t="s">
        <v>16</v>
      </c>
      <c r="ADN864" s="22" t="s">
        <v>16</v>
      </c>
      <c r="ADO864" s="22" t="s">
        <v>16</v>
      </c>
      <c r="ADP864" s="22" t="s">
        <v>16</v>
      </c>
      <c r="ADQ864" s="22" t="s">
        <v>16</v>
      </c>
      <c r="ADR864" s="22" t="s">
        <v>16</v>
      </c>
      <c r="ADS864" s="22" t="s">
        <v>16</v>
      </c>
      <c r="ADT864" s="22" t="s">
        <v>16</v>
      </c>
      <c r="ADU864" s="22" t="s">
        <v>16</v>
      </c>
      <c r="ADV864" s="22" t="s">
        <v>16</v>
      </c>
      <c r="ADW864" s="22" t="s">
        <v>16</v>
      </c>
      <c r="ADX864" s="22" t="s">
        <v>16</v>
      </c>
      <c r="ADY864" s="22" t="s">
        <v>16</v>
      </c>
      <c r="ADZ864" s="22" t="s">
        <v>16</v>
      </c>
      <c r="AEA864" s="22" t="s">
        <v>16</v>
      </c>
      <c r="AEB864" s="22" t="s">
        <v>16</v>
      </c>
      <c r="AEC864" s="22" t="s">
        <v>16</v>
      </c>
      <c r="AED864" s="22" t="s">
        <v>16</v>
      </c>
      <c r="AEE864" s="22" t="s">
        <v>16</v>
      </c>
      <c r="AEF864" s="22" t="s">
        <v>16</v>
      </c>
      <c r="AEG864" s="22" t="s">
        <v>16</v>
      </c>
      <c r="AEH864" s="22" t="s">
        <v>16</v>
      </c>
      <c r="AEI864" s="22" t="s">
        <v>16</v>
      </c>
      <c r="AEJ864" s="22" t="s">
        <v>16</v>
      </c>
      <c r="AEK864" s="22" t="s">
        <v>16</v>
      </c>
      <c r="AEL864" s="22" t="s">
        <v>16</v>
      </c>
      <c r="AEM864" s="22" t="s">
        <v>16</v>
      </c>
      <c r="AEN864" s="22" t="s">
        <v>16</v>
      </c>
      <c r="AEO864" s="22" t="s">
        <v>16</v>
      </c>
      <c r="AEP864" s="22" t="s">
        <v>16</v>
      </c>
      <c r="AEQ864" s="22" t="s">
        <v>16</v>
      </c>
      <c r="AER864" s="22" t="s">
        <v>16</v>
      </c>
      <c r="AES864" s="22" t="s">
        <v>16</v>
      </c>
      <c r="AET864" s="22" t="s">
        <v>16</v>
      </c>
      <c r="AEU864" s="22" t="s">
        <v>16</v>
      </c>
      <c r="AEV864" s="22" t="s">
        <v>16</v>
      </c>
      <c r="AEW864" s="22" t="s">
        <v>16</v>
      </c>
      <c r="AEX864" s="22" t="s">
        <v>16</v>
      </c>
      <c r="AEY864" s="22" t="s">
        <v>16</v>
      </c>
      <c r="AEZ864" s="22" t="s">
        <v>16</v>
      </c>
      <c r="AFA864" s="22" t="s">
        <v>16</v>
      </c>
      <c r="AFB864" s="22" t="s">
        <v>16</v>
      </c>
      <c r="AFC864" s="22" t="s">
        <v>16</v>
      </c>
      <c r="AFD864" s="22" t="s">
        <v>16</v>
      </c>
      <c r="AFE864" s="22" t="s">
        <v>16</v>
      </c>
      <c r="AFF864" s="22" t="s">
        <v>16</v>
      </c>
      <c r="AFG864" s="22" t="s">
        <v>16</v>
      </c>
      <c r="AFH864" s="22" t="s">
        <v>16</v>
      </c>
      <c r="AFI864" s="22" t="s">
        <v>16</v>
      </c>
      <c r="AFJ864" s="22" t="s">
        <v>16</v>
      </c>
      <c r="AFK864" s="22" t="s">
        <v>16</v>
      </c>
      <c r="AFL864" s="22" t="s">
        <v>16</v>
      </c>
      <c r="AFM864" s="22" t="s">
        <v>16</v>
      </c>
      <c r="AFN864" s="22" t="s">
        <v>16</v>
      </c>
      <c r="AFO864" s="22" t="s">
        <v>16</v>
      </c>
      <c r="AFP864" s="22" t="s">
        <v>16</v>
      </c>
      <c r="AFQ864" s="22" t="s">
        <v>16</v>
      </c>
      <c r="AFR864" s="22" t="s">
        <v>16</v>
      </c>
      <c r="AFS864" s="22" t="s">
        <v>16</v>
      </c>
      <c r="AFT864" s="22" t="s">
        <v>16</v>
      </c>
      <c r="AFU864" s="22" t="s">
        <v>16</v>
      </c>
      <c r="AFV864" s="22" t="s">
        <v>16</v>
      </c>
      <c r="AFW864" s="22" t="s">
        <v>16</v>
      </c>
      <c r="AFX864" s="22" t="s">
        <v>16</v>
      </c>
      <c r="AFY864" s="22" t="s">
        <v>16</v>
      </c>
      <c r="AFZ864" s="22" t="s">
        <v>16</v>
      </c>
      <c r="AGA864" s="22" t="s">
        <v>16</v>
      </c>
      <c r="AGB864" s="22" t="s">
        <v>16</v>
      </c>
      <c r="AGC864" s="22" t="s">
        <v>16</v>
      </c>
      <c r="AGD864" s="22" t="s">
        <v>16</v>
      </c>
      <c r="AGE864" s="22" t="s">
        <v>16</v>
      </c>
      <c r="AGF864" s="22" t="s">
        <v>16</v>
      </c>
      <c r="AGG864" s="22" t="s">
        <v>16</v>
      </c>
      <c r="AGH864" s="22" t="s">
        <v>16</v>
      </c>
      <c r="AGI864" s="22" t="s">
        <v>16</v>
      </c>
      <c r="AGJ864" s="22" t="s">
        <v>16</v>
      </c>
      <c r="AGK864" s="22" t="s">
        <v>16</v>
      </c>
      <c r="AGL864" s="22" t="s">
        <v>16</v>
      </c>
      <c r="AGM864" s="22" t="s">
        <v>16</v>
      </c>
      <c r="AGN864" s="22" t="s">
        <v>16</v>
      </c>
      <c r="AGO864" s="22" t="s">
        <v>16</v>
      </c>
      <c r="AGP864" s="22" t="s">
        <v>16</v>
      </c>
      <c r="AGQ864" s="22" t="s">
        <v>16</v>
      </c>
      <c r="AGR864" s="22" t="s">
        <v>16</v>
      </c>
      <c r="AGS864" s="22" t="s">
        <v>16</v>
      </c>
      <c r="AGT864" s="22" t="s">
        <v>16</v>
      </c>
      <c r="AGU864" s="22" t="s">
        <v>16</v>
      </c>
      <c r="AGV864" s="22" t="s">
        <v>16</v>
      </c>
      <c r="AGW864" s="22" t="s">
        <v>16</v>
      </c>
      <c r="AGX864" s="22" t="s">
        <v>16</v>
      </c>
      <c r="AGY864" s="22" t="s">
        <v>16</v>
      </c>
      <c r="AGZ864" s="22" t="s">
        <v>16</v>
      </c>
      <c r="AHA864" s="22" t="s">
        <v>16</v>
      </c>
      <c r="AHB864" s="22" t="s">
        <v>16</v>
      </c>
      <c r="AHC864" s="22" t="s">
        <v>16</v>
      </c>
      <c r="AHD864" s="22" t="s">
        <v>16</v>
      </c>
      <c r="AHE864" s="22" t="s">
        <v>16</v>
      </c>
      <c r="AHF864" s="22" t="s">
        <v>16</v>
      </c>
      <c r="AHG864" s="22" t="s">
        <v>16</v>
      </c>
      <c r="AHH864" s="22" t="s">
        <v>16</v>
      </c>
      <c r="AHI864" s="22" t="s">
        <v>16</v>
      </c>
      <c r="AHJ864" s="22" t="s">
        <v>16</v>
      </c>
      <c r="AHK864" s="22" t="s">
        <v>16</v>
      </c>
      <c r="AHL864" s="22" t="s">
        <v>16</v>
      </c>
      <c r="AHM864" s="22" t="s">
        <v>16</v>
      </c>
      <c r="AHN864" s="22" t="s">
        <v>16</v>
      </c>
      <c r="AHO864" s="22" t="s">
        <v>16</v>
      </c>
      <c r="AHP864" s="22" t="s">
        <v>16</v>
      </c>
      <c r="AHQ864" s="22" t="s">
        <v>16</v>
      </c>
      <c r="AHR864" s="22" t="s">
        <v>16</v>
      </c>
      <c r="AHS864" s="22" t="s">
        <v>16</v>
      </c>
      <c r="AHT864" s="22" t="s">
        <v>16</v>
      </c>
      <c r="AHU864" s="22" t="s">
        <v>16</v>
      </c>
      <c r="AHV864" s="22" t="s">
        <v>16</v>
      </c>
      <c r="AHW864" s="22" t="s">
        <v>16</v>
      </c>
      <c r="AHX864" s="22" t="s">
        <v>16</v>
      </c>
      <c r="AHY864" s="22" t="s">
        <v>16</v>
      </c>
      <c r="AHZ864" s="22" t="s">
        <v>16</v>
      </c>
      <c r="AIA864" s="22" t="s">
        <v>16</v>
      </c>
      <c r="AIB864" s="22" t="s">
        <v>16</v>
      </c>
      <c r="AIC864" s="22" t="s">
        <v>16</v>
      </c>
      <c r="AID864" s="22" t="s">
        <v>16</v>
      </c>
      <c r="AIE864" s="22" t="s">
        <v>16</v>
      </c>
      <c r="AIF864" s="22" t="s">
        <v>16</v>
      </c>
      <c r="AIG864" s="22" t="s">
        <v>16</v>
      </c>
      <c r="AIH864" s="22" t="s">
        <v>16</v>
      </c>
      <c r="AII864" s="22" t="s">
        <v>16</v>
      </c>
      <c r="AIJ864" s="22" t="s">
        <v>16</v>
      </c>
      <c r="AIK864" s="22" t="s">
        <v>16</v>
      </c>
      <c r="AIL864" s="22" t="s">
        <v>16</v>
      </c>
      <c r="AIM864" s="22" t="s">
        <v>16</v>
      </c>
      <c r="AIN864" s="22" t="s">
        <v>16</v>
      </c>
      <c r="AIO864" s="22" t="s">
        <v>16</v>
      </c>
      <c r="AIP864" s="22" t="s">
        <v>16</v>
      </c>
      <c r="AIQ864" s="22" t="s">
        <v>16</v>
      </c>
      <c r="AIR864" s="22" t="s">
        <v>16</v>
      </c>
      <c r="AIS864" s="22" t="s">
        <v>16</v>
      </c>
      <c r="AIT864" s="22" t="s">
        <v>16</v>
      </c>
      <c r="AIU864" s="22" t="s">
        <v>16</v>
      </c>
      <c r="AIV864" s="22" t="s">
        <v>16</v>
      </c>
      <c r="AIW864" s="22" t="s">
        <v>16</v>
      </c>
      <c r="AIX864" s="22" t="s">
        <v>16</v>
      </c>
      <c r="AIY864" s="22" t="s">
        <v>16</v>
      </c>
      <c r="AIZ864" s="22" t="s">
        <v>16</v>
      </c>
      <c r="AJA864" s="22" t="s">
        <v>16</v>
      </c>
      <c r="AJB864" s="22" t="s">
        <v>16</v>
      </c>
      <c r="AJC864" s="22" t="s">
        <v>16</v>
      </c>
      <c r="AJD864" s="22" t="s">
        <v>16</v>
      </c>
      <c r="AJE864" s="22" t="s">
        <v>16</v>
      </c>
      <c r="AJF864" s="22" t="s">
        <v>16</v>
      </c>
      <c r="AJG864" s="22" t="s">
        <v>16</v>
      </c>
      <c r="AJH864" s="22" t="s">
        <v>16</v>
      </c>
      <c r="AJI864" s="22" t="s">
        <v>16</v>
      </c>
      <c r="AJJ864" s="22" t="s">
        <v>16</v>
      </c>
      <c r="AJK864" s="22" t="s">
        <v>16</v>
      </c>
      <c r="AJL864" s="22" t="s">
        <v>16</v>
      </c>
      <c r="AJM864" s="22" t="s">
        <v>16</v>
      </c>
      <c r="AJN864" s="22" t="s">
        <v>16</v>
      </c>
      <c r="AJO864" s="22" t="s">
        <v>16</v>
      </c>
      <c r="AJP864" s="22" t="s">
        <v>16</v>
      </c>
      <c r="AJQ864" s="22" t="s">
        <v>16</v>
      </c>
      <c r="AJR864" s="22" t="s">
        <v>16</v>
      </c>
      <c r="AJS864" s="22" t="s">
        <v>16</v>
      </c>
      <c r="AJT864" s="22" t="s">
        <v>16</v>
      </c>
      <c r="AJU864" s="22" t="s">
        <v>16</v>
      </c>
      <c r="AJV864" s="22" t="s">
        <v>16</v>
      </c>
      <c r="AJW864" s="22" t="s">
        <v>16</v>
      </c>
      <c r="AJX864" s="22" t="s">
        <v>16</v>
      </c>
      <c r="AJY864" s="22" t="s">
        <v>16</v>
      </c>
      <c r="AJZ864" s="22" t="s">
        <v>16</v>
      </c>
      <c r="AKA864" s="22" t="s">
        <v>16</v>
      </c>
      <c r="AKB864" s="22" t="s">
        <v>16</v>
      </c>
      <c r="AKC864" s="22" t="s">
        <v>16</v>
      </c>
      <c r="AKD864" s="22" t="s">
        <v>16</v>
      </c>
      <c r="AKE864" s="22" t="s">
        <v>16</v>
      </c>
      <c r="AKF864" s="22" t="s">
        <v>16</v>
      </c>
      <c r="AKG864" s="22" t="s">
        <v>16</v>
      </c>
      <c r="AKH864" s="22" t="s">
        <v>16</v>
      </c>
      <c r="AKI864" s="22" t="s">
        <v>16</v>
      </c>
      <c r="AKJ864" s="22" t="s">
        <v>16</v>
      </c>
      <c r="AKK864" s="22" t="s">
        <v>16</v>
      </c>
      <c r="AKL864" s="22" t="s">
        <v>16</v>
      </c>
      <c r="AKM864" s="22" t="s">
        <v>16</v>
      </c>
      <c r="AKN864" s="22" t="s">
        <v>16</v>
      </c>
      <c r="AKO864" s="22" t="s">
        <v>16</v>
      </c>
      <c r="AKP864" s="22" t="s">
        <v>16</v>
      </c>
      <c r="AKQ864" s="22" t="s">
        <v>16</v>
      </c>
      <c r="AKR864" s="22" t="s">
        <v>16</v>
      </c>
      <c r="AKS864" s="22" t="s">
        <v>16</v>
      </c>
      <c r="AKT864" s="22" t="s">
        <v>16</v>
      </c>
      <c r="AKU864" s="22" t="s">
        <v>16</v>
      </c>
      <c r="AKV864" s="22" t="s">
        <v>16</v>
      </c>
      <c r="AKW864" s="22" t="s">
        <v>16</v>
      </c>
      <c r="AKX864" s="22" t="s">
        <v>16</v>
      </c>
      <c r="AKY864" s="22" t="s">
        <v>16</v>
      </c>
      <c r="AKZ864" s="22" t="s">
        <v>16</v>
      </c>
      <c r="ALA864" s="22" t="s">
        <v>16</v>
      </c>
      <c r="ALB864" s="22" t="s">
        <v>16</v>
      </c>
      <c r="ALC864" s="22" t="s">
        <v>16</v>
      </c>
      <c r="ALD864" s="22" t="s">
        <v>16</v>
      </c>
      <c r="ALE864" s="22" t="s">
        <v>16</v>
      </c>
      <c r="ALF864" s="22" t="s">
        <v>16</v>
      </c>
      <c r="ALG864" s="22" t="s">
        <v>16</v>
      </c>
      <c r="ALH864" s="22" t="s">
        <v>16</v>
      </c>
      <c r="ALI864" s="22" t="s">
        <v>16</v>
      </c>
      <c r="ALJ864" s="22" t="s">
        <v>16</v>
      </c>
      <c r="ALK864" s="22" t="s">
        <v>16</v>
      </c>
      <c r="ALL864" s="22" t="s">
        <v>16</v>
      </c>
      <c r="ALM864" s="22" t="s">
        <v>16</v>
      </c>
      <c r="ALN864" s="22" t="s">
        <v>16</v>
      </c>
      <c r="ALO864" s="22" t="s">
        <v>16</v>
      </c>
      <c r="ALP864" s="22" t="s">
        <v>16</v>
      </c>
      <c r="ALQ864" s="22" t="s">
        <v>16</v>
      </c>
      <c r="ALR864" s="22" t="s">
        <v>16</v>
      </c>
      <c r="ALS864" s="22" t="s">
        <v>16</v>
      </c>
      <c r="ALT864" s="22" t="s">
        <v>16</v>
      </c>
      <c r="ALU864" s="22" t="s">
        <v>16</v>
      </c>
      <c r="ALV864" s="22" t="s">
        <v>16</v>
      </c>
      <c r="ALW864" s="22" t="s">
        <v>16</v>
      </c>
      <c r="ALX864" s="22" t="s">
        <v>16</v>
      </c>
      <c r="ALY864" s="22" t="s">
        <v>16</v>
      </c>
      <c r="ALZ864" s="22" t="s">
        <v>16</v>
      </c>
      <c r="AMA864" s="22" t="s">
        <v>16</v>
      </c>
      <c r="AMB864" s="22" t="s">
        <v>16</v>
      </c>
      <c r="AMC864" s="22" t="s">
        <v>16</v>
      </c>
      <c r="AMD864" s="22" t="s">
        <v>16</v>
      </c>
      <c r="AME864" s="22" t="s">
        <v>16</v>
      </c>
      <c r="AMF864" s="22" t="s">
        <v>16</v>
      </c>
      <c r="AMG864" s="22" t="s">
        <v>16</v>
      </c>
      <c r="AMH864" s="22" t="s">
        <v>16</v>
      </c>
      <c r="AMI864" s="22" t="s">
        <v>16</v>
      </c>
      <c r="AMJ864" s="22" t="s">
        <v>16</v>
      </c>
      <c r="AMK864" s="22" t="s">
        <v>16</v>
      </c>
      <c r="AML864" s="22" t="s">
        <v>16</v>
      </c>
      <c r="AMM864" s="22" t="s">
        <v>16</v>
      </c>
      <c r="AMN864" s="22" t="s">
        <v>16</v>
      </c>
      <c r="AMO864" s="22" t="s">
        <v>16</v>
      </c>
      <c r="AMP864" s="22" t="s">
        <v>16</v>
      </c>
      <c r="AMQ864" s="22" t="s">
        <v>16</v>
      </c>
      <c r="AMR864" s="22" t="s">
        <v>16</v>
      </c>
      <c r="AMS864" s="22" t="s">
        <v>16</v>
      </c>
      <c r="AMT864" s="22" t="s">
        <v>16</v>
      </c>
      <c r="AMU864" s="22" t="s">
        <v>16</v>
      </c>
      <c r="AMV864" s="22" t="s">
        <v>16</v>
      </c>
      <c r="AMW864" s="22" t="s">
        <v>16</v>
      </c>
      <c r="AMX864" s="22" t="s">
        <v>16</v>
      </c>
      <c r="AMY864" s="22" t="s">
        <v>16</v>
      </c>
      <c r="AMZ864" s="22" t="s">
        <v>16</v>
      </c>
      <c r="ANA864" s="22" t="s">
        <v>16</v>
      </c>
      <c r="ANB864" s="22" t="s">
        <v>16</v>
      </c>
      <c r="ANC864" s="22" t="s">
        <v>16</v>
      </c>
      <c r="AND864" s="22" t="s">
        <v>16</v>
      </c>
      <c r="ANE864" s="22" t="s">
        <v>16</v>
      </c>
      <c r="ANF864" s="22" t="s">
        <v>16</v>
      </c>
      <c r="ANG864" s="22" t="s">
        <v>16</v>
      </c>
      <c r="ANH864" s="22" t="s">
        <v>16</v>
      </c>
      <c r="ANI864" s="22" t="s">
        <v>16</v>
      </c>
      <c r="ANJ864" s="22" t="s">
        <v>16</v>
      </c>
      <c r="ANK864" s="22" t="s">
        <v>16</v>
      </c>
      <c r="ANL864" s="22" t="s">
        <v>16</v>
      </c>
      <c r="ANM864" s="22" t="s">
        <v>16</v>
      </c>
      <c r="ANN864" s="22" t="s">
        <v>16</v>
      </c>
      <c r="ANO864" s="22" t="s">
        <v>16</v>
      </c>
      <c r="ANP864" s="22" t="s">
        <v>16</v>
      </c>
      <c r="ANQ864" s="22" t="s">
        <v>16</v>
      </c>
      <c r="ANR864" s="22" t="s">
        <v>16</v>
      </c>
      <c r="ANS864" s="22" t="s">
        <v>16</v>
      </c>
      <c r="ANT864" s="22" t="s">
        <v>16</v>
      </c>
      <c r="ANU864" s="22" t="s">
        <v>16</v>
      </c>
      <c r="ANV864" s="22" t="s">
        <v>16</v>
      </c>
      <c r="ANW864" s="22" t="s">
        <v>16</v>
      </c>
      <c r="ANX864" s="22" t="s">
        <v>16</v>
      </c>
      <c r="ANY864" s="22" t="s">
        <v>16</v>
      </c>
      <c r="ANZ864" s="22" t="s">
        <v>16</v>
      </c>
      <c r="AOA864" s="22" t="s">
        <v>16</v>
      </c>
      <c r="AOB864" s="22" t="s">
        <v>16</v>
      </c>
      <c r="AOC864" s="22" t="s">
        <v>16</v>
      </c>
      <c r="AOD864" s="22" t="s">
        <v>16</v>
      </c>
      <c r="AOE864" s="22" t="s">
        <v>16</v>
      </c>
      <c r="AOF864" s="22" t="s">
        <v>16</v>
      </c>
      <c r="AOG864" s="22" t="s">
        <v>16</v>
      </c>
      <c r="AOH864" s="22" t="s">
        <v>16</v>
      </c>
      <c r="AOI864" s="22" t="s">
        <v>16</v>
      </c>
      <c r="AOJ864" s="22" t="s">
        <v>16</v>
      </c>
      <c r="AOK864" s="22" t="s">
        <v>16</v>
      </c>
      <c r="AOL864" s="22" t="s">
        <v>16</v>
      </c>
      <c r="AOM864" s="22" t="s">
        <v>16</v>
      </c>
      <c r="AON864" s="22" t="s">
        <v>16</v>
      </c>
      <c r="AOO864" s="22" t="s">
        <v>16</v>
      </c>
      <c r="AOP864" s="22" t="s">
        <v>16</v>
      </c>
      <c r="AOQ864" s="22" t="s">
        <v>16</v>
      </c>
      <c r="AOR864" s="22" t="s">
        <v>16</v>
      </c>
      <c r="AOS864" s="22" t="s">
        <v>16</v>
      </c>
      <c r="AOT864" s="22" t="s">
        <v>16</v>
      </c>
      <c r="AOU864" s="22" t="s">
        <v>16</v>
      </c>
      <c r="AOV864" s="22" t="s">
        <v>16</v>
      </c>
      <c r="AOW864" s="22" t="s">
        <v>16</v>
      </c>
      <c r="AOX864" s="22" t="s">
        <v>16</v>
      </c>
      <c r="AOY864" s="22" t="s">
        <v>16</v>
      </c>
      <c r="AOZ864" s="22" t="s">
        <v>16</v>
      </c>
      <c r="APA864" s="22" t="s">
        <v>16</v>
      </c>
      <c r="APB864" s="22" t="s">
        <v>16</v>
      </c>
      <c r="APC864" s="22" t="s">
        <v>16</v>
      </c>
      <c r="APD864" s="22" t="s">
        <v>16</v>
      </c>
      <c r="APE864" s="22" t="s">
        <v>16</v>
      </c>
      <c r="APF864" s="22" t="s">
        <v>16</v>
      </c>
      <c r="APG864" s="22" t="s">
        <v>16</v>
      </c>
      <c r="APH864" s="22" t="s">
        <v>16</v>
      </c>
      <c r="API864" s="22" t="s">
        <v>16</v>
      </c>
      <c r="APJ864" s="22" t="s">
        <v>16</v>
      </c>
      <c r="APK864" s="22" t="s">
        <v>16</v>
      </c>
      <c r="APL864" s="22" t="s">
        <v>16</v>
      </c>
      <c r="APM864" s="22" t="s">
        <v>16</v>
      </c>
      <c r="APN864" s="22" t="s">
        <v>16</v>
      </c>
      <c r="APO864" s="22" t="s">
        <v>16</v>
      </c>
      <c r="APP864" s="22" t="s">
        <v>16</v>
      </c>
      <c r="APQ864" s="22" t="s">
        <v>16</v>
      </c>
      <c r="APR864" s="22" t="s">
        <v>16</v>
      </c>
      <c r="APS864" s="22" t="s">
        <v>16</v>
      </c>
      <c r="APT864" s="22" t="s">
        <v>16</v>
      </c>
      <c r="APU864" s="22" t="s">
        <v>16</v>
      </c>
      <c r="APV864" s="22" t="s">
        <v>16</v>
      </c>
      <c r="APW864" s="22" t="s">
        <v>16</v>
      </c>
      <c r="APX864" s="22" t="s">
        <v>16</v>
      </c>
      <c r="APY864" s="22" t="s">
        <v>16</v>
      </c>
      <c r="APZ864" s="22" t="s">
        <v>16</v>
      </c>
      <c r="AQA864" s="22" t="s">
        <v>16</v>
      </c>
      <c r="AQB864" s="22" t="s">
        <v>16</v>
      </c>
      <c r="AQC864" s="22" t="s">
        <v>16</v>
      </c>
      <c r="AQD864" s="22" t="s">
        <v>16</v>
      </c>
      <c r="AQE864" s="22" t="s">
        <v>16</v>
      </c>
      <c r="AQF864" s="22" t="s">
        <v>16</v>
      </c>
      <c r="AQG864" s="22" t="s">
        <v>16</v>
      </c>
      <c r="AQH864" s="22" t="s">
        <v>16</v>
      </c>
      <c r="AQI864" s="22" t="s">
        <v>16</v>
      </c>
      <c r="AQJ864" s="22" t="s">
        <v>16</v>
      </c>
      <c r="AQK864" s="22" t="s">
        <v>16</v>
      </c>
      <c r="AQL864" s="22" t="s">
        <v>16</v>
      </c>
      <c r="AQM864" s="22" t="s">
        <v>16</v>
      </c>
      <c r="AQN864" s="22" t="s">
        <v>16</v>
      </c>
      <c r="AQO864" s="22" t="s">
        <v>16</v>
      </c>
      <c r="AQP864" s="22" t="s">
        <v>16</v>
      </c>
      <c r="AQQ864" s="22" t="s">
        <v>16</v>
      </c>
      <c r="AQR864" s="22" t="s">
        <v>16</v>
      </c>
      <c r="AQS864" s="22" t="s">
        <v>16</v>
      </c>
      <c r="AQT864" s="22" t="s">
        <v>16</v>
      </c>
      <c r="AQU864" s="22" t="s">
        <v>16</v>
      </c>
      <c r="AQV864" s="22" t="s">
        <v>16</v>
      </c>
      <c r="AQW864" s="22" t="s">
        <v>16</v>
      </c>
      <c r="AQX864" s="22" t="s">
        <v>16</v>
      </c>
      <c r="AQY864" s="22" t="s">
        <v>16</v>
      </c>
      <c r="AQZ864" s="22" t="s">
        <v>16</v>
      </c>
      <c r="ARA864" s="22" t="s">
        <v>16</v>
      </c>
      <c r="ARB864" s="22" t="s">
        <v>16</v>
      </c>
      <c r="ARC864" s="22" t="s">
        <v>16</v>
      </c>
      <c r="ARD864" s="22" t="s">
        <v>16</v>
      </c>
      <c r="ARE864" s="22" t="s">
        <v>16</v>
      </c>
      <c r="ARF864" s="22" t="s">
        <v>16</v>
      </c>
      <c r="ARG864" s="22" t="s">
        <v>16</v>
      </c>
      <c r="ARH864" s="22" t="s">
        <v>16</v>
      </c>
      <c r="ARI864" s="22" t="s">
        <v>16</v>
      </c>
      <c r="ARJ864" s="22" t="s">
        <v>16</v>
      </c>
      <c r="ARK864" s="22" t="s">
        <v>16</v>
      </c>
      <c r="ARL864" s="22" t="s">
        <v>16</v>
      </c>
      <c r="ARM864" s="22" t="s">
        <v>16</v>
      </c>
      <c r="ARN864" s="22" t="s">
        <v>16</v>
      </c>
      <c r="ARO864" s="22" t="s">
        <v>16</v>
      </c>
      <c r="ARP864" s="22" t="s">
        <v>16</v>
      </c>
      <c r="ARQ864" s="22" t="s">
        <v>16</v>
      </c>
      <c r="ARR864" s="22" t="s">
        <v>16</v>
      </c>
      <c r="ARS864" s="22" t="s">
        <v>16</v>
      </c>
      <c r="ART864" s="22" t="s">
        <v>16</v>
      </c>
      <c r="ARU864" s="22" t="s">
        <v>16</v>
      </c>
      <c r="ARV864" s="22" t="s">
        <v>16</v>
      </c>
      <c r="ARW864" s="22" t="s">
        <v>16</v>
      </c>
      <c r="ARX864" s="22" t="s">
        <v>16</v>
      </c>
      <c r="ARY864" s="22" t="s">
        <v>16</v>
      </c>
      <c r="ARZ864" s="22" t="s">
        <v>16</v>
      </c>
      <c r="ASA864" s="22" t="s">
        <v>16</v>
      </c>
      <c r="ASB864" s="22" t="s">
        <v>16</v>
      </c>
      <c r="ASC864" s="22" t="s">
        <v>16</v>
      </c>
      <c r="ASD864" s="22" t="s">
        <v>16</v>
      </c>
      <c r="ASE864" s="22" t="s">
        <v>16</v>
      </c>
      <c r="ASF864" s="22" t="s">
        <v>16</v>
      </c>
      <c r="ASG864" s="22" t="s">
        <v>16</v>
      </c>
      <c r="ASH864" s="22" t="s">
        <v>16</v>
      </c>
      <c r="ASI864" s="22" t="s">
        <v>16</v>
      </c>
      <c r="ASJ864" s="22" t="s">
        <v>16</v>
      </c>
      <c r="ASK864" s="22" t="s">
        <v>16</v>
      </c>
      <c r="ASL864" s="22" t="s">
        <v>16</v>
      </c>
      <c r="ASM864" s="22" t="s">
        <v>16</v>
      </c>
      <c r="ASN864" s="22" t="s">
        <v>16</v>
      </c>
      <c r="ASO864" s="22" t="s">
        <v>16</v>
      </c>
      <c r="ASP864" s="22" t="s">
        <v>16</v>
      </c>
      <c r="ASQ864" s="22" t="s">
        <v>16</v>
      </c>
      <c r="ASR864" s="22" t="s">
        <v>16</v>
      </c>
      <c r="ASS864" s="22" t="s">
        <v>16</v>
      </c>
      <c r="AST864" s="22" t="s">
        <v>16</v>
      </c>
      <c r="ASU864" s="22" t="s">
        <v>16</v>
      </c>
      <c r="ASV864" s="22" t="s">
        <v>16</v>
      </c>
      <c r="ASW864" s="22" t="s">
        <v>16</v>
      </c>
      <c r="ASX864" s="22" t="s">
        <v>16</v>
      </c>
      <c r="ASY864" s="22" t="s">
        <v>16</v>
      </c>
      <c r="ASZ864" s="22" t="s">
        <v>16</v>
      </c>
      <c r="ATA864" s="22" t="s">
        <v>16</v>
      </c>
      <c r="ATB864" s="22" t="s">
        <v>16</v>
      </c>
      <c r="ATC864" s="22" t="s">
        <v>16</v>
      </c>
      <c r="ATD864" s="22" t="s">
        <v>16</v>
      </c>
      <c r="ATE864" s="22" t="s">
        <v>16</v>
      </c>
      <c r="ATF864" s="22" t="s">
        <v>16</v>
      </c>
      <c r="ATG864" s="22" t="s">
        <v>16</v>
      </c>
      <c r="ATH864" s="22" t="s">
        <v>16</v>
      </c>
      <c r="ATI864" s="22" t="s">
        <v>16</v>
      </c>
      <c r="ATJ864" s="22" t="s">
        <v>16</v>
      </c>
      <c r="ATK864" s="22" t="s">
        <v>16</v>
      </c>
      <c r="ATL864" s="22" t="s">
        <v>16</v>
      </c>
      <c r="ATM864" s="22" t="s">
        <v>16</v>
      </c>
      <c r="ATN864" s="22" t="s">
        <v>16</v>
      </c>
      <c r="ATO864" s="22" t="s">
        <v>16</v>
      </c>
      <c r="ATP864" s="22" t="s">
        <v>16</v>
      </c>
      <c r="ATQ864" s="22" t="s">
        <v>16</v>
      </c>
      <c r="ATR864" s="22" t="s">
        <v>16</v>
      </c>
      <c r="ATS864" s="22" t="s">
        <v>16</v>
      </c>
      <c r="ATT864" s="22" t="s">
        <v>16</v>
      </c>
      <c r="ATU864" s="22" t="s">
        <v>16</v>
      </c>
      <c r="ATV864" s="22" t="s">
        <v>16</v>
      </c>
      <c r="ATW864" s="22" t="s">
        <v>16</v>
      </c>
      <c r="ATX864" s="22" t="s">
        <v>16</v>
      </c>
      <c r="ATY864" s="22" t="s">
        <v>16</v>
      </c>
      <c r="ATZ864" s="22" t="s">
        <v>16</v>
      </c>
      <c r="AUA864" s="22" t="s">
        <v>16</v>
      </c>
      <c r="AUB864" s="22" t="s">
        <v>16</v>
      </c>
      <c r="AUC864" s="22" t="s">
        <v>16</v>
      </c>
      <c r="AUD864" s="22" t="s">
        <v>16</v>
      </c>
      <c r="AUE864" s="22" t="s">
        <v>16</v>
      </c>
      <c r="AUF864" s="22" t="s">
        <v>16</v>
      </c>
      <c r="AUG864" s="22" t="s">
        <v>16</v>
      </c>
      <c r="AUH864" s="22" t="s">
        <v>16</v>
      </c>
      <c r="AUI864" s="22" t="s">
        <v>16</v>
      </c>
      <c r="AUJ864" s="22" t="s">
        <v>16</v>
      </c>
      <c r="AUK864" s="22" t="s">
        <v>16</v>
      </c>
      <c r="AUL864" s="22" t="s">
        <v>16</v>
      </c>
      <c r="AUM864" s="22" t="s">
        <v>16</v>
      </c>
      <c r="AUN864" s="22" t="s">
        <v>16</v>
      </c>
      <c r="AUO864" s="22" t="s">
        <v>16</v>
      </c>
      <c r="AUP864" s="22" t="s">
        <v>16</v>
      </c>
      <c r="AUQ864" s="22" t="s">
        <v>16</v>
      </c>
      <c r="AUR864" s="22" t="s">
        <v>16</v>
      </c>
      <c r="AUS864" s="22" t="s">
        <v>16</v>
      </c>
      <c r="AUT864" s="22" t="s">
        <v>16</v>
      </c>
      <c r="AUU864" s="22" t="s">
        <v>16</v>
      </c>
      <c r="AUV864" s="22" t="s">
        <v>16</v>
      </c>
      <c r="AUW864" s="22" t="s">
        <v>16</v>
      </c>
      <c r="AUX864" s="22" t="s">
        <v>16</v>
      </c>
      <c r="AUY864" s="22" t="s">
        <v>16</v>
      </c>
      <c r="AUZ864" s="22" t="s">
        <v>16</v>
      </c>
      <c r="AVA864" s="22" t="s">
        <v>16</v>
      </c>
      <c r="AVB864" s="22" t="s">
        <v>16</v>
      </c>
      <c r="AVC864" s="22" t="s">
        <v>16</v>
      </c>
      <c r="AVD864" s="22" t="s">
        <v>16</v>
      </c>
      <c r="AVE864" s="22" t="s">
        <v>16</v>
      </c>
      <c r="AVF864" s="22" t="s">
        <v>16</v>
      </c>
      <c r="AVG864" s="22" t="s">
        <v>16</v>
      </c>
      <c r="AVH864" s="22" t="s">
        <v>16</v>
      </c>
      <c r="AVI864" s="22" t="s">
        <v>16</v>
      </c>
      <c r="AVJ864" s="22" t="s">
        <v>16</v>
      </c>
      <c r="AVK864" s="22" t="s">
        <v>16</v>
      </c>
      <c r="AVL864" s="22" t="s">
        <v>16</v>
      </c>
      <c r="AVM864" s="22" t="s">
        <v>16</v>
      </c>
      <c r="AVN864" s="22" t="s">
        <v>16</v>
      </c>
      <c r="AVO864" s="22" t="s">
        <v>16</v>
      </c>
      <c r="AVP864" s="22" t="s">
        <v>16</v>
      </c>
      <c r="AVQ864" s="22" t="s">
        <v>16</v>
      </c>
      <c r="AVR864" s="22" t="s">
        <v>16</v>
      </c>
      <c r="AVS864" s="22" t="s">
        <v>16</v>
      </c>
      <c r="AVT864" s="22" t="s">
        <v>16</v>
      </c>
      <c r="AVU864" s="22" t="s">
        <v>16</v>
      </c>
      <c r="AVV864" s="22" t="s">
        <v>16</v>
      </c>
      <c r="AVW864" s="22" t="s">
        <v>16</v>
      </c>
      <c r="AVX864" s="22" t="s">
        <v>16</v>
      </c>
      <c r="AVY864" s="22" t="s">
        <v>16</v>
      </c>
      <c r="AVZ864" s="22" t="s">
        <v>16</v>
      </c>
      <c r="AWA864" s="22" t="s">
        <v>16</v>
      </c>
      <c r="AWB864" s="22" t="s">
        <v>16</v>
      </c>
      <c r="AWC864" s="22" t="s">
        <v>16</v>
      </c>
      <c r="AWD864" s="22" t="s">
        <v>16</v>
      </c>
      <c r="AWE864" s="22" t="s">
        <v>16</v>
      </c>
      <c r="AWF864" s="22" t="s">
        <v>16</v>
      </c>
      <c r="AWG864" s="22" t="s">
        <v>16</v>
      </c>
      <c r="AWH864" s="22" t="s">
        <v>16</v>
      </c>
      <c r="AWI864" s="22" t="s">
        <v>16</v>
      </c>
      <c r="AWJ864" s="22" t="s">
        <v>16</v>
      </c>
      <c r="AWK864" s="22" t="s">
        <v>16</v>
      </c>
      <c r="AWL864" s="22" t="s">
        <v>16</v>
      </c>
      <c r="AWM864" s="22" t="s">
        <v>16</v>
      </c>
      <c r="AWN864" s="22" t="s">
        <v>16</v>
      </c>
      <c r="AWO864" s="22" t="s">
        <v>16</v>
      </c>
      <c r="AWP864" s="22" t="s">
        <v>16</v>
      </c>
      <c r="AWQ864" s="22" t="s">
        <v>16</v>
      </c>
      <c r="AWR864" s="22" t="s">
        <v>16</v>
      </c>
      <c r="AWS864" s="22" t="s">
        <v>16</v>
      </c>
      <c r="AWT864" s="22" t="s">
        <v>16</v>
      </c>
      <c r="AWU864" s="22" t="s">
        <v>16</v>
      </c>
      <c r="AWV864" s="22" t="s">
        <v>16</v>
      </c>
      <c r="AWW864" s="22" t="s">
        <v>16</v>
      </c>
      <c r="AWX864" s="22" t="s">
        <v>16</v>
      </c>
      <c r="AWY864" s="22" t="s">
        <v>16</v>
      </c>
      <c r="AWZ864" s="22" t="s">
        <v>16</v>
      </c>
      <c r="AXA864" s="22" t="s">
        <v>16</v>
      </c>
      <c r="AXB864" s="22" t="s">
        <v>16</v>
      </c>
      <c r="AXC864" s="22" t="s">
        <v>16</v>
      </c>
      <c r="AXD864" s="22" t="s">
        <v>16</v>
      </c>
      <c r="AXE864" s="22" t="s">
        <v>16</v>
      </c>
      <c r="AXF864" s="22" t="s">
        <v>16</v>
      </c>
      <c r="AXG864" s="22" t="s">
        <v>16</v>
      </c>
      <c r="AXH864" s="22" t="s">
        <v>16</v>
      </c>
      <c r="AXI864" s="22" t="s">
        <v>16</v>
      </c>
      <c r="AXJ864" s="22" t="s">
        <v>16</v>
      </c>
      <c r="AXK864" s="22" t="s">
        <v>16</v>
      </c>
      <c r="AXL864" s="22" t="s">
        <v>16</v>
      </c>
      <c r="AXM864" s="22" t="s">
        <v>16</v>
      </c>
      <c r="AXN864" s="22" t="s">
        <v>16</v>
      </c>
      <c r="AXO864" s="22" t="s">
        <v>16</v>
      </c>
      <c r="AXP864" s="22" t="s">
        <v>16</v>
      </c>
      <c r="AXQ864" s="22" t="s">
        <v>16</v>
      </c>
      <c r="AXR864" s="22" t="s">
        <v>16</v>
      </c>
      <c r="AXS864" s="22" t="s">
        <v>16</v>
      </c>
      <c r="AXT864" s="22" t="s">
        <v>16</v>
      </c>
      <c r="AXU864" s="22" t="s">
        <v>16</v>
      </c>
      <c r="AXV864" s="22" t="s">
        <v>16</v>
      </c>
      <c r="AXW864" s="22" t="s">
        <v>16</v>
      </c>
      <c r="AXX864" s="22" t="s">
        <v>16</v>
      </c>
      <c r="AXY864" s="22" t="s">
        <v>16</v>
      </c>
      <c r="AXZ864" s="22" t="s">
        <v>16</v>
      </c>
      <c r="AYA864" s="22" t="s">
        <v>16</v>
      </c>
      <c r="AYB864" s="22" t="s">
        <v>16</v>
      </c>
      <c r="AYC864" s="22" t="s">
        <v>16</v>
      </c>
      <c r="AYD864" s="22" t="s">
        <v>16</v>
      </c>
      <c r="AYE864" s="22" t="s">
        <v>16</v>
      </c>
      <c r="AYF864" s="22" t="s">
        <v>16</v>
      </c>
      <c r="AYG864" s="22" t="s">
        <v>16</v>
      </c>
      <c r="AYH864" s="22" t="s">
        <v>16</v>
      </c>
      <c r="AYI864" s="22" t="s">
        <v>16</v>
      </c>
      <c r="AYJ864" s="22" t="s">
        <v>16</v>
      </c>
      <c r="AYK864" s="22" t="s">
        <v>16</v>
      </c>
      <c r="AYL864" s="22" t="s">
        <v>16</v>
      </c>
      <c r="AYM864" s="22" t="s">
        <v>16</v>
      </c>
      <c r="AYN864" s="22" t="s">
        <v>16</v>
      </c>
      <c r="AYO864" s="22" t="s">
        <v>16</v>
      </c>
      <c r="AYP864" s="22" t="s">
        <v>16</v>
      </c>
      <c r="AYQ864" s="22" t="s">
        <v>16</v>
      </c>
      <c r="AYR864" s="22" t="s">
        <v>16</v>
      </c>
      <c r="AYS864" s="22" t="s">
        <v>16</v>
      </c>
      <c r="AYT864" s="22" t="s">
        <v>16</v>
      </c>
      <c r="AYU864" s="22" t="s">
        <v>16</v>
      </c>
      <c r="AYV864" s="22" t="s">
        <v>16</v>
      </c>
      <c r="AYW864" s="22" t="s">
        <v>16</v>
      </c>
      <c r="AYX864" s="22" t="s">
        <v>16</v>
      </c>
      <c r="AYY864" s="22" t="s">
        <v>16</v>
      </c>
      <c r="AYZ864" s="22" t="s">
        <v>16</v>
      </c>
      <c r="AZA864" s="22" t="s">
        <v>16</v>
      </c>
      <c r="AZB864" s="22" t="s">
        <v>16</v>
      </c>
      <c r="AZC864" s="22" t="s">
        <v>16</v>
      </c>
      <c r="AZD864" s="22" t="s">
        <v>16</v>
      </c>
      <c r="AZE864" s="22" t="s">
        <v>16</v>
      </c>
      <c r="AZF864" s="22" t="s">
        <v>16</v>
      </c>
      <c r="AZG864" s="22" t="s">
        <v>16</v>
      </c>
      <c r="AZH864" s="22" t="s">
        <v>16</v>
      </c>
      <c r="AZI864" s="22" t="s">
        <v>16</v>
      </c>
      <c r="AZJ864" s="22" t="s">
        <v>16</v>
      </c>
      <c r="AZK864" s="22" t="s">
        <v>16</v>
      </c>
      <c r="AZL864" s="22" t="s">
        <v>16</v>
      </c>
      <c r="AZM864" s="22" t="s">
        <v>16</v>
      </c>
      <c r="AZN864" s="22" t="s">
        <v>16</v>
      </c>
      <c r="AZO864" s="22" t="s">
        <v>16</v>
      </c>
      <c r="AZP864" s="22" t="s">
        <v>16</v>
      </c>
      <c r="AZQ864" s="22" t="s">
        <v>16</v>
      </c>
      <c r="AZR864" s="22" t="s">
        <v>16</v>
      </c>
      <c r="AZS864" s="22" t="s">
        <v>16</v>
      </c>
      <c r="AZT864" s="22" t="s">
        <v>16</v>
      </c>
      <c r="AZU864" s="22" t="s">
        <v>16</v>
      </c>
      <c r="AZV864" s="22" t="s">
        <v>16</v>
      </c>
      <c r="AZW864" s="22" t="s">
        <v>16</v>
      </c>
      <c r="AZX864" s="22" t="s">
        <v>16</v>
      </c>
      <c r="AZY864" s="22" t="s">
        <v>16</v>
      </c>
      <c r="AZZ864" s="22" t="s">
        <v>16</v>
      </c>
      <c r="BAA864" s="22" t="s">
        <v>16</v>
      </c>
      <c r="BAB864" s="22" t="s">
        <v>16</v>
      </c>
      <c r="BAC864" s="22" t="s">
        <v>16</v>
      </c>
      <c r="BAD864" s="22" t="s">
        <v>16</v>
      </c>
      <c r="BAE864" s="22" t="s">
        <v>16</v>
      </c>
      <c r="BAF864" s="22" t="s">
        <v>16</v>
      </c>
      <c r="BAG864" s="22" t="s">
        <v>16</v>
      </c>
      <c r="BAH864" s="22" t="s">
        <v>16</v>
      </c>
      <c r="BAI864" s="22" t="s">
        <v>16</v>
      </c>
      <c r="BAJ864" s="22" t="s">
        <v>16</v>
      </c>
      <c r="BAK864" s="22" t="s">
        <v>16</v>
      </c>
      <c r="BAL864" s="22" t="s">
        <v>16</v>
      </c>
      <c r="BAM864" s="22" t="s">
        <v>16</v>
      </c>
      <c r="BAN864" s="22" t="s">
        <v>16</v>
      </c>
      <c r="BAO864" s="22" t="s">
        <v>16</v>
      </c>
      <c r="BAP864" s="22" t="s">
        <v>16</v>
      </c>
      <c r="BAQ864" s="22" t="s">
        <v>16</v>
      </c>
      <c r="BAR864" s="22" t="s">
        <v>16</v>
      </c>
      <c r="BAS864" s="22" t="s">
        <v>16</v>
      </c>
      <c r="BAT864" s="22" t="s">
        <v>16</v>
      </c>
      <c r="BAU864" s="22" t="s">
        <v>16</v>
      </c>
      <c r="BAV864" s="22" t="s">
        <v>16</v>
      </c>
      <c r="BAW864" s="22" t="s">
        <v>16</v>
      </c>
      <c r="BAX864" s="22" t="s">
        <v>16</v>
      </c>
      <c r="BAY864" s="22" t="s">
        <v>16</v>
      </c>
      <c r="BAZ864" s="22" t="s">
        <v>16</v>
      </c>
      <c r="BBA864" s="22" t="s">
        <v>16</v>
      </c>
      <c r="BBB864" s="22" t="s">
        <v>16</v>
      </c>
      <c r="BBC864" s="22" t="s">
        <v>16</v>
      </c>
      <c r="BBD864" s="22" t="s">
        <v>16</v>
      </c>
      <c r="BBE864" s="22" t="s">
        <v>16</v>
      </c>
      <c r="BBF864" s="22" t="s">
        <v>16</v>
      </c>
      <c r="BBG864" s="22" t="s">
        <v>16</v>
      </c>
      <c r="BBH864" s="22" t="s">
        <v>16</v>
      </c>
      <c r="BBI864" s="22" t="s">
        <v>16</v>
      </c>
      <c r="BBJ864" s="22" t="s">
        <v>16</v>
      </c>
      <c r="BBK864" s="22" t="s">
        <v>16</v>
      </c>
      <c r="BBL864" s="22" t="s">
        <v>16</v>
      </c>
      <c r="BBM864" s="22" t="s">
        <v>16</v>
      </c>
      <c r="BBN864" s="22" t="s">
        <v>16</v>
      </c>
      <c r="BBO864" s="22" t="s">
        <v>16</v>
      </c>
      <c r="BBP864" s="22" t="s">
        <v>16</v>
      </c>
      <c r="BBQ864" s="22" t="s">
        <v>16</v>
      </c>
      <c r="BBR864" s="22" t="s">
        <v>16</v>
      </c>
      <c r="BBS864" s="22" t="s">
        <v>16</v>
      </c>
      <c r="BBT864" s="22" t="s">
        <v>16</v>
      </c>
      <c r="BBU864" s="22" t="s">
        <v>16</v>
      </c>
      <c r="BBV864" s="22" t="s">
        <v>16</v>
      </c>
      <c r="BBW864" s="22" t="s">
        <v>16</v>
      </c>
      <c r="BBX864" s="22" t="s">
        <v>16</v>
      </c>
      <c r="BBY864" s="22" t="s">
        <v>16</v>
      </c>
      <c r="BBZ864" s="22" t="s">
        <v>16</v>
      </c>
      <c r="BCA864" s="22" t="s">
        <v>16</v>
      </c>
      <c r="BCB864" s="22" t="s">
        <v>16</v>
      </c>
      <c r="BCC864" s="22" t="s">
        <v>16</v>
      </c>
      <c r="BCD864" s="22" t="s">
        <v>16</v>
      </c>
      <c r="BCE864" s="22" t="s">
        <v>16</v>
      </c>
      <c r="BCF864" s="22" t="s">
        <v>16</v>
      </c>
      <c r="BCG864" s="22" t="s">
        <v>16</v>
      </c>
      <c r="BCH864" s="22" t="s">
        <v>16</v>
      </c>
      <c r="BCI864" s="22" t="s">
        <v>16</v>
      </c>
      <c r="BCJ864" s="22" t="s">
        <v>16</v>
      </c>
      <c r="BCK864" s="22" t="s">
        <v>16</v>
      </c>
      <c r="BCL864" s="22" t="s">
        <v>16</v>
      </c>
      <c r="BCM864" s="22" t="s">
        <v>16</v>
      </c>
      <c r="BCN864" s="22" t="s">
        <v>16</v>
      </c>
      <c r="BCO864" s="22" t="s">
        <v>16</v>
      </c>
      <c r="BCP864" s="22" t="s">
        <v>16</v>
      </c>
      <c r="BCQ864" s="22" t="s">
        <v>16</v>
      </c>
      <c r="BCR864" s="22" t="s">
        <v>16</v>
      </c>
      <c r="BCS864" s="22" t="s">
        <v>16</v>
      </c>
      <c r="BCT864" s="22" t="s">
        <v>16</v>
      </c>
      <c r="BCU864" s="22" t="s">
        <v>16</v>
      </c>
      <c r="BCV864" s="22" t="s">
        <v>16</v>
      </c>
      <c r="BCW864" s="22" t="s">
        <v>16</v>
      </c>
      <c r="BCX864" s="22" t="s">
        <v>16</v>
      </c>
      <c r="BCY864" s="22" t="s">
        <v>16</v>
      </c>
      <c r="BCZ864" s="22" t="s">
        <v>16</v>
      </c>
      <c r="BDA864" s="22" t="s">
        <v>16</v>
      </c>
      <c r="BDB864" s="22" t="s">
        <v>16</v>
      </c>
      <c r="BDC864" s="22" t="s">
        <v>16</v>
      </c>
      <c r="BDD864" s="22" t="s">
        <v>16</v>
      </c>
      <c r="BDE864" s="22" t="s">
        <v>16</v>
      </c>
      <c r="BDF864" s="22" t="s">
        <v>16</v>
      </c>
      <c r="BDG864" s="22" t="s">
        <v>16</v>
      </c>
      <c r="BDH864" s="22" t="s">
        <v>16</v>
      </c>
      <c r="BDI864" s="22" t="s">
        <v>16</v>
      </c>
      <c r="BDJ864" s="22" t="s">
        <v>16</v>
      </c>
      <c r="BDK864" s="22" t="s">
        <v>16</v>
      </c>
      <c r="BDL864" s="22" t="s">
        <v>16</v>
      </c>
      <c r="BDM864" s="22" t="s">
        <v>16</v>
      </c>
      <c r="BDN864" s="22" t="s">
        <v>16</v>
      </c>
      <c r="BDO864" s="22" t="s">
        <v>16</v>
      </c>
      <c r="BDP864" s="22" t="s">
        <v>16</v>
      </c>
      <c r="BDQ864" s="22" t="s">
        <v>16</v>
      </c>
      <c r="BDR864" s="22" t="s">
        <v>16</v>
      </c>
      <c r="BDS864" s="22" t="s">
        <v>16</v>
      </c>
      <c r="BDT864" s="22" t="s">
        <v>16</v>
      </c>
      <c r="BDU864" s="22" t="s">
        <v>16</v>
      </c>
      <c r="BDV864" s="22" t="s">
        <v>16</v>
      </c>
      <c r="BDW864" s="22" t="s">
        <v>16</v>
      </c>
      <c r="BDX864" s="22" t="s">
        <v>16</v>
      </c>
      <c r="BDY864" s="22" t="s">
        <v>16</v>
      </c>
      <c r="BDZ864" s="22" t="s">
        <v>16</v>
      </c>
      <c r="BEA864" s="22" t="s">
        <v>16</v>
      </c>
      <c r="BEB864" s="22" t="s">
        <v>16</v>
      </c>
      <c r="BEC864" s="22" t="s">
        <v>16</v>
      </c>
      <c r="BED864" s="22" t="s">
        <v>16</v>
      </c>
      <c r="BEE864" s="22" t="s">
        <v>16</v>
      </c>
      <c r="BEF864" s="22" t="s">
        <v>16</v>
      </c>
      <c r="BEG864" s="22" t="s">
        <v>16</v>
      </c>
      <c r="BEH864" s="22" t="s">
        <v>16</v>
      </c>
      <c r="BEI864" s="22" t="s">
        <v>16</v>
      </c>
      <c r="BEJ864" s="22" t="s">
        <v>16</v>
      </c>
      <c r="BEK864" s="22" t="s">
        <v>16</v>
      </c>
      <c r="BEL864" s="22" t="s">
        <v>16</v>
      </c>
      <c r="BEM864" s="22" t="s">
        <v>16</v>
      </c>
      <c r="BEN864" s="22" t="s">
        <v>16</v>
      </c>
      <c r="BEO864" s="22" t="s">
        <v>16</v>
      </c>
      <c r="BEP864" s="22" t="s">
        <v>16</v>
      </c>
      <c r="BEQ864" s="22" t="s">
        <v>16</v>
      </c>
      <c r="BER864" s="22" t="s">
        <v>16</v>
      </c>
      <c r="BES864" s="22" t="s">
        <v>16</v>
      </c>
      <c r="BET864" s="22" t="s">
        <v>16</v>
      </c>
      <c r="BEU864" s="22" t="s">
        <v>16</v>
      </c>
      <c r="BEV864" s="22" t="s">
        <v>16</v>
      </c>
      <c r="BEW864" s="22" t="s">
        <v>16</v>
      </c>
      <c r="BEX864" s="22" t="s">
        <v>16</v>
      </c>
      <c r="BEY864" s="22" t="s">
        <v>16</v>
      </c>
      <c r="BEZ864" s="22" t="s">
        <v>16</v>
      </c>
      <c r="BFA864" s="22" t="s">
        <v>16</v>
      </c>
      <c r="BFB864" s="22" t="s">
        <v>16</v>
      </c>
      <c r="BFC864" s="22" t="s">
        <v>16</v>
      </c>
      <c r="BFD864" s="22" t="s">
        <v>16</v>
      </c>
      <c r="BFE864" s="22" t="s">
        <v>16</v>
      </c>
      <c r="BFF864" s="22" t="s">
        <v>16</v>
      </c>
      <c r="BFG864" s="22" t="s">
        <v>16</v>
      </c>
      <c r="BFH864" s="22" t="s">
        <v>16</v>
      </c>
      <c r="BFI864" s="22" t="s">
        <v>16</v>
      </c>
      <c r="BFJ864" s="22" t="s">
        <v>16</v>
      </c>
      <c r="BFK864" s="22" t="s">
        <v>16</v>
      </c>
      <c r="BFL864" s="22" t="s">
        <v>16</v>
      </c>
      <c r="BFM864" s="22" t="s">
        <v>16</v>
      </c>
      <c r="BFN864" s="22" t="s">
        <v>16</v>
      </c>
      <c r="BFO864" s="22" t="s">
        <v>16</v>
      </c>
      <c r="BFP864" s="22" t="s">
        <v>16</v>
      </c>
      <c r="BFQ864" s="22" t="s">
        <v>16</v>
      </c>
      <c r="BFR864" s="22" t="s">
        <v>16</v>
      </c>
      <c r="BFS864" s="22" t="s">
        <v>16</v>
      </c>
      <c r="BFT864" s="22" t="s">
        <v>16</v>
      </c>
      <c r="BFU864" s="22" t="s">
        <v>16</v>
      </c>
      <c r="BFV864" s="22" t="s">
        <v>16</v>
      </c>
      <c r="BFW864" s="22" t="s">
        <v>16</v>
      </c>
      <c r="BFX864" s="22" t="s">
        <v>16</v>
      </c>
      <c r="BFY864" s="22" t="s">
        <v>16</v>
      </c>
      <c r="BFZ864" s="22" t="s">
        <v>16</v>
      </c>
      <c r="BGA864" s="22" t="s">
        <v>16</v>
      </c>
      <c r="BGB864" s="22" t="s">
        <v>16</v>
      </c>
      <c r="BGC864" s="22" t="s">
        <v>16</v>
      </c>
      <c r="BGD864" s="22" t="s">
        <v>16</v>
      </c>
      <c r="BGE864" s="22" t="s">
        <v>16</v>
      </c>
      <c r="BGF864" s="22" t="s">
        <v>16</v>
      </c>
      <c r="BGG864" s="22" t="s">
        <v>16</v>
      </c>
      <c r="BGH864" s="22" t="s">
        <v>16</v>
      </c>
      <c r="BGI864" s="22" t="s">
        <v>16</v>
      </c>
      <c r="BGJ864" s="22" t="s">
        <v>16</v>
      </c>
      <c r="BGK864" s="22" t="s">
        <v>16</v>
      </c>
      <c r="BGL864" s="22" t="s">
        <v>16</v>
      </c>
      <c r="BGM864" s="22" t="s">
        <v>16</v>
      </c>
      <c r="BGN864" s="22" t="s">
        <v>16</v>
      </c>
      <c r="BGO864" s="22" t="s">
        <v>16</v>
      </c>
      <c r="BGP864" s="22" t="s">
        <v>16</v>
      </c>
      <c r="BGQ864" s="22" t="s">
        <v>16</v>
      </c>
      <c r="BGR864" s="22" t="s">
        <v>16</v>
      </c>
      <c r="BGS864" s="22" t="s">
        <v>16</v>
      </c>
      <c r="BGT864" s="22" t="s">
        <v>16</v>
      </c>
      <c r="BGU864" s="22" t="s">
        <v>16</v>
      </c>
      <c r="BGV864" s="22" t="s">
        <v>16</v>
      </c>
      <c r="BGW864" s="22" t="s">
        <v>16</v>
      </c>
      <c r="BGX864" s="22" t="s">
        <v>16</v>
      </c>
      <c r="BGY864" s="22" t="s">
        <v>16</v>
      </c>
      <c r="BGZ864" s="22" t="s">
        <v>16</v>
      </c>
      <c r="BHA864" s="22" t="s">
        <v>16</v>
      </c>
      <c r="BHB864" s="22" t="s">
        <v>16</v>
      </c>
      <c r="BHC864" s="22" t="s">
        <v>16</v>
      </c>
      <c r="BHD864" s="22" t="s">
        <v>16</v>
      </c>
      <c r="BHE864" s="22" t="s">
        <v>16</v>
      </c>
      <c r="BHF864" s="22" t="s">
        <v>16</v>
      </c>
      <c r="BHG864" s="22" t="s">
        <v>16</v>
      </c>
      <c r="BHH864" s="22" t="s">
        <v>16</v>
      </c>
      <c r="BHI864" s="22" t="s">
        <v>16</v>
      </c>
      <c r="BHJ864" s="22" t="s">
        <v>16</v>
      </c>
      <c r="BHK864" s="22" t="s">
        <v>16</v>
      </c>
      <c r="BHL864" s="22" t="s">
        <v>16</v>
      </c>
      <c r="BHM864" s="22" t="s">
        <v>16</v>
      </c>
      <c r="BHN864" s="22" t="s">
        <v>16</v>
      </c>
      <c r="BHO864" s="22" t="s">
        <v>16</v>
      </c>
      <c r="BHP864" s="22" t="s">
        <v>16</v>
      </c>
      <c r="BHQ864" s="22" t="s">
        <v>16</v>
      </c>
      <c r="BHR864" s="22" t="s">
        <v>16</v>
      </c>
      <c r="BHS864" s="22" t="s">
        <v>16</v>
      </c>
      <c r="BHT864" s="22" t="s">
        <v>16</v>
      </c>
      <c r="BHU864" s="22" t="s">
        <v>16</v>
      </c>
      <c r="BHV864" s="22" t="s">
        <v>16</v>
      </c>
      <c r="BHW864" s="22" t="s">
        <v>16</v>
      </c>
      <c r="BHX864" s="22" t="s">
        <v>16</v>
      </c>
      <c r="BHY864" s="22" t="s">
        <v>16</v>
      </c>
      <c r="BHZ864" s="22" t="s">
        <v>16</v>
      </c>
      <c r="BIA864" s="22" t="s">
        <v>16</v>
      </c>
      <c r="BIB864" s="22" t="s">
        <v>16</v>
      </c>
      <c r="BIC864" s="22" t="s">
        <v>16</v>
      </c>
      <c r="BID864" s="22" t="s">
        <v>16</v>
      </c>
      <c r="BIE864" s="22" t="s">
        <v>16</v>
      </c>
      <c r="BIF864" s="22" t="s">
        <v>16</v>
      </c>
      <c r="BIG864" s="22" t="s">
        <v>16</v>
      </c>
      <c r="BIH864" s="22" t="s">
        <v>16</v>
      </c>
      <c r="BII864" s="22" t="s">
        <v>16</v>
      </c>
      <c r="BIJ864" s="22" t="s">
        <v>16</v>
      </c>
      <c r="BIK864" s="22" t="s">
        <v>16</v>
      </c>
      <c r="BIL864" s="22" t="s">
        <v>16</v>
      </c>
      <c r="BIM864" s="22" t="s">
        <v>16</v>
      </c>
      <c r="BIN864" s="22" t="s">
        <v>16</v>
      </c>
      <c r="BIO864" s="22" t="s">
        <v>16</v>
      </c>
      <c r="BIP864" s="22" t="s">
        <v>16</v>
      </c>
      <c r="BIQ864" s="22" t="s">
        <v>16</v>
      </c>
      <c r="BIR864" s="22" t="s">
        <v>16</v>
      </c>
      <c r="BIS864" s="22" t="s">
        <v>16</v>
      </c>
      <c r="BIT864" s="22" t="s">
        <v>16</v>
      </c>
      <c r="BIU864" s="22" t="s">
        <v>16</v>
      </c>
      <c r="BIV864" s="22" t="s">
        <v>16</v>
      </c>
      <c r="BIW864" s="22" t="s">
        <v>16</v>
      </c>
      <c r="BIX864" s="22" t="s">
        <v>16</v>
      </c>
      <c r="BIY864" s="22" t="s">
        <v>16</v>
      </c>
      <c r="BIZ864" s="22" t="s">
        <v>16</v>
      </c>
      <c r="BJA864" s="22" t="s">
        <v>16</v>
      </c>
      <c r="BJB864" s="22" t="s">
        <v>16</v>
      </c>
      <c r="BJC864" s="22" t="s">
        <v>16</v>
      </c>
      <c r="BJD864" s="22" t="s">
        <v>16</v>
      </c>
      <c r="BJE864" s="22" t="s">
        <v>16</v>
      </c>
      <c r="BJF864" s="22" t="s">
        <v>16</v>
      </c>
      <c r="BJG864" s="22" t="s">
        <v>16</v>
      </c>
      <c r="BJH864" s="22" t="s">
        <v>16</v>
      </c>
      <c r="BJI864" s="22" t="s">
        <v>16</v>
      </c>
      <c r="BJJ864" s="22" t="s">
        <v>16</v>
      </c>
      <c r="BJK864" s="22" t="s">
        <v>16</v>
      </c>
      <c r="BJL864" s="22" t="s">
        <v>16</v>
      </c>
      <c r="BJM864" s="22" t="s">
        <v>16</v>
      </c>
      <c r="BJN864" s="22" t="s">
        <v>16</v>
      </c>
      <c r="BJO864" s="22" t="s">
        <v>16</v>
      </c>
      <c r="BJP864" s="22" t="s">
        <v>16</v>
      </c>
      <c r="BJQ864" s="22" t="s">
        <v>16</v>
      </c>
      <c r="BJR864" s="22" t="s">
        <v>16</v>
      </c>
      <c r="BJS864" s="22" t="s">
        <v>16</v>
      </c>
      <c r="BJT864" s="22" t="s">
        <v>16</v>
      </c>
      <c r="BJU864" s="22" t="s">
        <v>16</v>
      </c>
      <c r="BJV864" s="22" t="s">
        <v>16</v>
      </c>
      <c r="BJW864" s="22" t="s">
        <v>16</v>
      </c>
      <c r="BJX864" s="22" t="s">
        <v>16</v>
      </c>
      <c r="BJY864" s="22" t="s">
        <v>16</v>
      </c>
      <c r="BJZ864" s="22" t="s">
        <v>16</v>
      </c>
      <c r="BKA864" s="22" t="s">
        <v>16</v>
      </c>
      <c r="BKB864" s="22" t="s">
        <v>16</v>
      </c>
      <c r="BKC864" s="22" t="s">
        <v>16</v>
      </c>
      <c r="BKD864" s="22" t="s">
        <v>16</v>
      </c>
      <c r="BKE864" s="22" t="s">
        <v>16</v>
      </c>
      <c r="BKF864" s="22" t="s">
        <v>16</v>
      </c>
      <c r="BKG864" s="22" t="s">
        <v>16</v>
      </c>
      <c r="BKH864" s="22" t="s">
        <v>16</v>
      </c>
      <c r="BKI864" s="22" t="s">
        <v>16</v>
      </c>
      <c r="BKJ864" s="22" t="s">
        <v>16</v>
      </c>
      <c r="BKK864" s="22" t="s">
        <v>16</v>
      </c>
      <c r="BKL864" s="22" t="s">
        <v>16</v>
      </c>
      <c r="BKM864" s="22" t="s">
        <v>16</v>
      </c>
      <c r="BKN864" s="22" t="s">
        <v>16</v>
      </c>
      <c r="BKO864" s="22" t="s">
        <v>16</v>
      </c>
      <c r="BKP864" s="22" t="s">
        <v>16</v>
      </c>
      <c r="BKQ864" s="22" t="s">
        <v>16</v>
      </c>
      <c r="BKR864" s="22" t="s">
        <v>16</v>
      </c>
      <c r="BKS864" s="22" t="s">
        <v>16</v>
      </c>
      <c r="BKT864" s="22" t="s">
        <v>16</v>
      </c>
      <c r="BKU864" s="22" t="s">
        <v>16</v>
      </c>
      <c r="BKV864" s="22" t="s">
        <v>16</v>
      </c>
      <c r="BKW864" s="22" t="s">
        <v>16</v>
      </c>
      <c r="BKX864" s="22" t="s">
        <v>16</v>
      </c>
      <c r="BKY864" s="22" t="s">
        <v>16</v>
      </c>
      <c r="BKZ864" s="22" t="s">
        <v>16</v>
      </c>
      <c r="BLA864" s="22" t="s">
        <v>16</v>
      </c>
      <c r="BLB864" s="22" t="s">
        <v>16</v>
      </c>
      <c r="BLC864" s="22" t="s">
        <v>16</v>
      </c>
      <c r="BLD864" s="22" t="s">
        <v>16</v>
      </c>
      <c r="BLE864" s="22" t="s">
        <v>16</v>
      </c>
      <c r="BLF864" s="22" t="s">
        <v>16</v>
      </c>
      <c r="BLG864" s="22" t="s">
        <v>16</v>
      </c>
      <c r="BLH864" s="22" t="s">
        <v>16</v>
      </c>
      <c r="BLI864" s="22" t="s">
        <v>16</v>
      </c>
      <c r="BLJ864" s="22" t="s">
        <v>16</v>
      </c>
      <c r="BLK864" s="22" t="s">
        <v>16</v>
      </c>
      <c r="BLL864" s="22" t="s">
        <v>16</v>
      </c>
      <c r="BLM864" s="22" t="s">
        <v>16</v>
      </c>
      <c r="BLN864" s="22" t="s">
        <v>16</v>
      </c>
      <c r="BLO864" s="22" t="s">
        <v>16</v>
      </c>
      <c r="BLP864" s="22" t="s">
        <v>16</v>
      </c>
      <c r="BLQ864" s="22" t="s">
        <v>16</v>
      </c>
      <c r="BLR864" s="22" t="s">
        <v>16</v>
      </c>
      <c r="BLS864" s="22" t="s">
        <v>16</v>
      </c>
      <c r="BLT864" s="22" t="s">
        <v>16</v>
      </c>
      <c r="BLU864" s="22" t="s">
        <v>16</v>
      </c>
      <c r="BLV864" s="22" t="s">
        <v>16</v>
      </c>
      <c r="BLW864" s="22" t="s">
        <v>16</v>
      </c>
      <c r="BLX864" s="22" t="s">
        <v>16</v>
      </c>
      <c r="BLY864" s="22" t="s">
        <v>16</v>
      </c>
      <c r="BLZ864" s="22" t="s">
        <v>16</v>
      </c>
      <c r="BMA864" s="22" t="s">
        <v>16</v>
      </c>
      <c r="BMB864" s="22" t="s">
        <v>16</v>
      </c>
      <c r="BMC864" s="22" t="s">
        <v>16</v>
      </c>
      <c r="BMD864" s="22" t="s">
        <v>16</v>
      </c>
      <c r="BME864" s="22" t="s">
        <v>16</v>
      </c>
      <c r="BMF864" s="22" t="s">
        <v>16</v>
      </c>
      <c r="BMG864" s="22" t="s">
        <v>16</v>
      </c>
      <c r="BMH864" s="22" t="s">
        <v>16</v>
      </c>
      <c r="BMI864" s="22" t="s">
        <v>16</v>
      </c>
      <c r="BMJ864" s="22" t="s">
        <v>16</v>
      </c>
      <c r="BMK864" s="22" t="s">
        <v>16</v>
      </c>
      <c r="BML864" s="22" t="s">
        <v>16</v>
      </c>
      <c r="BMM864" s="22" t="s">
        <v>16</v>
      </c>
      <c r="BMN864" s="22" t="s">
        <v>16</v>
      </c>
      <c r="BMO864" s="22" t="s">
        <v>16</v>
      </c>
      <c r="BMP864" s="22" t="s">
        <v>16</v>
      </c>
      <c r="BMQ864" s="22" t="s">
        <v>16</v>
      </c>
      <c r="BMR864" s="22" t="s">
        <v>16</v>
      </c>
      <c r="BMS864" s="22" t="s">
        <v>16</v>
      </c>
      <c r="BMT864" s="22" t="s">
        <v>16</v>
      </c>
      <c r="BMU864" s="22" t="s">
        <v>16</v>
      </c>
      <c r="BMV864" s="22" t="s">
        <v>16</v>
      </c>
      <c r="BMW864" s="22" t="s">
        <v>16</v>
      </c>
      <c r="BMX864" s="22" t="s">
        <v>16</v>
      </c>
      <c r="BMY864" s="22" t="s">
        <v>16</v>
      </c>
      <c r="BMZ864" s="22" t="s">
        <v>16</v>
      </c>
      <c r="BNA864" s="22" t="s">
        <v>16</v>
      </c>
      <c r="BNB864" s="22" t="s">
        <v>16</v>
      </c>
      <c r="BNC864" s="22" t="s">
        <v>16</v>
      </c>
      <c r="BND864" s="22" t="s">
        <v>16</v>
      </c>
      <c r="BNE864" s="22" t="s">
        <v>16</v>
      </c>
      <c r="BNF864" s="22" t="s">
        <v>16</v>
      </c>
      <c r="BNG864" s="22" t="s">
        <v>16</v>
      </c>
      <c r="BNH864" s="22" t="s">
        <v>16</v>
      </c>
      <c r="BNI864" s="22" t="s">
        <v>16</v>
      </c>
      <c r="BNJ864" s="22" t="s">
        <v>16</v>
      </c>
      <c r="BNK864" s="22" t="s">
        <v>16</v>
      </c>
      <c r="BNL864" s="22" t="s">
        <v>16</v>
      </c>
      <c r="BNM864" s="22" t="s">
        <v>16</v>
      </c>
      <c r="BNN864" s="22" t="s">
        <v>16</v>
      </c>
      <c r="BNO864" s="22" t="s">
        <v>16</v>
      </c>
      <c r="BNP864" s="22" t="s">
        <v>16</v>
      </c>
      <c r="BNQ864" s="22" t="s">
        <v>16</v>
      </c>
      <c r="BNR864" s="22" t="s">
        <v>16</v>
      </c>
      <c r="BNS864" s="22" t="s">
        <v>16</v>
      </c>
      <c r="BNT864" s="22" t="s">
        <v>16</v>
      </c>
      <c r="BNU864" s="22" t="s">
        <v>16</v>
      </c>
      <c r="BNV864" s="22" t="s">
        <v>16</v>
      </c>
      <c r="BNW864" s="22" t="s">
        <v>16</v>
      </c>
      <c r="BNX864" s="22" t="s">
        <v>16</v>
      </c>
      <c r="BNY864" s="22" t="s">
        <v>16</v>
      </c>
      <c r="BNZ864" s="22" t="s">
        <v>16</v>
      </c>
      <c r="BOA864" s="22" t="s">
        <v>16</v>
      </c>
      <c r="BOB864" s="22" t="s">
        <v>16</v>
      </c>
      <c r="BOC864" s="22" t="s">
        <v>16</v>
      </c>
      <c r="BOD864" s="22" t="s">
        <v>16</v>
      </c>
      <c r="BOE864" s="22" t="s">
        <v>16</v>
      </c>
      <c r="BOF864" s="22" t="s">
        <v>16</v>
      </c>
      <c r="BOG864" s="22" t="s">
        <v>16</v>
      </c>
      <c r="BOH864" s="22" t="s">
        <v>16</v>
      </c>
      <c r="BOI864" s="22" t="s">
        <v>16</v>
      </c>
      <c r="BOJ864" s="22" t="s">
        <v>16</v>
      </c>
      <c r="BOK864" s="22" t="s">
        <v>16</v>
      </c>
      <c r="BOL864" s="22" t="s">
        <v>16</v>
      </c>
      <c r="BOM864" s="22" t="s">
        <v>16</v>
      </c>
      <c r="BON864" s="22" t="s">
        <v>16</v>
      </c>
      <c r="BOO864" s="22" t="s">
        <v>16</v>
      </c>
      <c r="BOP864" s="22" t="s">
        <v>16</v>
      </c>
      <c r="BOQ864" s="22" t="s">
        <v>16</v>
      </c>
      <c r="BOR864" s="22" t="s">
        <v>16</v>
      </c>
      <c r="BOS864" s="22" t="s">
        <v>16</v>
      </c>
      <c r="BOT864" s="22" t="s">
        <v>16</v>
      </c>
      <c r="BOU864" s="22" t="s">
        <v>16</v>
      </c>
      <c r="BOV864" s="22" t="s">
        <v>16</v>
      </c>
      <c r="BOW864" s="22" t="s">
        <v>16</v>
      </c>
      <c r="BOX864" s="22" t="s">
        <v>16</v>
      </c>
      <c r="BOY864" s="22" t="s">
        <v>16</v>
      </c>
      <c r="BOZ864" s="22" t="s">
        <v>16</v>
      </c>
      <c r="BPA864" s="22" t="s">
        <v>16</v>
      </c>
      <c r="BPB864" s="22" t="s">
        <v>16</v>
      </c>
      <c r="BPC864" s="22" t="s">
        <v>16</v>
      </c>
      <c r="BPD864" s="22" t="s">
        <v>16</v>
      </c>
      <c r="BPE864" s="22" t="s">
        <v>16</v>
      </c>
      <c r="BPF864" s="22" t="s">
        <v>16</v>
      </c>
      <c r="BPG864" s="22" t="s">
        <v>16</v>
      </c>
      <c r="BPH864" s="22" t="s">
        <v>16</v>
      </c>
      <c r="BPI864" s="22" t="s">
        <v>16</v>
      </c>
      <c r="BPJ864" s="22" t="s">
        <v>16</v>
      </c>
      <c r="BPK864" s="22" t="s">
        <v>16</v>
      </c>
      <c r="BPL864" s="22" t="s">
        <v>16</v>
      </c>
      <c r="BPM864" s="22" t="s">
        <v>16</v>
      </c>
      <c r="BPN864" s="22" t="s">
        <v>16</v>
      </c>
      <c r="BPO864" s="22" t="s">
        <v>16</v>
      </c>
      <c r="BPP864" s="22" t="s">
        <v>16</v>
      </c>
      <c r="BPQ864" s="22" t="s">
        <v>16</v>
      </c>
      <c r="BPR864" s="22" t="s">
        <v>16</v>
      </c>
      <c r="BPS864" s="22" t="s">
        <v>16</v>
      </c>
      <c r="BPT864" s="22" t="s">
        <v>16</v>
      </c>
      <c r="BPU864" s="22" t="s">
        <v>16</v>
      </c>
      <c r="BPV864" s="22" t="s">
        <v>16</v>
      </c>
      <c r="BPW864" s="22" t="s">
        <v>16</v>
      </c>
      <c r="BPX864" s="22" t="s">
        <v>16</v>
      </c>
      <c r="BPY864" s="22" t="s">
        <v>16</v>
      </c>
      <c r="BPZ864" s="22" t="s">
        <v>16</v>
      </c>
      <c r="BQA864" s="22" t="s">
        <v>16</v>
      </c>
      <c r="BQB864" s="22" t="s">
        <v>16</v>
      </c>
      <c r="BQC864" s="22" t="s">
        <v>16</v>
      </c>
      <c r="BQD864" s="22" t="s">
        <v>16</v>
      </c>
      <c r="BQE864" s="22" t="s">
        <v>16</v>
      </c>
      <c r="BQF864" s="22" t="s">
        <v>16</v>
      </c>
      <c r="BQG864" s="22" t="s">
        <v>16</v>
      </c>
      <c r="BQH864" s="22" t="s">
        <v>16</v>
      </c>
      <c r="BQI864" s="22" t="s">
        <v>16</v>
      </c>
      <c r="BQJ864" s="22" t="s">
        <v>16</v>
      </c>
      <c r="BQK864" s="22" t="s">
        <v>16</v>
      </c>
      <c r="BQL864" s="22" t="s">
        <v>16</v>
      </c>
      <c r="BQM864" s="22" t="s">
        <v>16</v>
      </c>
      <c r="BQN864" s="22" t="s">
        <v>16</v>
      </c>
      <c r="BQO864" s="22" t="s">
        <v>16</v>
      </c>
      <c r="BQP864" s="22" t="s">
        <v>16</v>
      </c>
      <c r="BQQ864" s="22" t="s">
        <v>16</v>
      </c>
      <c r="BQR864" s="22" t="s">
        <v>16</v>
      </c>
      <c r="BQS864" s="22" t="s">
        <v>16</v>
      </c>
      <c r="BQT864" s="22" t="s">
        <v>16</v>
      </c>
      <c r="BQU864" s="22" t="s">
        <v>16</v>
      </c>
      <c r="BQV864" s="22" t="s">
        <v>16</v>
      </c>
      <c r="BQW864" s="22" t="s">
        <v>16</v>
      </c>
      <c r="BQX864" s="22" t="s">
        <v>16</v>
      </c>
      <c r="BQY864" s="22" t="s">
        <v>16</v>
      </c>
      <c r="BQZ864" s="22" t="s">
        <v>16</v>
      </c>
      <c r="BRA864" s="22" t="s">
        <v>16</v>
      </c>
      <c r="BRB864" s="22" t="s">
        <v>16</v>
      </c>
      <c r="BRC864" s="22" t="s">
        <v>16</v>
      </c>
      <c r="BRD864" s="22" t="s">
        <v>16</v>
      </c>
      <c r="BRE864" s="22" t="s">
        <v>16</v>
      </c>
      <c r="BRF864" s="22" t="s">
        <v>16</v>
      </c>
      <c r="BRG864" s="22" t="s">
        <v>16</v>
      </c>
      <c r="BRH864" s="22" t="s">
        <v>16</v>
      </c>
      <c r="BRI864" s="22" t="s">
        <v>16</v>
      </c>
      <c r="BRJ864" s="22" t="s">
        <v>16</v>
      </c>
      <c r="BRK864" s="22" t="s">
        <v>16</v>
      </c>
      <c r="BRL864" s="22" t="s">
        <v>16</v>
      </c>
      <c r="BRM864" s="22" t="s">
        <v>16</v>
      </c>
      <c r="BRN864" s="22" t="s">
        <v>16</v>
      </c>
      <c r="BRO864" s="22" t="s">
        <v>16</v>
      </c>
      <c r="BRP864" s="22" t="s">
        <v>16</v>
      </c>
      <c r="BRQ864" s="22" t="s">
        <v>16</v>
      </c>
      <c r="BRR864" s="22" t="s">
        <v>16</v>
      </c>
      <c r="BRS864" s="22" t="s">
        <v>16</v>
      </c>
      <c r="BRT864" s="22" t="s">
        <v>16</v>
      </c>
      <c r="BRU864" s="22" t="s">
        <v>16</v>
      </c>
      <c r="BRV864" s="22" t="s">
        <v>16</v>
      </c>
      <c r="BRW864" s="22" t="s">
        <v>16</v>
      </c>
      <c r="BRX864" s="22" t="s">
        <v>16</v>
      </c>
      <c r="BRY864" s="22" t="s">
        <v>16</v>
      </c>
      <c r="BRZ864" s="22" t="s">
        <v>16</v>
      </c>
      <c r="BSA864" s="22" t="s">
        <v>16</v>
      </c>
      <c r="BSB864" s="22" t="s">
        <v>16</v>
      </c>
      <c r="BSC864" s="22" t="s">
        <v>16</v>
      </c>
      <c r="BSD864" s="22" t="s">
        <v>16</v>
      </c>
      <c r="BSE864" s="22" t="s">
        <v>16</v>
      </c>
      <c r="BSF864" s="22" t="s">
        <v>16</v>
      </c>
      <c r="BSG864" s="22" t="s">
        <v>16</v>
      </c>
      <c r="BSH864" s="22" t="s">
        <v>16</v>
      </c>
      <c r="BSI864" s="22" t="s">
        <v>16</v>
      </c>
      <c r="BSJ864" s="22" t="s">
        <v>16</v>
      </c>
      <c r="BSK864" s="22" t="s">
        <v>16</v>
      </c>
      <c r="BSL864" s="22" t="s">
        <v>16</v>
      </c>
      <c r="BSM864" s="22" t="s">
        <v>16</v>
      </c>
      <c r="BSN864" s="22" t="s">
        <v>16</v>
      </c>
      <c r="BSO864" s="22" t="s">
        <v>16</v>
      </c>
      <c r="BSP864" s="22" t="s">
        <v>16</v>
      </c>
      <c r="BSQ864" s="22" t="s">
        <v>16</v>
      </c>
      <c r="BSR864" s="22" t="s">
        <v>16</v>
      </c>
      <c r="BSS864" s="22" t="s">
        <v>16</v>
      </c>
      <c r="BST864" s="22" t="s">
        <v>16</v>
      </c>
      <c r="BSU864" s="22" t="s">
        <v>16</v>
      </c>
      <c r="BSV864" s="22" t="s">
        <v>16</v>
      </c>
      <c r="BSW864" s="22" t="s">
        <v>16</v>
      </c>
      <c r="BSX864" s="22" t="s">
        <v>16</v>
      </c>
      <c r="BSY864" s="22" t="s">
        <v>16</v>
      </c>
      <c r="BSZ864" s="22" t="s">
        <v>16</v>
      </c>
      <c r="BTA864" s="22" t="s">
        <v>16</v>
      </c>
      <c r="BTB864" s="22" t="s">
        <v>16</v>
      </c>
      <c r="BTC864" s="22" t="s">
        <v>16</v>
      </c>
      <c r="BTD864" s="22" t="s">
        <v>16</v>
      </c>
      <c r="BTE864" s="22" t="s">
        <v>16</v>
      </c>
      <c r="BTF864" s="22" t="s">
        <v>16</v>
      </c>
      <c r="BTG864" s="22" t="s">
        <v>16</v>
      </c>
      <c r="BTH864" s="22" t="s">
        <v>16</v>
      </c>
      <c r="BTI864" s="22" t="s">
        <v>16</v>
      </c>
      <c r="BTJ864" s="22" t="s">
        <v>16</v>
      </c>
      <c r="BTK864" s="22" t="s">
        <v>16</v>
      </c>
      <c r="BTL864" s="22" t="s">
        <v>16</v>
      </c>
      <c r="BTM864" s="22" t="s">
        <v>16</v>
      </c>
      <c r="BTN864" s="22" t="s">
        <v>16</v>
      </c>
      <c r="BTO864" s="22" t="s">
        <v>16</v>
      </c>
      <c r="BTP864" s="22" t="s">
        <v>16</v>
      </c>
      <c r="BTQ864" s="22" t="s">
        <v>16</v>
      </c>
      <c r="BTR864" s="22" t="s">
        <v>16</v>
      </c>
      <c r="BTS864" s="22" t="s">
        <v>16</v>
      </c>
      <c r="BTT864" s="22" t="s">
        <v>16</v>
      </c>
      <c r="BTU864" s="22" t="s">
        <v>16</v>
      </c>
      <c r="BTV864" s="22" t="s">
        <v>16</v>
      </c>
      <c r="BTW864" s="22" t="s">
        <v>16</v>
      </c>
      <c r="BTX864" s="22" t="s">
        <v>16</v>
      </c>
      <c r="BTY864" s="22" t="s">
        <v>16</v>
      </c>
      <c r="BTZ864" s="22" t="s">
        <v>16</v>
      </c>
      <c r="BUA864" s="22" t="s">
        <v>16</v>
      </c>
      <c r="BUB864" s="22" t="s">
        <v>16</v>
      </c>
      <c r="BUC864" s="22" t="s">
        <v>16</v>
      </c>
      <c r="BUD864" s="22" t="s">
        <v>16</v>
      </c>
      <c r="BUE864" s="22" t="s">
        <v>16</v>
      </c>
      <c r="BUF864" s="22" t="s">
        <v>16</v>
      </c>
      <c r="BUG864" s="22" t="s">
        <v>16</v>
      </c>
      <c r="BUH864" s="22" t="s">
        <v>16</v>
      </c>
      <c r="BUI864" s="22" t="s">
        <v>16</v>
      </c>
      <c r="BUJ864" s="22" t="s">
        <v>16</v>
      </c>
      <c r="BUK864" s="22" t="s">
        <v>16</v>
      </c>
      <c r="BUL864" s="22" t="s">
        <v>16</v>
      </c>
      <c r="BUM864" s="22" t="s">
        <v>16</v>
      </c>
      <c r="BUN864" s="22" t="s">
        <v>16</v>
      </c>
      <c r="BUO864" s="22" t="s">
        <v>16</v>
      </c>
      <c r="BUP864" s="22" t="s">
        <v>16</v>
      </c>
      <c r="BUQ864" s="22" t="s">
        <v>16</v>
      </c>
      <c r="BUR864" s="22" t="s">
        <v>16</v>
      </c>
      <c r="BUS864" s="22" t="s">
        <v>16</v>
      </c>
      <c r="BUT864" s="22" t="s">
        <v>16</v>
      </c>
      <c r="BUU864" s="22" t="s">
        <v>16</v>
      </c>
      <c r="BUV864" s="22" t="s">
        <v>16</v>
      </c>
      <c r="BUW864" s="22" t="s">
        <v>16</v>
      </c>
      <c r="BUX864" s="22" t="s">
        <v>16</v>
      </c>
      <c r="BUY864" s="22" t="s">
        <v>16</v>
      </c>
      <c r="BUZ864" s="22" t="s">
        <v>16</v>
      </c>
      <c r="BVA864" s="22" t="s">
        <v>16</v>
      </c>
      <c r="BVB864" s="22" t="s">
        <v>16</v>
      </c>
      <c r="BVC864" s="22" t="s">
        <v>16</v>
      </c>
      <c r="BVD864" s="22" t="s">
        <v>16</v>
      </c>
      <c r="BVE864" s="22" t="s">
        <v>16</v>
      </c>
      <c r="BVF864" s="22" t="s">
        <v>16</v>
      </c>
      <c r="BVG864" s="22" t="s">
        <v>16</v>
      </c>
      <c r="BVH864" s="22" t="s">
        <v>16</v>
      </c>
      <c r="BVI864" s="22" t="s">
        <v>16</v>
      </c>
      <c r="BVJ864" s="22" t="s">
        <v>16</v>
      </c>
      <c r="BVK864" s="22" t="s">
        <v>16</v>
      </c>
      <c r="BVL864" s="22" t="s">
        <v>16</v>
      </c>
      <c r="BVM864" s="22" t="s">
        <v>16</v>
      </c>
      <c r="BVN864" s="22" t="s">
        <v>16</v>
      </c>
      <c r="BVO864" s="22" t="s">
        <v>16</v>
      </c>
      <c r="BVP864" s="22" t="s">
        <v>16</v>
      </c>
      <c r="BVQ864" s="22" t="s">
        <v>16</v>
      </c>
      <c r="BVR864" s="22" t="s">
        <v>16</v>
      </c>
      <c r="BVS864" s="22" t="s">
        <v>16</v>
      </c>
      <c r="BVT864" s="22" t="s">
        <v>16</v>
      </c>
      <c r="BVU864" s="22" t="s">
        <v>16</v>
      </c>
      <c r="BVV864" s="22" t="s">
        <v>16</v>
      </c>
      <c r="BVW864" s="22" t="s">
        <v>16</v>
      </c>
      <c r="BVX864" s="22" t="s">
        <v>16</v>
      </c>
      <c r="BVY864" s="22" t="s">
        <v>16</v>
      </c>
      <c r="BVZ864" s="22" t="s">
        <v>16</v>
      </c>
      <c r="BWA864" s="22" t="s">
        <v>16</v>
      </c>
      <c r="BWB864" s="22" t="s">
        <v>16</v>
      </c>
      <c r="BWC864" s="22" t="s">
        <v>16</v>
      </c>
      <c r="BWD864" s="22" t="s">
        <v>16</v>
      </c>
      <c r="BWE864" s="22" t="s">
        <v>16</v>
      </c>
      <c r="BWF864" s="22" t="s">
        <v>16</v>
      </c>
      <c r="BWG864" s="22" t="s">
        <v>16</v>
      </c>
      <c r="BWH864" s="22" t="s">
        <v>16</v>
      </c>
      <c r="BWI864" s="22" t="s">
        <v>16</v>
      </c>
      <c r="BWJ864" s="22" t="s">
        <v>16</v>
      </c>
      <c r="BWK864" s="22" t="s">
        <v>16</v>
      </c>
      <c r="BWL864" s="22" t="s">
        <v>16</v>
      </c>
      <c r="BWM864" s="22" t="s">
        <v>16</v>
      </c>
      <c r="BWN864" s="22" t="s">
        <v>16</v>
      </c>
      <c r="BWO864" s="22" t="s">
        <v>16</v>
      </c>
      <c r="BWP864" s="22" t="s">
        <v>16</v>
      </c>
      <c r="BWQ864" s="22" t="s">
        <v>16</v>
      </c>
      <c r="BWR864" s="22" t="s">
        <v>16</v>
      </c>
      <c r="BWS864" s="22" t="s">
        <v>16</v>
      </c>
      <c r="BWT864" s="22" t="s">
        <v>16</v>
      </c>
      <c r="BWU864" s="22" t="s">
        <v>16</v>
      </c>
      <c r="BWV864" s="22" t="s">
        <v>16</v>
      </c>
      <c r="BWW864" s="22" t="s">
        <v>16</v>
      </c>
      <c r="BWX864" s="22" t="s">
        <v>16</v>
      </c>
      <c r="BWY864" s="22" t="s">
        <v>16</v>
      </c>
      <c r="BWZ864" s="22" t="s">
        <v>16</v>
      </c>
      <c r="BXA864" s="22" t="s">
        <v>16</v>
      </c>
      <c r="BXB864" s="22" t="s">
        <v>16</v>
      </c>
      <c r="BXC864" s="22" t="s">
        <v>16</v>
      </c>
      <c r="BXD864" s="22" t="s">
        <v>16</v>
      </c>
      <c r="BXE864" s="22" t="s">
        <v>16</v>
      </c>
      <c r="BXF864" s="22" t="s">
        <v>16</v>
      </c>
      <c r="BXG864" s="22" t="s">
        <v>16</v>
      </c>
      <c r="BXH864" s="22" t="s">
        <v>16</v>
      </c>
      <c r="BXI864" s="22" t="s">
        <v>16</v>
      </c>
      <c r="BXJ864" s="22" t="s">
        <v>16</v>
      </c>
      <c r="BXK864" s="22" t="s">
        <v>16</v>
      </c>
      <c r="BXL864" s="22" t="s">
        <v>16</v>
      </c>
      <c r="BXM864" s="22" t="s">
        <v>16</v>
      </c>
      <c r="BXN864" s="22" t="s">
        <v>16</v>
      </c>
      <c r="BXO864" s="22" t="s">
        <v>16</v>
      </c>
      <c r="BXP864" s="22" t="s">
        <v>16</v>
      </c>
      <c r="BXQ864" s="22" t="s">
        <v>16</v>
      </c>
      <c r="BXR864" s="22" t="s">
        <v>16</v>
      </c>
      <c r="BXS864" s="22" t="s">
        <v>16</v>
      </c>
      <c r="BXT864" s="22" t="s">
        <v>16</v>
      </c>
      <c r="BXU864" s="22" t="s">
        <v>16</v>
      </c>
      <c r="BXV864" s="22" t="s">
        <v>16</v>
      </c>
      <c r="BXW864" s="22" t="s">
        <v>16</v>
      </c>
      <c r="BXX864" s="22" t="s">
        <v>16</v>
      </c>
      <c r="BXY864" s="22" t="s">
        <v>16</v>
      </c>
      <c r="BXZ864" s="22" t="s">
        <v>16</v>
      </c>
      <c r="BYA864" s="22" t="s">
        <v>16</v>
      </c>
      <c r="BYB864" s="22" t="s">
        <v>16</v>
      </c>
      <c r="BYC864" s="22" t="s">
        <v>16</v>
      </c>
      <c r="BYD864" s="22" t="s">
        <v>16</v>
      </c>
      <c r="BYE864" s="22" t="s">
        <v>16</v>
      </c>
      <c r="BYF864" s="22" t="s">
        <v>16</v>
      </c>
      <c r="BYG864" s="22" t="s">
        <v>16</v>
      </c>
      <c r="BYH864" s="22" t="s">
        <v>16</v>
      </c>
      <c r="BYI864" s="22" t="s">
        <v>16</v>
      </c>
      <c r="BYJ864" s="22" t="s">
        <v>16</v>
      </c>
      <c r="BYK864" s="22" t="s">
        <v>16</v>
      </c>
      <c r="BYL864" s="22" t="s">
        <v>16</v>
      </c>
      <c r="BYM864" s="22" t="s">
        <v>16</v>
      </c>
      <c r="BYN864" s="22" t="s">
        <v>16</v>
      </c>
      <c r="BYO864" s="22" t="s">
        <v>16</v>
      </c>
      <c r="BYP864" s="22" t="s">
        <v>16</v>
      </c>
      <c r="BYQ864" s="22" t="s">
        <v>16</v>
      </c>
      <c r="BYR864" s="22" t="s">
        <v>16</v>
      </c>
      <c r="BYS864" s="22" t="s">
        <v>16</v>
      </c>
      <c r="BYT864" s="22" t="s">
        <v>16</v>
      </c>
      <c r="BYU864" s="22" t="s">
        <v>16</v>
      </c>
      <c r="BYV864" s="22" t="s">
        <v>16</v>
      </c>
      <c r="BYW864" s="22" t="s">
        <v>16</v>
      </c>
      <c r="BYX864" s="22" t="s">
        <v>16</v>
      </c>
      <c r="BYY864" s="22" t="s">
        <v>16</v>
      </c>
      <c r="BYZ864" s="22" t="s">
        <v>16</v>
      </c>
      <c r="BZA864" s="22" t="s">
        <v>16</v>
      </c>
      <c r="BZB864" s="22" t="s">
        <v>16</v>
      </c>
      <c r="BZC864" s="22" t="s">
        <v>16</v>
      </c>
      <c r="BZD864" s="22" t="s">
        <v>16</v>
      </c>
      <c r="BZE864" s="22" t="s">
        <v>16</v>
      </c>
      <c r="BZF864" s="22" t="s">
        <v>16</v>
      </c>
      <c r="BZG864" s="22" t="s">
        <v>16</v>
      </c>
      <c r="BZH864" s="22" t="s">
        <v>16</v>
      </c>
      <c r="BZI864" s="22" t="s">
        <v>16</v>
      </c>
      <c r="BZJ864" s="22" t="s">
        <v>16</v>
      </c>
      <c r="BZK864" s="22" t="s">
        <v>16</v>
      </c>
      <c r="BZL864" s="22" t="s">
        <v>16</v>
      </c>
      <c r="BZM864" s="22" t="s">
        <v>16</v>
      </c>
      <c r="BZN864" s="22" t="s">
        <v>16</v>
      </c>
      <c r="BZO864" s="22" t="s">
        <v>16</v>
      </c>
      <c r="BZP864" s="22" t="s">
        <v>16</v>
      </c>
      <c r="BZQ864" s="22" t="s">
        <v>16</v>
      </c>
      <c r="BZR864" s="22" t="s">
        <v>16</v>
      </c>
      <c r="BZS864" s="22" t="s">
        <v>16</v>
      </c>
      <c r="BZT864" s="22" t="s">
        <v>16</v>
      </c>
      <c r="BZU864" s="22" t="s">
        <v>16</v>
      </c>
      <c r="BZV864" s="22" t="s">
        <v>16</v>
      </c>
      <c r="BZW864" s="22" t="s">
        <v>16</v>
      </c>
      <c r="BZX864" s="22" t="s">
        <v>16</v>
      </c>
      <c r="BZY864" s="22" t="s">
        <v>16</v>
      </c>
      <c r="BZZ864" s="22" t="s">
        <v>16</v>
      </c>
      <c r="CAA864" s="22" t="s">
        <v>16</v>
      </c>
      <c r="CAB864" s="22" t="s">
        <v>16</v>
      </c>
      <c r="CAC864" s="22" t="s">
        <v>16</v>
      </c>
      <c r="CAD864" s="22" t="s">
        <v>16</v>
      </c>
      <c r="CAE864" s="22" t="s">
        <v>16</v>
      </c>
      <c r="CAF864" s="22" t="s">
        <v>16</v>
      </c>
      <c r="CAG864" s="22" t="s">
        <v>16</v>
      </c>
      <c r="CAH864" s="22" t="s">
        <v>16</v>
      </c>
      <c r="CAI864" s="22" t="s">
        <v>16</v>
      </c>
      <c r="CAJ864" s="22" t="s">
        <v>16</v>
      </c>
      <c r="CAK864" s="22" t="s">
        <v>16</v>
      </c>
      <c r="CAL864" s="22" t="s">
        <v>16</v>
      </c>
      <c r="CAM864" s="22" t="s">
        <v>16</v>
      </c>
      <c r="CAN864" s="22" t="s">
        <v>16</v>
      </c>
      <c r="CAO864" s="22" t="s">
        <v>16</v>
      </c>
      <c r="CAP864" s="22" t="s">
        <v>16</v>
      </c>
      <c r="CAQ864" s="22" t="s">
        <v>16</v>
      </c>
      <c r="CAR864" s="22" t="s">
        <v>16</v>
      </c>
      <c r="CAS864" s="22" t="s">
        <v>16</v>
      </c>
      <c r="CAT864" s="22" t="s">
        <v>16</v>
      </c>
      <c r="CAU864" s="22" t="s">
        <v>16</v>
      </c>
      <c r="CAV864" s="22" t="s">
        <v>16</v>
      </c>
      <c r="CAW864" s="22" t="s">
        <v>16</v>
      </c>
      <c r="CAX864" s="22" t="s">
        <v>16</v>
      </c>
      <c r="CAY864" s="22" t="s">
        <v>16</v>
      </c>
      <c r="CAZ864" s="22" t="s">
        <v>16</v>
      </c>
      <c r="CBA864" s="22" t="s">
        <v>16</v>
      </c>
      <c r="CBB864" s="22" t="s">
        <v>16</v>
      </c>
      <c r="CBC864" s="22" t="s">
        <v>16</v>
      </c>
      <c r="CBD864" s="22" t="s">
        <v>16</v>
      </c>
      <c r="CBE864" s="22" t="s">
        <v>16</v>
      </c>
      <c r="CBF864" s="22" t="s">
        <v>16</v>
      </c>
      <c r="CBG864" s="22" t="s">
        <v>16</v>
      </c>
      <c r="CBH864" s="22" t="s">
        <v>16</v>
      </c>
      <c r="CBI864" s="22" t="s">
        <v>16</v>
      </c>
      <c r="CBJ864" s="22" t="s">
        <v>16</v>
      </c>
      <c r="CBK864" s="22" t="s">
        <v>16</v>
      </c>
      <c r="CBL864" s="22" t="s">
        <v>16</v>
      </c>
      <c r="CBM864" s="22" t="s">
        <v>16</v>
      </c>
      <c r="CBN864" s="22" t="s">
        <v>16</v>
      </c>
      <c r="CBO864" s="22" t="s">
        <v>16</v>
      </c>
      <c r="CBP864" s="22" t="s">
        <v>16</v>
      </c>
      <c r="CBQ864" s="22" t="s">
        <v>16</v>
      </c>
      <c r="CBR864" s="22" t="s">
        <v>16</v>
      </c>
      <c r="CBS864" s="22" t="s">
        <v>16</v>
      </c>
      <c r="CBT864" s="22" t="s">
        <v>16</v>
      </c>
      <c r="CBU864" s="22" t="s">
        <v>16</v>
      </c>
      <c r="CBV864" s="22" t="s">
        <v>16</v>
      </c>
      <c r="CBW864" s="22" t="s">
        <v>16</v>
      </c>
      <c r="CBX864" s="22" t="s">
        <v>16</v>
      </c>
      <c r="CBY864" s="22" t="s">
        <v>16</v>
      </c>
      <c r="CBZ864" s="22" t="s">
        <v>16</v>
      </c>
      <c r="CCA864" s="22" t="s">
        <v>16</v>
      </c>
      <c r="CCB864" s="22" t="s">
        <v>16</v>
      </c>
      <c r="CCC864" s="22" t="s">
        <v>16</v>
      </c>
      <c r="CCD864" s="22" t="s">
        <v>16</v>
      </c>
      <c r="CCE864" s="22" t="s">
        <v>16</v>
      </c>
      <c r="CCF864" s="22" t="s">
        <v>16</v>
      </c>
      <c r="CCG864" s="22" t="s">
        <v>16</v>
      </c>
      <c r="CCH864" s="22" t="s">
        <v>16</v>
      </c>
      <c r="CCI864" s="22" t="s">
        <v>16</v>
      </c>
      <c r="CCJ864" s="22" t="s">
        <v>16</v>
      </c>
      <c r="CCK864" s="22" t="s">
        <v>16</v>
      </c>
      <c r="CCL864" s="22" t="s">
        <v>16</v>
      </c>
      <c r="CCM864" s="22" t="s">
        <v>16</v>
      </c>
      <c r="CCN864" s="22" t="s">
        <v>16</v>
      </c>
      <c r="CCO864" s="22" t="s">
        <v>16</v>
      </c>
      <c r="CCP864" s="22" t="s">
        <v>16</v>
      </c>
      <c r="CCQ864" s="22" t="s">
        <v>16</v>
      </c>
      <c r="CCR864" s="22" t="s">
        <v>16</v>
      </c>
      <c r="CCS864" s="22" t="s">
        <v>16</v>
      </c>
      <c r="CCT864" s="22" t="s">
        <v>16</v>
      </c>
      <c r="CCU864" s="22" t="s">
        <v>16</v>
      </c>
      <c r="CCV864" s="22" t="s">
        <v>16</v>
      </c>
      <c r="CCW864" s="22" t="s">
        <v>16</v>
      </c>
      <c r="CCX864" s="22" t="s">
        <v>16</v>
      </c>
      <c r="CCY864" s="22" t="s">
        <v>16</v>
      </c>
      <c r="CCZ864" s="22" t="s">
        <v>16</v>
      </c>
      <c r="CDA864" s="22" t="s">
        <v>16</v>
      </c>
      <c r="CDB864" s="22" t="s">
        <v>16</v>
      </c>
      <c r="CDC864" s="22" t="s">
        <v>16</v>
      </c>
      <c r="CDD864" s="22" t="s">
        <v>16</v>
      </c>
      <c r="CDE864" s="22" t="s">
        <v>16</v>
      </c>
      <c r="CDF864" s="22" t="s">
        <v>16</v>
      </c>
      <c r="CDG864" s="22" t="s">
        <v>16</v>
      </c>
      <c r="CDH864" s="22" t="s">
        <v>16</v>
      </c>
      <c r="CDI864" s="22" t="s">
        <v>16</v>
      </c>
      <c r="CDJ864" s="22" t="s">
        <v>16</v>
      </c>
      <c r="CDK864" s="22" t="s">
        <v>16</v>
      </c>
      <c r="CDL864" s="22" t="s">
        <v>16</v>
      </c>
      <c r="CDM864" s="22" t="s">
        <v>16</v>
      </c>
      <c r="CDN864" s="22" t="s">
        <v>16</v>
      </c>
      <c r="CDO864" s="22" t="s">
        <v>16</v>
      </c>
      <c r="CDP864" s="22" t="s">
        <v>16</v>
      </c>
      <c r="CDQ864" s="22" t="s">
        <v>16</v>
      </c>
      <c r="CDR864" s="22" t="s">
        <v>16</v>
      </c>
      <c r="CDS864" s="22" t="s">
        <v>16</v>
      </c>
      <c r="CDT864" s="22" t="s">
        <v>16</v>
      </c>
      <c r="CDU864" s="22" t="s">
        <v>16</v>
      </c>
      <c r="CDV864" s="22" t="s">
        <v>16</v>
      </c>
      <c r="CDW864" s="22" t="s">
        <v>16</v>
      </c>
      <c r="CDX864" s="22" t="s">
        <v>16</v>
      </c>
      <c r="CDY864" s="22" t="s">
        <v>16</v>
      </c>
      <c r="CDZ864" s="22" t="s">
        <v>16</v>
      </c>
      <c r="CEA864" s="22" t="s">
        <v>16</v>
      </c>
      <c r="CEB864" s="22" t="s">
        <v>16</v>
      </c>
      <c r="CEC864" s="22" t="s">
        <v>16</v>
      </c>
      <c r="CED864" s="22" t="s">
        <v>16</v>
      </c>
      <c r="CEE864" s="22" t="s">
        <v>16</v>
      </c>
      <c r="CEF864" s="22" t="s">
        <v>16</v>
      </c>
      <c r="CEG864" s="22" t="s">
        <v>16</v>
      </c>
      <c r="CEH864" s="22" t="s">
        <v>16</v>
      </c>
      <c r="CEI864" s="22" t="s">
        <v>16</v>
      </c>
      <c r="CEJ864" s="22" t="s">
        <v>16</v>
      </c>
      <c r="CEK864" s="22" t="s">
        <v>16</v>
      </c>
      <c r="CEL864" s="22" t="s">
        <v>16</v>
      </c>
      <c r="CEM864" s="22" t="s">
        <v>16</v>
      </c>
      <c r="CEN864" s="22" t="s">
        <v>16</v>
      </c>
      <c r="CEO864" s="22" t="s">
        <v>16</v>
      </c>
      <c r="CEP864" s="22" t="s">
        <v>16</v>
      </c>
      <c r="CEQ864" s="22" t="s">
        <v>16</v>
      </c>
      <c r="CER864" s="22" t="s">
        <v>16</v>
      </c>
      <c r="CES864" s="22" t="s">
        <v>16</v>
      </c>
      <c r="CET864" s="22" t="s">
        <v>16</v>
      </c>
      <c r="CEU864" s="22" t="s">
        <v>16</v>
      </c>
      <c r="CEV864" s="22" t="s">
        <v>16</v>
      </c>
      <c r="CEW864" s="22" t="s">
        <v>16</v>
      </c>
      <c r="CEX864" s="22" t="s">
        <v>16</v>
      </c>
      <c r="CEY864" s="22" t="s">
        <v>16</v>
      </c>
      <c r="CEZ864" s="22" t="s">
        <v>16</v>
      </c>
      <c r="CFA864" s="22" t="s">
        <v>16</v>
      </c>
      <c r="CFB864" s="22" t="s">
        <v>16</v>
      </c>
      <c r="CFC864" s="22" t="s">
        <v>16</v>
      </c>
      <c r="CFD864" s="22" t="s">
        <v>16</v>
      </c>
      <c r="CFE864" s="22" t="s">
        <v>16</v>
      </c>
      <c r="CFF864" s="22" t="s">
        <v>16</v>
      </c>
      <c r="CFG864" s="22" t="s">
        <v>16</v>
      </c>
      <c r="CFH864" s="22" t="s">
        <v>16</v>
      </c>
      <c r="CFI864" s="22" t="s">
        <v>16</v>
      </c>
      <c r="CFJ864" s="22" t="s">
        <v>16</v>
      </c>
      <c r="CFK864" s="22" t="s">
        <v>16</v>
      </c>
      <c r="CFL864" s="22" t="s">
        <v>16</v>
      </c>
      <c r="CFM864" s="22" t="s">
        <v>16</v>
      </c>
      <c r="CFN864" s="22" t="s">
        <v>16</v>
      </c>
      <c r="CFO864" s="22" t="s">
        <v>16</v>
      </c>
      <c r="CFP864" s="22" t="s">
        <v>16</v>
      </c>
      <c r="CFQ864" s="22" t="s">
        <v>16</v>
      </c>
      <c r="CFR864" s="22" t="s">
        <v>16</v>
      </c>
      <c r="CFS864" s="22" t="s">
        <v>16</v>
      </c>
      <c r="CFT864" s="22" t="s">
        <v>16</v>
      </c>
      <c r="CFU864" s="22" t="s">
        <v>16</v>
      </c>
      <c r="CFV864" s="22" t="s">
        <v>16</v>
      </c>
      <c r="CFW864" s="22" t="s">
        <v>16</v>
      </c>
      <c r="CFX864" s="22" t="s">
        <v>16</v>
      </c>
      <c r="CFY864" s="22" t="s">
        <v>16</v>
      </c>
      <c r="CFZ864" s="22" t="s">
        <v>16</v>
      </c>
      <c r="CGA864" s="22" t="s">
        <v>16</v>
      </c>
      <c r="CGB864" s="22" t="s">
        <v>16</v>
      </c>
      <c r="CGC864" s="22" t="s">
        <v>16</v>
      </c>
      <c r="CGD864" s="22" t="s">
        <v>16</v>
      </c>
      <c r="CGE864" s="22" t="s">
        <v>16</v>
      </c>
      <c r="CGF864" s="22" t="s">
        <v>16</v>
      </c>
      <c r="CGG864" s="22" t="s">
        <v>16</v>
      </c>
      <c r="CGH864" s="22" t="s">
        <v>16</v>
      </c>
      <c r="CGI864" s="22" t="s">
        <v>16</v>
      </c>
      <c r="CGJ864" s="22" t="s">
        <v>16</v>
      </c>
      <c r="CGK864" s="22" t="s">
        <v>16</v>
      </c>
      <c r="CGL864" s="22" t="s">
        <v>16</v>
      </c>
      <c r="CGM864" s="22" t="s">
        <v>16</v>
      </c>
      <c r="CGN864" s="22" t="s">
        <v>16</v>
      </c>
      <c r="CGO864" s="22" t="s">
        <v>16</v>
      </c>
      <c r="CGP864" s="22" t="s">
        <v>16</v>
      </c>
      <c r="CGQ864" s="22" t="s">
        <v>16</v>
      </c>
      <c r="CGR864" s="22" t="s">
        <v>16</v>
      </c>
      <c r="CGS864" s="22" t="s">
        <v>16</v>
      </c>
      <c r="CGT864" s="22" t="s">
        <v>16</v>
      </c>
      <c r="CGU864" s="22" t="s">
        <v>16</v>
      </c>
      <c r="CGV864" s="22" t="s">
        <v>16</v>
      </c>
      <c r="CGW864" s="22" t="s">
        <v>16</v>
      </c>
      <c r="CGX864" s="22" t="s">
        <v>16</v>
      </c>
      <c r="CGY864" s="22" t="s">
        <v>16</v>
      </c>
      <c r="CGZ864" s="22" t="s">
        <v>16</v>
      </c>
      <c r="CHA864" s="22" t="s">
        <v>16</v>
      </c>
      <c r="CHB864" s="22" t="s">
        <v>16</v>
      </c>
      <c r="CHC864" s="22" t="s">
        <v>16</v>
      </c>
      <c r="CHD864" s="22" t="s">
        <v>16</v>
      </c>
      <c r="CHE864" s="22" t="s">
        <v>16</v>
      </c>
      <c r="CHF864" s="22" t="s">
        <v>16</v>
      </c>
      <c r="CHG864" s="22" t="s">
        <v>16</v>
      </c>
      <c r="CHH864" s="22" t="s">
        <v>16</v>
      </c>
      <c r="CHI864" s="22" t="s">
        <v>16</v>
      </c>
      <c r="CHJ864" s="22" t="s">
        <v>16</v>
      </c>
      <c r="CHK864" s="22" t="s">
        <v>16</v>
      </c>
      <c r="CHL864" s="22" t="s">
        <v>16</v>
      </c>
      <c r="CHM864" s="22" t="s">
        <v>16</v>
      </c>
      <c r="CHN864" s="22" t="s">
        <v>16</v>
      </c>
      <c r="CHO864" s="22" t="s">
        <v>16</v>
      </c>
      <c r="CHP864" s="22" t="s">
        <v>16</v>
      </c>
      <c r="CHQ864" s="22" t="s">
        <v>16</v>
      </c>
      <c r="CHR864" s="22" t="s">
        <v>16</v>
      </c>
      <c r="CHS864" s="22" t="s">
        <v>16</v>
      </c>
      <c r="CHT864" s="22" t="s">
        <v>16</v>
      </c>
      <c r="CHU864" s="22" t="s">
        <v>16</v>
      </c>
      <c r="CHV864" s="22" t="s">
        <v>16</v>
      </c>
      <c r="CHW864" s="22" t="s">
        <v>16</v>
      </c>
      <c r="CHX864" s="22" t="s">
        <v>16</v>
      </c>
      <c r="CHY864" s="22" t="s">
        <v>16</v>
      </c>
      <c r="CHZ864" s="22" t="s">
        <v>16</v>
      </c>
      <c r="CIA864" s="22" t="s">
        <v>16</v>
      </c>
      <c r="CIB864" s="22" t="s">
        <v>16</v>
      </c>
      <c r="CIC864" s="22" t="s">
        <v>16</v>
      </c>
      <c r="CID864" s="22" t="s">
        <v>16</v>
      </c>
      <c r="CIE864" s="22" t="s">
        <v>16</v>
      </c>
      <c r="CIF864" s="22" t="s">
        <v>16</v>
      </c>
      <c r="CIG864" s="22" t="s">
        <v>16</v>
      </c>
      <c r="CIH864" s="22" t="s">
        <v>16</v>
      </c>
      <c r="CII864" s="22" t="s">
        <v>16</v>
      </c>
      <c r="CIJ864" s="22" t="s">
        <v>16</v>
      </c>
      <c r="CIK864" s="22" t="s">
        <v>16</v>
      </c>
      <c r="CIL864" s="22" t="s">
        <v>16</v>
      </c>
      <c r="CIM864" s="22" t="s">
        <v>16</v>
      </c>
      <c r="CIN864" s="22" t="s">
        <v>16</v>
      </c>
      <c r="CIO864" s="22" t="s">
        <v>16</v>
      </c>
      <c r="CIP864" s="22" t="s">
        <v>16</v>
      </c>
      <c r="CIQ864" s="22" t="s">
        <v>16</v>
      </c>
      <c r="CIR864" s="22" t="s">
        <v>16</v>
      </c>
      <c r="CIS864" s="22" t="s">
        <v>16</v>
      </c>
      <c r="CIT864" s="22" t="s">
        <v>16</v>
      </c>
      <c r="CIU864" s="22" t="s">
        <v>16</v>
      </c>
      <c r="CIV864" s="22" t="s">
        <v>16</v>
      </c>
      <c r="CIW864" s="22" t="s">
        <v>16</v>
      </c>
      <c r="CIX864" s="22" t="s">
        <v>16</v>
      </c>
      <c r="CIY864" s="22" t="s">
        <v>16</v>
      </c>
      <c r="CIZ864" s="22" t="s">
        <v>16</v>
      </c>
      <c r="CJA864" s="22" t="s">
        <v>16</v>
      </c>
      <c r="CJB864" s="22" t="s">
        <v>16</v>
      </c>
      <c r="CJC864" s="22" t="s">
        <v>16</v>
      </c>
      <c r="CJD864" s="22" t="s">
        <v>16</v>
      </c>
      <c r="CJE864" s="22" t="s">
        <v>16</v>
      </c>
      <c r="CJF864" s="22" t="s">
        <v>16</v>
      </c>
      <c r="CJG864" s="22" t="s">
        <v>16</v>
      </c>
      <c r="CJH864" s="22" t="s">
        <v>16</v>
      </c>
      <c r="CJI864" s="22" t="s">
        <v>16</v>
      </c>
      <c r="CJJ864" s="22" t="s">
        <v>16</v>
      </c>
      <c r="CJK864" s="22" t="s">
        <v>16</v>
      </c>
      <c r="CJL864" s="22" t="s">
        <v>16</v>
      </c>
      <c r="CJM864" s="22" t="s">
        <v>16</v>
      </c>
      <c r="CJN864" s="22" t="s">
        <v>16</v>
      </c>
      <c r="CJO864" s="22" t="s">
        <v>16</v>
      </c>
      <c r="CJP864" s="22" t="s">
        <v>16</v>
      </c>
      <c r="CJQ864" s="22" t="s">
        <v>16</v>
      </c>
      <c r="CJR864" s="22" t="s">
        <v>16</v>
      </c>
      <c r="CJS864" s="22" t="s">
        <v>16</v>
      </c>
      <c r="CJT864" s="22" t="s">
        <v>16</v>
      </c>
      <c r="CJU864" s="22" t="s">
        <v>16</v>
      </c>
      <c r="CJV864" s="22" t="s">
        <v>16</v>
      </c>
      <c r="CJW864" s="22" t="s">
        <v>16</v>
      </c>
      <c r="CJX864" s="22" t="s">
        <v>16</v>
      </c>
      <c r="CJY864" s="22" t="s">
        <v>16</v>
      </c>
      <c r="CJZ864" s="22" t="s">
        <v>16</v>
      </c>
      <c r="CKA864" s="22" t="s">
        <v>16</v>
      </c>
      <c r="CKB864" s="22" t="s">
        <v>16</v>
      </c>
      <c r="CKC864" s="22" t="s">
        <v>16</v>
      </c>
      <c r="CKD864" s="22" t="s">
        <v>16</v>
      </c>
      <c r="CKE864" s="22" t="s">
        <v>16</v>
      </c>
      <c r="CKF864" s="22" t="s">
        <v>16</v>
      </c>
      <c r="CKG864" s="22" t="s">
        <v>16</v>
      </c>
      <c r="CKH864" s="22" t="s">
        <v>16</v>
      </c>
      <c r="CKI864" s="22" t="s">
        <v>16</v>
      </c>
      <c r="CKJ864" s="22" t="s">
        <v>16</v>
      </c>
      <c r="CKK864" s="22" t="s">
        <v>16</v>
      </c>
      <c r="CKL864" s="22" t="s">
        <v>16</v>
      </c>
      <c r="CKM864" s="22" t="s">
        <v>16</v>
      </c>
      <c r="CKN864" s="22" t="s">
        <v>16</v>
      </c>
      <c r="CKO864" s="22" t="s">
        <v>16</v>
      </c>
      <c r="CKP864" s="22" t="s">
        <v>16</v>
      </c>
      <c r="CKQ864" s="22" t="s">
        <v>16</v>
      </c>
      <c r="CKR864" s="22" t="s">
        <v>16</v>
      </c>
      <c r="CKS864" s="22" t="s">
        <v>16</v>
      </c>
      <c r="CKT864" s="22" t="s">
        <v>16</v>
      </c>
      <c r="CKU864" s="22" t="s">
        <v>16</v>
      </c>
      <c r="CKV864" s="22" t="s">
        <v>16</v>
      </c>
      <c r="CKW864" s="22" t="s">
        <v>16</v>
      </c>
      <c r="CKX864" s="22" t="s">
        <v>16</v>
      </c>
      <c r="CKY864" s="22" t="s">
        <v>16</v>
      </c>
      <c r="CKZ864" s="22" t="s">
        <v>16</v>
      </c>
      <c r="CLA864" s="22" t="s">
        <v>16</v>
      </c>
      <c r="CLB864" s="22" t="s">
        <v>16</v>
      </c>
      <c r="CLC864" s="22" t="s">
        <v>16</v>
      </c>
      <c r="CLD864" s="22" t="s">
        <v>16</v>
      </c>
      <c r="CLE864" s="22" t="s">
        <v>16</v>
      </c>
      <c r="CLF864" s="22" t="s">
        <v>16</v>
      </c>
      <c r="CLG864" s="22" t="s">
        <v>16</v>
      </c>
      <c r="CLH864" s="22" t="s">
        <v>16</v>
      </c>
      <c r="CLI864" s="22" t="s">
        <v>16</v>
      </c>
      <c r="CLJ864" s="22" t="s">
        <v>16</v>
      </c>
      <c r="CLK864" s="22" t="s">
        <v>16</v>
      </c>
      <c r="CLL864" s="22" t="s">
        <v>16</v>
      </c>
      <c r="CLM864" s="22" t="s">
        <v>16</v>
      </c>
      <c r="CLN864" s="22" t="s">
        <v>16</v>
      </c>
      <c r="CLO864" s="22" t="s">
        <v>16</v>
      </c>
      <c r="CLP864" s="22" t="s">
        <v>16</v>
      </c>
      <c r="CLQ864" s="22" t="s">
        <v>16</v>
      </c>
      <c r="CLR864" s="22" t="s">
        <v>16</v>
      </c>
      <c r="CLS864" s="22" t="s">
        <v>16</v>
      </c>
      <c r="CLT864" s="22" t="s">
        <v>16</v>
      </c>
      <c r="CLU864" s="22" t="s">
        <v>16</v>
      </c>
      <c r="CLV864" s="22" t="s">
        <v>16</v>
      </c>
      <c r="CLW864" s="22" t="s">
        <v>16</v>
      </c>
      <c r="CLX864" s="22" t="s">
        <v>16</v>
      </c>
      <c r="CLY864" s="22" t="s">
        <v>16</v>
      </c>
      <c r="CLZ864" s="22" t="s">
        <v>16</v>
      </c>
      <c r="CMA864" s="22" t="s">
        <v>16</v>
      </c>
      <c r="CMB864" s="22" t="s">
        <v>16</v>
      </c>
      <c r="CMC864" s="22" t="s">
        <v>16</v>
      </c>
      <c r="CMD864" s="22" t="s">
        <v>16</v>
      </c>
      <c r="CME864" s="22" t="s">
        <v>16</v>
      </c>
      <c r="CMF864" s="22" t="s">
        <v>16</v>
      </c>
      <c r="CMG864" s="22" t="s">
        <v>16</v>
      </c>
      <c r="CMH864" s="22" t="s">
        <v>16</v>
      </c>
      <c r="CMI864" s="22" t="s">
        <v>16</v>
      </c>
      <c r="CMJ864" s="22" t="s">
        <v>16</v>
      </c>
      <c r="CMK864" s="22" t="s">
        <v>16</v>
      </c>
      <c r="CML864" s="22" t="s">
        <v>16</v>
      </c>
      <c r="CMM864" s="22" t="s">
        <v>16</v>
      </c>
      <c r="CMN864" s="22" t="s">
        <v>16</v>
      </c>
      <c r="CMO864" s="22" t="s">
        <v>16</v>
      </c>
      <c r="CMP864" s="22" t="s">
        <v>16</v>
      </c>
      <c r="CMQ864" s="22" t="s">
        <v>16</v>
      </c>
      <c r="CMR864" s="22" t="s">
        <v>16</v>
      </c>
      <c r="CMS864" s="22" t="s">
        <v>16</v>
      </c>
      <c r="CMT864" s="22" t="s">
        <v>16</v>
      </c>
      <c r="CMU864" s="22" t="s">
        <v>16</v>
      </c>
      <c r="CMV864" s="22" t="s">
        <v>16</v>
      </c>
      <c r="CMW864" s="22" t="s">
        <v>16</v>
      </c>
      <c r="CMX864" s="22" t="s">
        <v>16</v>
      </c>
      <c r="CMY864" s="22" t="s">
        <v>16</v>
      </c>
      <c r="CMZ864" s="22" t="s">
        <v>16</v>
      </c>
      <c r="CNA864" s="22" t="s">
        <v>16</v>
      </c>
      <c r="CNB864" s="22" t="s">
        <v>16</v>
      </c>
      <c r="CNC864" s="22" t="s">
        <v>16</v>
      </c>
      <c r="CND864" s="22" t="s">
        <v>16</v>
      </c>
      <c r="CNE864" s="22" t="s">
        <v>16</v>
      </c>
      <c r="CNF864" s="22" t="s">
        <v>16</v>
      </c>
      <c r="CNG864" s="22" t="s">
        <v>16</v>
      </c>
      <c r="CNH864" s="22" t="s">
        <v>16</v>
      </c>
      <c r="CNI864" s="22" t="s">
        <v>16</v>
      </c>
      <c r="CNJ864" s="22" t="s">
        <v>16</v>
      </c>
      <c r="CNK864" s="22" t="s">
        <v>16</v>
      </c>
      <c r="CNL864" s="22" t="s">
        <v>16</v>
      </c>
      <c r="CNM864" s="22" t="s">
        <v>16</v>
      </c>
      <c r="CNN864" s="22" t="s">
        <v>16</v>
      </c>
      <c r="CNO864" s="22" t="s">
        <v>16</v>
      </c>
      <c r="CNP864" s="22" t="s">
        <v>16</v>
      </c>
      <c r="CNQ864" s="22" t="s">
        <v>16</v>
      </c>
      <c r="CNR864" s="22" t="s">
        <v>16</v>
      </c>
      <c r="CNS864" s="22" t="s">
        <v>16</v>
      </c>
      <c r="CNT864" s="22" t="s">
        <v>16</v>
      </c>
      <c r="CNU864" s="22" t="s">
        <v>16</v>
      </c>
      <c r="CNV864" s="22" t="s">
        <v>16</v>
      </c>
      <c r="CNW864" s="22" t="s">
        <v>16</v>
      </c>
      <c r="CNX864" s="22" t="s">
        <v>16</v>
      </c>
      <c r="CNY864" s="22" t="s">
        <v>16</v>
      </c>
      <c r="CNZ864" s="22" t="s">
        <v>16</v>
      </c>
      <c r="COA864" s="22" t="s">
        <v>16</v>
      </c>
      <c r="COB864" s="22" t="s">
        <v>16</v>
      </c>
      <c r="COC864" s="22" t="s">
        <v>16</v>
      </c>
      <c r="COD864" s="22" t="s">
        <v>16</v>
      </c>
      <c r="COE864" s="22" t="s">
        <v>16</v>
      </c>
      <c r="COF864" s="22" t="s">
        <v>16</v>
      </c>
      <c r="COG864" s="22" t="s">
        <v>16</v>
      </c>
      <c r="COH864" s="22" t="s">
        <v>16</v>
      </c>
      <c r="COI864" s="22" t="s">
        <v>16</v>
      </c>
      <c r="COJ864" s="22" t="s">
        <v>16</v>
      </c>
      <c r="COK864" s="22" t="s">
        <v>16</v>
      </c>
      <c r="COL864" s="22" t="s">
        <v>16</v>
      </c>
      <c r="COM864" s="22" t="s">
        <v>16</v>
      </c>
      <c r="CON864" s="22" t="s">
        <v>16</v>
      </c>
      <c r="COO864" s="22" t="s">
        <v>16</v>
      </c>
      <c r="COP864" s="22" t="s">
        <v>16</v>
      </c>
      <c r="COQ864" s="22" t="s">
        <v>16</v>
      </c>
      <c r="COR864" s="22" t="s">
        <v>16</v>
      </c>
      <c r="COS864" s="22" t="s">
        <v>16</v>
      </c>
      <c r="COT864" s="22" t="s">
        <v>16</v>
      </c>
      <c r="COU864" s="22" t="s">
        <v>16</v>
      </c>
      <c r="COV864" s="22" t="s">
        <v>16</v>
      </c>
      <c r="COW864" s="22" t="s">
        <v>16</v>
      </c>
      <c r="COX864" s="22" t="s">
        <v>16</v>
      </c>
      <c r="COY864" s="22" t="s">
        <v>16</v>
      </c>
      <c r="COZ864" s="22" t="s">
        <v>16</v>
      </c>
      <c r="CPA864" s="22" t="s">
        <v>16</v>
      </c>
      <c r="CPB864" s="22" t="s">
        <v>16</v>
      </c>
      <c r="CPC864" s="22" t="s">
        <v>16</v>
      </c>
      <c r="CPD864" s="22" t="s">
        <v>16</v>
      </c>
      <c r="CPE864" s="22" t="s">
        <v>16</v>
      </c>
      <c r="CPF864" s="22" t="s">
        <v>16</v>
      </c>
      <c r="CPG864" s="22" t="s">
        <v>16</v>
      </c>
      <c r="CPH864" s="22" t="s">
        <v>16</v>
      </c>
      <c r="CPI864" s="22" t="s">
        <v>16</v>
      </c>
      <c r="CPJ864" s="22" t="s">
        <v>16</v>
      </c>
      <c r="CPK864" s="22" t="s">
        <v>16</v>
      </c>
      <c r="CPL864" s="22" t="s">
        <v>16</v>
      </c>
      <c r="CPM864" s="22" t="s">
        <v>16</v>
      </c>
      <c r="CPN864" s="22" t="s">
        <v>16</v>
      </c>
      <c r="CPO864" s="22" t="s">
        <v>16</v>
      </c>
      <c r="CPP864" s="22" t="s">
        <v>16</v>
      </c>
      <c r="CPQ864" s="22" t="s">
        <v>16</v>
      </c>
      <c r="CPR864" s="22" t="s">
        <v>16</v>
      </c>
      <c r="CPS864" s="22" t="s">
        <v>16</v>
      </c>
      <c r="CPT864" s="22" t="s">
        <v>16</v>
      </c>
      <c r="CPU864" s="22" t="s">
        <v>16</v>
      </c>
      <c r="CPV864" s="22" t="s">
        <v>16</v>
      </c>
      <c r="CPW864" s="22" t="s">
        <v>16</v>
      </c>
      <c r="CPX864" s="22" t="s">
        <v>16</v>
      </c>
      <c r="CPY864" s="22" t="s">
        <v>16</v>
      </c>
      <c r="CPZ864" s="22" t="s">
        <v>16</v>
      </c>
      <c r="CQA864" s="22" t="s">
        <v>16</v>
      </c>
      <c r="CQB864" s="22" t="s">
        <v>16</v>
      </c>
      <c r="CQC864" s="22" t="s">
        <v>16</v>
      </c>
      <c r="CQD864" s="22" t="s">
        <v>16</v>
      </c>
      <c r="CQE864" s="22" t="s">
        <v>16</v>
      </c>
      <c r="CQF864" s="22" t="s">
        <v>16</v>
      </c>
      <c r="CQG864" s="22" t="s">
        <v>16</v>
      </c>
      <c r="CQH864" s="22" t="s">
        <v>16</v>
      </c>
      <c r="CQI864" s="22" t="s">
        <v>16</v>
      </c>
      <c r="CQJ864" s="22" t="s">
        <v>16</v>
      </c>
      <c r="CQK864" s="22" t="s">
        <v>16</v>
      </c>
      <c r="CQL864" s="22" t="s">
        <v>16</v>
      </c>
      <c r="CQM864" s="22" t="s">
        <v>16</v>
      </c>
      <c r="CQN864" s="22" t="s">
        <v>16</v>
      </c>
      <c r="CQO864" s="22" t="s">
        <v>16</v>
      </c>
      <c r="CQP864" s="22" t="s">
        <v>16</v>
      </c>
      <c r="CQQ864" s="22" t="s">
        <v>16</v>
      </c>
      <c r="CQR864" s="22" t="s">
        <v>16</v>
      </c>
      <c r="CQS864" s="22" t="s">
        <v>16</v>
      </c>
      <c r="CQT864" s="22" t="s">
        <v>16</v>
      </c>
      <c r="CQU864" s="22" t="s">
        <v>16</v>
      </c>
      <c r="CQV864" s="22" t="s">
        <v>16</v>
      </c>
      <c r="CQW864" s="22" t="s">
        <v>16</v>
      </c>
      <c r="CQX864" s="22" t="s">
        <v>16</v>
      </c>
      <c r="CQY864" s="22" t="s">
        <v>16</v>
      </c>
      <c r="CQZ864" s="22" t="s">
        <v>16</v>
      </c>
      <c r="CRA864" s="22" t="s">
        <v>16</v>
      </c>
      <c r="CRB864" s="22" t="s">
        <v>16</v>
      </c>
      <c r="CRC864" s="22" t="s">
        <v>16</v>
      </c>
      <c r="CRD864" s="22" t="s">
        <v>16</v>
      </c>
      <c r="CRE864" s="22" t="s">
        <v>16</v>
      </c>
      <c r="CRF864" s="22" t="s">
        <v>16</v>
      </c>
      <c r="CRG864" s="22" t="s">
        <v>16</v>
      </c>
      <c r="CRH864" s="22" t="s">
        <v>16</v>
      </c>
      <c r="CRI864" s="22" t="s">
        <v>16</v>
      </c>
      <c r="CRJ864" s="22" t="s">
        <v>16</v>
      </c>
      <c r="CRK864" s="22" t="s">
        <v>16</v>
      </c>
      <c r="CRL864" s="22" t="s">
        <v>16</v>
      </c>
      <c r="CRM864" s="22" t="s">
        <v>16</v>
      </c>
      <c r="CRN864" s="22" t="s">
        <v>16</v>
      </c>
      <c r="CRO864" s="22" t="s">
        <v>16</v>
      </c>
      <c r="CRP864" s="22" t="s">
        <v>16</v>
      </c>
      <c r="CRQ864" s="22" t="s">
        <v>16</v>
      </c>
      <c r="CRR864" s="22" t="s">
        <v>16</v>
      </c>
      <c r="CRS864" s="22" t="s">
        <v>16</v>
      </c>
      <c r="CRT864" s="22" t="s">
        <v>16</v>
      </c>
      <c r="CRU864" s="22" t="s">
        <v>16</v>
      </c>
      <c r="CRV864" s="22" t="s">
        <v>16</v>
      </c>
      <c r="CRW864" s="22" t="s">
        <v>16</v>
      </c>
      <c r="CRX864" s="22" t="s">
        <v>16</v>
      </c>
      <c r="CRY864" s="22" t="s">
        <v>16</v>
      </c>
      <c r="CRZ864" s="22" t="s">
        <v>16</v>
      </c>
      <c r="CSA864" s="22" t="s">
        <v>16</v>
      </c>
      <c r="CSB864" s="22" t="s">
        <v>16</v>
      </c>
      <c r="CSC864" s="22" t="s">
        <v>16</v>
      </c>
      <c r="CSD864" s="22" t="s">
        <v>16</v>
      </c>
      <c r="CSE864" s="22" t="s">
        <v>16</v>
      </c>
      <c r="CSF864" s="22" t="s">
        <v>16</v>
      </c>
      <c r="CSG864" s="22" t="s">
        <v>16</v>
      </c>
      <c r="CSH864" s="22" t="s">
        <v>16</v>
      </c>
      <c r="CSI864" s="22" t="s">
        <v>16</v>
      </c>
      <c r="CSJ864" s="22" t="s">
        <v>16</v>
      </c>
      <c r="CSK864" s="22" t="s">
        <v>16</v>
      </c>
      <c r="CSL864" s="22" t="s">
        <v>16</v>
      </c>
      <c r="CSM864" s="22" t="s">
        <v>16</v>
      </c>
      <c r="CSN864" s="22" t="s">
        <v>16</v>
      </c>
      <c r="CSO864" s="22" t="s">
        <v>16</v>
      </c>
      <c r="CSP864" s="22" t="s">
        <v>16</v>
      </c>
      <c r="CSQ864" s="22" t="s">
        <v>16</v>
      </c>
      <c r="CSR864" s="22" t="s">
        <v>16</v>
      </c>
      <c r="CSS864" s="22" t="s">
        <v>16</v>
      </c>
      <c r="CST864" s="22" t="s">
        <v>16</v>
      </c>
      <c r="CSU864" s="22" t="s">
        <v>16</v>
      </c>
      <c r="CSV864" s="22" t="s">
        <v>16</v>
      </c>
      <c r="CSW864" s="22" t="s">
        <v>16</v>
      </c>
      <c r="CSX864" s="22" t="s">
        <v>16</v>
      </c>
      <c r="CSY864" s="22" t="s">
        <v>16</v>
      </c>
      <c r="CSZ864" s="22" t="s">
        <v>16</v>
      </c>
      <c r="CTA864" s="22" t="s">
        <v>16</v>
      </c>
      <c r="CTB864" s="22" t="s">
        <v>16</v>
      </c>
      <c r="CTC864" s="22" t="s">
        <v>16</v>
      </c>
      <c r="CTD864" s="22" t="s">
        <v>16</v>
      </c>
      <c r="CTE864" s="22" t="s">
        <v>16</v>
      </c>
      <c r="CTF864" s="22" t="s">
        <v>16</v>
      </c>
      <c r="CTG864" s="22" t="s">
        <v>16</v>
      </c>
      <c r="CTH864" s="22" t="s">
        <v>16</v>
      </c>
      <c r="CTI864" s="22" t="s">
        <v>16</v>
      </c>
      <c r="CTJ864" s="22" t="s">
        <v>16</v>
      </c>
      <c r="CTK864" s="22" t="s">
        <v>16</v>
      </c>
      <c r="CTL864" s="22" t="s">
        <v>16</v>
      </c>
      <c r="CTM864" s="22" t="s">
        <v>16</v>
      </c>
      <c r="CTN864" s="22" t="s">
        <v>16</v>
      </c>
      <c r="CTO864" s="22" t="s">
        <v>16</v>
      </c>
      <c r="CTP864" s="22" t="s">
        <v>16</v>
      </c>
      <c r="CTQ864" s="22" t="s">
        <v>16</v>
      </c>
      <c r="CTR864" s="22" t="s">
        <v>16</v>
      </c>
      <c r="CTS864" s="22" t="s">
        <v>16</v>
      </c>
      <c r="CTT864" s="22" t="s">
        <v>16</v>
      </c>
      <c r="CTU864" s="22" t="s">
        <v>16</v>
      </c>
      <c r="CTV864" s="22" t="s">
        <v>16</v>
      </c>
      <c r="CTW864" s="22" t="s">
        <v>16</v>
      </c>
      <c r="CTX864" s="22" t="s">
        <v>16</v>
      </c>
      <c r="CTY864" s="22" t="s">
        <v>16</v>
      </c>
      <c r="CTZ864" s="22" t="s">
        <v>16</v>
      </c>
      <c r="CUA864" s="22" t="s">
        <v>16</v>
      </c>
      <c r="CUB864" s="22" t="s">
        <v>16</v>
      </c>
      <c r="CUC864" s="22" t="s">
        <v>16</v>
      </c>
      <c r="CUD864" s="22" t="s">
        <v>16</v>
      </c>
      <c r="CUE864" s="22" t="s">
        <v>16</v>
      </c>
      <c r="CUF864" s="22" t="s">
        <v>16</v>
      </c>
      <c r="CUG864" s="22" t="s">
        <v>16</v>
      </c>
      <c r="CUH864" s="22" t="s">
        <v>16</v>
      </c>
      <c r="CUI864" s="22" t="s">
        <v>16</v>
      </c>
      <c r="CUJ864" s="22" t="s">
        <v>16</v>
      </c>
      <c r="CUK864" s="22" t="s">
        <v>16</v>
      </c>
      <c r="CUL864" s="22" t="s">
        <v>16</v>
      </c>
      <c r="CUM864" s="22" t="s">
        <v>16</v>
      </c>
      <c r="CUN864" s="22" t="s">
        <v>16</v>
      </c>
      <c r="CUO864" s="22" t="s">
        <v>16</v>
      </c>
      <c r="CUP864" s="22" t="s">
        <v>16</v>
      </c>
      <c r="CUQ864" s="22" t="s">
        <v>16</v>
      </c>
      <c r="CUR864" s="22" t="s">
        <v>16</v>
      </c>
      <c r="CUS864" s="22" t="s">
        <v>16</v>
      </c>
      <c r="CUT864" s="22" t="s">
        <v>16</v>
      </c>
      <c r="CUU864" s="22" t="s">
        <v>16</v>
      </c>
      <c r="CUV864" s="22" t="s">
        <v>16</v>
      </c>
      <c r="CUW864" s="22" t="s">
        <v>16</v>
      </c>
      <c r="CUX864" s="22" t="s">
        <v>16</v>
      </c>
      <c r="CUY864" s="22" t="s">
        <v>16</v>
      </c>
      <c r="CUZ864" s="22" t="s">
        <v>16</v>
      </c>
      <c r="CVA864" s="22" t="s">
        <v>16</v>
      </c>
      <c r="CVB864" s="22" t="s">
        <v>16</v>
      </c>
      <c r="CVC864" s="22" t="s">
        <v>16</v>
      </c>
      <c r="CVD864" s="22" t="s">
        <v>16</v>
      </c>
      <c r="CVE864" s="22" t="s">
        <v>16</v>
      </c>
      <c r="CVF864" s="22" t="s">
        <v>16</v>
      </c>
      <c r="CVG864" s="22" t="s">
        <v>16</v>
      </c>
      <c r="CVH864" s="22" t="s">
        <v>16</v>
      </c>
      <c r="CVI864" s="22" t="s">
        <v>16</v>
      </c>
      <c r="CVJ864" s="22" t="s">
        <v>16</v>
      </c>
      <c r="CVK864" s="22" t="s">
        <v>16</v>
      </c>
      <c r="CVL864" s="22" t="s">
        <v>16</v>
      </c>
      <c r="CVM864" s="22" t="s">
        <v>16</v>
      </c>
      <c r="CVN864" s="22" t="s">
        <v>16</v>
      </c>
      <c r="CVO864" s="22" t="s">
        <v>16</v>
      </c>
      <c r="CVP864" s="22" t="s">
        <v>16</v>
      </c>
      <c r="CVQ864" s="22" t="s">
        <v>16</v>
      </c>
      <c r="CVR864" s="22" t="s">
        <v>16</v>
      </c>
      <c r="CVS864" s="22" t="s">
        <v>16</v>
      </c>
      <c r="CVT864" s="22" t="s">
        <v>16</v>
      </c>
      <c r="CVU864" s="22" t="s">
        <v>16</v>
      </c>
      <c r="CVV864" s="22" t="s">
        <v>16</v>
      </c>
      <c r="CVW864" s="22" t="s">
        <v>16</v>
      </c>
      <c r="CVX864" s="22" t="s">
        <v>16</v>
      </c>
      <c r="CVY864" s="22" t="s">
        <v>16</v>
      </c>
      <c r="CVZ864" s="22" t="s">
        <v>16</v>
      </c>
      <c r="CWA864" s="22" t="s">
        <v>16</v>
      </c>
      <c r="CWB864" s="22" t="s">
        <v>16</v>
      </c>
      <c r="CWC864" s="22" t="s">
        <v>16</v>
      </c>
      <c r="CWD864" s="22" t="s">
        <v>16</v>
      </c>
      <c r="CWE864" s="22" t="s">
        <v>16</v>
      </c>
      <c r="CWF864" s="22" t="s">
        <v>16</v>
      </c>
      <c r="CWG864" s="22" t="s">
        <v>16</v>
      </c>
      <c r="CWH864" s="22" t="s">
        <v>16</v>
      </c>
      <c r="CWI864" s="22" t="s">
        <v>16</v>
      </c>
      <c r="CWJ864" s="22" t="s">
        <v>16</v>
      </c>
      <c r="CWK864" s="22" t="s">
        <v>16</v>
      </c>
      <c r="CWL864" s="22" t="s">
        <v>16</v>
      </c>
      <c r="CWM864" s="22" t="s">
        <v>16</v>
      </c>
      <c r="CWN864" s="22" t="s">
        <v>16</v>
      </c>
      <c r="CWO864" s="22" t="s">
        <v>16</v>
      </c>
      <c r="CWP864" s="22" t="s">
        <v>16</v>
      </c>
      <c r="CWQ864" s="22" t="s">
        <v>16</v>
      </c>
      <c r="CWR864" s="22" t="s">
        <v>16</v>
      </c>
      <c r="CWS864" s="22" t="s">
        <v>16</v>
      </c>
      <c r="CWT864" s="22" t="s">
        <v>16</v>
      </c>
      <c r="CWU864" s="22" t="s">
        <v>16</v>
      </c>
      <c r="CWV864" s="22" t="s">
        <v>16</v>
      </c>
      <c r="CWW864" s="22" t="s">
        <v>16</v>
      </c>
      <c r="CWX864" s="22" t="s">
        <v>16</v>
      </c>
      <c r="CWY864" s="22" t="s">
        <v>16</v>
      </c>
      <c r="CWZ864" s="22" t="s">
        <v>16</v>
      </c>
      <c r="CXA864" s="22" t="s">
        <v>16</v>
      </c>
      <c r="CXB864" s="22" t="s">
        <v>16</v>
      </c>
      <c r="CXC864" s="22" t="s">
        <v>16</v>
      </c>
      <c r="CXD864" s="22" t="s">
        <v>16</v>
      </c>
      <c r="CXE864" s="22" t="s">
        <v>16</v>
      </c>
      <c r="CXF864" s="22" t="s">
        <v>16</v>
      </c>
      <c r="CXG864" s="22" t="s">
        <v>16</v>
      </c>
      <c r="CXH864" s="22" t="s">
        <v>16</v>
      </c>
      <c r="CXI864" s="22" t="s">
        <v>16</v>
      </c>
      <c r="CXJ864" s="22" t="s">
        <v>16</v>
      </c>
      <c r="CXK864" s="22" t="s">
        <v>16</v>
      </c>
      <c r="CXL864" s="22" t="s">
        <v>16</v>
      </c>
      <c r="CXM864" s="22" t="s">
        <v>16</v>
      </c>
      <c r="CXN864" s="22" t="s">
        <v>16</v>
      </c>
      <c r="CXO864" s="22" t="s">
        <v>16</v>
      </c>
      <c r="CXP864" s="22" t="s">
        <v>16</v>
      </c>
      <c r="CXQ864" s="22" t="s">
        <v>16</v>
      </c>
      <c r="CXR864" s="22" t="s">
        <v>16</v>
      </c>
      <c r="CXS864" s="22" t="s">
        <v>16</v>
      </c>
      <c r="CXT864" s="22" t="s">
        <v>16</v>
      </c>
      <c r="CXU864" s="22" t="s">
        <v>16</v>
      </c>
      <c r="CXV864" s="22" t="s">
        <v>16</v>
      </c>
      <c r="CXW864" s="22" t="s">
        <v>16</v>
      </c>
      <c r="CXX864" s="22" t="s">
        <v>16</v>
      </c>
      <c r="CXY864" s="22" t="s">
        <v>16</v>
      </c>
      <c r="CXZ864" s="22" t="s">
        <v>16</v>
      </c>
      <c r="CYA864" s="22" t="s">
        <v>16</v>
      </c>
      <c r="CYB864" s="22" t="s">
        <v>16</v>
      </c>
      <c r="CYC864" s="22" t="s">
        <v>16</v>
      </c>
      <c r="CYD864" s="22" t="s">
        <v>16</v>
      </c>
      <c r="CYE864" s="22" t="s">
        <v>16</v>
      </c>
      <c r="CYF864" s="22" t="s">
        <v>16</v>
      </c>
      <c r="CYG864" s="22" t="s">
        <v>16</v>
      </c>
      <c r="CYH864" s="22" t="s">
        <v>16</v>
      </c>
      <c r="CYI864" s="22" t="s">
        <v>16</v>
      </c>
      <c r="CYJ864" s="22" t="s">
        <v>16</v>
      </c>
      <c r="CYK864" s="22" t="s">
        <v>16</v>
      </c>
      <c r="CYL864" s="22" t="s">
        <v>16</v>
      </c>
      <c r="CYM864" s="22" t="s">
        <v>16</v>
      </c>
      <c r="CYN864" s="22" t="s">
        <v>16</v>
      </c>
      <c r="CYO864" s="22" t="s">
        <v>16</v>
      </c>
      <c r="CYP864" s="22" t="s">
        <v>16</v>
      </c>
      <c r="CYQ864" s="22" t="s">
        <v>16</v>
      </c>
      <c r="CYR864" s="22" t="s">
        <v>16</v>
      </c>
      <c r="CYS864" s="22" t="s">
        <v>16</v>
      </c>
      <c r="CYT864" s="22" t="s">
        <v>16</v>
      </c>
      <c r="CYU864" s="22" t="s">
        <v>16</v>
      </c>
      <c r="CYV864" s="22" t="s">
        <v>16</v>
      </c>
      <c r="CYW864" s="22" t="s">
        <v>16</v>
      </c>
      <c r="CYX864" s="22" t="s">
        <v>16</v>
      </c>
      <c r="CYY864" s="22" t="s">
        <v>16</v>
      </c>
      <c r="CYZ864" s="22" t="s">
        <v>16</v>
      </c>
      <c r="CZA864" s="22" t="s">
        <v>16</v>
      </c>
      <c r="CZB864" s="22" t="s">
        <v>16</v>
      </c>
      <c r="CZC864" s="22" t="s">
        <v>16</v>
      </c>
      <c r="CZD864" s="22" t="s">
        <v>16</v>
      </c>
      <c r="CZE864" s="22" t="s">
        <v>16</v>
      </c>
      <c r="CZF864" s="22" t="s">
        <v>16</v>
      </c>
      <c r="CZG864" s="22" t="s">
        <v>16</v>
      </c>
      <c r="CZH864" s="22" t="s">
        <v>16</v>
      </c>
      <c r="CZI864" s="22" t="s">
        <v>16</v>
      </c>
      <c r="CZJ864" s="22" t="s">
        <v>16</v>
      </c>
      <c r="CZK864" s="22" t="s">
        <v>16</v>
      </c>
      <c r="CZL864" s="22" t="s">
        <v>16</v>
      </c>
      <c r="CZM864" s="22" t="s">
        <v>16</v>
      </c>
      <c r="CZN864" s="22" t="s">
        <v>16</v>
      </c>
      <c r="CZO864" s="22" t="s">
        <v>16</v>
      </c>
      <c r="CZP864" s="22" t="s">
        <v>16</v>
      </c>
      <c r="CZQ864" s="22" t="s">
        <v>16</v>
      </c>
      <c r="CZR864" s="22" t="s">
        <v>16</v>
      </c>
      <c r="CZS864" s="22" t="s">
        <v>16</v>
      </c>
      <c r="CZT864" s="22" t="s">
        <v>16</v>
      </c>
      <c r="CZU864" s="22" t="s">
        <v>16</v>
      </c>
      <c r="CZV864" s="22" t="s">
        <v>16</v>
      </c>
      <c r="CZW864" s="22" t="s">
        <v>16</v>
      </c>
      <c r="CZX864" s="22" t="s">
        <v>16</v>
      </c>
      <c r="CZY864" s="22" t="s">
        <v>16</v>
      </c>
      <c r="CZZ864" s="22" t="s">
        <v>16</v>
      </c>
      <c r="DAA864" s="22" t="s">
        <v>16</v>
      </c>
      <c r="DAB864" s="22" t="s">
        <v>16</v>
      </c>
      <c r="DAC864" s="22" t="s">
        <v>16</v>
      </c>
      <c r="DAD864" s="22" t="s">
        <v>16</v>
      </c>
      <c r="DAE864" s="22" t="s">
        <v>16</v>
      </c>
      <c r="DAF864" s="22" t="s">
        <v>16</v>
      </c>
      <c r="DAG864" s="22" t="s">
        <v>16</v>
      </c>
      <c r="DAH864" s="22" t="s">
        <v>16</v>
      </c>
      <c r="DAI864" s="22" t="s">
        <v>16</v>
      </c>
      <c r="DAJ864" s="22" t="s">
        <v>16</v>
      </c>
      <c r="DAK864" s="22" t="s">
        <v>16</v>
      </c>
      <c r="DAL864" s="22" t="s">
        <v>16</v>
      </c>
      <c r="DAM864" s="22" t="s">
        <v>16</v>
      </c>
      <c r="DAN864" s="22" t="s">
        <v>16</v>
      </c>
      <c r="DAO864" s="22" t="s">
        <v>16</v>
      </c>
      <c r="DAP864" s="22" t="s">
        <v>16</v>
      </c>
      <c r="DAQ864" s="22" t="s">
        <v>16</v>
      </c>
      <c r="DAR864" s="22" t="s">
        <v>16</v>
      </c>
      <c r="DAS864" s="22" t="s">
        <v>16</v>
      </c>
      <c r="DAT864" s="22" t="s">
        <v>16</v>
      </c>
      <c r="DAU864" s="22" t="s">
        <v>16</v>
      </c>
      <c r="DAV864" s="22" t="s">
        <v>16</v>
      </c>
      <c r="DAW864" s="22" t="s">
        <v>16</v>
      </c>
      <c r="DAX864" s="22" t="s">
        <v>16</v>
      </c>
      <c r="DAY864" s="22" t="s">
        <v>16</v>
      </c>
      <c r="DAZ864" s="22" t="s">
        <v>16</v>
      </c>
      <c r="DBA864" s="22" t="s">
        <v>16</v>
      </c>
      <c r="DBB864" s="22" t="s">
        <v>16</v>
      </c>
      <c r="DBC864" s="22" t="s">
        <v>16</v>
      </c>
      <c r="DBD864" s="22" t="s">
        <v>16</v>
      </c>
      <c r="DBE864" s="22" t="s">
        <v>16</v>
      </c>
      <c r="DBF864" s="22" t="s">
        <v>16</v>
      </c>
      <c r="DBG864" s="22" t="s">
        <v>16</v>
      </c>
      <c r="DBH864" s="22" t="s">
        <v>16</v>
      </c>
      <c r="DBI864" s="22" t="s">
        <v>16</v>
      </c>
      <c r="DBJ864" s="22" t="s">
        <v>16</v>
      </c>
      <c r="DBK864" s="22" t="s">
        <v>16</v>
      </c>
      <c r="DBL864" s="22" t="s">
        <v>16</v>
      </c>
      <c r="DBM864" s="22" t="s">
        <v>16</v>
      </c>
      <c r="DBN864" s="22" t="s">
        <v>16</v>
      </c>
      <c r="DBO864" s="22" t="s">
        <v>16</v>
      </c>
      <c r="DBP864" s="22" t="s">
        <v>16</v>
      </c>
      <c r="DBQ864" s="22" t="s">
        <v>16</v>
      </c>
      <c r="DBR864" s="22" t="s">
        <v>16</v>
      </c>
      <c r="DBS864" s="22" t="s">
        <v>16</v>
      </c>
      <c r="DBT864" s="22" t="s">
        <v>16</v>
      </c>
      <c r="DBU864" s="22" t="s">
        <v>16</v>
      </c>
      <c r="DBV864" s="22" t="s">
        <v>16</v>
      </c>
      <c r="DBW864" s="22" t="s">
        <v>16</v>
      </c>
      <c r="DBX864" s="22" t="s">
        <v>16</v>
      </c>
      <c r="DBY864" s="22" t="s">
        <v>16</v>
      </c>
      <c r="DBZ864" s="22" t="s">
        <v>16</v>
      </c>
      <c r="DCA864" s="22" t="s">
        <v>16</v>
      </c>
      <c r="DCB864" s="22" t="s">
        <v>16</v>
      </c>
      <c r="DCC864" s="22" t="s">
        <v>16</v>
      </c>
      <c r="DCD864" s="22" t="s">
        <v>16</v>
      </c>
      <c r="DCE864" s="22" t="s">
        <v>16</v>
      </c>
      <c r="DCF864" s="22" t="s">
        <v>16</v>
      </c>
      <c r="DCG864" s="22" t="s">
        <v>16</v>
      </c>
      <c r="DCH864" s="22" t="s">
        <v>16</v>
      </c>
      <c r="DCI864" s="22" t="s">
        <v>16</v>
      </c>
      <c r="DCJ864" s="22" t="s">
        <v>16</v>
      </c>
      <c r="DCK864" s="22" t="s">
        <v>16</v>
      </c>
      <c r="DCL864" s="22" t="s">
        <v>16</v>
      </c>
      <c r="DCM864" s="22" t="s">
        <v>16</v>
      </c>
      <c r="DCN864" s="22" t="s">
        <v>16</v>
      </c>
      <c r="DCO864" s="22" t="s">
        <v>16</v>
      </c>
      <c r="DCP864" s="22" t="s">
        <v>16</v>
      </c>
      <c r="DCQ864" s="22" t="s">
        <v>16</v>
      </c>
      <c r="DCR864" s="22" t="s">
        <v>16</v>
      </c>
      <c r="DCS864" s="22" t="s">
        <v>16</v>
      </c>
      <c r="DCT864" s="22" t="s">
        <v>16</v>
      </c>
      <c r="DCU864" s="22" t="s">
        <v>16</v>
      </c>
      <c r="DCV864" s="22" t="s">
        <v>16</v>
      </c>
      <c r="DCW864" s="22" t="s">
        <v>16</v>
      </c>
      <c r="DCX864" s="22" t="s">
        <v>16</v>
      </c>
      <c r="DCY864" s="22" t="s">
        <v>16</v>
      </c>
      <c r="DCZ864" s="22" t="s">
        <v>16</v>
      </c>
      <c r="DDA864" s="22" t="s">
        <v>16</v>
      </c>
      <c r="DDB864" s="22" t="s">
        <v>16</v>
      </c>
      <c r="DDC864" s="22" t="s">
        <v>16</v>
      </c>
      <c r="DDD864" s="22" t="s">
        <v>16</v>
      </c>
      <c r="DDE864" s="22" t="s">
        <v>16</v>
      </c>
      <c r="DDF864" s="22" t="s">
        <v>16</v>
      </c>
      <c r="DDG864" s="22" t="s">
        <v>16</v>
      </c>
      <c r="DDH864" s="22" t="s">
        <v>16</v>
      </c>
      <c r="DDI864" s="22" t="s">
        <v>16</v>
      </c>
      <c r="DDJ864" s="22" t="s">
        <v>16</v>
      </c>
      <c r="DDK864" s="22" t="s">
        <v>16</v>
      </c>
      <c r="DDL864" s="22" t="s">
        <v>16</v>
      </c>
      <c r="DDM864" s="22" t="s">
        <v>16</v>
      </c>
      <c r="DDN864" s="22" t="s">
        <v>16</v>
      </c>
      <c r="DDO864" s="22" t="s">
        <v>16</v>
      </c>
      <c r="DDP864" s="22" t="s">
        <v>16</v>
      </c>
      <c r="DDQ864" s="22" t="s">
        <v>16</v>
      </c>
      <c r="DDR864" s="22" t="s">
        <v>16</v>
      </c>
      <c r="DDS864" s="22" t="s">
        <v>16</v>
      </c>
      <c r="DDT864" s="22" t="s">
        <v>16</v>
      </c>
      <c r="DDU864" s="22" t="s">
        <v>16</v>
      </c>
      <c r="DDV864" s="22" t="s">
        <v>16</v>
      </c>
      <c r="DDW864" s="22" t="s">
        <v>16</v>
      </c>
      <c r="DDX864" s="22" t="s">
        <v>16</v>
      </c>
      <c r="DDY864" s="22" t="s">
        <v>16</v>
      </c>
      <c r="DDZ864" s="22" t="s">
        <v>16</v>
      </c>
      <c r="DEA864" s="22" t="s">
        <v>16</v>
      </c>
      <c r="DEB864" s="22" t="s">
        <v>16</v>
      </c>
      <c r="DEC864" s="22" t="s">
        <v>16</v>
      </c>
      <c r="DED864" s="22" t="s">
        <v>16</v>
      </c>
      <c r="DEE864" s="22" t="s">
        <v>16</v>
      </c>
      <c r="DEF864" s="22" t="s">
        <v>16</v>
      </c>
      <c r="DEG864" s="22" t="s">
        <v>16</v>
      </c>
      <c r="DEH864" s="22" t="s">
        <v>16</v>
      </c>
      <c r="DEI864" s="22" t="s">
        <v>16</v>
      </c>
      <c r="DEJ864" s="22" t="s">
        <v>16</v>
      </c>
      <c r="DEK864" s="22" t="s">
        <v>16</v>
      </c>
      <c r="DEL864" s="22" t="s">
        <v>16</v>
      </c>
      <c r="DEM864" s="22" t="s">
        <v>16</v>
      </c>
      <c r="DEN864" s="22" t="s">
        <v>16</v>
      </c>
      <c r="DEO864" s="22" t="s">
        <v>16</v>
      </c>
      <c r="DEP864" s="22" t="s">
        <v>16</v>
      </c>
      <c r="DEQ864" s="22" t="s">
        <v>16</v>
      </c>
      <c r="DER864" s="22" t="s">
        <v>16</v>
      </c>
      <c r="DES864" s="22" t="s">
        <v>16</v>
      </c>
      <c r="DET864" s="22" t="s">
        <v>16</v>
      </c>
      <c r="DEU864" s="22" t="s">
        <v>16</v>
      </c>
      <c r="DEV864" s="22" t="s">
        <v>16</v>
      </c>
      <c r="DEW864" s="22" t="s">
        <v>16</v>
      </c>
      <c r="DEX864" s="22" t="s">
        <v>16</v>
      </c>
      <c r="DEY864" s="22" t="s">
        <v>16</v>
      </c>
      <c r="DEZ864" s="22" t="s">
        <v>16</v>
      </c>
      <c r="DFA864" s="22" t="s">
        <v>16</v>
      </c>
      <c r="DFB864" s="22" t="s">
        <v>16</v>
      </c>
      <c r="DFC864" s="22" t="s">
        <v>16</v>
      </c>
      <c r="DFD864" s="22" t="s">
        <v>16</v>
      </c>
      <c r="DFE864" s="22" t="s">
        <v>16</v>
      </c>
      <c r="DFF864" s="22" t="s">
        <v>16</v>
      </c>
      <c r="DFG864" s="22" t="s">
        <v>16</v>
      </c>
      <c r="DFH864" s="22" t="s">
        <v>16</v>
      </c>
      <c r="DFI864" s="22" t="s">
        <v>16</v>
      </c>
      <c r="DFJ864" s="22" t="s">
        <v>16</v>
      </c>
      <c r="DFK864" s="22" t="s">
        <v>16</v>
      </c>
      <c r="DFL864" s="22" t="s">
        <v>16</v>
      </c>
      <c r="DFM864" s="22" t="s">
        <v>16</v>
      </c>
      <c r="DFN864" s="22" t="s">
        <v>16</v>
      </c>
      <c r="DFO864" s="22" t="s">
        <v>16</v>
      </c>
      <c r="DFP864" s="22" t="s">
        <v>16</v>
      </c>
      <c r="DFQ864" s="22" t="s">
        <v>16</v>
      </c>
      <c r="DFR864" s="22" t="s">
        <v>16</v>
      </c>
      <c r="DFS864" s="22" t="s">
        <v>16</v>
      </c>
      <c r="DFT864" s="22" t="s">
        <v>16</v>
      </c>
      <c r="DFU864" s="22" t="s">
        <v>16</v>
      </c>
      <c r="DFV864" s="22" t="s">
        <v>16</v>
      </c>
      <c r="DFW864" s="22" t="s">
        <v>16</v>
      </c>
      <c r="DFX864" s="22" t="s">
        <v>16</v>
      </c>
      <c r="DFY864" s="22" t="s">
        <v>16</v>
      </c>
      <c r="DFZ864" s="22" t="s">
        <v>16</v>
      </c>
      <c r="DGA864" s="22" t="s">
        <v>16</v>
      </c>
      <c r="DGB864" s="22" t="s">
        <v>16</v>
      </c>
      <c r="DGC864" s="22" t="s">
        <v>16</v>
      </c>
      <c r="DGD864" s="22" t="s">
        <v>16</v>
      </c>
      <c r="DGE864" s="22" t="s">
        <v>16</v>
      </c>
      <c r="DGF864" s="22" t="s">
        <v>16</v>
      </c>
      <c r="DGG864" s="22" t="s">
        <v>16</v>
      </c>
      <c r="DGH864" s="22" t="s">
        <v>16</v>
      </c>
      <c r="DGI864" s="22" t="s">
        <v>16</v>
      </c>
      <c r="DGJ864" s="22" t="s">
        <v>16</v>
      </c>
      <c r="DGK864" s="22" t="s">
        <v>16</v>
      </c>
      <c r="DGL864" s="22" t="s">
        <v>16</v>
      </c>
      <c r="DGM864" s="22" t="s">
        <v>16</v>
      </c>
      <c r="DGN864" s="22" t="s">
        <v>16</v>
      </c>
      <c r="DGO864" s="22" t="s">
        <v>16</v>
      </c>
      <c r="DGP864" s="22" t="s">
        <v>16</v>
      </c>
      <c r="DGQ864" s="22" t="s">
        <v>16</v>
      </c>
      <c r="DGR864" s="22" t="s">
        <v>16</v>
      </c>
      <c r="DGS864" s="22" t="s">
        <v>16</v>
      </c>
      <c r="DGT864" s="22" t="s">
        <v>16</v>
      </c>
      <c r="DGU864" s="22" t="s">
        <v>16</v>
      </c>
      <c r="DGV864" s="22" t="s">
        <v>16</v>
      </c>
      <c r="DGW864" s="22" t="s">
        <v>16</v>
      </c>
      <c r="DGX864" s="22" t="s">
        <v>16</v>
      </c>
      <c r="DGY864" s="22" t="s">
        <v>16</v>
      </c>
      <c r="DGZ864" s="22" t="s">
        <v>16</v>
      </c>
      <c r="DHA864" s="22" t="s">
        <v>16</v>
      </c>
      <c r="DHB864" s="22" t="s">
        <v>16</v>
      </c>
      <c r="DHC864" s="22" t="s">
        <v>16</v>
      </c>
      <c r="DHD864" s="22" t="s">
        <v>16</v>
      </c>
      <c r="DHE864" s="22" t="s">
        <v>16</v>
      </c>
      <c r="DHF864" s="22" t="s">
        <v>16</v>
      </c>
      <c r="DHG864" s="22" t="s">
        <v>16</v>
      </c>
      <c r="DHH864" s="22" t="s">
        <v>16</v>
      </c>
      <c r="DHI864" s="22" t="s">
        <v>16</v>
      </c>
      <c r="DHJ864" s="22" t="s">
        <v>16</v>
      </c>
      <c r="DHK864" s="22" t="s">
        <v>16</v>
      </c>
      <c r="DHL864" s="22" t="s">
        <v>16</v>
      </c>
      <c r="DHM864" s="22" t="s">
        <v>16</v>
      </c>
      <c r="DHN864" s="22" t="s">
        <v>16</v>
      </c>
      <c r="DHO864" s="22" t="s">
        <v>16</v>
      </c>
      <c r="DHP864" s="22" t="s">
        <v>16</v>
      </c>
      <c r="DHQ864" s="22" t="s">
        <v>16</v>
      </c>
      <c r="DHR864" s="22" t="s">
        <v>16</v>
      </c>
      <c r="DHS864" s="22" t="s">
        <v>16</v>
      </c>
      <c r="DHT864" s="22" t="s">
        <v>16</v>
      </c>
      <c r="DHU864" s="22" t="s">
        <v>16</v>
      </c>
      <c r="DHV864" s="22" t="s">
        <v>16</v>
      </c>
      <c r="DHW864" s="22" t="s">
        <v>16</v>
      </c>
      <c r="DHX864" s="22" t="s">
        <v>16</v>
      </c>
      <c r="DHY864" s="22" t="s">
        <v>16</v>
      </c>
      <c r="DHZ864" s="22" t="s">
        <v>16</v>
      </c>
      <c r="DIA864" s="22" t="s">
        <v>16</v>
      </c>
      <c r="DIB864" s="22" t="s">
        <v>16</v>
      </c>
      <c r="DIC864" s="22" t="s">
        <v>16</v>
      </c>
      <c r="DID864" s="22" t="s">
        <v>16</v>
      </c>
      <c r="DIE864" s="22" t="s">
        <v>16</v>
      </c>
      <c r="DIF864" s="22" t="s">
        <v>16</v>
      </c>
      <c r="DIG864" s="22" t="s">
        <v>16</v>
      </c>
      <c r="DIH864" s="22" t="s">
        <v>16</v>
      </c>
      <c r="DII864" s="22" t="s">
        <v>16</v>
      </c>
      <c r="DIJ864" s="22" t="s">
        <v>16</v>
      </c>
      <c r="DIK864" s="22" t="s">
        <v>16</v>
      </c>
      <c r="DIL864" s="22" t="s">
        <v>16</v>
      </c>
      <c r="DIM864" s="22" t="s">
        <v>16</v>
      </c>
      <c r="DIN864" s="22" t="s">
        <v>16</v>
      </c>
      <c r="DIO864" s="22" t="s">
        <v>16</v>
      </c>
      <c r="DIP864" s="22" t="s">
        <v>16</v>
      </c>
      <c r="DIQ864" s="22" t="s">
        <v>16</v>
      </c>
      <c r="DIR864" s="22" t="s">
        <v>16</v>
      </c>
      <c r="DIS864" s="22" t="s">
        <v>16</v>
      </c>
      <c r="DIT864" s="22" t="s">
        <v>16</v>
      </c>
      <c r="DIU864" s="22" t="s">
        <v>16</v>
      </c>
      <c r="DIV864" s="22" t="s">
        <v>16</v>
      </c>
      <c r="DIW864" s="22" t="s">
        <v>16</v>
      </c>
      <c r="DIX864" s="22" t="s">
        <v>16</v>
      </c>
      <c r="DIY864" s="22" t="s">
        <v>16</v>
      </c>
      <c r="DIZ864" s="22" t="s">
        <v>16</v>
      </c>
      <c r="DJA864" s="22" t="s">
        <v>16</v>
      </c>
      <c r="DJB864" s="22" t="s">
        <v>16</v>
      </c>
      <c r="DJC864" s="22" t="s">
        <v>16</v>
      </c>
      <c r="DJD864" s="22" t="s">
        <v>16</v>
      </c>
      <c r="DJE864" s="22" t="s">
        <v>16</v>
      </c>
      <c r="DJF864" s="22" t="s">
        <v>16</v>
      </c>
      <c r="DJG864" s="22" t="s">
        <v>16</v>
      </c>
      <c r="DJH864" s="22" t="s">
        <v>16</v>
      </c>
      <c r="DJI864" s="22" t="s">
        <v>16</v>
      </c>
      <c r="DJJ864" s="22" t="s">
        <v>16</v>
      </c>
      <c r="DJK864" s="22" t="s">
        <v>16</v>
      </c>
      <c r="DJL864" s="22" t="s">
        <v>16</v>
      </c>
      <c r="DJM864" s="22" t="s">
        <v>16</v>
      </c>
      <c r="DJN864" s="22" t="s">
        <v>16</v>
      </c>
      <c r="DJO864" s="22" t="s">
        <v>16</v>
      </c>
      <c r="DJP864" s="22" t="s">
        <v>16</v>
      </c>
      <c r="DJQ864" s="22" t="s">
        <v>16</v>
      </c>
      <c r="DJR864" s="22" t="s">
        <v>16</v>
      </c>
      <c r="DJS864" s="22" t="s">
        <v>16</v>
      </c>
      <c r="DJT864" s="22" t="s">
        <v>16</v>
      </c>
      <c r="DJU864" s="22" t="s">
        <v>16</v>
      </c>
      <c r="DJV864" s="22" t="s">
        <v>16</v>
      </c>
      <c r="DJW864" s="22" t="s">
        <v>16</v>
      </c>
      <c r="DJX864" s="22" t="s">
        <v>16</v>
      </c>
      <c r="DJY864" s="22" t="s">
        <v>16</v>
      </c>
      <c r="DJZ864" s="22" t="s">
        <v>16</v>
      </c>
      <c r="DKA864" s="22" t="s">
        <v>16</v>
      </c>
      <c r="DKB864" s="22" t="s">
        <v>16</v>
      </c>
      <c r="DKC864" s="22" t="s">
        <v>16</v>
      </c>
      <c r="DKD864" s="22" t="s">
        <v>16</v>
      </c>
      <c r="DKE864" s="22" t="s">
        <v>16</v>
      </c>
      <c r="DKF864" s="22" t="s">
        <v>16</v>
      </c>
      <c r="DKG864" s="22" t="s">
        <v>16</v>
      </c>
      <c r="DKH864" s="22" t="s">
        <v>16</v>
      </c>
      <c r="DKI864" s="22" t="s">
        <v>16</v>
      </c>
      <c r="DKJ864" s="22" t="s">
        <v>16</v>
      </c>
      <c r="DKK864" s="22" t="s">
        <v>16</v>
      </c>
      <c r="DKL864" s="22" t="s">
        <v>16</v>
      </c>
      <c r="DKM864" s="22" t="s">
        <v>16</v>
      </c>
      <c r="DKN864" s="22" t="s">
        <v>16</v>
      </c>
      <c r="DKO864" s="22" t="s">
        <v>16</v>
      </c>
      <c r="DKP864" s="22" t="s">
        <v>16</v>
      </c>
      <c r="DKQ864" s="22" t="s">
        <v>16</v>
      </c>
      <c r="DKR864" s="22" t="s">
        <v>16</v>
      </c>
      <c r="DKS864" s="22" t="s">
        <v>16</v>
      </c>
      <c r="DKT864" s="22" t="s">
        <v>16</v>
      </c>
      <c r="DKU864" s="22" t="s">
        <v>16</v>
      </c>
      <c r="DKV864" s="22" t="s">
        <v>16</v>
      </c>
      <c r="DKW864" s="22" t="s">
        <v>16</v>
      </c>
      <c r="DKX864" s="22" t="s">
        <v>16</v>
      </c>
      <c r="DKY864" s="22" t="s">
        <v>16</v>
      </c>
      <c r="DKZ864" s="22" t="s">
        <v>16</v>
      </c>
      <c r="DLA864" s="22" t="s">
        <v>16</v>
      </c>
      <c r="DLB864" s="22" t="s">
        <v>16</v>
      </c>
      <c r="DLC864" s="22" t="s">
        <v>16</v>
      </c>
      <c r="DLD864" s="22" t="s">
        <v>16</v>
      </c>
      <c r="DLE864" s="22" t="s">
        <v>16</v>
      </c>
      <c r="DLF864" s="22" t="s">
        <v>16</v>
      </c>
      <c r="DLG864" s="22" t="s">
        <v>16</v>
      </c>
      <c r="DLH864" s="22" t="s">
        <v>16</v>
      </c>
      <c r="DLI864" s="22" t="s">
        <v>16</v>
      </c>
      <c r="DLJ864" s="22" t="s">
        <v>16</v>
      </c>
      <c r="DLK864" s="22" t="s">
        <v>16</v>
      </c>
      <c r="DLL864" s="22" t="s">
        <v>16</v>
      </c>
      <c r="DLM864" s="22" t="s">
        <v>16</v>
      </c>
      <c r="DLN864" s="22" t="s">
        <v>16</v>
      </c>
      <c r="DLO864" s="22" t="s">
        <v>16</v>
      </c>
      <c r="DLP864" s="22" t="s">
        <v>16</v>
      </c>
      <c r="DLQ864" s="22" t="s">
        <v>16</v>
      </c>
      <c r="DLR864" s="22" t="s">
        <v>16</v>
      </c>
      <c r="DLS864" s="22" t="s">
        <v>16</v>
      </c>
      <c r="DLT864" s="22" t="s">
        <v>16</v>
      </c>
      <c r="DLU864" s="22" t="s">
        <v>16</v>
      </c>
      <c r="DLV864" s="22" t="s">
        <v>16</v>
      </c>
      <c r="DLW864" s="22" t="s">
        <v>16</v>
      </c>
      <c r="DLX864" s="22" t="s">
        <v>16</v>
      </c>
      <c r="DLY864" s="22" t="s">
        <v>16</v>
      </c>
      <c r="DLZ864" s="22" t="s">
        <v>16</v>
      </c>
      <c r="DMA864" s="22" t="s">
        <v>16</v>
      </c>
      <c r="DMB864" s="22" t="s">
        <v>16</v>
      </c>
      <c r="DMC864" s="22" t="s">
        <v>16</v>
      </c>
      <c r="DMD864" s="22" t="s">
        <v>16</v>
      </c>
      <c r="DME864" s="22" t="s">
        <v>16</v>
      </c>
      <c r="DMF864" s="22" t="s">
        <v>16</v>
      </c>
      <c r="DMG864" s="22" t="s">
        <v>16</v>
      </c>
      <c r="DMH864" s="22" t="s">
        <v>16</v>
      </c>
      <c r="DMI864" s="22" t="s">
        <v>16</v>
      </c>
      <c r="DMJ864" s="22" t="s">
        <v>16</v>
      </c>
      <c r="DMK864" s="22" t="s">
        <v>16</v>
      </c>
      <c r="DML864" s="22" t="s">
        <v>16</v>
      </c>
      <c r="DMM864" s="22" t="s">
        <v>16</v>
      </c>
      <c r="DMN864" s="22" t="s">
        <v>16</v>
      </c>
      <c r="DMO864" s="22" t="s">
        <v>16</v>
      </c>
      <c r="DMP864" s="22" t="s">
        <v>16</v>
      </c>
      <c r="DMQ864" s="22" t="s">
        <v>16</v>
      </c>
      <c r="DMR864" s="22" t="s">
        <v>16</v>
      </c>
      <c r="DMS864" s="22" t="s">
        <v>16</v>
      </c>
      <c r="DMT864" s="22" t="s">
        <v>16</v>
      </c>
      <c r="DMU864" s="22" t="s">
        <v>16</v>
      </c>
      <c r="DMV864" s="22" t="s">
        <v>16</v>
      </c>
      <c r="DMW864" s="22" t="s">
        <v>16</v>
      </c>
      <c r="DMX864" s="22" t="s">
        <v>16</v>
      </c>
      <c r="DMY864" s="22" t="s">
        <v>16</v>
      </c>
      <c r="DMZ864" s="22" t="s">
        <v>16</v>
      </c>
      <c r="DNA864" s="22" t="s">
        <v>16</v>
      </c>
      <c r="DNB864" s="22" t="s">
        <v>16</v>
      </c>
      <c r="DNC864" s="22" t="s">
        <v>16</v>
      </c>
      <c r="DND864" s="22" t="s">
        <v>16</v>
      </c>
      <c r="DNE864" s="22" t="s">
        <v>16</v>
      </c>
      <c r="DNF864" s="22" t="s">
        <v>16</v>
      </c>
      <c r="DNG864" s="22" t="s">
        <v>16</v>
      </c>
      <c r="DNH864" s="22" t="s">
        <v>16</v>
      </c>
      <c r="DNI864" s="22" t="s">
        <v>16</v>
      </c>
      <c r="DNJ864" s="22" t="s">
        <v>16</v>
      </c>
      <c r="DNK864" s="22" t="s">
        <v>16</v>
      </c>
      <c r="DNL864" s="22" t="s">
        <v>16</v>
      </c>
      <c r="DNM864" s="22" t="s">
        <v>16</v>
      </c>
      <c r="DNN864" s="22" t="s">
        <v>16</v>
      </c>
      <c r="DNO864" s="22" t="s">
        <v>16</v>
      </c>
      <c r="DNP864" s="22" t="s">
        <v>16</v>
      </c>
      <c r="DNQ864" s="22" t="s">
        <v>16</v>
      </c>
      <c r="DNR864" s="22" t="s">
        <v>16</v>
      </c>
      <c r="DNS864" s="22" t="s">
        <v>16</v>
      </c>
      <c r="DNT864" s="22" t="s">
        <v>16</v>
      </c>
      <c r="DNU864" s="22" t="s">
        <v>16</v>
      </c>
      <c r="DNV864" s="22" t="s">
        <v>16</v>
      </c>
      <c r="DNW864" s="22" t="s">
        <v>16</v>
      </c>
      <c r="DNX864" s="22" t="s">
        <v>16</v>
      </c>
      <c r="DNY864" s="22" t="s">
        <v>16</v>
      </c>
      <c r="DNZ864" s="22" t="s">
        <v>16</v>
      </c>
      <c r="DOA864" s="22" t="s">
        <v>16</v>
      </c>
      <c r="DOB864" s="22" t="s">
        <v>16</v>
      </c>
      <c r="DOC864" s="22" t="s">
        <v>16</v>
      </c>
      <c r="DOD864" s="22" t="s">
        <v>16</v>
      </c>
      <c r="DOE864" s="22" t="s">
        <v>16</v>
      </c>
      <c r="DOF864" s="22" t="s">
        <v>16</v>
      </c>
      <c r="DOG864" s="22" t="s">
        <v>16</v>
      </c>
      <c r="DOH864" s="22" t="s">
        <v>16</v>
      </c>
      <c r="DOI864" s="22" t="s">
        <v>16</v>
      </c>
      <c r="DOJ864" s="22" t="s">
        <v>16</v>
      </c>
      <c r="DOK864" s="22" t="s">
        <v>16</v>
      </c>
      <c r="DOL864" s="22" t="s">
        <v>16</v>
      </c>
      <c r="DOM864" s="22" t="s">
        <v>16</v>
      </c>
      <c r="DON864" s="22" t="s">
        <v>16</v>
      </c>
      <c r="DOO864" s="22" t="s">
        <v>16</v>
      </c>
      <c r="DOP864" s="22" t="s">
        <v>16</v>
      </c>
      <c r="DOQ864" s="22" t="s">
        <v>16</v>
      </c>
      <c r="DOR864" s="22" t="s">
        <v>16</v>
      </c>
      <c r="DOS864" s="22" t="s">
        <v>16</v>
      </c>
      <c r="DOT864" s="22" t="s">
        <v>16</v>
      </c>
      <c r="DOU864" s="22" t="s">
        <v>16</v>
      </c>
      <c r="DOV864" s="22" t="s">
        <v>16</v>
      </c>
      <c r="DOW864" s="22" t="s">
        <v>16</v>
      </c>
      <c r="DOX864" s="22" t="s">
        <v>16</v>
      </c>
      <c r="DOY864" s="22" t="s">
        <v>16</v>
      </c>
      <c r="DOZ864" s="22" t="s">
        <v>16</v>
      </c>
      <c r="DPA864" s="22" t="s">
        <v>16</v>
      </c>
      <c r="DPB864" s="22" t="s">
        <v>16</v>
      </c>
      <c r="DPC864" s="22" t="s">
        <v>16</v>
      </c>
      <c r="DPD864" s="22" t="s">
        <v>16</v>
      </c>
      <c r="DPE864" s="22" t="s">
        <v>16</v>
      </c>
      <c r="DPF864" s="22" t="s">
        <v>16</v>
      </c>
      <c r="DPG864" s="22" t="s">
        <v>16</v>
      </c>
      <c r="DPH864" s="22" t="s">
        <v>16</v>
      </c>
      <c r="DPI864" s="22" t="s">
        <v>16</v>
      </c>
      <c r="DPJ864" s="22" t="s">
        <v>16</v>
      </c>
      <c r="DPK864" s="22" t="s">
        <v>16</v>
      </c>
      <c r="DPL864" s="22" t="s">
        <v>16</v>
      </c>
      <c r="DPM864" s="22" t="s">
        <v>16</v>
      </c>
      <c r="DPN864" s="22" t="s">
        <v>16</v>
      </c>
      <c r="DPO864" s="22" t="s">
        <v>16</v>
      </c>
      <c r="DPP864" s="22" t="s">
        <v>16</v>
      </c>
      <c r="DPQ864" s="22" t="s">
        <v>16</v>
      </c>
      <c r="DPR864" s="22" t="s">
        <v>16</v>
      </c>
      <c r="DPS864" s="22" t="s">
        <v>16</v>
      </c>
      <c r="DPT864" s="22" t="s">
        <v>16</v>
      </c>
      <c r="DPU864" s="22" t="s">
        <v>16</v>
      </c>
      <c r="DPV864" s="22" t="s">
        <v>16</v>
      </c>
      <c r="DPW864" s="22" t="s">
        <v>16</v>
      </c>
      <c r="DPX864" s="22" t="s">
        <v>16</v>
      </c>
      <c r="DPY864" s="22" t="s">
        <v>16</v>
      </c>
      <c r="DPZ864" s="22" t="s">
        <v>16</v>
      </c>
      <c r="DQA864" s="22" t="s">
        <v>16</v>
      </c>
      <c r="DQB864" s="22" t="s">
        <v>16</v>
      </c>
      <c r="DQC864" s="22" t="s">
        <v>16</v>
      </c>
      <c r="DQD864" s="22" t="s">
        <v>16</v>
      </c>
      <c r="DQE864" s="22" t="s">
        <v>16</v>
      </c>
      <c r="DQF864" s="22" t="s">
        <v>16</v>
      </c>
      <c r="DQG864" s="22" t="s">
        <v>16</v>
      </c>
      <c r="DQH864" s="22" t="s">
        <v>16</v>
      </c>
      <c r="DQI864" s="22" t="s">
        <v>16</v>
      </c>
      <c r="DQJ864" s="22" t="s">
        <v>16</v>
      </c>
      <c r="DQK864" s="22" t="s">
        <v>16</v>
      </c>
      <c r="DQL864" s="22" t="s">
        <v>16</v>
      </c>
      <c r="DQM864" s="22" t="s">
        <v>16</v>
      </c>
      <c r="DQN864" s="22" t="s">
        <v>16</v>
      </c>
      <c r="DQO864" s="22" t="s">
        <v>16</v>
      </c>
      <c r="DQP864" s="22" t="s">
        <v>16</v>
      </c>
      <c r="DQQ864" s="22" t="s">
        <v>16</v>
      </c>
      <c r="DQR864" s="22" t="s">
        <v>16</v>
      </c>
      <c r="DQS864" s="22" t="s">
        <v>16</v>
      </c>
      <c r="DQT864" s="22" t="s">
        <v>16</v>
      </c>
      <c r="DQU864" s="22" t="s">
        <v>16</v>
      </c>
      <c r="DQV864" s="22" t="s">
        <v>16</v>
      </c>
      <c r="DQW864" s="22" t="s">
        <v>16</v>
      </c>
      <c r="DQX864" s="22" t="s">
        <v>16</v>
      </c>
      <c r="DQY864" s="22" t="s">
        <v>16</v>
      </c>
      <c r="DQZ864" s="22" t="s">
        <v>16</v>
      </c>
      <c r="DRA864" s="22" t="s">
        <v>16</v>
      </c>
      <c r="DRB864" s="22" t="s">
        <v>16</v>
      </c>
      <c r="DRC864" s="22" t="s">
        <v>16</v>
      </c>
      <c r="DRD864" s="22" t="s">
        <v>16</v>
      </c>
      <c r="DRE864" s="22" t="s">
        <v>16</v>
      </c>
      <c r="DRF864" s="22" t="s">
        <v>16</v>
      </c>
      <c r="DRG864" s="22" t="s">
        <v>16</v>
      </c>
      <c r="DRH864" s="22" t="s">
        <v>16</v>
      </c>
      <c r="DRI864" s="22" t="s">
        <v>16</v>
      </c>
      <c r="DRJ864" s="22" t="s">
        <v>16</v>
      </c>
      <c r="DRK864" s="22" t="s">
        <v>16</v>
      </c>
      <c r="DRL864" s="22" t="s">
        <v>16</v>
      </c>
      <c r="DRM864" s="22" t="s">
        <v>16</v>
      </c>
      <c r="DRN864" s="22" t="s">
        <v>16</v>
      </c>
      <c r="DRO864" s="22" t="s">
        <v>16</v>
      </c>
      <c r="DRP864" s="22" t="s">
        <v>16</v>
      </c>
      <c r="DRQ864" s="22" t="s">
        <v>16</v>
      </c>
      <c r="DRR864" s="22" t="s">
        <v>16</v>
      </c>
      <c r="DRS864" s="22" t="s">
        <v>16</v>
      </c>
      <c r="DRT864" s="22" t="s">
        <v>16</v>
      </c>
      <c r="DRU864" s="22" t="s">
        <v>16</v>
      </c>
      <c r="DRV864" s="22" t="s">
        <v>16</v>
      </c>
      <c r="DRW864" s="22" t="s">
        <v>16</v>
      </c>
      <c r="DRX864" s="22" t="s">
        <v>16</v>
      </c>
      <c r="DRY864" s="22" t="s">
        <v>16</v>
      </c>
      <c r="DRZ864" s="22" t="s">
        <v>16</v>
      </c>
      <c r="DSA864" s="22" t="s">
        <v>16</v>
      </c>
      <c r="DSB864" s="22" t="s">
        <v>16</v>
      </c>
      <c r="DSC864" s="22" t="s">
        <v>16</v>
      </c>
      <c r="DSD864" s="22" t="s">
        <v>16</v>
      </c>
      <c r="DSE864" s="22" t="s">
        <v>16</v>
      </c>
      <c r="DSF864" s="22" t="s">
        <v>16</v>
      </c>
      <c r="DSG864" s="22" t="s">
        <v>16</v>
      </c>
      <c r="DSH864" s="22" t="s">
        <v>16</v>
      </c>
      <c r="DSI864" s="22" t="s">
        <v>16</v>
      </c>
      <c r="DSJ864" s="22" t="s">
        <v>16</v>
      </c>
      <c r="DSK864" s="22" t="s">
        <v>16</v>
      </c>
      <c r="DSL864" s="22" t="s">
        <v>16</v>
      </c>
      <c r="DSM864" s="22" t="s">
        <v>16</v>
      </c>
      <c r="DSN864" s="22" t="s">
        <v>16</v>
      </c>
      <c r="DSO864" s="22" t="s">
        <v>16</v>
      </c>
      <c r="DSP864" s="22" t="s">
        <v>16</v>
      </c>
      <c r="DSQ864" s="22" t="s">
        <v>16</v>
      </c>
      <c r="DSR864" s="22" t="s">
        <v>16</v>
      </c>
      <c r="DSS864" s="22" t="s">
        <v>16</v>
      </c>
      <c r="DST864" s="22" t="s">
        <v>16</v>
      </c>
      <c r="DSU864" s="22" t="s">
        <v>16</v>
      </c>
      <c r="DSV864" s="22" t="s">
        <v>16</v>
      </c>
      <c r="DSW864" s="22" t="s">
        <v>16</v>
      </c>
      <c r="DSX864" s="22" t="s">
        <v>16</v>
      </c>
      <c r="DSY864" s="22" t="s">
        <v>16</v>
      </c>
      <c r="DSZ864" s="22" t="s">
        <v>16</v>
      </c>
      <c r="DTA864" s="22" t="s">
        <v>16</v>
      </c>
      <c r="DTB864" s="22" t="s">
        <v>16</v>
      </c>
      <c r="DTC864" s="22" t="s">
        <v>16</v>
      </c>
      <c r="DTD864" s="22" t="s">
        <v>16</v>
      </c>
      <c r="DTE864" s="22" t="s">
        <v>16</v>
      </c>
      <c r="DTF864" s="22" t="s">
        <v>16</v>
      </c>
      <c r="DTG864" s="22" t="s">
        <v>16</v>
      </c>
      <c r="DTH864" s="22" t="s">
        <v>16</v>
      </c>
      <c r="DTI864" s="22" t="s">
        <v>16</v>
      </c>
      <c r="DTJ864" s="22" t="s">
        <v>16</v>
      </c>
      <c r="DTK864" s="22" t="s">
        <v>16</v>
      </c>
      <c r="DTL864" s="22" t="s">
        <v>16</v>
      </c>
      <c r="DTM864" s="22" t="s">
        <v>16</v>
      </c>
      <c r="DTN864" s="22" t="s">
        <v>16</v>
      </c>
      <c r="DTO864" s="22" t="s">
        <v>16</v>
      </c>
      <c r="DTP864" s="22" t="s">
        <v>16</v>
      </c>
      <c r="DTQ864" s="22" t="s">
        <v>16</v>
      </c>
      <c r="DTR864" s="22" t="s">
        <v>16</v>
      </c>
      <c r="DTS864" s="22" t="s">
        <v>16</v>
      </c>
      <c r="DTT864" s="22" t="s">
        <v>16</v>
      </c>
      <c r="DTU864" s="22" t="s">
        <v>16</v>
      </c>
      <c r="DTV864" s="22" t="s">
        <v>16</v>
      </c>
      <c r="DTW864" s="22" t="s">
        <v>16</v>
      </c>
      <c r="DTX864" s="22" t="s">
        <v>16</v>
      </c>
      <c r="DTY864" s="22" t="s">
        <v>16</v>
      </c>
      <c r="DTZ864" s="22" t="s">
        <v>16</v>
      </c>
      <c r="DUA864" s="22" t="s">
        <v>16</v>
      </c>
      <c r="DUB864" s="22" t="s">
        <v>16</v>
      </c>
      <c r="DUC864" s="22" t="s">
        <v>16</v>
      </c>
      <c r="DUD864" s="22" t="s">
        <v>16</v>
      </c>
      <c r="DUE864" s="22" t="s">
        <v>16</v>
      </c>
      <c r="DUF864" s="22" t="s">
        <v>16</v>
      </c>
      <c r="DUG864" s="22" t="s">
        <v>16</v>
      </c>
      <c r="DUH864" s="22" t="s">
        <v>16</v>
      </c>
      <c r="DUI864" s="22" t="s">
        <v>16</v>
      </c>
      <c r="DUJ864" s="22" t="s">
        <v>16</v>
      </c>
      <c r="DUK864" s="22" t="s">
        <v>16</v>
      </c>
      <c r="DUL864" s="22" t="s">
        <v>16</v>
      </c>
      <c r="DUM864" s="22" t="s">
        <v>16</v>
      </c>
      <c r="DUN864" s="22" t="s">
        <v>16</v>
      </c>
      <c r="DUO864" s="22" t="s">
        <v>16</v>
      </c>
      <c r="DUP864" s="22" t="s">
        <v>16</v>
      </c>
      <c r="DUQ864" s="22" t="s">
        <v>16</v>
      </c>
      <c r="DUR864" s="22" t="s">
        <v>16</v>
      </c>
      <c r="DUS864" s="22" t="s">
        <v>16</v>
      </c>
      <c r="DUT864" s="22" t="s">
        <v>16</v>
      </c>
      <c r="DUU864" s="22" t="s">
        <v>16</v>
      </c>
      <c r="DUV864" s="22" t="s">
        <v>16</v>
      </c>
      <c r="DUW864" s="22" t="s">
        <v>16</v>
      </c>
      <c r="DUX864" s="22" t="s">
        <v>16</v>
      </c>
      <c r="DUY864" s="22" t="s">
        <v>16</v>
      </c>
      <c r="DUZ864" s="22" t="s">
        <v>16</v>
      </c>
      <c r="DVA864" s="22" t="s">
        <v>16</v>
      </c>
      <c r="DVB864" s="22" t="s">
        <v>16</v>
      </c>
      <c r="DVC864" s="22" t="s">
        <v>16</v>
      </c>
      <c r="DVD864" s="22" t="s">
        <v>16</v>
      </c>
      <c r="DVE864" s="22" t="s">
        <v>16</v>
      </c>
      <c r="DVF864" s="22" t="s">
        <v>16</v>
      </c>
      <c r="DVG864" s="22" t="s">
        <v>16</v>
      </c>
      <c r="DVH864" s="22" t="s">
        <v>16</v>
      </c>
      <c r="DVI864" s="22" t="s">
        <v>16</v>
      </c>
      <c r="DVJ864" s="22" t="s">
        <v>16</v>
      </c>
      <c r="DVK864" s="22" t="s">
        <v>16</v>
      </c>
      <c r="DVL864" s="22" t="s">
        <v>16</v>
      </c>
      <c r="DVM864" s="22" t="s">
        <v>16</v>
      </c>
      <c r="DVN864" s="22" t="s">
        <v>16</v>
      </c>
      <c r="DVO864" s="22" t="s">
        <v>16</v>
      </c>
      <c r="DVP864" s="22" t="s">
        <v>16</v>
      </c>
      <c r="DVQ864" s="22" t="s">
        <v>16</v>
      </c>
      <c r="DVR864" s="22" t="s">
        <v>16</v>
      </c>
      <c r="DVS864" s="22" t="s">
        <v>16</v>
      </c>
      <c r="DVT864" s="22" t="s">
        <v>16</v>
      </c>
      <c r="DVU864" s="22" t="s">
        <v>16</v>
      </c>
      <c r="DVV864" s="22" t="s">
        <v>16</v>
      </c>
      <c r="DVW864" s="22" t="s">
        <v>16</v>
      </c>
      <c r="DVX864" s="22" t="s">
        <v>16</v>
      </c>
      <c r="DVY864" s="22" t="s">
        <v>16</v>
      </c>
      <c r="DVZ864" s="22" t="s">
        <v>16</v>
      </c>
      <c r="DWA864" s="22" t="s">
        <v>16</v>
      </c>
      <c r="DWB864" s="22" t="s">
        <v>16</v>
      </c>
      <c r="DWC864" s="22" t="s">
        <v>16</v>
      </c>
      <c r="DWD864" s="22" t="s">
        <v>16</v>
      </c>
      <c r="DWE864" s="22" t="s">
        <v>16</v>
      </c>
      <c r="DWF864" s="22" t="s">
        <v>16</v>
      </c>
      <c r="DWG864" s="22" t="s">
        <v>16</v>
      </c>
      <c r="DWH864" s="22" t="s">
        <v>16</v>
      </c>
      <c r="DWI864" s="22" t="s">
        <v>16</v>
      </c>
      <c r="DWJ864" s="22" t="s">
        <v>16</v>
      </c>
      <c r="DWK864" s="22" t="s">
        <v>16</v>
      </c>
      <c r="DWL864" s="22" t="s">
        <v>16</v>
      </c>
      <c r="DWM864" s="22" t="s">
        <v>16</v>
      </c>
      <c r="DWN864" s="22" t="s">
        <v>16</v>
      </c>
      <c r="DWO864" s="22" t="s">
        <v>16</v>
      </c>
      <c r="DWP864" s="22" t="s">
        <v>16</v>
      </c>
      <c r="DWQ864" s="22" t="s">
        <v>16</v>
      </c>
      <c r="DWR864" s="22" t="s">
        <v>16</v>
      </c>
      <c r="DWS864" s="22" t="s">
        <v>16</v>
      </c>
      <c r="DWT864" s="22" t="s">
        <v>16</v>
      </c>
      <c r="DWU864" s="22" t="s">
        <v>16</v>
      </c>
      <c r="DWV864" s="22" t="s">
        <v>16</v>
      </c>
      <c r="DWW864" s="22" t="s">
        <v>16</v>
      </c>
      <c r="DWX864" s="22" t="s">
        <v>16</v>
      </c>
      <c r="DWY864" s="22" t="s">
        <v>16</v>
      </c>
      <c r="DWZ864" s="22" t="s">
        <v>16</v>
      </c>
      <c r="DXA864" s="22" t="s">
        <v>16</v>
      </c>
      <c r="DXB864" s="22" t="s">
        <v>16</v>
      </c>
      <c r="DXC864" s="22" t="s">
        <v>16</v>
      </c>
      <c r="DXD864" s="22" t="s">
        <v>16</v>
      </c>
      <c r="DXE864" s="22" t="s">
        <v>16</v>
      </c>
      <c r="DXF864" s="22" t="s">
        <v>16</v>
      </c>
      <c r="DXG864" s="22" t="s">
        <v>16</v>
      </c>
      <c r="DXH864" s="22" t="s">
        <v>16</v>
      </c>
      <c r="DXI864" s="22" t="s">
        <v>16</v>
      </c>
      <c r="DXJ864" s="22" t="s">
        <v>16</v>
      </c>
      <c r="DXK864" s="22" t="s">
        <v>16</v>
      </c>
      <c r="DXL864" s="22" t="s">
        <v>16</v>
      </c>
      <c r="DXM864" s="22" t="s">
        <v>16</v>
      </c>
      <c r="DXN864" s="22" t="s">
        <v>16</v>
      </c>
      <c r="DXO864" s="22" t="s">
        <v>16</v>
      </c>
      <c r="DXP864" s="22" t="s">
        <v>16</v>
      </c>
      <c r="DXQ864" s="22" t="s">
        <v>16</v>
      </c>
      <c r="DXR864" s="22" t="s">
        <v>16</v>
      </c>
      <c r="DXS864" s="22" t="s">
        <v>16</v>
      </c>
      <c r="DXT864" s="22" t="s">
        <v>16</v>
      </c>
      <c r="DXU864" s="22" t="s">
        <v>16</v>
      </c>
      <c r="DXV864" s="22" t="s">
        <v>16</v>
      </c>
      <c r="DXW864" s="22" t="s">
        <v>16</v>
      </c>
      <c r="DXX864" s="22" t="s">
        <v>16</v>
      </c>
      <c r="DXY864" s="22" t="s">
        <v>16</v>
      </c>
      <c r="DXZ864" s="22" t="s">
        <v>16</v>
      </c>
      <c r="DYA864" s="22" t="s">
        <v>16</v>
      </c>
      <c r="DYB864" s="22" t="s">
        <v>16</v>
      </c>
      <c r="DYC864" s="22" t="s">
        <v>16</v>
      </c>
      <c r="DYD864" s="22" t="s">
        <v>16</v>
      </c>
      <c r="DYE864" s="22" t="s">
        <v>16</v>
      </c>
      <c r="DYF864" s="22" t="s">
        <v>16</v>
      </c>
      <c r="DYG864" s="22" t="s">
        <v>16</v>
      </c>
      <c r="DYH864" s="22" t="s">
        <v>16</v>
      </c>
      <c r="DYI864" s="22" t="s">
        <v>16</v>
      </c>
      <c r="DYJ864" s="22" t="s">
        <v>16</v>
      </c>
      <c r="DYK864" s="22" t="s">
        <v>16</v>
      </c>
      <c r="DYL864" s="22" t="s">
        <v>16</v>
      </c>
      <c r="DYM864" s="22" t="s">
        <v>16</v>
      </c>
      <c r="DYN864" s="22" t="s">
        <v>16</v>
      </c>
      <c r="DYO864" s="22" t="s">
        <v>16</v>
      </c>
      <c r="DYP864" s="22" t="s">
        <v>16</v>
      </c>
      <c r="DYQ864" s="22" t="s">
        <v>16</v>
      </c>
      <c r="DYR864" s="22" t="s">
        <v>16</v>
      </c>
      <c r="DYS864" s="22" t="s">
        <v>16</v>
      </c>
      <c r="DYT864" s="22" t="s">
        <v>16</v>
      </c>
      <c r="DYU864" s="22" t="s">
        <v>16</v>
      </c>
      <c r="DYV864" s="22" t="s">
        <v>16</v>
      </c>
      <c r="DYW864" s="22" t="s">
        <v>16</v>
      </c>
      <c r="DYX864" s="22" t="s">
        <v>16</v>
      </c>
      <c r="DYY864" s="22" t="s">
        <v>16</v>
      </c>
      <c r="DYZ864" s="22" t="s">
        <v>16</v>
      </c>
      <c r="DZA864" s="22" t="s">
        <v>16</v>
      </c>
      <c r="DZB864" s="22" t="s">
        <v>16</v>
      </c>
      <c r="DZC864" s="22" t="s">
        <v>16</v>
      </c>
      <c r="DZD864" s="22" t="s">
        <v>16</v>
      </c>
      <c r="DZE864" s="22" t="s">
        <v>16</v>
      </c>
      <c r="DZF864" s="22" t="s">
        <v>16</v>
      </c>
      <c r="DZG864" s="22" t="s">
        <v>16</v>
      </c>
      <c r="DZH864" s="22" t="s">
        <v>16</v>
      </c>
      <c r="DZI864" s="22" t="s">
        <v>16</v>
      </c>
      <c r="DZJ864" s="22" t="s">
        <v>16</v>
      </c>
      <c r="DZK864" s="22" t="s">
        <v>16</v>
      </c>
      <c r="DZL864" s="22" t="s">
        <v>16</v>
      </c>
      <c r="DZM864" s="22" t="s">
        <v>16</v>
      </c>
      <c r="DZN864" s="22" t="s">
        <v>16</v>
      </c>
      <c r="DZO864" s="22" t="s">
        <v>16</v>
      </c>
      <c r="DZP864" s="22" t="s">
        <v>16</v>
      </c>
      <c r="DZQ864" s="22" t="s">
        <v>16</v>
      </c>
      <c r="DZR864" s="22" t="s">
        <v>16</v>
      </c>
      <c r="DZS864" s="22" t="s">
        <v>16</v>
      </c>
      <c r="DZT864" s="22" t="s">
        <v>16</v>
      </c>
      <c r="DZU864" s="22" t="s">
        <v>16</v>
      </c>
      <c r="DZV864" s="22" t="s">
        <v>16</v>
      </c>
      <c r="DZW864" s="22" t="s">
        <v>16</v>
      </c>
      <c r="DZX864" s="22" t="s">
        <v>16</v>
      </c>
      <c r="DZY864" s="22" t="s">
        <v>16</v>
      </c>
      <c r="DZZ864" s="22" t="s">
        <v>16</v>
      </c>
      <c r="EAA864" s="22" t="s">
        <v>16</v>
      </c>
      <c r="EAB864" s="22" t="s">
        <v>16</v>
      </c>
      <c r="EAC864" s="22" t="s">
        <v>16</v>
      </c>
      <c r="EAD864" s="22" t="s">
        <v>16</v>
      </c>
      <c r="EAE864" s="22" t="s">
        <v>16</v>
      </c>
      <c r="EAF864" s="22" t="s">
        <v>16</v>
      </c>
      <c r="EAG864" s="22" t="s">
        <v>16</v>
      </c>
      <c r="EAH864" s="22" t="s">
        <v>16</v>
      </c>
      <c r="EAI864" s="22" t="s">
        <v>16</v>
      </c>
      <c r="EAJ864" s="22" t="s">
        <v>16</v>
      </c>
      <c r="EAK864" s="22" t="s">
        <v>16</v>
      </c>
      <c r="EAL864" s="22" t="s">
        <v>16</v>
      </c>
      <c r="EAM864" s="22" t="s">
        <v>16</v>
      </c>
      <c r="EAN864" s="22" t="s">
        <v>16</v>
      </c>
      <c r="EAO864" s="22" t="s">
        <v>16</v>
      </c>
      <c r="EAP864" s="22" t="s">
        <v>16</v>
      </c>
      <c r="EAQ864" s="22" t="s">
        <v>16</v>
      </c>
      <c r="EAR864" s="22" t="s">
        <v>16</v>
      </c>
      <c r="EAS864" s="22" t="s">
        <v>16</v>
      </c>
      <c r="EAT864" s="22" t="s">
        <v>16</v>
      </c>
      <c r="EAU864" s="22" t="s">
        <v>16</v>
      </c>
      <c r="EAV864" s="22" t="s">
        <v>16</v>
      </c>
      <c r="EAW864" s="22" t="s">
        <v>16</v>
      </c>
      <c r="EAX864" s="22" t="s">
        <v>16</v>
      </c>
      <c r="EAY864" s="22" t="s">
        <v>16</v>
      </c>
      <c r="EAZ864" s="22" t="s">
        <v>16</v>
      </c>
      <c r="EBA864" s="22" t="s">
        <v>16</v>
      </c>
      <c r="EBB864" s="22" t="s">
        <v>16</v>
      </c>
      <c r="EBC864" s="22" t="s">
        <v>16</v>
      </c>
      <c r="EBD864" s="22" t="s">
        <v>16</v>
      </c>
      <c r="EBE864" s="22" t="s">
        <v>16</v>
      </c>
      <c r="EBF864" s="22" t="s">
        <v>16</v>
      </c>
      <c r="EBG864" s="22" t="s">
        <v>16</v>
      </c>
      <c r="EBH864" s="22" t="s">
        <v>16</v>
      </c>
      <c r="EBI864" s="22" t="s">
        <v>16</v>
      </c>
      <c r="EBJ864" s="22" t="s">
        <v>16</v>
      </c>
      <c r="EBK864" s="22" t="s">
        <v>16</v>
      </c>
      <c r="EBL864" s="22" t="s">
        <v>16</v>
      </c>
      <c r="EBM864" s="22" t="s">
        <v>16</v>
      </c>
      <c r="EBN864" s="22" t="s">
        <v>16</v>
      </c>
      <c r="EBO864" s="22" t="s">
        <v>16</v>
      </c>
      <c r="EBP864" s="22" t="s">
        <v>16</v>
      </c>
      <c r="EBQ864" s="22" t="s">
        <v>16</v>
      </c>
      <c r="EBR864" s="22" t="s">
        <v>16</v>
      </c>
      <c r="EBS864" s="22" t="s">
        <v>16</v>
      </c>
      <c r="EBT864" s="22" t="s">
        <v>16</v>
      </c>
      <c r="EBU864" s="22" t="s">
        <v>16</v>
      </c>
      <c r="EBV864" s="22" t="s">
        <v>16</v>
      </c>
      <c r="EBW864" s="22" t="s">
        <v>16</v>
      </c>
      <c r="EBX864" s="22" t="s">
        <v>16</v>
      </c>
      <c r="EBY864" s="22" t="s">
        <v>16</v>
      </c>
      <c r="EBZ864" s="22" t="s">
        <v>16</v>
      </c>
      <c r="ECA864" s="22" t="s">
        <v>16</v>
      </c>
      <c r="ECB864" s="22" t="s">
        <v>16</v>
      </c>
      <c r="ECC864" s="22" t="s">
        <v>16</v>
      </c>
      <c r="ECD864" s="22" t="s">
        <v>16</v>
      </c>
      <c r="ECE864" s="22" t="s">
        <v>16</v>
      </c>
      <c r="ECF864" s="22" t="s">
        <v>16</v>
      </c>
      <c r="ECG864" s="22" t="s">
        <v>16</v>
      </c>
      <c r="ECH864" s="22" t="s">
        <v>16</v>
      </c>
      <c r="ECI864" s="22" t="s">
        <v>16</v>
      </c>
      <c r="ECJ864" s="22" t="s">
        <v>16</v>
      </c>
      <c r="ECK864" s="22" t="s">
        <v>16</v>
      </c>
      <c r="ECL864" s="22" t="s">
        <v>16</v>
      </c>
      <c r="ECM864" s="22" t="s">
        <v>16</v>
      </c>
      <c r="ECN864" s="22" t="s">
        <v>16</v>
      </c>
      <c r="ECO864" s="22" t="s">
        <v>16</v>
      </c>
      <c r="ECP864" s="22" t="s">
        <v>16</v>
      </c>
      <c r="ECQ864" s="22" t="s">
        <v>16</v>
      </c>
      <c r="ECR864" s="22" t="s">
        <v>16</v>
      </c>
      <c r="ECS864" s="22" t="s">
        <v>16</v>
      </c>
      <c r="ECT864" s="22" t="s">
        <v>16</v>
      </c>
      <c r="ECU864" s="22" t="s">
        <v>16</v>
      </c>
      <c r="ECV864" s="22" t="s">
        <v>16</v>
      </c>
      <c r="ECW864" s="22" t="s">
        <v>16</v>
      </c>
      <c r="ECX864" s="22" t="s">
        <v>16</v>
      </c>
      <c r="ECY864" s="22" t="s">
        <v>16</v>
      </c>
      <c r="ECZ864" s="22" t="s">
        <v>16</v>
      </c>
      <c r="EDA864" s="22" t="s">
        <v>16</v>
      </c>
      <c r="EDB864" s="22" t="s">
        <v>16</v>
      </c>
      <c r="EDC864" s="22" t="s">
        <v>16</v>
      </c>
      <c r="EDD864" s="22" t="s">
        <v>16</v>
      </c>
      <c r="EDE864" s="22" t="s">
        <v>16</v>
      </c>
      <c r="EDF864" s="22" t="s">
        <v>16</v>
      </c>
      <c r="EDG864" s="22" t="s">
        <v>16</v>
      </c>
      <c r="EDH864" s="22" t="s">
        <v>16</v>
      </c>
      <c r="EDI864" s="22" t="s">
        <v>16</v>
      </c>
      <c r="EDJ864" s="22" t="s">
        <v>16</v>
      </c>
      <c r="EDK864" s="22" t="s">
        <v>16</v>
      </c>
      <c r="EDL864" s="22" t="s">
        <v>16</v>
      </c>
      <c r="EDM864" s="22" t="s">
        <v>16</v>
      </c>
      <c r="EDN864" s="22" t="s">
        <v>16</v>
      </c>
      <c r="EDO864" s="22" t="s">
        <v>16</v>
      </c>
      <c r="EDP864" s="22" t="s">
        <v>16</v>
      </c>
      <c r="EDQ864" s="22" t="s">
        <v>16</v>
      </c>
      <c r="EDR864" s="22" t="s">
        <v>16</v>
      </c>
      <c r="EDS864" s="22" t="s">
        <v>16</v>
      </c>
      <c r="EDT864" s="22" t="s">
        <v>16</v>
      </c>
      <c r="EDU864" s="22" t="s">
        <v>16</v>
      </c>
      <c r="EDV864" s="22" t="s">
        <v>16</v>
      </c>
      <c r="EDW864" s="22" t="s">
        <v>16</v>
      </c>
      <c r="EDX864" s="22" t="s">
        <v>16</v>
      </c>
      <c r="EDY864" s="22" t="s">
        <v>16</v>
      </c>
      <c r="EDZ864" s="22" t="s">
        <v>16</v>
      </c>
      <c r="EEA864" s="22" t="s">
        <v>16</v>
      </c>
      <c r="EEB864" s="22" t="s">
        <v>16</v>
      </c>
      <c r="EEC864" s="22" t="s">
        <v>16</v>
      </c>
      <c r="EED864" s="22" t="s">
        <v>16</v>
      </c>
      <c r="EEE864" s="22" t="s">
        <v>16</v>
      </c>
      <c r="EEF864" s="22" t="s">
        <v>16</v>
      </c>
      <c r="EEG864" s="22" t="s">
        <v>16</v>
      </c>
      <c r="EEH864" s="22" t="s">
        <v>16</v>
      </c>
      <c r="EEI864" s="22" t="s">
        <v>16</v>
      </c>
      <c r="EEJ864" s="22" t="s">
        <v>16</v>
      </c>
      <c r="EEK864" s="22" t="s">
        <v>16</v>
      </c>
      <c r="EEL864" s="22" t="s">
        <v>16</v>
      </c>
      <c r="EEM864" s="22" t="s">
        <v>16</v>
      </c>
      <c r="EEN864" s="22" t="s">
        <v>16</v>
      </c>
      <c r="EEO864" s="22" t="s">
        <v>16</v>
      </c>
      <c r="EEP864" s="22" t="s">
        <v>16</v>
      </c>
      <c r="EEQ864" s="22" t="s">
        <v>16</v>
      </c>
      <c r="EER864" s="22" t="s">
        <v>16</v>
      </c>
      <c r="EES864" s="22" t="s">
        <v>16</v>
      </c>
      <c r="EET864" s="22" t="s">
        <v>16</v>
      </c>
      <c r="EEU864" s="22" t="s">
        <v>16</v>
      </c>
      <c r="EEV864" s="22" t="s">
        <v>16</v>
      </c>
      <c r="EEW864" s="22" t="s">
        <v>16</v>
      </c>
      <c r="EEX864" s="22" t="s">
        <v>16</v>
      </c>
      <c r="EEY864" s="22" t="s">
        <v>16</v>
      </c>
      <c r="EEZ864" s="22" t="s">
        <v>16</v>
      </c>
      <c r="EFA864" s="22" t="s">
        <v>16</v>
      </c>
      <c r="EFB864" s="22" t="s">
        <v>16</v>
      </c>
      <c r="EFC864" s="22" t="s">
        <v>16</v>
      </c>
      <c r="EFD864" s="22" t="s">
        <v>16</v>
      </c>
      <c r="EFE864" s="22" t="s">
        <v>16</v>
      </c>
      <c r="EFF864" s="22" t="s">
        <v>16</v>
      </c>
      <c r="EFG864" s="22" t="s">
        <v>16</v>
      </c>
      <c r="EFH864" s="22" t="s">
        <v>16</v>
      </c>
      <c r="EFI864" s="22" t="s">
        <v>16</v>
      </c>
      <c r="EFJ864" s="22" t="s">
        <v>16</v>
      </c>
      <c r="EFK864" s="22" t="s">
        <v>16</v>
      </c>
      <c r="EFL864" s="22" t="s">
        <v>16</v>
      </c>
      <c r="EFM864" s="22" t="s">
        <v>16</v>
      </c>
      <c r="EFN864" s="22" t="s">
        <v>16</v>
      </c>
      <c r="EFO864" s="22" t="s">
        <v>16</v>
      </c>
      <c r="EFP864" s="22" t="s">
        <v>16</v>
      </c>
      <c r="EFQ864" s="22" t="s">
        <v>16</v>
      </c>
      <c r="EFR864" s="22" t="s">
        <v>16</v>
      </c>
      <c r="EFS864" s="22" t="s">
        <v>16</v>
      </c>
      <c r="EFT864" s="22" t="s">
        <v>16</v>
      </c>
      <c r="EFU864" s="22" t="s">
        <v>16</v>
      </c>
      <c r="EFV864" s="22" t="s">
        <v>16</v>
      </c>
      <c r="EFW864" s="22" t="s">
        <v>16</v>
      </c>
      <c r="EFX864" s="22" t="s">
        <v>16</v>
      </c>
      <c r="EFY864" s="22" t="s">
        <v>16</v>
      </c>
      <c r="EFZ864" s="22" t="s">
        <v>16</v>
      </c>
      <c r="EGA864" s="22" t="s">
        <v>16</v>
      </c>
      <c r="EGB864" s="22" t="s">
        <v>16</v>
      </c>
      <c r="EGC864" s="22" t="s">
        <v>16</v>
      </c>
      <c r="EGD864" s="22" t="s">
        <v>16</v>
      </c>
      <c r="EGE864" s="22" t="s">
        <v>16</v>
      </c>
      <c r="EGF864" s="22" t="s">
        <v>16</v>
      </c>
      <c r="EGG864" s="22" t="s">
        <v>16</v>
      </c>
      <c r="EGH864" s="22" t="s">
        <v>16</v>
      </c>
      <c r="EGI864" s="22" t="s">
        <v>16</v>
      </c>
      <c r="EGJ864" s="22" t="s">
        <v>16</v>
      </c>
      <c r="EGK864" s="22" t="s">
        <v>16</v>
      </c>
      <c r="EGL864" s="22" t="s">
        <v>16</v>
      </c>
      <c r="EGM864" s="22" t="s">
        <v>16</v>
      </c>
      <c r="EGN864" s="22" t="s">
        <v>16</v>
      </c>
      <c r="EGO864" s="22" t="s">
        <v>16</v>
      </c>
      <c r="EGP864" s="22" t="s">
        <v>16</v>
      </c>
      <c r="EGQ864" s="22" t="s">
        <v>16</v>
      </c>
      <c r="EGR864" s="22" t="s">
        <v>16</v>
      </c>
      <c r="EGS864" s="22" t="s">
        <v>16</v>
      </c>
      <c r="EGT864" s="22" t="s">
        <v>16</v>
      </c>
      <c r="EGU864" s="22" t="s">
        <v>16</v>
      </c>
      <c r="EGV864" s="22" t="s">
        <v>16</v>
      </c>
      <c r="EGW864" s="22" t="s">
        <v>16</v>
      </c>
      <c r="EGX864" s="22" t="s">
        <v>16</v>
      </c>
      <c r="EGY864" s="22" t="s">
        <v>16</v>
      </c>
      <c r="EGZ864" s="22" t="s">
        <v>16</v>
      </c>
      <c r="EHA864" s="22" t="s">
        <v>16</v>
      </c>
      <c r="EHB864" s="22" t="s">
        <v>16</v>
      </c>
      <c r="EHC864" s="22" t="s">
        <v>16</v>
      </c>
      <c r="EHD864" s="22" t="s">
        <v>16</v>
      </c>
      <c r="EHE864" s="22" t="s">
        <v>16</v>
      </c>
      <c r="EHF864" s="22" t="s">
        <v>16</v>
      </c>
      <c r="EHG864" s="22" t="s">
        <v>16</v>
      </c>
      <c r="EHH864" s="22" t="s">
        <v>16</v>
      </c>
      <c r="EHI864" s="22" t="s">
        <v>16</v>
      </c>
      <c r="EHJ864" s="22" t="s">
        <v>16</v>
      </c>
      <c r="EHK864" s="22" t="s">
        <v>16</v>
      </c>
      <c r="EHL864" s="22" t="s">
        <v>16</v>
      </c>
      <c r="EHM864" s="22" t="s">
        <v>16</v>
      </c>
      <c r="EHN864" s="22" t="s">
        <v>16</v>
      </c>
      <c r="EHO864" s="22" t="s">
        <v>16</v>
      </c>
      <c r="EHP864" s="22" t="s">
        <v>16</v>
      </c>
      <c r="EHQ864" s="22" t="s">
        <v>16</v>
      </c>
      <c r="EHR864" s="22" t="s">
        <v>16</v>
      </c>
      <c r="EHS864" s="22" t="s">
        <v>16</v>
      </c>
      <c r="EHT864" s="22" t="s">
        <v>16</v>
      </c>
      <c r="EHU864" s="22" t="s">
        <v>16</v>
      </c>
      <c r="EHV864" s="22" t="s">
        <v>16</v>
      </c>
      <c r="EHW864" s="22" t="s">
        <v>16</v>
      </c>
      <c r="EHX864" s="22" t="s">
        <v>16</v>
      </c>
      <c r="EHY864" s="22" t="s">
        <v>16</v>
      </c>
      <c r="EHZ864" s="22" t="s">
        <v>16</v>
      </c>
      <c r="EIA864" s="22" t="s">
        <v>16</v>
      </c>
      <c r="EIB864" s="22" t="s">
        <v>16</v>
      </c>
      <c r="EIC864" s="22" t="s">
        <v>16</v>
      </c>
      <c r="EID864" s="22" t="s">
        <v>16</v>
      </c>
      <c r="EIE864" s="22" t="s">
        <v>16</v>
      </c>
      <c r="EIF864" s="22" t="s">
        <v>16</v>
      </c>
      <c r="EIG864" s="22" t="s">
        <v>16</v>
      </c>
      <c r="EIH864" s="22" t="s">
        <v>16</v>
      </c>
      <c r="EII864" s="22" t="s">
        <v>16</v>
      </c>
      <c r="EIJ864" s="22" t="s">
        <v>16</v>
      </c>
      <c r="EIK864" s="22" t="s">
        <v>16</v>
      </c>
      <c r="EIL864" s="22" t="s">
        <v>16</v>
      </c>
      <c r="EIM864" s="22" t="s">
        <v>16</v>
      </c>
      <c r="EIN864" s="22" t="s">
        <v>16</v>
      </c>
      <c r="EIO864" s="22" t="s">
        <v>16</v>
      </c>
      <c r="EIP864" s="22" t="s">
        <v>16</v>
      </c>
      <c r="EIQ864" s="22" t="s">
        <v>16</v>
      </c>
      <c r="EIR864" s="22" t="s">
        <v>16</v>
      </c>
      <c r="EIS864" s="22" t="s">
        <v>16</v>
      </c>
      <c r="EIT864" s="22" t="s">
        <v>16</v>
      </c>
      <c r="EIU864" s="22" t="s">
        <v>16</v>
      </c>
      <c r="EIV864" s="22" t="s">
        <v>16</v>
      </c>
      <c r="EIW864" s="22" t="s">
        <v>16</v>
      </c>
      <c r="EIX864" s="22" t="s">
        <v>16</v>
      </c>
      <c r="EIY864" s="22" t="s">
        <v>16</v>
      </c>
      <c r="EIZ864" s="22" t="s">
        <v>16</v>
      </c>
      <c r="EJA864" s="22" t="s">
        <v>16</v>
      </c>
      <c r="EJB864" s="22" t="s">
        <v>16</v>
      </c>
      <c r="EJC864" s="22" t="s">
        <v>16</v>
      </c>
      <c r="EJD864" s="22" t="s">
        <v>16</v>
      </c>
      <c r="EJE864" s="22" t="s">
        <v>16</v>
      </c>
      <c r="EJF864" s="22" t="s">
        <v>16</v>
      </c>
      <c r="EJG864" s="22" t="s">
        <v>16</v>
      </c>
      <c r="EJH864" s="22" t="s">
        <v>16</v>
      </c>
      <c r="EJI864" s="22" t="s">
        <v>16</v>
      </c>
      <c r="EJJ864" s="22" t="s">
        <v>16</v>
      </c>
      <c r="EJK864" s="22" t="s">
        <v>16</v>
      </c>
      <c r="EJL864" s="22" t="s">
        <v>16</v>
      </c>
      <c r="EJM864" s="22" t="s">
        <v>16</v>
      </c>
      <c r="EJN864" s="22" t="s">
        <v>16</v>
      </c>
      <c r="EJO864" s="22" t="s">
        <v>16</v>
      </c>
      <c r="EJP864" s="22" t="s">
        <v>16</v>
      </c>
      <c r="EJQ864" s="22" t="s">
        <v>16</v>
      </c>
      <c r="EJR864" s="22" t="s">
        <v>16</v>
      </c>
      <c r="EJS864" s="22" t="s">
        <v>16</v>
      </c>
      <c r="EJT864" s="22" t="s">
        <v>16</v>
      </c>
      <c r="EJU864" s="22" t="s">
        <v>16</v>
      </c>
      <c r="EJV864" s="22" t="s">
        <v>16</v>
      </c>
      <c r="EJW864" s="22" t="s">
        <v>16</v>
      </c>
      <c r="EJX864" s="22" t="s">
        <v>16</v>
      </c>
      <c r="EJY864" s="22" t="s">
        <v>16</v>
      </c>
      <c r="EJZ864" s="22" t="s">
        <v>16</v>
      </c>
      <c r="EKA864" s="22" t="s">
        <v>16</v>
      </c>
      <c r="EKB864" s="22" t="s">
        <v>16</v>
      </c>
      <c r="EKC864" s="22" t="s">
        <v>16</v>
      </c>
      <c r="EKD864" s="22" t="s">
        <v>16</v>
      </c>
      <c r="EKE864" s="22" t="s">
        <v>16</v>
      </c>
      <c r="EKF864" s="22" t="s">
        <v>16</v>
      </c>
      <c r="EKG864" s="22" t="s">
        <v>16</v>
      </c>
      <c r="EKH864" s="22" t="s">
        <v>16</v>
      </c>
      <c r="EKI864" s="22" t="s">
        <v>16</v>
      </c>
      <c r="EKJ864" s="22" t="s">
        <v>16</v>
      </c>
      <c r="EKK864" s="22" t="s">
        <v>16</v>
      </c>
      <c r="EKL864" s="22" t="s">
        <v>16</v>
      </c>
      <c r="EKM864" s="22" t="s">
        <v>16</v>
      </c>
      <c r="EKN864" s="22" t="s">
        <v>16</v>
      </c>
      <c r="EKO864" s="22" t="s">
        <v>16</v>
      </c>
      <c r="EKP864" s="22" t="s">
        <v>16</v>
      </c>
      <c r="EKQ864" s="22" t="s">
        <v>16</v>
      </c>
      <c r="EKR864" s="22" t="s">
        <v>16</v>
      </c>
      <c r="EKS864" s="22" t="s">
        <v>16</v>
      </c>
      <c r="EKT864" s="22" t="s">
        <v>16</v>
      </c>
      <c r="EKU864" s="22" t="s">
        <v>16</v>
      </c>
      <c r="EKV864" s="22" t="s">
        <v>16</v>
      </c>
      <c r="EKW864" s="22" t="s">
        <v>16</v>
      </c>
      <c r="EKX864" s="22" t="s">
        <v>16</v>
      </c>
      <c r="EKY864" s="22" t="s">
        <v>16</v>
      </c>
      <c r="EKZ864" s="22" t="s">
        <v>16</v>
      </c>
      <c r="ELA864" s="22" t="s">
        <v>16</v>
      </c>
      <c r="ELB864" s="22" t="s">
        <v>16</v>
      </c>
      <c r="ELC864" s="22" t="s">
        <v>16</v>
      </c>
      <c r="ELD864" s="22" t="s">
        <v>16</v>
      </c>
      <c r="ELE864" s="22" t="s">
        <v>16</v>
      </c>
      <c r="ELF864" s="22" t="s">
        <v>16</v>
      </c>
      <c r="ELG864" s="22" t="s">
        <v>16</v>
      </c>
      <c r="ELH864" s="22" t="s">
        <v>16</v>
      </c>
      <c r="ELI864" s="22" t="s">
        <v>16</v>
      </c>
      <c r="ELJ864" s="22" t="s">
        <v>16</v>
      </c>
      <c r="ELK864" s="22" t="s">
        <v>16</v>
      </c>
      <c r="ELL864" s="22" t="s">
        <v>16</v>
      </c>
      <c r="ELM864" s="22" t="s">
        <v>16</v>
      </c>
      <c r="ELN864" s="22" t="s">
        <v>16</v>
      </c>
      <c r="ELO864" s="22" t="s">
        <v>16</v>
      </c>
      <c r="ELP864" s="22" t="s">
        <v>16</v>
      </c>
      <c r="ELQ864" s="22" t="s">
        <v>16</v>
      </c>
      <c r="ELR864" s="22" t="s">
        <v>16</v>
      </c>
      <c r="ELS864" s="22" t="s">
        <v>16</v>
      </c>
      <c r="ELT864" s="22" t="s">
        <v>16</v>
      </c>
      <c r="ELU864" s="22" t="s">
        <v>16</v>
      </c>
      <c r="ELV864" s="22" t="s">
        <v>16</v>
      </c>
      <c r="ELW864" s="22" t="s">
        <v>16</v>
      </c>
      <c r="ELX864" s="22" t="s">
        <v>16</v>
      </c>
      <c r="ELY864" s="22" t="s">
        <v>16</v>
      </c>
      <c r="ELZ864" s="22" t="s">
        <v>16</v>
      </c>
      <c r="EMA864" s="22" t="s">
        <v>16</v>
      </c>
      <c r="EMB864" s="22" t="s">
        <v>16</v>
      </c>
      <c r="EMC864" s="22" t="s">
        <v>16</v>
      </c>
      <c r="EMD864" s="22" t="s">
        <v>16</v>
      </c>
      <c r="EME864" s="22" t="s">
        <v>16</v>
      </c>
      <c r="EMF864" s="22" t="s">
        <v>16</v>
      </c>
      <c r="EMG864" s="22" t="s">
        <v>16</v>
      </c>
      <c r="EMH864" s="22" t="s">
        <v>16</v>
      </c>
      <c r="EMI864" s="22" t="s">
        <v>16</v>
      </c>
      <c r="EMJ864" s="22" t="s">
        <v>16</v>
      </c>
      <c r="EMK864" s="22" t="s">
        <v>16</v>
      </c>
      <c r="EML864" s="22" t="s">
        <v>16</v>
      </c>
      <c r="EMM864" s="22" t="s">
        <v>16</v>
      </c>
      <c r="EMN864" s="22" t="s">
        <v>16</v>
      </c>
      <c r="EMO864" s="22" t="s">
        <v>16</v>
      </c>
      <c r="EMP864" s="22" t="s">
        <v>16</v>
      </c>
      <c r="EMQ864" s="22" t="s">
        <v>16</v>
      </c>
      <c r="EMR864" s="22" t="s">
        <v>16</v>
      </c>
      <c r="EMS864" s="22" t="s">
        <v>16</v>
      </c>
      <c r="EMT864" s="22" t="s">
        <v>16</v>
      </c>
      <c r="EMU864" s="22" t="s">
        <v>16</v>
      </c>
      <c r="EMV864" s="22" t="s">
        <v>16</v>
      </c>
      <c r="EMW864" s="22" t="s">
        <v>16</v>
      </c>
      <c r="EMX864" s="22" t="s">
        <v>16</v>
      </c>
      <c r="EMY864" s="22" t="s">
        <v>16</v>
      </c>
      <c r="EMZ864" s="22" t="s">
        <v>16</v>
      </c>
      <c r="ENA864" s="22" t="s">
        <v>16</v>
      </c>
      <c r="ENB864" s="22" t="s">
        <v>16</v>
      </c>
      <c r="ENC864" s="22" t="s">
        <v>16</v>
      </c>
      <c r="END864" s="22" t="s">
        <v>16</v>
      </c>
      <c r="ENE864" s="22" t="s">
        <v>16</v>
      </c>
      <c r="ENF864" s="22" t="s">
        <v>16</v>
      </c>
      <c r="ENG864" s="22" t="s">
        <v>16</v>
      </c>
      <c r="ENH864" s="22" t="s">
        <v>16</v>
      </c>
      <c r="ENI864" s="22" t="s">
        <v>16</v>
      </c>
      <c r="ENJ864" s="22" t="s">
        <v>16</v>
      </c>
      <c r="ENK864" s="22" t="s">
        <v>16</v>
      </c>
      <c r="ENL864" s="22" t="s">
        <v>16</v>
      </c>
      <c r="ENM864" s="22" t="s">
        <v>16</v>
      </c>
      <c r="ENN864" s="22" t="s">
        <v>16</v>
      </c>
      <c r="ENO864" s="22" t="s">
        <v>16</v>
      </c>
      <c r="ENP864" s="22" t="s">
        <v>16</v>
      </c>
      <c r="ENQ864" s="22" t="s">
        <v>16</v>
      </c>
      <c r="ENR864" s="22" t="s">
        <v>16</v>
      </c>
      <c r="ENS864" s="22" t="s">
        <v>16</v>
      </c>
      <c r="ENT864" s="22" t="s">
        <v>16</v>
      </c>
      <c r="ENU864" s="22" t="s">
        <v>16</v>
      </c>
      <c r="ENV864" s="22" t="s">
        <v>16</v>
      </c>
      <c r="ENW864" s="22" t="s">
        <v>16</v>
      </c>
      <c r="ENX864" s="22" t="s">
        <v>16</v>
      </c>
      <c r="ENY864" s="22" t="s">
        <v>16</v>
      </c>
      <c r="ENZ864" s="22" t="s">
        <v>16</v>
      </c>
      <c r="EOA864" s="22" t="s">
        <v>16</v>
      </c>
      <c r="EOB864" s="22" t="s">
        <v>16</v>
      </c>
      <c r="EOC864" s="22" t="s">
        <v>16</v>
      </c>
      <c r="EOD864" s="22" t="s">
        <v>16</v>
      </c>
      <c r="EOE864" s="22" t="s">
        <v>16</v>
      </c>
      <c r="EOF864" s="22" t="s">
        <v>16</v>
      </c>
      <c r="EOG864" s="22" t="s">
        <v>16</v>
      </c>
      <c r="EOH864" s="22" t="s">
        <v>16</v>
      </c>
      <c r="EOI864" s="22" t="s">
        <v>16</v>
      </c>
      <c r="EOJ864" s="22" t="s">
        <v>16</v>
      </c>
      <c r="EOK864" s="22" t="s">
        <v>16</v>
      </c>
      <c r="EOL864" s="22" t="s">
        <v>16</v>
      </c>
      <c r="EOM864" s="22" t="s">
        <v>16</v>
      </c>
      <c r="EON864" s="22" t="s">
        <v>16</v>
      </c>
      <c r="EOO864" s="22" t="s">
        <v>16</v>
      </c>
      <c r="EOP864" s="22" t="s">
        <v>16</v>
      </c>
      <c r="EOQ864" s="22" t="s">
        <v>16</v>
      </c>
      <c r="EOR864" s="22" t="s">
        <v>16</v>
      </c>
      <c r="EOS864" s="22" t="s">
        <v>16</v>
      </c>
      <c r="EOT864" s="22" t="s">
        <v>16</v>
      </c>
      <c r="EOU864" s="22" t="s">
        <v>16</v>
      </c>
      <c r="EOV864" s="22" t="s">
        <v>16</v>
      </c>
      <c r="EOW864" s="22" t="s">
        <v>16</v>
      </c>
      <c r="EOX864" s="22" t="s">
        <v>16</v>
      </c>
      <c r="EOY864" s="22" t="s">
        <v>16</v>
      </c>
      <c r="EOZ864" s="22" t="s">
        <v>16</v>
      </c>
      <c r="EPA864" s="22" t="s">
        <v>16</v>
      </c>
      <c r="EPB864" s="22" t="s">
        <v>16</v>
      </c>
      <c r="EPC864" s="22" t="s">
        <v>16</v>
      </c>
      <c r="EPD864" s="22" t="s">
        <v>16</v>
      </c>
      <c r="EPE864" s="22" t="s">
        <v>16</v>
      </c>
      <c r="EPF864" s="22" t="s">
        <v>16</v>
      </c>
      <c r="EPG864" s="22" t="s">
        <v>16</v>
      </c>
      <c r="EPH864" s="22" t="s">
        <v>16</v>
      </c>
      <c r="EPI864" s="22" t="s">
        <v>16</v>
      </c>
      <c r="EPJ864" s="22" t="s">
        <v>16</v>
      </c>
      <c r="EPK864" s="22" t="s">
        <v>16</v>
      </c>
      <c r="EPL864" s="22" t="s">
        <v>16</v>
      </c>
      <c r="EPM864" s="22" t="s">
        <v>16</v>
      </c>
      <c r="EPN864" s="22" t="s">
        <v>16</v>
      </c>
      <c r="EPO864" s="22" t="s">
        <v>16</v>
      </c>
      <c r="EPP864" s="22" t="s">
        <v>16</v>
      </c>
      <c r="EPQ864" s="22" t="s">
        <v>16</v>
      </c>
      <c r="EPR864" s="22" t="s">
        <v>16</v>
      </c>
      <c r="EPS864" s="22" t="s">
        <v>16</v>
      </c>
      <c r="EPT864" s="22" t="s">
        <v>16</v>
      </c>
      <c r="EPU864" s="22" t="s">
        <v>16</v>
      </c>
      <c r="EPV864" s="22" t="s">
        <v>16</v>
      </c>
      <c r="EPW864" s="22" t="s">
        <v>16</v>
      </c>
      <c r="EPX864" s="22" t="s">
        <v>16</v>
      </c>
      <c r="EPY864" s="22" t="s">
        <v>16</v>
      </c>
      <c r="EPZ864" s="22" t="s">
        <v>16</v>
      </c>
      <c r="EQA864" s="22" t="s">
        <v>16</v>
      </c>
      <c r="EQB864" s="22" t="s">
        <v>16</v>
      </c>
      <c r="EQC864" s="22" t="s">
        <v>16</v>
      </c>
      <c r="EQD864" s="22" t="s">
        <v>16</v>
      </c>
      <c r="EQE864" s="22" t="s">
        <v>16</v>
      </c>
      <c r="EQF864" s="22" t="s">
        <v>16</v>
      </c>
      <c r="EQG864" s="22" t="s">
        <v>16</v>
      </c>
      <c r="EQH864" s="22" t="s">
        <v>16</v>
      </c>
      <c r="EQI864" s="22" t="s">
        <v>16</v>
      </c>
      <c r="EQJ864" s="22" t="s">
        <v>16</v>
      </c>
      <c r="EQK864" s="22" t="s">
        <v>16</v>
      </c>
      <c r="EQL864" s="22" t="s">
        <v>16</v>
      </c>
      <c r="EQM864" s="22" t="s">
        <v>16</v>
      </c>
      <c r="EQN864" s="22" t="s">
        <v>16</v>
      </c>
      <c r="EQO864" s="22" t="s">
        <v>16</v>
      </c>
      <c r="EQP864" s="22" t="s">
        <v>16</v>
      </c>
      <c r="EQQ864" s="22" t="s">
        <v>16</v>
      </c>
      <c r="EQR864" s="22" t="s">
        <v>16</v>
      </c>
      <c r="EQS864" s="22" t="s">
        <v>16</v>
      </c>
      <c r="EQT864" s="22" t="s">
        <v>16</v>
      </c>
      <c r="EQU864" s="22" t="s">
        <v>16</v>
      </c>
      <c r="EQV864" s="22" t="s">
        <v>16</v>
      </c>
      <c r="EQW864" s="22" t="s">
        <v>16</v>
      </c>
      <c r="EQX864" s="22" t="s">
        <v>16</v>
      </c>
      <c r="EQY864" s="22" t="s">
        <v>16</v>
      </c>
      <c r="EQZ864" s="22" t="s">
        <v>16</v>
      </c>
      <c r="ERA864" s="22" t="s">
        <v>16</v>
      </c>
      <c r="ERB864" s="22" t="s">
        <v>16</v>
      </c>
      <c r="ERC864" s="22" t="s">
        <v>16</v>
      </c>
      <c r="ERD864" s="22" t="s">
        <v>16</v>
      </c>
      <c r="ERE864" s="22" t="s">
        <v>16</v>
      </c>
      <c r="ERF864" s="22" t="s">
        <v>16</v>
      </c>
      <c r="ERG864" s="22" t="s">
        <v>16</v>
      </c>
      <c r="ERH864" s="22" t="s">
        <v>16</v>
      </c>
      <c r="ERI864" s="22" t="s">
        <v>16</v>
      </c>
      <c r="ERJ864" s="22" t="s">
        <v>16</v>
      </c>
      <c r="ERK864" s="22" t="s">
        <v>16</v>
      </c>
      <c r="ERL864" s="22" t="s">
        <v>16</v>
      </c>
      <c r="ERM864" s="22" t="s">
        <v>16</v>
      </c>
      <c r="ERN864" s="22" t="s">
        <v>16</v>
      </c>
      <c r="ERO864" s="22" t="s">
        <v>16</v>
      </c>
      <c r="ERP864" s="22" t="s">
        <v>16</v>
      </c>
      <c r="ERQ864" s="22" t="s">
        <v>16</v>
      </c>
      <c r="ERR864" s="22" t="s">
        <v>16</v>
      </c>
      <c r="ERS864" s="22" t="s">
        <v>16</v>
      </c>
      <c r="ERT864" s="22" t="s">
        <v>16</v>
      </c>
      <c r="ERU864" s="22" t="s">
        <v>16</v>
      </c>
      <c r="ERV864" s="22" t="s">
        <v>16</v>
      </c>
      <c r="ERW864" s="22" t="s">
        <v>16</v>
      </c>
      <c r="ERX864" s="22" t="s">
        <v>16</v>
      </c>
      <c r="ERY864" s="22" t="s">
        <v>16</v>
      </c>
      <c r="ERZ864" s="22" t="s">
        <v>16</v>
      </c>
      <c r="ESA864" s="22" t="s">
        <v>16</v>
      </c>
      <c r="ESB864" s="22" t="s">
        <v>16</v>
      </c>
      <c r="ESC864" s="22" t="s">
        <v>16</v>
      </c>
      <c r="ESD864" s="22" t="s">
        <v>16</v>
      </c>
      <c r="ESE864" s="22" t="s">
        <v>16</v>
      </c>
      <c r="ESF864" s="22" t="s">
        <v>16</v>
      </c>
      <c r="ESG864" s="22" t="s">
        <v>16</v>
      </c>
      <c r="ESH864" s="22" t="s">
        <v>16</v>
      </c>
      <c r="ESI864" s="22" t="s">
        <v>16</v>
      </c>
      <c r="ESJ864" s="22" t="s">
        <v>16</v>
      </c>
      <c r="ESK864" s="22" t="s">
        <v>16</v>
      </c>
      <c r="ESL864" s="22" t="s">
        <v>16</v>
      </c>
      <c r="ESM864" s="22" t="s">
        <v>16</v>
      </c>
      <c r="ESN864" s="22" t="s">
        <v>16</v>
      </c>
      <c r="ESO864" s="22" t="s">
        <v>16</v>
      </c>
      <c r="ESP864" s="22" t="s">
        <v>16</v>
      </c>
      <c r="ESQ864" s="22" t="s">
        <v>16</v>
      </c>
      <c r="ESR864" s="22" t="s">
        <v>16</v>
      </c>
      <c r="ESS864" s="22" t="s">
        <v>16</v>
      </c>
      <c r="EST864" s="22" t="s">
        <v>16</v>
      </c>
      <c r="ESU864" s="22" t="s">
        <v>16</v>
      </c>
      <c r="ESV864" s="22" t="s">
        <v>16</v>
      </c>
      <c r="ESW864" s="22" t="s">
        <v>16</v>
      </c>
      <c r="ESX864" s="22" t="s">
        <v>16</v>
      </c>
      <c r="ESY864" s="22" t="s">
        <v>16</v>
      </c>
      <c r="ESZ864" s="22" t="s">
        <v>16</v>
      </c>
      <c r="ETA864" s="22" t="s">
        <v>16</v>
      </c>
      <c r="ETB864" s="22" t="s">
        <v>16</v>
      </c>
      <c r="ETC864" s="22" t="s">
        <v>16</v>
      </c>
      <c r="ETD864" s="22" t="s">
        <v>16</v>
      </c>
      <c r="ETE864" s="22" t="s">
        <v>16</v>
      </c>
      <c r="ETF864" s="22" t="s">
        <v>16</v>
      </c>
      <c r="ETG864" s="22" t="s">
        <v>16</v>
      </c>
      <c r="ETH864" s="22" t="s">
        <v>16</v>
      </c>
      <c r="ETI864" s="22" t="s">
        <v>16</v>
      </c>
      <c r="ETJ864" s="22" t="s">
        <v>16</v>
      </c>
      <c r="ETK864" s="22" t="s">
        <v>16</v>
      </c>
      <c r="ETL864" s="22" t="s">
        <v>16</v>
      </c>
      <c r="ETM864" s="22" t="s">
        <v>16</v>
      </c>
      <c r="ETN864" s="22" t="s">
        <v>16</v>
      </c>
      <c r="ETO864" s="22" t="s">
        <v>16</v>
      </c>
      <c r="ETP864" s="22" t="s">
        <v>16</v>
      </c>
      <c r="ETQ864" s="22" t="s">
        <v>16</v>
      </c>
      <c r="ETR864" s="22" t="s">
        <v>16</v>
      </c>
      <c r="ETS864" s="22" t="s">
        <v>16</v>
      </c>
      <c r="ETT864" s="22" t="s">
        <v>16</v>
      </c>
      <c r="ETU864" s="22" t="s">
        <v>16</v>
      </c>
      <c r="ETV864" s="22" t="s">
        <v>16</v>
      </c>
      <c r="ETW864" s="22" t="s">
        <v>16</v>
      </c>
      <c r="ETX864" s="22" t="s">
        <v>16</v>
      </c>
      <c r="ETY864" s="22" t="s">
        <v>16</v>
      </c>
      <c r="ETZ864" s="22" t="s">
        <v>16</v>
      </c>
      <c r="EUA864" s="22" t="s">
        <v>16</v>
      </c>
      <c r="EUB864" s="22" t="s">
        <v>16</v>
      </c>
      <c r="EUC864" s="22" t="s">
        <v>16</v>
      </c>
      <c r="EUD864" s="22" t="s">
        <v>16</v>
      </c>
      <c r="EUE864" s="22" t="s">
        <v>16</v>
      </c>
      <c r="EUF864" s="22" t="s">
        <v>16</v>
      </c>
      <c r="EUG864" s="22" t="s">
        <v>16</v>
      </c>
      <c r="EUH864" s="22" t="s">
        <v>16</v>
      </c>
      <c r="EUI864" s="22" t="s">
        <v>16</v>
      </c>
      <c r="EUJ864" s="22" t="s">
        <v>16</v>
      </c>
      <c r="EUK864" s="22" t="s">
        <v>16</v>
      </c>
      <c r="EUL864" s="22" t="s">
        <v>16</v>
      </c>
      <c r="EUM864" s="22" t="s">
        <v>16</v>
      </c>
      <c r="EUN864" s="22" t="s">
        <v>16</v>
      </c>
      <c r="EUO864" s="22" t="s">
        <v>16</v>
      </c>
      <c r="EUP864" s="22" t="s">
        <v>16</v>
      </c>
      <c r="EUQ864" s="22" t="s">
        <v>16</v>
      </c>
      <c r="EUR864" s="22" t="s">
        <v>16</v>
      </c>
      <c r="EUS864" s="22" t="s">
        <v>16</v>
      </c>
      <c r="EUT864" s="22" t="s">
        <v>16</v>
      </c>
      <c r="EUU864" s="22" t="s">
        <v>16</v>
      </c>
      <c r="EUV864" s="22" t="s">
        <v>16</v>
      </c>
      <c r="EUW864" s="22" t="s">
        <v>16</v>
      </c>
      <c r="EUX864" s="22" t="s">
        <v>16</v>
      </c>
      <c r="EUY864" s="22" t="s">
        <v>16</v>
      </c>
      <c r="EUZ864" s="22" t="s">
        <v>16</v>
      </c>
      <c r="EVA864" s="22" t="s">
        <v>16</v>
      </c>
      <c r="EVB864" s="22" t="s">
        <v>16</v>
      </c>
      <c r="EVC864" s="22" t="s">
        <v>16</v>
      </c>
      <c r="EVD864" s="22" t="s">
        <v>16</v>
      </c>
      <c r="EVE864" s="22" t="s">
        <v>16</v>
      </c>
      <c r="EVF864" s="22" t="s">
        <v>16</v>
      </c>
      <c r="EVG864" s="22" t="s">
        <v>16</v>
      </c>
      <c r="EVH864" s="22" t="s">
        <v>16</v>
      </c>
      <c r="EVI864" s="22" t="s">
        <v>16</v>
      </c>
      <c r="EVJ864" s="22" t="s">
        <v>16</v>
      </c>
      <c r="EVK864" s="22" t="s">
        <v>16</v>
      </c>
      <c r="EVL864" s="22" t="s">
        <v>16</v>
      </c>
      <c r="EVM864" s="22" t="s">
        <v>16</v>
      </c>
      <c r="EVN864" s="22" t="s">
        <v>16</v>
      </c>
      <c r="EVO864" s="22" t="s">
        <v>16</v>
      </c>
      <c r="EVP864" s="22" t="s">
        <v>16</v>
      </c>
      <c r="EVQ864" s="22" t="s">
        <v>16</v>
      </c>
      <c r="EVR864" s="22" t="s">
        <v>16</v>
      </c>
      <c r="EVS864" s="22" t="s">
        <v>16</v>
      </c>
      <c r="EVT864" s="22" t="s">
        <v>16</v>
      </c>
      <c r="EVU864" s="22" t="s">
        <v>16</v>
      </c>
      <c r="EVV864" s="22" t="s">
        <v>16</v>
      </c>
      <c r="EVW864" s="22" t="s">
        <v>16</v>
      </c>
      <c r="EVX864" s="22" t="s">
        <v>16</v>
      </c>
      <c r="EVY864" s="22" t="s">
        <v>16</v>
      </c>
      <c r="EVZ864" s="22" t="s">
        <v>16</v>
      </c>
      <c r="EWA864" s="22" t="s">
        <v>16</v>
      </c>
      <c r="EWB864" s="22" t="s">
        <v>16</v>
      </c>
      <c r="EWC864" s="22" t="s">
        <v>16</v>
      </c>
      <c r="EWD864" s="22" t="s">
        <v>16</v>
      </c>
      <c r="EWE864" s="22" t="s">
        <v>16</v>
      </c>
      <c r="EWF864" s="22" t="s">
        <v>16</v>
      </c>
      <c r="EWG864" s="22" t="s">
        <v>16</v>
      </c>
      <c r="EWH864" s="22" t="s">
        <v>16</v>
      </c>
      <c r="EWI864" s="22" t="s">
        <v>16</v>
      </c>
      <c r="EWJ864" s="22" t="s">
        <v>16</v>
      </c>
      <c r="EWK864" s="22" t="s">
        <v>16</v>
      </c>
      <c r="EWL864" s="22" t="s">
        <v>16</v>
      </c>
      <c r="EWM864" s="22" t="s">
        <v>16</v>
      </c>
      <c r="EWN864" s="22" t="s">
        <v>16</v>
      </c>
      <c r="EWO864" s="22" t="s">
        <v>16</v>
      </c>
      <c r="EWP864" s="22" t="s">
        <v>16</v>
      </c>
      <c r="EWQ864" s="22" t="s">
        <v>16</v>
      </c>
      <c r="EWR864" s="22" t="s">
        <v>16</v>
      </c>
      <c r="EWS864" s="22" t="s">
        <v>16</v>
      </c>
      <c r="EWT864" s="22" t="s">
        <v>16</v>
      </c>
      <c r="EWU864" s="22" t="s">
        <v>16</v>
      </c>
      <c r="EWV864" s="22" t="s">
        <v>16</v>
      </c>
      <c r="EWW864" s="22" t="s">
        <v>16</v>
      </c>
      <c r="EWX864" s="22" t="s">
        <v>16</v>
      </c>
      <c r="EWY864" s="22" t="s">
        <v>16</v>
      </c>
      <c r="EWZ864" s="22" t="s">
        <v>16</v>
      </c>
      <c r="EXA864" s="22" t="s">
        <v>16</v>
      </c>
      <c r="EXB864" s="22" t="s">
        <v>16</v>
      </c>
      <c r="EXC864" s="22" t="s">
        <v>16</v>
      </c>
      <c r="EXD864" s="22" t="s">
        <v>16</v>
      </c>
      <c r="EXE864" s="22" t="s">
        <v>16</v>
      </c>
      <c r="EXF864" s="22" t="s">
        <v>16</v>
      </c>
      <c r="EXG864" s="22" t="s">
        <v>16</v>
      </c>
      <c r="EXH864" s="22" t="s">
        <v>16</v>
      </c>
      <c r="EXI864" s="22" t="s">
        <v>16</v>
      </c>
      <c r="EXJ864" s="22" t="s">
        <v>16</v>
      </c>
      <c r="EXK864" s="22" t="s">
        <v>16</v>
      </c>
      <c r="EXL864" s="22" t="s">
        <v>16</v>
      </c>
      <c r="EXM864" s="22" t="s">
        <v>16</v>
      </c>
      <c r="EXN864" s="22" t="s">
        <v>16</v>
      </c>
      <c r="EXO864" s="22" t="s">
        <v>16</v>
      </c>
      <c r="EXP864" s="22" t="s">
        <v>16</v>
      </c>
      <c r="EXQ864" s="22" t="s">
        <v>16</v>
      </c>
      <c r="EXR864" s="22" t="s">
        <v>16</v>
      </c>
      <c r="EXS864" s="22" t="s">
        <v>16</v>
      </c>
      <c r="EXT864" s="22" t="s">
        <v>16</v>
      </c>
      <c r="EXU864" s="22" t="s">
        <v>16</v>
      </c>
      <c r="EXV864" s="22" t="s">
        <v>16</v>
      </c>
      <c r="EXW864" s="22" t="s">
        <v>16</v>
      </c>
      <c r="EXX864" s="22" t="s">
        <v>16</v>
      </c>
      <c r="EXY864" s="22" t="s">
        <v>16</v>
      </c>
      <c r="EXZ864" s="22" t="s">
        <v>16</v>
      </c>
      <c r="EYA864" s="22" t="s">
        <v>16</v>
      </c>
      <c r="EYB864" s="22" t="s">
        <v>16</v>
      </c>
      <c r="EYC864" s="22" t="s">
        <v>16</v>
      </c>
      <c r="EYD864" s="22" t="s">
        <v>16</v>
      </c>
      <c r="EYE864" s="22" t="s">
        <v>16</v>
      </c>
      <c r="EYF864" s="22" t="s">
        <v>16</v>
      </c>
      <c r="EYG864" s="22" t="s">
        <v>16</v>
      </c>
      <c r="EYH864" s="22" t="s">
        <v>16</v>
      </c>
      <c r="EYI864" s="22" t="s">
        <v>16</v>
      </c>
      <c r="EYJ864" s="22" t="s">
        <v>16</v>
      </c>
      <c r="EYK864" s="22" t="s">
        <v>16</v>
      </c>
      <c r="EYL864" s="22" t="s">
        <v>16</v>
      </c>
      <c r="EYM864" s="22" t="s">
        <v>16</v>
      </c>
      <c r="EYN864" s="22" t="s">
        <v>16</v>
      </c>
      <c r="EYO864" s="22" t="s">
        <v>16</v>
      </c>
      <c r="EYP864" s="22" t="s">
        <v>16</v>
      </c>
      <c r="EYQ864" s="22" t="s">
        <v>16</v>
      </c>
      <c r="EYR864" s="22" t="s">
        <v>16</v>
      </c>
      <c r="EYS864" s="22" t="s">
        <v>16</v>
      </c>
      <c r="EYT864" s="22" t="s">
        <v>16</v>
      </c>
      <c r="EYU864" s="22" t="s">
        <v>16</v>
      </c>
      <c r="EYV864" s="22" t="s">
        <v>16</v>
      </c>
      <c r="EYW864" s="22" t="s">
        <v>16</v>
      </c>
      <c r="EYX864" s="22" t="s">
        <v>16</v>
      </c>
      <c r="EYY864" s="22" t="s">
        <v>16</v>
      </c>
      <c r="EYZ864" s="22" t="s">
        <v>16</v>
      </c>
      <c r="EZA864" s="22" t="s">
        <v>16</v>
      </c>
      <c r="EZB864" s="22" t="s">
        <v>16</v>
      </c>
      <c r="EZC864" s="22" t="s">
        <v>16</v>
      </c>
      <c r="EZD864" s="22" t="s">
        <v>16</v>
      </c>
      <c r="EZE864" s="22" t="s">
        <v>16</v>
      </c>
      <c r="EZF864" s="22" t="s">
        <v>16</v>
      </c>
      <c r="EZG864" s="22" t="s">
        <v>16</v>
      </c>
      <c r="EZH864" s="22" t="s">
        <v>16</v>
      </c>
      <c r="EZI864" s="22" t="s">
        <v>16</v>
      </c>
      <c r="EZJ864" s="22" t="s">
        <v>16</v>
      </c>
      <c r="EZK864" s="22" t="s">
        <v>16</v>
      </c>
      <c r="EZL864" s="22" t="s">
        <v>16</v>
      </c>
      <c r="EZM864" s="22" t="s">
        <v>16</v>
      </c>
      <c r="EZN864" s="22" t="s">
        <v>16</v>
      </c>
      <c r="EZO864" s="22" t="s">
        <v>16</v>
      </c>
      <c r="EZP864" s="22" t="s">
        <v>16</v>
      </c>
      <c r="EZQ864" s="22" t="s">
        <v>16</v>
      </c>
      <c r="EZR864" s="22" t="s">
        <v>16</v>
      </c>
      <c r="EZS864" s="22" t="s">
        <v>16</v>
      </c>
      <c r="EZT864" s="22" t="s">
        <v>16</v>
      </c>
      <c r="EZU864" s="22" t="s">
        <v>16</v>
      </c>
      <c r="EZV864" s="22" t="s">
        <v>16</v>
      </c>
      <c r="EZW864" s="22" t="s">
        <v>16</v>
      </c>
      <c r="EZX864" s="22" t="s">
        <v>16</v>
      </c>
      <c r="EZY864" s="22" t="s">
        <v>16</v>
      </c>
      <c r="EZZ864" s="22" t="s">
        <v>16</v>
      </c>
      <c r="FAA864" s="22" t="s">
        <v>16</v>
      </c>
      <c r="FAB864" s="22" t="s">
        <v>16</v>
      </c>
      <c r="FAC864" s="22" t="s">
        <v>16</v>
      </c>
      <c r="FAD864" s="22" t="s">
        <v>16</v>
      </c>
      <c r="FAE864" s="22" t="s">
        <v>16</v>
      </c>
      <c r="FAF864" s="22" t="s">
        <v>16</v>
      </c>
      <c r="FAG864" s="22" t="s">
        <v>16</v>
      </c>
      <c r="FAH864" s="22" t="s">
        <v>16</v>
      </c>
      <c r="FAI864" s="22" t="s">
        <v>16</v>
      </c>
      <c r="FAJ864" s="22" t="s">
        <v>16</v>
      </c>
      <c r="FAK864" s="22" t="s">
        <v>16</v>
      </c>
      <c r="FAL864" s="22" t="s">
        <v>16</v>
      </c>
      <c r="FAM864" s="22" t="s">
        <v>16</v>
      </c>
      <c r="FAN864" s="22" t="s">
        <v>16</v>
      </c>
      <c r="FAO864" s="22" t="s">
        <v>16</v>
      </c>
      <c r="FAP864" s="22" t="s">
        <v>16</v>
      </c>
      <c r="FAQ864" s="22" t="s">
        <v>16</v>
      </c>
      <c r="FAR864" s="22" t="s">
        <v>16</v>
      </c>
      <c r="FAS864" s="22" t="s">
        <v>16</v>
      </c>
      <c r="FAT864" s="22" t="s">
        <v>16</v>
      </c>
      <c r="FAU864" s="22" t="s">
        <v>16</v>
      </c>
      <c r="FAV864" s="22" t="s">
        <v>16</v>
      </c>
      <c r="FAW864" s="22" t="s">
        <v>16</v>
      </c>
      <c r="FAX864" s="22" t="s">
        <v>16</v>
      </c>
      <c r="FAY864" s="22" t="s">
        <v>16</v>
      </c>
      <c r="FAZ864" s="22" t="s">
        <v>16</v>
      </c>
      <c r="FBA864" s="22" t="s">
        <v>16</v>
      </c>
      <c r="FBB864" s="22" t="s">
        <v>16</v>
      </c>
      <c r="FBC864" s="22" t="s">
        <v>16</v>
      </c>
      <c r="FBD864" s="22" t="s">
        <v>16</v>
      </c>
      <c r="FBE864" s="22" t="s">
        <v>16</v>
      </c>
      <c r="FBF864" s="22" t="s">
        <v>16</v>
      </c>
      <c r="FBG864" s="22" t="s">
        <v>16</v>
      </c>
      <c r="FBH864" s="22" t="s">
        <v>16</v>
      </c>
      <c r="FBI864" s="22" t="s">
        <v>16</v>
      </c>
      <c r="FBJ864" s="22" t="s">
        <v>16</v>
      </c>
      <c r="FBK864" s="22" t="s">
        <v>16</v>
      </c>
      <c r="FBL864" s="22" t="s">
        <v>16</v>
      </c>
      <c r="FBM864" s="22" t="s">
        <v>16</v>
      </c>
      <c r="FBN864" s="22" t="s">
        <v>16</v>
      </c>
      <c r="FBO864" s="22" t="s">
        <v>16</v>
      </c>
      <c r="FBP864" s="22" t="s">
        <v>16</v>
      </c>
      <c r="FBQ864" s="22" t="s">
        <v>16</v>
      </c>
      <c r="FBR864" s="22" t="s">
        <v>16</v>
      </c>
      <c r="FBS864" s="22" t="s">
        <v>16</v>
      </c>
      <c r="FBT864" s="22" t="s">
        <v>16</v>
      </c>
      <c r="FBU864" s="22" t="s">
        <v>16</v>
      </c>
      <c r="FBV864" s="22" t="s">
        <v>16</v>
      </c>
      <c r="FBW864" s="22" t="s">
        <v>16</v>
      </c>
      <c r="FBX864" s="22" t="s">
        <v>16</v>
      </c>
      <c r="FBY864" s="22" t="s">
        <v>16</v>
      </c>
      <c r="FBZ864" s="22" t="s">
        <v>16</v>
      </c>
      <c r="FCA864" s="22" t="s">
        <v>16</v>
      </c>
      <c r="FCB864" s="22" t="s">
        <v>16</v>
      </c>
      <c r="FCC864" s="22" t="s">
        <v>16</v>
      </c>
      <c r="FCD864" s="22" t="s">
        <v>16</v>
      </c>
      <c r="FCE864" s="22" t="s">
        <v>16</v>
      </c>
      <c r="FCF864" s="22" t="s">
        <v>16</v>
      </c>
      <c r="FCG864" s="22" t="s">
        <v>16</v>
      </c>
      <c r="FCH864" s="22" t="s">
        <v>16</v>
      </c>
      <c r="FCI864" s="22" t="s">
        <v>16</v>
      </c>
      <c r="FCJ864" s="22" t="s">
        <v>16</v>
      </c>
      <c r="FCK864" s="22" t="s">
        <v>16</v>
      </c>
      <c r="FCL864" s="22" t="s">
        <v>16</v>
      </c>
      <c r="FCM864" s="22" t="s">
        <v>16</v>
      </c>
      <c r="FCN864" s="22" t="s">
        <v>16</v>
      </c>
      <c r="FCO864" s="22" t="s">
        <v>16</v>
      </c>
      <c r="FCP864" s="22" t="s">
        <v>16</v>
      </c>
      <c r="FCQ864" s="22" t="s">
        <v>16</v>
      </c>
      <c r="FCR864" s="22" t="s">
        <v>16</v>
      </c>
      <c r="FCS864" s="22" t="s">
        <v>16</v>
      </c>
      <c r="FCT864" s="22" t="s">
        <v>16</v>
      </c>
      <c r="FCU864" s="22" t="s">
        <v>16</v>
      </c>
      <c r="FCV864" s="22" t="s">
        <v>16</v>
      </c>
      <c r="FCW864" s="22" t="s">
        <v>16</v>
      </c>
      <c r="FCX864" s="22" t="s">
        <v>16</v>
      </c>
      <c r="FCY864" s="22" t="s">
        <v>16</v>
      </c>
      <c r="FCZ864" s="22" t="s">
        <v>16</v>
      </c>
      <c r="FDA864" s="22" t="s">
        <v>16</v>
      </c>
      <c r="FDB864" s="22" t="s">
        <v>16</v>
      </c>
      <c r="FDC864" s="22" t="s">
        <v>16</v>
      </c>
      <c r="FDD864" s="22" t="s">
        <v>16</v>
      </c>
      <c r="FDE864" s="22" t="s">
        <v>16</v>
      </c>
      <c r="FDF864" s="22" t="s">
        <v>16</v>
      </c>
      <c r="FDG864" s="22" t="s">
        <v>16</v>
      </c>
      <c r="FDH864" s="22" t="s">
        <v>16</v>
      </c>
      <c r="FDI864" s="22" t="s">
        <v>16</v>
      </c>
      <c r="FDJ864" s="22" t="s">
        <v>16</v>
      </c>
      <c r="FDK864" s="22" t="s">
        <v>16</v>
      </c>
      <c r="FDL864" s="22" t="s">
        <v>16</v>
      </c>
      <c r="FDM864" s="22" t="s">
        <v>16</v>
      </c>
      <c r="FDN864" s="22" t="s">
        <v>16</v>
      </c>
      <c r="FDO864" s="22" t="s">
        <v>16</v>
      </c>
      <c r="FDP864" s="22" t="s">
        <v>16</v>
      </c>
      <c r="FDQ864" s="22" t="s">
        <v>16</v>
      </c>
      <c r="FDR864" s="22" t="s">
        <v>16</v>
      </c>
      <c r="FDS864" s="22" t="s">
        <v>16</v>
      </c>
      <c r="FDT864" s="22" t="s">
        <v>16</v>
      </c>
      <c r="FDU864" s="22" t="s">
        <v>16</v>
      </c>
      <c r="FDV864" s="22" t="s">
        <v>16</v>
      </c>
      <c r="FDW864" s="22" t="s">
        <v>16</v>
      </c>
      <c r="FDX864" s="22" t="s">
        <v>16</v>
      </c>
      <c r="FDY864" s="22" t="s">
        <v>16</v>
      </c>
      <c r="FDZ864" s="22" t="s">
        <v>16</v>
      </c>
      <c r="FEA864" s="22" t="s">
        <v>16</v>
      </c>
      <c r="FEB864" s="22" t="s">
        <v>16</v>
      </c>
      <c r="FEC864" s="22" t="s">
        <v>16</v>
      </c>
      <c r="FED864" s="22" t="s">
        <v>16</v>
      </c>
      <c r="FEE864" s="22" t="s">
        <v>16</v>
      </c>
      <c r="FEF864" s="22" t="s">
        <v>16</v>
      </c>
      <c r="FEG864" s="22" t="s">
        <v>16</v>
      </c>
      <c r="FEH864" s="22" t="s">
        <v>16</v>
      </c>
      <c r="FEI864" s="22" t="s">
        <v>16</v>
      </c>
      <c r="FEJ864" s="22" t="s">
        <v>16</v>
      </c>
      <c r="FEK864" s="22" t="s">
        <v>16</v>
      </c>
      <c r="FEL864" s="22" t="s">
        <v>16</v>
      </c>
      <c r="FEM864" s="22" t="s">
        <v>16</v>
      </c>
      <c r="FEN864" s="22" t="s">
        <v>16</v>
      </c>
      <c r="FEO864" s="22" t="s">
        <v>16</v>
      </c>
      <c r="FEP864" s="22" t="s">
        <v>16</v>
      </c>
      <c r="FEQ864" s="22" t="s">
        <v>16</v>
      </c>
      <c r="FER864" s="22" t="s">
        <v>16</v>
      </c>
      <c r="FES864" s="22" t="s">
        <v>16</v>
      </c>
      <c r="FET864" s="22" t="s">
        <v>16</v>
      </c>
      <c r="FEU864" s="22" t="s">
        <v>16</v>
      </c>
      <c r="FEV864" s="22" t="s">
        <v>16</v>
      </c>
      <c r="FEW864" s="22" t="s">
        <v>16</v>
      </c>
      <c r="FEX864" s="22" t="s">
        <v>16</v>
      </c>
      <c r="FEY864" s="22" t="s">
        <v>16</v>
      </c>
      <c r="FEZ864" s="22" t="s">
        <v>16</v>
      </c>
      <c r="FFA864" s="22" t="s">
        <v>16</v>
      </c>
      <c r="FFB864" s="22" t="s">
        <v>16</v>
      </c>
      <c r="FFC864" s="22" t="s">
        <v>16</v>
      </c>
      <c r="FFD864" s="22" t="s">
        <v>16</v>
      </c>
      <c r="FFE864" s="22" t="s">
        <v>16</v>
      </c>
      <c r="FFF864" s="22" t="s">
        <v>16</v>
      </c>
      <c r="FFG864" s="22" t="s">
        <v>16</v>
      </c>
      <c r="FFH864" s="22" t="s">
        <v>16</v>
      </c>
      <c r="FFI864" s="22" t="s">
        <v>16</v>
      </c>
      <c r="FFJ864" s="22" t="s">
        <v>16</v>
      </c>
      <c r="FFK864" s="22" t="s">
        <v>16</v>
      </c>
      <c r="FFL864" s="22" t="s">
        <v>16</v>
      </c>
      <c r="FFM864" s="22" t="s">
        <v>16</v>
      </c>
      <c r="FFN864" s="22" t="s">
        <v>16</v>
      </c>
      <c r="FFO864" s="22" t="s">
        <v>16</v>
      </c>
      <c r="FFP864" s="22" t="s">
        <v>16</v>
      </c>
      <c r="FFQ864" s="22" t="s">
        <v>16</v>
      </c>
      <c r="FFR864" s="22" t="s">
        <v>16</v>
      </c>
      <c r="FFS864" s="22" t="s">
        <v>16</v>
      </c>
      <c r="FFT864" s="22" t="s">
        <v>16</v>
      </c>
      <c r="FFU864" s="22" t="s">
        <v>16</v>
      </c>
      <c r="FFV864" s="22" t="s">
        <v>16</v>
      </c>
      <c r="FFW864" s="22" t="s">
        <v>16</v>
      </c>
      <c r="FFX864" s="22" t="s">
        <v>16</v>
      </c>
      <c r="FFY864" s="22" t="s">
        <v>16</v>
      </c>
      <c r="FFZ864" s="22" t="s">
        <v>16</v>
      </c>
      <c r="FGA864" s="22" t="s">
        <v>16</v>
      </c>
      <c r="FGB864" s="22" t="s">
        <v>16</v>
      </c>
      <c r="FGC864" s="22" t="s">
        <v>16</v>
      </c>
      <c r="FGD864" s="22" t="s">
        <v>16</v>
      </c>
      <c r="FGE864" s="22" t="s">
        <v>16</v>
      </c>
      <c r="FGF864" s="22" t="s">
        <v>16</v>
      </c>
      <c r="FGG864" s="22" t="s">
        <v>16</v>
      </c>
      <c r="FGH864" s="22" t="s">
        <v>16</v>
      </c>
      <c r="FGI864" s="22" t="s">
        <v>16</v>
      </c>
      <c r="FGJ864" s="22" t="s">
        <v>16</v>
      </c>
      <c r="FGK864" s="22" t="s">
        <v>16</v>
      </c>
      <c r="FGL864" s="22" t="s">
        <v>16</v>
      </c>
      <c r="FGM864" s="22" t="s">
        <v>16</v>
      </c>
      <c r="FGN864" s="22" t="s">
        <v>16</v>
      </c>
      <c r="FGO864" s="22" t="s">
        <v>16</v>
      </c>
      <c r="FGP864" s="22" t="s">
        <v>16</v>
      </c>
      <c r="FGQ864" s="22" t="s">
        <v>16</v>
      </c>
      <c r="FGR864" s="22" t="s">
        <v>16</v>
      </c>
      <c r="FGS864" s="22" t="s">
        <v>16</v>
      </c>
      <c r="FGT864" s="22" t="s">
        <v>16</v>
      </c>
      <c r="FGU864" s="22" t="s">
        <v>16</v>
      </c>
      <c r="FGV864" s="22" t="s">
        <v>16</v>
      </c>
      <c r="FGW864" s="22" t="s">
        <v>16</v>
      </c>
      <c r="FGX864" s="22" t="s">
        <v>16</v>
      </c>
      <c r="FGY864" s="22" t="s">
        <v>16</v>
      </c>
      <c r="FGZ864" s="22" t="s">
        <v>16</v>
      </c>
      <c r="FHA864" s="22" t="s">
        <v>16</v>
      </c>
      <c r="FHB864" s="22" t="s">
        <v>16</v>
      </c>
      <c r="FHC864" s="22" t="s">
        <v>16</v>
      </c>
      <c r="FHD864" s="22" t="s">
        <v>16</v>
      </c>
      <c r="FHE864" s="22" t="s">
        <v>16</v>
      </c>
      <c r="FHF864" s="22" t="s">
        <v>16</v>
      </c>
      <c r="FHG864" s="22" t="s">
        <v>16</v>
      </c>
      <c r="FHH864" s="22" t="s">
        <v>16</v>
      </c>
      <c r="FHI864" s="22" t="s">
        <v>16</v>
      </c>
      <c r="FHJ864" s="22" t="s">
        <v>16</v>
      </c>
      <c r="FHK864" s="22" t="s">
        <v>16</v>
      </c>
      <c r="FHL864" s="22" t="s">
        <v>16</v>
      </c>
      <c r="FHM864" s="22" t="s">
        <v>16</v>
      </c>
      <c r="FHN864" s="22" t="s">
        <v>16</v>
      </c>
      <c r="FHO864" s="22" t="s">
        <v>16</v>
      </c>
      <c r="FHP864" s="22" t="s">
        <v>16</v>
      </c>
      <c r="FHQ864" s="22" t="s">
        <v>16</v>
      </c>
      <c r="FHR864" s="22" t="s">
        <v>16</v>
      </c>
      <c r="FHS864" s="22" t="s">
        <v>16</v>
      </c>
      <c r="FHT864" s="22" t="s">
        <v>16</v>
      </c>
      <c r="FHU864" s="22" t="s">
        <v>16</v>
      </c>
      <c r="FHV864" s="22" t="s">
        <v>16</v>
      </c>
      <c r="FHW864" s="22" t="s">
        <v>16</v>
      </c>
      <c r="FHX864" s="22" t="s">
        <v>16</v>
      </c>
      <c r="FHY864" s="22" t="s">
        <v>16</v>
      </c>
      <c r="FHZ864" s="22" t="s">
        <v>16</v>
      </c>
      <c r="FIA864" s="22" t="s">
        <v>16</v>
      </c>
      <c r="FIB864" s="22" t="s">
        <v>16</v>
      </c>
      <c r="FIC864" s="22" t="s">
        <v>16</v>
      </c>
      <c r="FID864" s="22" t="s">
        <v>16</v>
      </c>
      <c r="FIE864" s="22" t="s">
        <v>16</v>
      </c>
      <c r="FIF864" s="22" t="s">
        <v>16</v>
      </c>
      <c r="FIG864" s="22" t="s">
        <v>16</v>
      </c>
      <c r="FIH864" s="22" t="s">
        <v>16</v>
      </c>
      <c r="FII864" s="22" t="s">
        <v>16</v>
      </c>
      <c r="FIJ864" s="22" t="s">
        <v>16</v>
      </c>
      <c r="FIK864" s="22" t="s">
        <v>16</v>
      </c>
      <c r="FIL864" s="22" t="s">
        <v>16</v>
      </c>
      <c r="FIM864" s="22" t="s">
        <v>16</v>
      </c>
      <c r="FIN864" s="22" t="s">
        <v>16</v>
      </c>
      <c r="FIO864" s="22" t="s">
        <v>16</v>
      </c>
      <c r="FIP864" s="22" t="s">
        <v>16</v>
      </c>
      <c r="FIQ864" s="22" t="s">
        <v>16</v>
      </c>
      <c r="FIR864" s="22" t="s">
        <v>16</v>
      </c>
      <c r="FIS864" s="22" t="s">
        <v>16</v>
      </c>
      <c r="FIT864" s="22" t="s">
        <v>16</v>
      </c>
      <c r="FIU864" s="22" t="s">
        <v>16</v>
      </c>
      <c r="FIV864" s="22" t="s">
        <v>16</v>
      </c>
      <c r="FIW864" s="22" t="s">
        <v>16</v>
      </c>
      <c r="FIX864" s="22" t="s">
        <v>16</v>
      </c>
      <c r="FIY864" s="22" t="s">
        <v>16</v>
      </c>
      <c r="FIZ864" s="22" t="s">
        <v>16</v>
      </c>
      <c r="FJA864" s="22" t="s">
        <v>16</v>
      </c>
      <c r="FJB864" s="22" t="s">
        <v>16</v>
      </c>
      <c r="FJC864" s="22" t="s">
        <v>16</v>
      </c>
      <c r="FJD864" s="22" t="s">
        <v>16</v>
      </c>
      <c r="FJE864" s="22" t="s">
        <v>16</v>
      </c>
      <c r="FJF864" s="22" t="s">
        <v>16</v>
      </c>
      <c r="FJG864" s="22" t="s">
        <v>16</v>
      </c>
      <c r="FJH864" s="22" t="s">
        <v>16</v>
      </c>
      <c r="FJI864" s="22" t="s">
        <v>16</v>
      </c>
      <c r="FJJ864" s="22" t="s">
        <v>16</v>
      </c>
      <c r="FJK864" s="22" t="s">
        <v>16</v>
      </c>
      <c r="FJL864" s="22" t="s">
        <v>16</v>
      </c>
      <c r="FJM864" s="22" t="s">
        <v>16</v>
      </c>
      <c r="FJN864" s="22" t="s">
        <v>16</v>
      </c>
      <c r="FJO864" s="22" t="s">
        <v>16</v>
      </c>
      <c r="FJP864" s="22" t="s">
        <v>16</v>
      </c>
      <c r="FJQ864" s="22" t="s">
        <v>16</v>
      </c>
      <c r="FJR864" s="22" t="s">
        <v>16</v>
      </c>
      <c r="FJS864" s="22" t="s">
        <v>16</v>
      </c>
      <c r="FJT864" s="22" t="s">
        <v>16</v>
      </c>
      <c r="FJU864" s="22" t="s">
        <v>16</v>
      </c>
      <c r="FJV864" s="22" t="s">
        <v>16</v>
      </c>
      <c r="FJW864" s="22" t="s">
        <v>16</v>
      </c>
      <c r="FJX864" s="22" t="s">
        <v>16</v>
      </c>
      <c r="FJY864" s="22" t="s">
        <v>16</v>
      </c>
      <c r="FJZ864" s="22" t="s">
        <v>16</v>
      </c>
      <c r="FKA864" s="22" t="s">
        <v>16</v>
      </c>
      <c r="FKB864" s="22" t="s">
        <v>16</v>
      </c>
      <c r="FKC864" s="22" t="s">
        <v>16</v>
      </c>
      <c r="FKD864" s="22" t="s">
        <v>16</v>
      </c>
      <c r="FKE864" s="22" t="s">
        <v>16</v>
      </c>
      <c r="FKF864" s="22" t="s">
        <v>16</v>
      </c>
      <c r="FKG864" s="22" t="s">
        <v>16</v>
      </c>
      <c r="FKH864" s="22" t="s">
        <v>16</v>
      </c>
      <c r="FKI864" s="22" t="s">
        <v>16</v>
      </c>
      <c r="FKJ864" s="22" t="s">
        <v>16</v>
      </c>
      <c r="FKK864" s="22" t="s">
        <v>16</v>
      </c>
      <c r="FKL864" s="22" t="s">
        <v>16</v>
      </c>
      <c r="FKM864" s="22" t="s">
        <v>16</v>
      </c>
      <c r="FKN864" s="22" t="s">
        <v>16</v>
      </c>
      <c r="FKO864" s="22" t="s">
        <v>16</v>
      </c>
      <c r="FKP864" s="22" t="s">
        <v>16</v>
      </c>
      <c r="FKQ864" s="22" t="s">
        <v>16</v>
      </c>
      <c r="FKR864" s="22" t="s">
        <v>16</v>
      </c>
      <c r="FKS864" s="22" t="s">
        <v>16</v>
      </c>
      <c r="FKT864" s="22" t="s">
        <v>16</v>
      </c>
      <c r="FKU864" s="22" t="s">
        <v>16</v>
      </c>
      <c r="FKV864" s="22" t="s">
        <v>16</v>
      </c>
      <c r="FKW864" s="22" t="s">
        <v>16</v>
      </c>
      <c r="FKX864" s="22" t="s">
        <v>16</v>
      </c>
      <c r="FKY864" s="22" t="s">
        <v>16</v>
      </c>
      <c r="FKZ864" s="22" t="s">
        <v>16</v>
      </c>
      <c r="FLA864" s="22" t="s">
        <v>16</v>
      </c>
      <c r="FLB864" s="22" t="s">
        <v>16</v>
      </c>
      <c r="FLC864" s="22" t="s">
        <v>16</v>
      </c>
      <c r="FLD864" s="22" t="s">
        <v>16</v>
      </c>
      <c r="FLE864" s="22" t="s">
        <v>16</v>
      </c>
      <c r="FLF864" s="22" t="s">
        <v>16</v>
      </c>
      <c r="FLG864" s="22" t="s">
        <v>16</v>
      </c>
      <c r="FLH864" s="22" t="s">
        <v>16</v>
      </c>
      <c r="FLI864" s="22" t="s">
        <v>16</v>
      </c>
      <c r="FLJ864" s="22" t="s">
        <v>16</v>
      </c>
      <c r="FLK864" s="22" t="s">
        <v>16</v>
      </c>
      <c r="FLL864" s="22" t="s">
        <v>16</v>
      </c>
      <c r="FLM864" s="22" t="s">
        <v>16</v>
      </c>
      <c r="FLN864" s="22" t="s">
        <v>16</v>
      </c>
      <c r="FLO864" s="22" t="s">
        <v>16</v>
      </c>
      <c r="FLP864" s="22" t="s">
        <v>16</v>
      </c>
      <c r="FLQ864" s="22" t="s">
        <v>16</v>
      </c>
      <c r="FLR864" s="22" t="s">
        <v>16</v>
      </c>
      <c r="FLS864" s="22" t="s">
        <v>16</v>
      </c>
      <c r="FLT864" s="22" t="s">
        <v>16</v>
      </c>
      <c r="FLU864" s="22" t="s">
        <v>16</v>
      </c>
      <c r="FLV864" s="22" t="s">
        <v>16</v>
      </c>
      <c r="FLW864" s="22" t="s">
        <v>16</v>
      </c>
      <c r="FLX864" s="22" t="s">
        <v>16</v>
      </c>
      <c r="FLY864" s="22" t="s">
        <v>16</v>
      </c>
      <c r="FLZ864" s="22" t="s">
        <v>16</v>
      </c>
      <c r="FMA864" s="22" t="s">
        <v>16</v>
      </c>
      <c r="FMB864" s="22" t="s">
        <v>16</v>
      </c>
      <c r="FMC864" s="22" t="s">
        <v>16</v>
      </c>
      <c r="FMD864" s="22" t="s">
        <v>16</v>
      </c>
      <c r="FME864" s="22" t="s">
        <v>16</v>
      </c>
      <c r="FMF864" s="22" t="s">
        <v>16</v>
      </c>
      <c r="FMG864" s="22" t="s">
        <v>16</v>
      </c>
      <c r="FMH864" s="22" t="s">
        <v>16</v>
      </c>
      <c r="FMI864" s="22" t="s">
        <v>16</v>
      </c>
      <c r="FMJ864" s="22" t="s">
        <v>16</v>
      </c>
      <c r="FMK864" s="22" t="s">
        <v>16</v>
      </c>
      <c r="FML864" s="22" t="s">
        <v>16</v>
      </c>
      <c r="FMM864" s="22" t="s">
        <v>16</v>
      </c>
      <c r="FMN864" s="22" t="s">
        <v>16</v>
      </c>
      <c r="FMO864" s="22" t="s">
        <v>16</v>
      </c>
      <c r="FMP864" s="22" t="s">
        <v>16</v>
      </c>
      <c r="FMQ864" s="22" t="s">
        <v>16</v>
      </c>
      <c r="FMR864" s="22" t="s">
        <v>16</v>
      </c>
      <c r="FMS864" s="22" t="s">
        <v>16</v>
      </c>
      <c r="FMT864" s="22" t="s">
        <v>16</v>
      </c>
      <c r="FMU864" s="22" t="s">
        <v>16</v>
      </c>
      <c r="FMV864" s="22" t="s">
        <v>16</v>
      </c>
      <c r="FMW864" s="22" t="s">
        <v>16</v>
      </c>
      <c r="FMX864" s="22" t="s">
        <v>16</v>
      </c>
      <c r="FMY864" s="22" t="s">
        <v>16</v>
      </c>
      <c r="FMZ864" s="22" t="s">
        <v>16</v>
      </c>
      <c r="FNA864" s="22" t="s">
        <v>16</v>
      </c>
      <c r="FNB864" s="22" t="s">
        <v>16</v>
      </c>
      <c r="FNC864" s="22" t="s">
        <v>16</v>
      </c>
      <c r="FND864" s="22" t="s">
        <v>16</v>
      </c>
      <c r="FNE864" s="22" t="s">
        <v>16</v>
      </c>
      <c r="FNF864" s="22" t="s">
        <v>16</v>
      </c>
      <c r="FNG864" s="22" t="s">
        <v>16</v>
      </c>
      <c r="FNH864" s="22" t="s">
        <v>16</v>
      </c>
      <c r="FNI864" s="22" t="s">
        <v>16</v>
      </c>
      <c r="FNJ864" s="22" t="s">
        <v>16</v>
      </c>
      <c r="FNK864" s="22" t="s">
        <v>16</v>
      </c>
      <c r="FNL864" s="22" t="s">
        <v>16</v>
      </c>
      <c r="FNM864" s="22" t="s">
        <v>16</v>
      </c>
      <c r="FNN864" s="22" t="s">
        <v>16</v>
      </c>
      <c r="FNO864" s="22" t="s">
        <v>16</v>
      </c>
      <c r="FNP864" s="22" t="s">
        <v>16</v>
      </c>
      <c r="FNQ864" s="22" t="s">
        <v>16</v>
      </c>
      <c r="FNR864" s="22" t="s">
        <v>16</v>
      </c>
      <c r="FNS864" s="22" t="s">
        <v>16</v>
      </c>
      <c r="FNT864" s="22" t="s">
        <v>16</v>
      </c>
      <c r="FNU864" s="22" t="s">
        <v>16</v>
      </c>
      <c r="FNV864" s="22" t="s">
        <v>16</v>
      </c>
      <c r="FNW864" s="22" t="s">
        <v>16</v>
      </c>
      <c r="FNX864" s="22" t="s">
        <v>16</v>
      </c>
      <c r="FNY864" s="22" t="s">
        <v>16</v>
      </c>
      <c r="FNZ864" s="22" t="s">
        <v>16</v>
      </c>
      <c r="FOA864" s="22" t="s">
        <v>16</v>
      </c>
      <c r="FOB864" s="22" t="s">
        <v>16</v>
      </c>
      <c r="FOC864" s="22" t="s">
        <v>16</v>
      </c>
      <c r="FOD864" s="22" t="s">
        <v>16</v>
      </c>
      <c r="FOE864" s="22" t="s">
        <v>16</v>
      </c>
      <c r="FOF864" s="22" t="s">
        <v>16</v>
      </c>
      <c r="FOG864" s="22" t="s">
        <v>16</v>
      </c>
      <c r="FOH864" s="22" t="s">
        <v>16</v>
      </c>
      <c r="FOI864" s="22" t="s">
        <v>16</v>
      </c>
      <c r="FOJ864" s="22" t="s">
        <v>16</v>
      </c>
      <c r="FOK864" s="22" t="s">
        <v>16</v>
      </c>
      <c r="FOL864" s="22" t="s">
        <v>16</v>
      </c>
      <c r="FOM864" s="22" t="s">
        <v>16</v>
      </c>
      <c r="FON864" s="22" t="s">
        <v>16</v>
      </c>
      <c r="FOO864" s="22" t="s">
        <v>16</v>
      </c>
      <c r="FOP864" s="22" t="s">
        <v>16</v>
      </c>
      <c r="FOQ864" s="22" t="s">
        <v>16</v>
      </c>
      <c r="FOR864" s="22" t="s">
        <v>16</v>
      </c>
      <c r="FOS864" s="22" t="s">
        <v>16</v>
      </c>
      <c r="FOT864" s="22" t="s">
        <v>16</v>
      </c>
      <c r="FOU864" s="22" t="s">
        <v>16</v>
      </c>
      <c r="FOV864" s="22" t="s">
        <v>16</v>
      </c>
      <c r="FOW864" s="22" t="s">
        <v>16</v>
      </c>
      <c r="FOX864" s="22" t="s">
        <v>16</v>
      </c>
      <c r="FOY864" s="22" t="s">
        <v>16</v>
      </c>
      <c r="FOZ864" s="22" t="s">
        <v>16</v>
      </c>
      <c r="FPA864" s="22" t="s">
        <v>16</v>
      </c>
      <c r="FPB864" s="22" t="s">
        <v>16</v>
      </c>
      <c r="FPC864" s="22" t="s">
        <v>16</v>
      </c>
      <c r="FPD864" s="22" t="s">
        <v>16</v>
      </c>
      <c r="FPE864" s="22" t="s">
        <v>16</v>
      </c>
      <c r="FPF864" s="22" t="s">
        <v>16</v>
      </c>
      <c r="FPG864" s="22" t="s">
        <v>16</v>
      </c>
      <c r="FPH864" s="22" t="s">
        <v>16</v>
      </c>
      <c r="FPI864" s="22" t="s">
        <v>16</v>
      </c>
      <c r="FPJ864" s="22" t="s">
        <v>16</v>
      </c>
      <c r="FPK864" s="22" t="s">
        <v>16</v>
      </c>
      <c r="FPL864" s="22" t="s">
        <v>16</v>
      </c>
      <c r="FPM864" s="22" t="s">
        <v>16</v>
      </c>
      <c r="FPN864" s="22" t="s">
        <v>16</v>
      </c>
      <c r="FPO864" s="22" t="s">
        <v>16</v>
      </c>
      <c r="FPP864" s="22" t="s">
        <v>16</v>
      </c>
      <c r="FPQ864" s="22" t="s">
        <v>16</v>
      </c>
      <c r="FPR864" s="22" t="s">
        <v>16</v>
      </c>
      <c r="FPS864" s="22" t="s">
        <v>16</v>
      </c>
      <c r="FPT864" s="22" t="s">
        <v>16</v>
      </c>
      <c r="FPU864" s="22" t="s">
        <v>16</v>
      </c>
      <c r="FPV864" s="22" t="s">
        <v>16</v>
      </c>
      <c r="FPW864" s="22" t="s">
        <v>16</v>
      </c>
      <c r="FPX864" s="22" t="s">
        <v>16</v>
      </c>
      <c r="FPY864" s="22" t="s">
        <v>16</v>
      </c>
      <c r="FPZ864" s="22" t="s">
        <v>16</v>
      </c>
      <c r="FQA864" s="22" t="s">
        <v>16</v>
      </c>
      <c r="FQB864" s="22" t="s">
        <v>16</v>
      </c>
      <c r="FQC864" s="22" t="s">
        <v>16</v>
      </c>
      <c r="FQD864" s="22" t="s">
        <v>16</v>
      </c>
      <c r="FQE864" s="22" t="s">
        <v>16</v>
      </c>
      <c r="FQF864" s="22" t="s">
        <v>16</v>
      </c>
      <c r="FQG864" s="22" t="s">
        <v>16</v>
      </c>
      <c r="FQH864" s="22" t="s">
        <v>16</v>
      </c>
      <c r="FQI864" s="22" t="s">
        <v>16</v>
      </c>
      <c r="FQJ864" s="22" t="s">
        <v>16</v>
      </c>
      <c r="FQK864" s="22" t="s">
        <v>16</v>
      </c>
      <c r="FQL864" s="22" t="s">
        <v>16</v>
      </c>
      <c r="FQM864" s="22" t="s">
        <v>16</v>
      </c>
      <c r="FQN864" s="22" t="s">
        <v>16</v>
      </c>
      <c r="FQO864" s="22" t="s">
        <v>16</v>
      </c>
      <c r="FQP864" s="22" t="s">
        <v>16</v>
      </c>
      <c r="FQQ864" s="22" t="s">
        <v>16</v>
      </c>
      <c r="FQR864" s="22" t="s">
        <v>16</v>
      </c>
      <c r="FQS864" s="22" t="s">
        <v>16</v>
      </c>
      <c r="FQT864" s="22" t="s">
        <v>16</v>
      </c>
      <c r="FQU864" s="22" t="s">
        <v>16</v>
      </c>
      <c r="FQV864" s="22" t="s">
        <v>16</v>
      </c>
      <c r="FQW864" s="22" t="s">
        <v>16</v>
      </c>
      <c r="FQX864" s="22" t="s">
        <v>16</v>
      </c>
      <c r="FQY864" s="22" t="s">
        <v>16</v>
      </c>
      <c r="FQZ864" s="22" t="s">
        <v>16</v>
      </c>
      <c r="FRA864" s="22" t="s">
        <v>16</v>
      </c>
      <c r="FRB864" s="22" t="s">
        <v>16</v>
      </c>
      <c r="FRC864" s="22" t="s">
        <v>16</v>
      </c>
      <c r="FRD864" s="22" t="s">
        <v>16</v>
      </c>
      <c r="FRE864" s="22" t="s">
        <v>16</v>
      </c>
      <c r="FRF864" s="22" t="s">
        <v>16</v>
      </c>
      <c r="FRG864" s="22" t="s">
        <v>16</v>
      </c>
      <c r="FRH864" s="22" t="s">
        <v>16</v>
      </c>
      <c r="FRI864" s="22" t="s">
        <v>16</v>
      </c>
      <c r="FRJ864" s="22" t="s">
        <v>16</v>
      </c>
      <c r="FRK864" s="22" t="s">
        <v>16</v>
      </c>
      <c r="FRL864" s="22" t="s">
        <v>16</v>
      </c>
      <c r="FRM864" s="22" t="s">
        <v>16</v>
      </c>
      <c r="FRN864" s="22" t="s">
        <v>16</v>
      </c>
      <c r="FRO864" s="22" t="s">
        <v>16</v>
      </c>
      <c r="FRP864" s="22" t="s">
        <v>16</v>
      </c>
      <c r="FRQ864" s="22" t="s">
        <v>16</v>
      </c>
      <c r="FRR864" s="22" t="s">
        <v>16</v>
      </c>
      <c r="FRS864" s="22" t="s">
        <v>16</v>
      </c>
      <c r="FRT864" s="22" t="s">
        <v>16</v>
      </c>
      <c r="FRU864" s="22" t="s">
        <v>16</v>
      </c>
      <c r="FRV864" s="22" t="s">
        <v>16</v>
      </c>
      <c r="FRW864" s="22" t="s">
        <v>16</v>
      </c>
      <c r="FRX864" s="22" t="s">
        <v>16</v>
      </c>
      <c r="FRY864" s="22" t="s">
        <v>16</v>
      </c>
      <c r="FRZ864" s="22" t="s">
        <v>16</v>
      </c>
      <c r="FSA864" s="22" t="s">
        <v>16</v>
      </c>
      <c r="FSB864" s="22" t="s">
        <v>16</v>
      </c>
      <c r="FSC864" s="22" t="s">
        <v>16</v>
      </c>
      <c r="FSD864" s="22" t="s">
        <v>16</v>
      </c>
      <c r="FSE864" s="22" t="s">
        <v>16</v>
      </c>
      <c r="FSF864" s="22" t="s">
        <v>16</v>
      </c>
      <c r="FSG864" s="22" t="s">
        <v>16</v>
      </c>
      <c r="FSH864" s="22" t="s">
        <v>16</v>
      </c>
      <c r="FSI864" s="22" t="s">
        <v>16</v>
      </c>
      <c r="FSJ864" s="22" t="s">
        <v>16</v>
      </c>
      <c r="FSK864" s="22" t="s">
        <v>16</v>
      </c>
      <c r="FSL864" s="22" t="s">
        <v>16</v>
      </c>
      <c r="FSM864" s="22" t="s">
        <v>16</v>
      </c>
      <c r="FSN864" s="22" t="s">
        <v>16</v>
      </c>
      <c r="FSO864" s="22" t="s">
        <v>16</v>
      </c>
      <c r="FSP864" s="22" t="s">
        <v>16</v>
      </c>
      <c r="FSQ864" s="22" t="s">
        <v>16</v>
      </c>
      <c r="FSR864" s="22" t="s">
        <v>16</v>
      </c>
      <c r="FSS864" s="22" t="s">
        <v>16</v>
      </c>
      <c r="FST864" s="22" t="s">
        <v>16</v>
      </c>
      <c r="FSU864" s="22" t="s">
        <v>16</v>
      </c>
      <c r="FSV864" s="22" t="s">
        <v>16</v>
      </c>
      <c r="FSW864" s="22" t="s">
        <v>16</v>
      </c>
      <c r="FSX864" s="22" t="s">
        <v>16</v>
      </c>
      <c r="FSY864" s="22" t="s">
        <v>16</v>
      </c>
      <c r="FSZ864" s="22" t="s">
        <v>16</v>
      </c>
      <c r="FTA864" s="22" t="s">
        <v>16</v>
      </c>
      <c r="FTB864" s="22" t="s">
        <v>16</v>
      </c>
      <c r="FTC864" s="22" t="s">
        <v>16</v>
      </c>
      <c r="FTD864" s="22" t="s">
        <v>16</v>
      </c>
      <c r="FTE864" s="22" t="s">
        <v>16</v>
      </c>
      <c r="FTF864" s="22" t="s">
        <v>16</v>
      </c>
      <c r="FTG864" s="22" t="s">
        <v>16</v>
      </c>
      <c r="FTH864" s="22" t="s">
        <v>16</v>
      </c>
      <c r="FTI864" s="22" t="s">
        <v>16</v>
      </c>
      <c r="FTJ864" s="22" t="s">
        <v>16</v>
      </c>
      <c r="FTK864" s="22" t="s">
        <v>16</v>
      </c>
      <c r="FTL864" s="22" t="s">
        <v>16</v>
      </c>
      <c r="FTM864" s="22" t="s">
        <v>16</v>
      </c>
      <c r="FTN864" s="22" t="s">
        <v>16</v>
      </c>
      <c r="FTO864" s="22" t="s">
        <v>16</v>
      </c>
      <c r="FTP864" s="22" t="s">
        <v>16</v>
      </c>
      <c r="FTQ864" s="22" t="s">
        <v>16</v>
      </c>
      <c r="FTR864" s="22" t="s">
        <v>16</v>
      </c>
      <c r="FTS864" s="22" t="s">
        <v>16</v>
      </c>
      <c r="FTT864" s="22" t="s">
        <v>16</v>
      </c>
      <c r="FTU864" s="22" t="s">
        <v>16</v>
      </c>
      <c r="FTV864" s="22" t="s">
        <v>16</v>
      </c>
      <c r="FTW864" s="22" t="s">
        <v>16</v>
      </c>
      <c r="FTX864" s="22" t="s">
        <v>16</v>
      </c>
      <c r="FTY864" s="22" t="s">
        <v>16</v>
      </c>
      <c r="FTZ864" s="22" t="s">
        <v>16</v>
      </c>
      <c r="FUA864" s="22" t="s">
        <v>16</v>
      </c>
      <c r="FUB864" s="22" t="s">
        <v>16</v>
      </c>
      <c r="FUC864" s="22" t="s">
        <v>16</v>
      </c>
      <c r="FUD864" s="22" t="s">
        <v>16</v>
      </c>
      <c r="FUE864" s="22" t="s">
        <v>16</v>
      </c>
      <c r="FUF864" s="22" t="s">
        <v>16</v>
      </c>
      <c r="FUG864" s="22" t="s">
        <v>16</v>
      </c>
      <c r="FUH864" s="22" t="s">
        <v>16</v>
      </c>
      <c r="FUI864" s="22" t="s">
        <v>16</v>
      </c>
      <c r="FUJ864" s="22" t="s">
        <v>16</v>
      </c>
      <c r="FUK864" s="22" t="s">
        <v>16</v>
      </c>
      <c r="FUL864" s="22" t="s">
        <v>16</v>
      </c>
      <c r="FUM864" s="22" t="s">
        <v>16</v>
      </c>
      <c r="FUN864" s="22" t="s">
        <v>16</v>
      </c>
      <c r="FUO864" s="22" t="s">
        <v>16</v>
      </c>
      <c r="FUP864" s="22" t="s">
        <v>16</v>
      </c>
      <c r="FUQ864" s="22" t="s">
        <v>16</v>
      </c>
      <c r="FUR864" s="22" t="s">
        <v>16</v>
      </c>
      <c r="FUS864" s="22" t="s">
        <v>16</v>
      </c>
      <c r="FUT864" s="22" t="s">
        <v>16</v>
      </c>
      <c r="FUU864" s="22" t="s">
        <v>16</v>
      </c>
      <c r="FUV864" s="22" t="s">
        <v>16</v>
      </c>
      <c r="FUW864" s="22" t="s">
        <v>16</v>
      </c>
      <c r="FUX864" s="22" t="s">
        <v>16</v>
      </c>
      <c r="FUY864" s="22" t="s">
        <v>16</v>
      </c>
      <c r="FUZ864" s="22" t="s">
        <v>16</v>
      </c>
      <c r="FVA864" s="22" t="s">
        <v>16</v>
      </c>
      <c r="FVB864" s="22" t="s">
        <v>16</v>
      </c>
      <c r="FVC864" s="22" t="s">
        <v>16</v>
      </c>
      <c r="FVD864" s="22" t="s">
        <v>16</v>
      </c>
      <c r="FVE864" s="22" t="s">
        <v>16</v>
      </c>
      <c r="FVF864" s="22" t="s">
        <v>16</v>
      </c>
      <c r="FVG864" s="22" t="s">
        <v>16</v>
      </c>
      <c r="FVH864" s="22" t="s">
        <v>16</v>
      </c>
      <c r="FVI864" s="22" t="s">
        <v>16</v>
      </c>
      <c r="FVJ864" s="22" t="s">
        <v>16</v>
      </c>
      <c r="FVK864" s="22" t="s">
        <v>16</v>
      </c>
      <c r="FVL864" s="22" t="s">
        <v>16</v>
      </c>
      <c r="FVM864" s="22" t="s">
        <v>16</v>
      </c>
      <c r="FVN864" s="22" t="s">
        <v>16</v>
      </c>
      <c r="FVO864" s="22" t="s">
        <v>16</v>
      </c>
      <c r="FVP864" s="22" t="s">
        <v>16</v>
      </c>
      <c r="FVQ864" s="22" t="s">
        <v>16</v>
      </c>
      <c r="FVR864" s="22" t="s">
        <v>16</v>
      </c>
      <c r="FVS864" s="22" t="s">
        <v>16</v>
      </c>
      <c r="FVT864" s="22" t="s">
        <v>16</v>
      </c>
      <c r="FVU864" s="22" t="s">
        <v>16</v>
      </c>
      <c r="FVV864" s="22" t="s">
        <v>16</v>
      </c>
      <c r="FVW864" s="22" t="s">
        <v>16</v>
      </c>
      <c r="FVX864" s="22" t="s">
        <v>16</v>
      </c>
      <c r="FVY864" s="22" t="s">
        <v>16</v>
      </c>
      <c r="FVZ864" s="22" t="s">
        <v>16</v>
      </c>
      <c r="FWA864" s="22" t="s">
        <v>16</v>
      </c>
      <c r="FWB864" s="22" t="s">
        <v>16</v>
      </c>
      <c r="FWC864" s="22" t="s">
        <v>16</v>
      </c>
      <c r="FWD864" s="22" t="s">
        <v>16</v>
      </c>
      <c r="FWE864" s="22" t="s">
        <v>16</v>
      </c>
      <c r="FWF864" s="22" t="s">
        <v>16</v>
      </c>
      <c r="FWG864" s="22" t="s">
        <v>16</v>
      </c>
      <c r="FWH864" s="22" t="s">
        <v>16</v>
      </c>
      <c r="FWI864" s="22" t="s">
        <v>16</v>
      </c>
      <c r="FWJ864" s="22" t="s">
        <v>16</v>
      </c>
      <c r="FWK864" s="22" t="s">
        <v>16</v>
      </c>
      <c r="FWL864" s="22" t="s">
        <v>16</v>
      </c>
      <c r="FWM864" s="22" t="s">
        <v>16</v>
      </c>
      <c r="FWN864" s="22" t="s">
        <v>16</v>
      </c>
      <c r="FWO864" s="22" t="s">
        <v>16</v>
      </c>
      <c r="FWP864" s="22" t="s">
        <v>16</v>
      </c>
      <c r="FWQ864" s="22" t="s">
        <v>16</v>
      </c>
      <c r="FWR864" s="22" t="s">
        <v>16</v>
      </c>
      <c r="FWS864" s="22" t="s">
        <v>16</v>
      </c>
      <c r="FWT864" s="22" t="s">
        <v>16</v>
      </c>
      <c r="FWU864" s="22" t="s">
        <v>16</v>
      </c>
      <c r="FWV864" s="22" t="s">
        <v>16</v>
      </c>
      <c r="FWW864" s="22" t="s">
        <v>16</v>
      </c>
      <c r="FWX864" s="22" t="s">
        <v>16</v>
      </c>
      <c r="FWY864" s="22" t="s">
        <v>16</v>
      </c>
      <c r="FWZ864" s="22" t="s">
        <v>16</v>
      </c>
      <c r="FXA864" s="22" t="s">
        <v>16</v>
      </c>
      <c r="FXB864" s="22" t="s">
        <v>16</v>
      </c>
      <c r="FXC864" s="22" t="s">
        <v>16</v>
      </c>
      <c r="FXD864" s="22" t="s">
        <v>16</v>
      </c>
      <c r="FXE864" s="22" t="s">
        <v>16</v>
      </c>
      <c r="FXF864" s="22" t="s">
        <v>16</v>
      </c>
      <c r="FXG864" s="22" t="s">
        <v>16</v>
      </c>
      <c r="FXH864" s="22" t="s">
        <v>16</v>
      </c>
      <c r="FXI864" s="22" t="s">
        <v>16</v>
      </c>
      <c r="FXJ864" s="22" t="s">
        <v>16</v>
      </c>
      <c r="FXK864" s="22" t="s">
        <v>16</v>
      </c>
      <c r="FXL864" s="22" t="s">
        <v>16</v>
      </c>
      <c r="FXM864" s="22" t="s">
        <v>16</v>
      </c>
      <c r="FXN864" s="22" t="s">
        <v>16</v>
      </c>
      <c r="FXO864" s="22" t="s">
        <v>16</v>
      </c>
      <c r="FXP864" s="22" t="s">
        <v>16</v>
      </c>
      <c r="FXQ864" s="22" t="s">
        <v>16</v>
      </c>
      <c r="FXR864" s="22" t="s">
        <v>16</v>
      </c>
      <c r="FXS864" s="22" t="s">
        <v>16</v>
      </c>
      <c r="FXT864" s="22" t="s">
        <v>16</v>
      </c>
      <c r="FXU864" s="22" t="s">
        <v>16</v>
      </c>
      <c r="FXV864" s="22" t="s">
        <v>16</v>
      </c>
      <c r="FXW864" s="22" t="s">
        <v>16</v>
      </c>
      <c r="FXX864" s="22" t="s">
        <v>16</v>
      </c>
      <c r="FXY864" s="22" t="s">
        <v>16</v>
      </c>
      <c r="FXZ864" s="22" t="s">
        <v>16</v>
      </c>
      <c r="FYA864" s="22" t="s">
        <v>16</v>
      </c>
      <c r="FYB864" s="22" t="s">
        <v>16</v>
      </c>
      <c r="FYC864" s="22" t="s">
        <v>16</v>
      </c>
      <c r="FYD864" s="22" t="s">
        <v>16</v>
      </c>
      <c r="FYE864" s="22" t="s">
        <v>16</v>
      </c>
      <c r="FYF864" s="22" t="s">
        <v>16</v>
      </c>
      <c r="FYG864" s="22" t="s">
        <v>16</v>
      </c>
      <c r="FYH864" s="22" t="s">
        <v>16</v>
      </c>
      <c r="FYI864" s="22" t="s">
        <v>16</v>
      </c>
      <c r="FYJ864" s="22" t="s">
        <v>16</v>
      </c>
      <c r="FYK864" s="22" t="s">
        <v>16</v>
      </c>
      <c r="FYL864" s="22" t="s">
        <v>16</v>
      </c>
      <c r="FYM864" s="22" t="s">
        <v>16</v>
      </c>
      <c r="FYN864" s="22" t="s">
        <v>16</v>
      </c>
      <c r="FYO864" s="22" t="s">
        <v>16</v>
      </c>
      <c r="FYP864" s="22" t="s">
        <v>16</v>
      </c>
      <c r="FYQ864" s="22" t="s">
        <v>16</v>
      </c>
      <c r="FYR864" s="22" t="s">
        <v>16</v>
      </c>
      <c r="FYS864" s="22" t="s">
        <v>16</v>
      </c>
      <c r="FYT864" s="22" t="s">
        <v>16</v>
      </c>
      <c r="FYU864" s="22" t="s">
        <v>16</v>
      </c>
      <c r="FYV864" s="22" t="s">
        <v>16</v>
      </c>
      <c r="FYW864" s="22" t="s">
        <v>16</v>
      </c>
      <c r="FYX864" s="22" t="s">
        <v>16</v>
      </c>
      <c r="FYY864" s="22" t="s">
        <v>16</v>
      </c>
      <c r="FYZ864" s="22" t="s">
        <v>16</v>
      </c>
      <c r="FZA864" s="22" t="s">
        <v>16</v>
      </c>
      <c r="FZB864" s="22" t="s">
        <v>16</v>
      </c>
      <c r="FZC864" s="22" t="s">
        <v>16</v>
      </c>
      <c r="FZD864" s="22" t="s">
        <v>16</v>
      </c>
      <c r="FZE864" s="22" t="s">
        <v>16</v>
      </c>
      <c r="FZF864" s="22" t="s">
        <v>16</v>
      </c>
      <c r="FZG864" s="22" t="s">
        <v>16</v>
      </c>
      <c r="FZH864" s="22" t="s">
        <v>16</v>
      </c>
      <c r="FZI864" s="22" t="s">
        <v>16</v>
      </c>
      <c r="FZJ864" s="22" t="s">
        <v>16</v>
      </c>
      <c r="FZK864" s="22" t="s">
        <v>16</v>
      </c>
      <c r="FZL864" s="22" t="s">
        <v>16</v>
      </c>
      <c r="FZM864" s="22" t="s">
        <v>16</v>
      </c>
      <c r="FZN864" s="22" t="s">
        <v>16</v>
      </c>
      <c r="FZO864" s="22" t="s">
        <v>16</v>
      </c>
      <c r="FZP864" s="22" t="s">
        <v>16</v>
      </c>
      <c r="FZQ864" s="22" t="s">
        <v>16</v>
      </c>
      <c r="FZR864" s="22" t="s">
        <v>16</v>
      </c>
      <c r="FZS864" s="22" t="s">
        <v>16</v>
      </c>
      <c r="FZT864" s="22" t="s">
        <v>16</v>
      </c>
      <c r="FZU864" s="22" t="s">
        <v>16</v>
      </c>
      <c r="FZV864" s="22" t="s">
        <v>16</v>
      </c>
      <c r="FZW864" s="22" t="s">
        <v>16</v>
      </c>
      <c r="FZX864" s="22" t="s">
        <v>16</v>
      </c>
      <c r="FZY864" s="22" t="s">
        <v>16</v>
      </c>
      <c r="FZZ864" s="22" t="s">
        <v>16</v>
      </c>
      <c r="GAA864" s="22" t="s">
        <v>16</v>
      </c>
      <c r="GAB864" s="22" t="s">
        <v>16</v>
      </c>
      <c r="GAC864" s="22" t="s">
        <v>16</v>
      </c>
      <c r="GAD864" s="22" t="s">
        <v>16</v>
      </c>
      <c r="GAE864" s="22" t="s">
        <v>16</v>
      </c>
      <c r="GAF864" s="22" t="s">
        <v>16</v>
      </c>
      <c r="GAG864" s="22" t="s">
        <v>16</v>
      </c>
      <c r="GAH864" s="22" t="s">
        <v>16</v>
      </c>
      <c r="GAI864" s="22" t="s">
        <v>16</v>
      </c>
      <c r="GAJ864" s="22" t="s">
        <v>16</v>
      </c>
      <c r="GAK864" s="22" t="s">
        <v>16</v>
      </c>
      <c r="GAL864" s="22" t="s">
        <v>16</v>
      </c>
      <c r="GAM864" s="22" t="s">
        <v>16</v>
      </c>
      <c r="GAN864" s="22" t="s">
        <v>16</v>
      </c>
      <c r="GAO864" s="22" t="s">
        <v>16</v>
      </c>
      <c r="GAP864" s="22" t="s">
        <v>16</v>
      </c>
      <c r="GAQ864" s="22" t="s">
        <v>16</v>
      </c>
      <c r="GAR864" s="22" t="s">
        <v>16</v>
      </c>
      <c r="GAS864" s="22" t="s">
        <v>16</v>
      </c>
      <c r="GAT864" s="22" t="s">
        <v>16</v>
      </c>
      <c r="GAU864" s="22" t="s">
        <v>16</v>
      </c>
      <c r="GAV864" s="22" t="s">
        <v>16</v>
      </c>
      <c r="GAW864" s="22" t="s">
        <v>16</v>
      </c>
      <c r="GAX864" s="22" t="s">
        <v>16</v>
      </c>
      <c r="GAY864" s="22" t="s">
        <v>16</v>
      </c>
      <c r="GAZ864" s="22" t="s">
        <v>16</v>
      </c>
      <c r="GBA864" s="22" t="s">
        <v>16</v>
      </c>
      <c r="GBB864" s="22" t="s">
        <v>16</v>
      </c>
      <c r="GBC864" s="22" t="s">
        <v>16</v>
      </c>
      <c r="GBD864" s="22" t="s">
        <v>16</v>
      </c>
      <c r="GBE864" s="22" t="s">
        <v>16</v>
      </c>
      <c r="GBF864" s="22" t="s">
        <v>16</v>
      </c>
      <c r="GBG864" s="22" t="s">
        <v>16</v>
      </c>
      <c r="GBH864" s="22" t="s">
        <v>16</v>
      </c>
      <c r="GBI864" s="22" t="s">
        <v>16</v>
      </c>
      <c r="GBJ864" s="22" t="s">
        <v>16</v>
      </c>
      <c r="GBK864" s="22" t="s">
        <v>16</v>
      </c>
      <c r="GBL864" s="22" t="s">
        <v>16</v>
      </c>
      <c r="GBM864" s="22" t="s">
        <v>16</v>
      </c>
      <c r="GBN864" s="22" t="s">
        <v>16</v>
      </c>
      <c r="GBO864" s="22" t="s">
        <v>16</v>
      </c>
      <c r="GBP864" s="22" t="s">
        <v>16</v>
      </c>
      <c r="GBQ864" s="22" t="s">
        <v>16</v>
      </c>
      <c r="GBR864" s="22" t="s">
        <v>16</v>
      </c>
      <c r="GBS864" s="22" t="s">
        <v>16</v>
      </c>
      <c r="GBT864" s="22" t="s">
        <v>16</v>
      </c>
      <c r="GBU864" s="22" t="s">
        <v>16</v>
      </c>
      <c r="GBV864" s="22" t="s">
        <v>16</v>
      </c>
      <c r="GBW864" s="22" t="s">
        <v>16</v>
      </c>
      <c r="GBX864" s="22" t="s">
        <v>16</v>
      </c>
      <c r="GBY864" s="22" t="s">
        <v>16</v>
      </c>
      <c r="GBZ864" s="22" t="s">
        <v>16</v>
      </c>
      <c r="GCA864" s="22" t="s">
        <v>16</v>
      </c>
      <c r="GCB864" s="22" t="s">
        <v>16</v>
      </c>
      <c r="GCC864" s="22" t="s">
        <v>16</v>
      </c>
      <c r="GCD864" s="22" t="s">
        <v>16</v>
      </c>
      <c r="GCE864" s="22" t="s">
        <v>16</v>
      </c>
      <c r="GCF864" s="22" t="s">
        <v>16</v>
      </c>
      <c r="GCG864" s="22" t="s">
        <v>16</v>
      </c>
      <c r="GCH864" s="22" t="s">
        <v>16</v>
      </c>
      <c r="GCI864" s="22" t="s">
        <v>16</v>
      </c>
      <c r="GCJ864" s="22" t="s">
        <v>16</v>
      </c>
      <c r="GCK864" s="22" t="s">
        <v>16</v>
      </c>
      <c r="GCL864" s="22" t="s">
        <v>16</v>
      </c>
      <c r="GCM864" s="22" t="s">
        <v>16</v>
      </c>
      <c r="GCN864" s="22" t="s">
        <v>16</v>
      </c>
      <c r="GCO864" s="22" t="s">
        <v>16</v>
      </c>
      <c r="GCP864" s="22" t="s">
        <v>16</v>
      </c>
      <c r="GCQ864" s="22" t="s">
        <v>16</v>
      </c>
      <c r="GCR864" s="22" t="s">
        <v>16</v>
      </c>
      <c r="GCS864" s="22" t="s">
        <v>16</v>
      </c>
      <c r="GCT864" s="22" t="s">
        <v>16</v>
      </c>
      <c r="GCU864" s="22" t="s">
        <v>16</v>
      </c>
      <c r="GCV864" s="22" t="s">
        <v>16</v>
      </c>
      <c r="GCW864" s="22" t="s">
        <v>16</v>
      </c>
      <c r="GCX864" s="22" t="s">
        <v>16</v>
      </c>
      <c r="GCY864" s="22" t="s">
        <v>16</v>
      </c>
      <c r="GCZ864" s="22" t="s">
        <v>16</v>
      </c>
      <c r="GDA864" s="22" t="s">
        <v>16</v>
      </c>
      <c r="GDB864" s="22" t="s">
        <v>16</v>
      </c>
      <c r="GDC864" s="22" t="s">
        <v>16</v>
      </c>
      <c r="GDD864" s="22" t="s">
        <v>16</v>
      </c>
      <c r="GDE864" s="22" t="s">
        <v>16</v>
      </c>
      <c r="GDF864" s="22" t="s">
        <v>16</v>
      </c>
      <c r="GDG864" s="22" t="s">
        <v>16</v>
      </c>
      <c r="GDH864" s="22" t="s">
        <v>16</v>
      </c>
      <c r="GDI864" s="22" t="s">
        <v>16</v>
      </c>
      <c r="GDJ864" s="22" t="s">
        <v>16</v>
      </c>
      <c r="GDK864" s="22" t="s">
        <v>16</v>
      </c>
      <c r="GDL864" s="22" t="s">
        <v>16</v>
      </c>
      <c r="GDM864" s="22" t="s">
        <v>16</v>
      </c>
      <c r="GDN864" s="22" t="s">
        <v>16</v>
      </c>
      <c r="GDO864" s="22" t="s">
        <v>16</v>
      </c>
      <c r="GDP864" s="22" t="s">
        <v>16</v>
      </c>
      <c r="GDQ864" s="22" t="s">
        <v>16</v>
      </c>
      <c r="GDR864" s="22" t="s">
        <v>16</v>
      </c>
      <c r="GDS864" s="22" t="s">
        <v>16</v>
      </c>
      <c r="GDT864" s="22" t="s">
        <v>16</v>
      </c>
      <c r="GDU864" s="22" t="s">
        <v>16</v>
      </c>
      <c r="GDV864" s="22" t="s">
        <v>16</v>
      </c>
      <c r="GDW864" s="22" t="s">
        <v>16</v>
      </c>
      <c r="GDX864" s="22" t="s">
        <v>16</v>
      </c>
      <c r="GDY864" s="22" t="s">
        <v>16</v>
      </c>
      <c r="GDZ864" s="22" t="s">
        <v>16</v>
      </c>
      <c r="GEA864" s="22" t="s">
        <v>16</v>
      </c>
      <c r="GEB864" s="22" t="s">
        <v>16</v>
      </c>
      <c r="GEC864" s="22" t="s">
        <v>16</v>
      </c>
      <c r="GED864" s="22" t="s">
        <v>16</v>
      </c>
      <c r="GEE864" s="22" t="s">
        <v>16</v>
      </c>
      <c r="GEF864" s="22" t="s">
        <v>16</v>
      </c>
      <c r="GEG864" s="22" t="s">
        <v>16</v>
      </c>
      <c r="GEH864" s="22" t="s">
        <v>16</v>
      </c>
      <c r="GEI864" s="22" t="s">
        <v>16</v>
      </c>
      <c r="GEJ864" s="22" t="s">
        <v>16</v>
      </c>
      <c r="GEK864" s="22" t="s">
        <v>16</v>
      </c>
      <c r="GEL864" s="22" t="s">
        <v>16</v>
      </c>
      <c r="GEM864" s="22" t="s">
        <v>16</v>
      </c>
      <c r="GEN864" s="22" t="s">
        <v>16</v>
      </c>
      <c r="GEO864" s="22" t="s">
        <v>16</v>
      </c>
      <c r="GEP864" s="22" t="s">
        <v>16</v>
      </c>
      <c r="GEQ864" s="22" t="s">
        <v>16</v>
      </c>
      <c r="GER864" s="22" t="s">
        <v>16</v>
      </c>
      <c r="GES864" s="22" t="s">
        <v>16</v>
      </c>
      <c r="GET864" s="22" t="s">
        <v>16</v>
      </c>
      <c r="GEU864" s="22" t="s">
        <v>16</v>
      </c>
      <c r="GEV864" s="22" t="s">
        <v>16</v>
      </c>
      <c r="GEW864" s="22" t="s">
        <v>16</v>
      </c>
      <c r="GEX864" s="22" t="s">
        <v>16</v>
      </c>
      <c r="GEY864" s="22" t="s">
        <v>16</v>
      </c>
      <c r="GEZ864" s="22" t="s">
        <v>16</v>
      </c>
      <c r="GFA864" s="22" t="s">
        <v>16</v>
      </c>
      <c r="GFB864" s="22" t="s">
        <v>16</v>
      </c>
      <c r="GFC864" s="22" t="s">
        <v>16</v>
      </c>
      <c r="GFD864" s="22" t="s">
        <v>16</v>
      </c>
      <c r="GFE864" s="22" t="s">
        <v>16</v>
      </c>
      <c r="GFF864" s="22" t="s">
        <v>16</v>
      </c>
      <c r="GFG864" s="22" t="s">
        <v>16</v>
      </c>
      <c r="GFH864" s="22" t="s">
        <v>16</v>
      </c>
      <c r="GFI864" s="22" t="s">
        <v>16</v>
      </c>
      <c r="GFJ864" s="22" t="s">
        <v>16</v>
      </c>
      <c r="GFK864" s="22" t="s">
        <v>16</v>
      </c>
      <c r="GFL864" s="22" t="s">
        <v>16</v>
      </c>
      <c r="GFM864" s="22" t="s">
        <v>16</v>
      </c>
      <c r="GFN864" s="22" t="s">
        <v>16</v>
      </c>
      <c r="GFO864" s="22" t="s">
        <v>16</v>
      </c>
      <c r="GFP864" s="22" t="s">
        <v>16</v>
      </c>
      <c r="GFQ864" s="22" t="s">
        <v>16</v>
      </c>
      <c r="GFR864" s="22" t="s">
        <v>16</v>
      </c>
      <c r="GFS864" s="22" t="s">
        <v>16</v>
      </c>
      <c r="GFT864" s="22" t="s">
        <v>16</v>
      </c>
      <c r="GFU864" s="22" t="s">
        <v>16</v>
      </c>
      <c r="GFV864" s="22" t="s">
        <v>16</v>
      </c>
      <c r="GFW864" s="22" t="s">
        <v>16</v>
      </c>
      <c r="GFX864" s="22" t="s">
        <v>16</v>
      </c>
      <c r="GFY864" s="22" t="s">
        <v>16</v>
      </c>
      <c r="GFZ864" s="22" t="s">
        <v>16</v>
      </c>
      <c r="GGA864" s="22" t="s">
        <v>16</v>
      </c>
      <c r="GGB864" s="22" t="s">
        <v>16</v>
      </c>
      <c r="GGC864" s="22" t="s">
        <v>16</v>
      </c>
      <c r="GGD864" s="22" t="s">
        <v>16</v>
      </c>
      <c r="GGE864" s="22" t="s">
        <v>16</v>
      </c>
      <c r="GGF864" s="22" t="s">
        <v>16</v>
      </c>
      <c r="GGG864" s="22" t="s">
        <v>16</v>
      </c>
      <c r="GGH864" s="22" t="s">
        <v>16</v>
      </c>
      <c r="GGI864" s="22" t="s">
        <v>16</v>
      </c>
      <c r="GGJ864" s="22" t="s">
        <v>16</v>
      </c>
      <c r="GGK864" s="22" t="s">
        <v>16</v>
      </c>
      <c r="GGL864" s="22" t="s">
        <v>16</v>
      </c>
      <c r="GGM864" s="22" t="s">
        <v>16</v>
      </c>
      <c r="GGN864" s="22" t="s">
        <v>16</v>
      </c>
      <c r="GGO864" s="22" t="s">
        <v>16</v>
      </c>
      <c r="GGP864" s="22" t="s">
        <v>16</v>
      </c>
      <c r="GGQ864" s="22" t="s">
        <v>16</v>
      </c>
      <c r="GGR864" s="22" t="s">
        <v>16</v>
      </c>
      <c r="GGS864" s="22" t="s">
        <v>16</v>
      </c>
      <c r="GGT864" s="22" t="s">
        <v>16</v>
      </c>
      <c r="GGU864" s="22" t="s">
        <v>16</v>
      </c>
      <c r="GGV864" s="22" t="s">
        <v>16</v>
      </c>
      <c r="GGW864" s="22" t="s">
        <v>16</v>
      </c>
      <c r="GGX864" s="22" t="s">
        <v>16</v>
      </c>
      <c r="GGY864" s="22" t="s">
        <v>16</v>
      </c>
      <c r="GGZ864" s="22" t="s">
        <v>16</v>
      </c>
      <c r="GHA864" s="22" t="s">
        <v>16</v>
      </c>
      <c r="GHB864" s="22" t="s">
        <v>16</v>
      </c>
      <c r="GHC864" s="22" t="s">
        <v>16</v>
      </c>
      <c r="GHD864" s="22" t="s">
        <v>16</v>
      </c>
      <c r="GHE864" s="22" t="s">
        <v>16</v>
      </c>
      <c r="GHF864" s="22" t="s">
        <v>16</v>
      </c>
      <c r="GHG864" s="22" t="s">
        <v>16</v>
      </c>
      <c r="GHH864" s="22" t="s">
        <v>16</v>
      </c>
      <c r="GHI864" s="22" t="s">
        <v>16</v>
      </c>
      <c r="GHJ864" s="22" t="s">
        <v>16</v>
      </c>
      <c r="GHK864" s="22" t="s">
        <v>16</v>
      </c>
      <c r="GHL864" s="22" t="s">
        <v>16</v>
      </c>
      <c r="GHM864" s="22" t="s">
        <v>16</v>
      </c>
      <c r="GHN864" s="22" t="s">
        <v>16</v>
      </c>
      <c r="GHO864" s="22" t="s">
        <v>16</v>
      </c>
      <c r="GHP864" s="22" t="s">
        <v>16</v>
      </c>
      <c r="GHQ864" s="22" t="s">
        <v>16</v>
      </c>
      <c r="GHR864" s="22" t="s">
        <v>16</v>
      </c>
      <c r="GHS864" s="22" t="s">
        <v>16</v>
      </c>
      <c r="GHT864" s="22" t="s">
        <v>16</v>
      </c>
      <c r="GHU864" s="22" t="s">
        <v>16</v>
      </c>
      <c r="GHV864" s="22" t="s">
        <v>16</v>
      </c>
      <c r="GHW864" s="22" t="s">
        <v>16</v>
      </c>
      <c r="GHX864" s="22" t="s">
        <v>16</v>
      </c>
      <c r="GHY864" s="22" t="s">
        <v>16</v>
      </c>
      <c r="GHZ864" s="22" t="s">
        <v>16</v>
      </c>
      <c r="GIA864" s="22" t="s">
        <v>16</v>
      </c>
      <c r="GIB864" s="22" t="s">
        <v>16</v>
      </c>
      <c r="GIC864" s="22" t="s">
        <v>16</v>
      </c>
      <c r="GID864" s="22" t="s">
        <v>16</v>
      </c>
      <c r="GIE864" s="22" t="s">
        <v>16</v>
      </c>
      <c r="GIF864" s="22" t="s">
        <v>16</v>
      </c>
      <c r="GIG864" s="22" t="s">
        <v>16</v>
      </c>
      <c r="GIH864" s="22" t="s">
        <v>16</v>
      </c>
      <c r="GII864" s="22" t="s">
        <v>16</v>
      </c>
      <c r="GIJ864" s="22" t="s">
        <v>16</v>
      </c>
      <c r="GIK864" s="22" t="s">
        <v>16</v>
      </c>
      <c r="GIL864" s="22" t="s">
        <v>16</v>
      </c>
      <c r="GIM864" s="22" t="s">
        <v>16</v>
      </c>
      <c r="GIN864" s="22" t="s">
        <v>16</v>
      </c>
      <c r="GIO864" s="22" t="s">
        <v>16</v>
      </c>
      <c r="GIP864" s="22" t="s">
        <v>16</v>
      </c>
      <c r="GIQ864" s="22" t="s">
        <v>16</v>
      </c>
      <c r="GIR864" s="22" t="s">
        <v>16</v>
      </c>
      <c r="GIS864" s="22" t="s">
        <v>16</v>
      </c>
      <c r="GIT864" s="22" t="s">
        <v>16</v>
      </c>
      <c r="GIU864" s="22" t="s">
        <v>16</v>
      </c>
      <c r="GIV864" s="22" t="s">
        <v>16</v>
      </c>
      <c r="GIW864" s="22" t="s">
        <v>16</v>
      </c>
      <c r="GIX864" s="22" t="s">
        <v>16</v>
      </c>
      <c r="GIY864" s="22" t="s">
        <v>16</v>
      </c>
      <c r="GIZ864" s="22" t="s">
        <v>16</v>
      </c>
      <c r="GJA864" s="22" t="s">
        <v>16</v>
      </c>
      <c r="GJB864" s="22" t="s">
        <v>16</v>
      </c>
      <c r="GJC864" s="22" t="s">
        <v>16</v>
      </c>
      <c r="GJD864" s="22" t="s">
        <v>16</v>
      </c>
      <c r="GJE864" s="22" t="s">
        <v>16</v>
      </c>
      <c r="GJF864" s="22" t="s">
        <v>16</v>
      </c>
      <c r="GJG864" s="22" t="s">
        <v>16</v>
      </c>
      <c r="GJH864" s="22" t="s">
        <v>16</v>
      </c>
      <c r="GJI864" s="22" t="s">
        <v>16</v>
      </c>
      <c r="GJJ864" s="22" t="s">
        <v>16</v>
      </c>
      <c r="GJK864" s="22" t="s">
        <v>16</v>
      </c>
      <c r="GJL864" s="22" t="s">
        <v>16</v>
      </c>
      <c r="GJM864" s="22" t="s">
        <v>16</v>
      </c>
      <c r="GJN864" s="22" t="s">
        <v>16</v>
      </c>
      <c r="GJO864" s="22" t="s">
        <v>16</v>
      </c>
      <c r="GJP864" s="22" t="s">
        <v>16</v>
      </c>
      <c r="GJQ864" s="22" t="s">
        <v>16</v>
      </c>
      <c r="GJR864" s="22" t="s">
        <v>16</v>
      </c>
      <c r="GJS864" s="22" t="s">
        <v>16</v>
      </c>
      <c r="GJT864" s="22" t="s">
        <v>16</v>
      </c>
      <c r="GJU864" s="22" t="s">
        <v>16</v>
      </c>
      <c r="GJV864" s="22" t="s">
        <v>16</v>
      </c>
      <c r="GJW864" s="22" t="s">
        <v>16</v>
      </c>
      <c r="GJX864" s="22" t="s">
        <v>16</v>
      </c>
      <c r="GJY864" s="22" t="s">
        <v>16</v>
      </c>
      <c r="GJZ864" s="22" t="s">
        <v>16</v>
      </c>
      <c r="GKA864" s="22" t="s">
        <v>16</v>
      </c>
      <c r="GKB864" s="22" t="s">
        <v>16</v>
      </c>
      <c r="GKC864" s="22" t="s">
        <v>16</v>
      </c>
      <c r="GKD864" s="22" t="s">
        <v>16</v>
      </c>
      <c r="GKE864" s="22" t="s">
        <v>16</v>
      </c>
      <c r="GKF864" s="22" t="s">
        <v>16</v>
      </c>
      <c r="GKG864" s="22" t="s">
        <v>16</v>
      </c>
      <c r="GKH864" s="22" t="s">
        <v>16</v>
      </c>
      <c r="GKI864" s="22" t="s">
        <v>16</v>
      </c>
      <c r="GKJ864" s="22" t="s">
        <v>16</v>
      </c>
      <c r="GKK864" s="22" t="s">
        <v>16</v>
      </c>
      <c r="GKL864" s="22" t="s">
        <v>16</v>
      </c>
      <c r="GKM864" s="22" t="s">
        <v>16</v>
      </c>
      <c r="GKN864" s="22" t="s">
        <v>16</v>
      </c>
      <c r="GKO864" s="22" t="s">
        <v>16</v>
      </c>
      <c r="GKP864" s="22" t="s">
        <v>16</v>
      </c>
      <c r="GKQ864" s="22" t="s">
        <v>16</v>
      </c>
      <c r="GKR864" s="22" t="s">
        <v>16</v>
      </c>
      <c r="GKS864" s="22" t="s">
        <v>16</v>
      </c>
      <c r="GKT864" s="22" t="s">
        <v>16</v>
      </c>
      <c r="GKU864" s="22" t="s">
        <v>16</v>
      </c>
      <c r="GKV864" s="22" t="s">
        <v>16</v>
      </c>
      <c r="GKW864" s="22" t="s">
        <v>16</v>
      </c>
      <c r="GKX864" s="22" t="s">
        <v>16</v>
      </c>
      <c r="GKY864" s="22" t="s">
        <v>16</v>
      </c>
      <c r="GKZ864" s="22" t="s">
        <v>16</v>
      </c>
      <c r="GLA864" s="22" t="s">
        <v>16</v>
      </c>
      <c r="GLB864" s="22" t="s">
        <v>16</v>
      </c>
      <c r="GLC864" s="22" t="s">
        <v>16</v>
      </c>
      <c r="GLD864" s="22" t="s">
        <v>16</v>
      </c>
      <c r="GLE864" s="22" t="s">
        <v>16</v>
      </c>
      <c r="GLF864" s="22" t="s">
        <v>16</v>
      </c>
      <c r="GLG864" s="22" t="s">
        <v>16</v>
      </c>
      <c r="GLH864" s="22" t="s">
        <v>16</v>
      </c>
      <c r="GLI864" s="22" t="s">
        <v>16</v>
      </c>
      <c r="GLJ864" s="22" t="s">
        <v>16</v>
      </c>
      <c r="GLK864" s="22" t="s">
        <v>16</v>
      </c>
      <c r="GLL864" s="22" t="s">
        <v>16</v>
      </c>
      <c r="GLM864" s="22" t="s">
        <v>16</v>
      </c>
      <c r="GLN864" s="22" t="s">
        <v>16</v>
      </c>
      <c r="GLO864" s="22" t="s">
        <v>16</v>
      </c>
      <c r="GLP864" s="22" t="s">
        <v>16</v>
      </c>
      <c r="GLQ864" s="22" t="s">
        <v>16</v>
      </c>
      <c r="GLR864" s="22" t="s">
        <v>16</v>
      </c>
      <c r="GLS864" s="22" t="s">
        <v>16</v>
      </c>
      <c r="GLT864" s="22" t="s">
        <v>16</v>
      </c>
      <c r="GLU864" s="22" t="s">
        <v>16</v>
      </c>
      <c r="GLV864" s="22" t="s">
        <v>16</v>
      </c>
      <c r="GLW864" s="22" t="s">
        <v>16</v>
      </c>
      <c r="GLX864" s="22" t="s">
        <v>16</v>
      </c>
      <c r="GLY864" s="22" t="s">
        <v>16</v>
      </c>
      <c r="GLZ864" s="22" t="s">
        <v>16</v>
      </c>
      <c r="GMA864" s="22" t="s">
        <v>16</v>
      </c>
      <c r="GMB864" s="22" t="s">
        <v>16</v>
      </c>
      <c r="GMC864" s="22" t="s">
        <v>16</v>
      </c>
      <c r="GMD864" s="22" t="s">
        <v>16</v>
      </c>
      <c r="GME864" s="22" t="s">
        <v>16</v>
      </c>
      <c r="GMF864" s="22" t="s">
        <v>16</v>
      </c>
      <c r="GMG864" s="22" t="s">
        <v>16</v>
      </c>
      <c r="GMH864" s="22" t="s">
        <v>16</v>
      </c>
      <c r="GMI864" s="22" t="s">
        <v>16</v>
      </c>
      <c r="GMJ864" s="22" t="s">
        <v>16</v>
      </c>
      <c r="GMK864" s="22" t="s">
        <v>16</v>
      </c>
      <c r="GML864" s="22" t="s">
        <v>16</v>
      </c>
      <c r="GMM864" s="22" t="s">
        <v>16</v>
      </c>
      <c r="GMN864" s="22" t="s">
        <v>16</v>
      </c>
      <c r="GMO864" s="22" t="s">
        <v>16</v>
      </c>
      <c r="GMP864" s="22" t="s">
        <v>16</v>
      </c>
      <c r="GMQ864" s="22" t="s">
        <v>16</v>
      </c>
      <c r="GMR864" s="22" t="s">
        <v>16</v>
      </c>
      <c r="GMS864" s="22" t="s">
        <v>16</v>
      </c>
      <c r="GMT864" s="22" t="s">
        <v>16</v>
      </c>
      <c r="GMU864" s="22" t="s">
        <v>16</v>
      </c>
      <c r="GMV864" s="22" t="s">
        <v>16</v>
      </c>
      <c r="GMW864" s="22" t="s">
        <v>16</v>
      </c>
      <c r="GMX864" s="22" t="s">
        <v>16</v>
      </c>
      <c r="GMY864" s="22" t="s">
        <v>16</v>
      </c>
      <c r="GMZ864" s="22" t="s">
        <v>16</v>
      </c>
      <c r="GNA864" s="22" t="s">
        <v>16</v>
      </c>
      <c r="GNB864" s="22" t="s">
        <v>16</v>
      </c>
      <c r="GNC864" s="22" t="s">
        <v>16</v>
      </c>
      <c r="GND864" s="22" t="s">
        <v>16</v>
      </c>
      <c r="GNE864" s="22" t="s">
        <v>16</v>
      </c>
      <c r="GNF864" s="22" t="s">
        <v>16</v>
      </c>
      <c r="GNG864" s="22" t="s">
        <v>16</v>
      </c>
      <c r="GNH864" s="22" t="s">
        <v>16</v>
      </c>
      <c r="GNI864" s="22" t="s">
        <v>16</v>
      </c>
      <c r="GNJ864" s="22" t="s">
        <v>16</v>
      </c>
      <c r="GNK864" s="22" t="s">
        <v>16</v>
      </c>
      <c r="GNL864" s="22" t="s">
        <v>16</v>
      </c>
      <c r="GNM864" s="22" t="s">
        <v>16</v>
      </c>
      <c r="GNN864" s="22" t="s">
        <v>16</v>
      </c>
      <c r="GNO864" s="22" t="s">
        <v>16</v>
      </c>
      <c r="GNP864" s="22" t="s">
        <v>16</v>
      </c>
      <c r="GNQ864" s="22" t="s">
        <v>16</v>
      </c>
      <c r="GNR864" s="22" t="s">
        <v>16</v>
      </c>
      <c r="GNS864" s="22" t="s">
        <v>16</v>
      </c>
      <c r="GNT864" s="22" t="s">
        <v>16</v>
      </c>
      <c r="GNU864" s="22" t="s">
        <v>16</v>
      </c>
      <c r="GNV864" s="22" t="s">
        <v>16</v>
      </c>
      <c r="GNW864" s="22" t="s">
        <v>16</v>
      </c>
      <c r="GNX864" s="22" t="s">
        <v>16</v>
      </c>
      <c r="GNY864" s="22" t="s">
        <v>16</v>
      </c>
      <c r="GNZ864" s="22" t="s">
        <v>16</v>
      </c>
      <c r="GOA864" s="22" t="s">
        <v>16</v>
      </c>
      <c r="GOB864" s="22" t="s">
        <v>16</v>
      </c>
      <c r="GOC864" s="22" t="s">
        <v>16</v>
      </c>
      <c r="GOD864" s="22" t="s">
        <v>16</v>
      </c>
      <c r="GOE864" s="22" t="s">
        <v>16</v>
      </c>
      <c r="GOF864" s="22" t="s">
        <v>16</v>
      </c>
      <c r="GOG864" s="22" t="s">
        <v>16</v>
      </c>
      <c r="GOH864" s="22" t="s">
        <v>16</v>
      </c>
      <c r="GOI864" s="22" t="s">
        <v>16</v>
      </c>
      <c r="GOJ864" s="22" t="s">
        <v>16</v>
      </c>
      <c r="GOK864" s="22" t="s">
        <v>16</v>
      </c>
      <c r="GOL864" s="22" t="s">
        <v>16</v>
      </c>
      <c r="GOM864" s="22" t="s">
        <v>16</v>
      </c>
      <c r="GON864" s="22" t="s">
        <v>16</v>
      </c>
      <c r="GOO864" s="22" t="s">
        <v>16</v>
      </c>
      <c r="GOP864" s="22" t="s">
        <v>16</v>
      </c>
      <c r="GOQ864" s="22" t="s">
        <v>16</v>
      </c>
      <c r="GOR864" s="22" t="s">
        <v>16</v>
      </c>
      <c r="GOS864" s="22" t="s">
        <v>16</v>
      </c>
      <c r="GOT864" s="22" t="s">
        <v>16</v>
      </c>
      <c r="GOU864" s="22" t="s">
        <v>16</v>
      </c>
      <c r="GOV864" s="22" t="s">
        <v>16</v>
      </c>
      <c r="GOW864" s="22" t="s">
        <v>16</v>
      </c>
      <c r="GOX864" s="22" t="s">
        <v>16</v>
      </c>
      <c r="GOY864" s="22" t="s">
        <v>16</v>
      </c>
      <c r="GOZ864" s="22" t="s">
        <v>16</v>
      </c>
      <c r="GPA864" s="22" t="s">
        <v>16</v>
      </c>
      <c r="GPB864" s="22" t="s">
        <v>16</v>
      </c>
      <c r="GPC864" s="22" t="s">
        <v>16</v>
      </c>
      <c r="GPD864" s="22" t="s">
        <v>16</v>
      </c>
      <c r="GPE864" s="22" t="s">
        <v>16</v>
      </c>
      <c r="GPF864" s="22" t="s">
        <v>16</v>
      </c>
      <c r="GPG864" s="22" t="s">
        <v>16</v>
      </c>
      <c r="GPH864" s="22" t="s">
        <v>16</v>
      </c>
      <c r="GPI864" s="22" t="s">
        <v>16</v>
      </c>
      <c r="GPJ864" s="22" t="s">
        <v>16</v>
      </c>
      <c r="GPK864" s="22" t="s">
        <v>16</v>
      </c>
      <c r="GPL864" s="22" t="s">
        <v>16</v>
      </c>
      <c r="GPM864" s="22" t="s">
        <v>16</v>
      </c>
      <c r="GPN864" s="22" t="s">
        <v>16</v>
      </c>
      <c r="GPO864" s="22" t="s">
        <v>16</v>
      </c>
      <c r="GPP864" s="22" t="s">
        <v>16</v>
      </c>
      <c r="GPQ864" s="22" t="s">
        <v>16</v>
      </c>
      <c r="GPR864" s="22" t="s">
        <v>16</v>
      </c>
      <c r="GPS864" s="22" t="s">
        <v>16</v>
      </c>
      <c r="GPT864" s="22" t="s">
        <v>16</v>
      </c>
      <c r="GPU864" s="22" t="s">
        <v>16</v>
      </c>
      <c r="GPV864" s="22" t="s">
        <v>16</v>
      </c>
      <c r="GPW864" s="22" t="s">
        <v>16</v>
      </c>
      <c r="GPX864" s="22" t="s">
        <v>16</v>
      </c>
      <c r="GPY864" s="22" t="s">
        <v>16</v>
      </c>
      <c r="GPZ864" s="22" t="s">
        <v>16</v>
      </c>
      <c r="GQA864" s="22" t="s">
        <v>16</v>
      </c>
      <c r="GQB864" s="22" t="s">
        <v>16</v>
      </c>
      <c r="GQC864" s="22" t="s">
        <v>16</v>
      </c>
      <c r="GQD864" s="22" t="s">
        <v>16</v>
      </c>
      <c r="GQE864" s="22" t="s">
        <v>16</v>
      </c>
      <c r="GQF864" s="22" t="s">
        <v>16</v>
      </c>
      <c r="GQG864" s="22" t="s">
        <v>16</v>
      </c>
      <c r="GQH864" s="22" t="s">
        <v>16</v>
      </c>
      <c r="GQI864" s="22" t="s">
        <v>16</v>
      </c>
      <c r="GQJ864" s="22" t="s">
        <v>16</v>
      </c>
      <c r="GQK864" s="22" t="s">
        <v>16</v>
      </c>
      <c r="GQL864" s="22" t="s">
        <v>16</v>
      </c>
      <c r="GQM864" s="22" t="s">
        <v>16</v>
      </c>
      <c r="GQN864" s="22" t="s">
        <v>16</v>
      </c>
      <c r="GQO864" s="22" t="s">
        <v>16</v>
      </c>
      <c r="GQP864" s="22" t="s">
        <v>16</v>
      </c>
      <c r="GQQ864" s="22" t="s">
        <v>16</v>
      </c>
      <c r="GQR864" s="22" t="s">
        <v>16</v>
      </c>
      <c r="GQS864" s="22" t="s">
        <v>16</v>
      </c>
      <c r="GQT864" s="22" t="s">
        <v>16</v>
      </c>
      <c r="GQU864" s="22" t="s">
        <v>16</v>
      </c>
      <c r="GQV864" s="22" t="s">
        <v>16</v>
      </c>
      <c r="GQW864" s="22" t="s">
        <v>16</v>
      </c>
      <c r="GQX864" s="22" t="s">
        <v>16</v>
      </c>
      <c r="GQY864" s="22" t="s">
        <v>16</v>
      </c>
      <c r="GQZ864" s="22" t="s">
        <v>16</v>
      </c>
      <c r="GRA864" s="22" t="s">
        <v>16</v>
      </c>
      <c r="GRB864" s="22" t="s">
        <v>16</v>
      </c>
      <c r="GRC864" s="22" t="s">
        <v>16</v>
      </c>
      <c r="GRD864" s="22" t="s">
        <v>16</v>
      </c>
      <c r="GRE864" s="22" t="s">
        <v>16</v>
      </c>
      <c r="GRF864" s="22" t="s">
        <v>16</v>
      </c>
      <c r="GRG864" s="22" t="s">
        <v>16</v>
      </c>
      <c r="GRH864" s="22" t="s">
        <v>16</v>
      </c>
      <c r="GRI864" s="22" t="s">
        <v>16</v>
      </c>
      <c r="GRJ864" s="22" t="s">
        <v>16</v>
      </c>
      <c r="GRK864" s="22" t="s">
        <v>16</v>
      </c>
      <c r="GRL864" s="22" t="s">
        <v>16</v>
      </c>
      <c r="GRM864" s="22" t="s">
        <v>16</v>
      </c>
      <c r="GRN864" s="22" t="s">
        <v>16</v>
      </c>
      <c r="GRO864" s="22" t="s">
        <v>16</v>
      </c>
      <c r="GRP864" s="22" t="s">
        <v>16</v>
      </c>
      <c r="GRQ864" s="22" t="s">
        <v>16</v>
      </c>
      <c r="GRR864" s="22" t="s">
        <v>16</v>
      </c>
      <c r="GRS864" s="22" t="s">
        <v>16</v>
      </c>
      <c r="GRT864" s="22" t="s">
        <v>16</v>
      </c>
      <c r="GRU864" s="22" t="s">
        <v>16</v>
      </c>
      <c r="GRV864" s="22" t="s">
        <v>16</v>
      </c>
      <c r="GRW864" s="22" t="s">
        <v>16</v>
      </c>
      <c r="GRX864" s="22" t="s">
        <v>16</v>
      </c>
      <c r="GRY864" s="22" t="s">
        <v>16</v>
      </c>
      <c r="GRZ864" s="22" t="s">
        <v>16</v>
      </c>
      <c r="GSA864" s="22" t="s">
        <v>16</v>
      </c>
      <c r="GSB864" s="22" t="s">
        <v>16</v>
      </c>
      <c r="GSC864" s="22" t="s">
        <v>16</v>
      </c>
      <c r="GSD864" s="22" t="s">
        <v>16</v>
      </c>
      <c r="GSE864" s="22" t="s">
        <v>16</v>
      </c>
      <c r="GSF864" s="22" t="s">
        <v>16</v>
      </c>
      <c r="GSG864" s="22" t="s">
        <v>16</v>
      </c>
      <c r="GSH864" s="22" t="s">
        <v>16</v>
      </c>
      <c r="GSI864" s="22" t="s">
        <v>16</v>
      </c>
      <c r="GSJ864" s="22" t="s">
        <v>16</v>
      </c>
      <c r="GSK864" s="22" t="s">
        <v>16</v>
      </c>
      <c r="GSL864" s="22" t="s">
        <v>16</v>
      </c>
      <c r="GSM864" s="22" t="s">
        <v>16</v>
      </c>
      <c r="GSN864" s="22" t="s">
        <v>16</v>
      </c>
      <c r="GSO864" s="22" t="s">
        <v>16</v>
      </c>
      <c r="GSP864" s="22" t="s">
        <v>16</v>
      </c>
      <c r="GSQ864" s="22" t="s">
        <v>16</v>
      </c>
      <c r="GSR864" s="22" t="s">
        <v>16</v>
      </c>
      <c r="GSS864" s="22" t="s">
        <v>16</v>
      </c>
      <c r="GST864" s="22" t="s">
        <v>16</v>
      </c>
      <c r="GSU864" s="22" t="s">
        <v>16</v>
      </c>
      <c r="GSV864" s="22" t="s">
        <v>16</v>
      </c>
      <c r="GSW864" s="22" t="s">
        <v>16</v>
      </c>
      <c r="GSX864" s="22" t="s">
        <v>16</v>
      </c>
      <c r="GSY864" s="22" t="s">
        <v>16</v>
      </c>
      <c r="GSZ864" s="22" t="s">
        <v>16</v>
      </c>
      <c r="GTA864" s="22" t="s">
        <v>16</v>
      </c>
      <c r="GTB864" s="22" t="s">
        <v>16</v>
      </c>
      <c r="GTC864" s="22" t="s">
        <v>16</v>
      </c>
      <c r="GTD864" s="22" t="s">
        <v>16</v>
      </c>
      <c r="GTE864" s="22" t="s">
        <v>16</v>
      </c>
      <c r="GTF864" s="22" t="s">
        <v>16</v>
      </c>
      <c r="GTG864" s="22" t="s">
        <v>16</v>
      </c>
      <c r="GTH864" s="22" t="s">
        <v>16</v>
      </c>
      <c r="GTI864" s="22" t="s">
        <v>16</v>
      </c>
      <c r="GTJ864" s="22" t="s">
        <v>16</v>
      </c>
      <c r="GTK864" s="22" t="s">
        <v>16</v>
      </c>
      <c r="GTL864" s="22" t="s">
        <v>16</v>
      </c>
      <c r="GTM864" s="22" t="s">
        <v>16</v>
      </c>
      <c r="GTN864" s="22" t="s">
        <v>16</v>
      </c>
      <c r="GTO864" s="22" t="s">
        <v>16</v>
      </c>
      <c r="GTP864" s="22" t="s">
        <v>16</v>
      </c>
      <c r="GTQ864" s="22" t="s">
        <v>16</v>
      </c>
      <c r="GTR864" s="22" t="s">
        <v>16</v>
      </c>
      <c r="GTS864" s="22" t="s">
        <v>16</v>
      </c>
      <c r="GTT864" s="22" t="s">
        <v>16</v>
      </c>
      <c r="GTU864" s="22" t="s">
        <v>16</v>
      </c>
      <c r="GTV864" s="22" t="s">
        <v>16</v>
      </c>
      <c r="GTW864" s="22" t="s">
        <v>16</v>
      </c>
      <c r="GTX864" s="22" t="s">
        <v>16</v>
      </c>
      <c r="GTY864" s="22" t="s">
        <v>16</v>
      </c>
      <c r="GTZ864" s="22" t="s">
        <v>16</v>
      </c>
      <c r="GUA864" s="22" t="s">
        <v>16</v>
      </c>
      <c r="GUB864" s="22" t="s">
        <v>16</v>
      </c>
      <c r="GUC864" s="22" t="s">
        <v>16</v>
      </c>
      <c r="GUD864" s="22" t="s">
        <v>16</v>
      </c>
      <c r="GUE864" s="22" t="s">
        <v>16</v>
      </c>
      <c r="GUF864" s="22" t="s">
        <v>16</v>
      </c>
      <c r="GUG864" s="22" t="s">
        <v>16</v>
      </c>
      <c r="GUH864" s="22" t="s">
        <v>16</v>
      </c>
      <c r="GUI864" s="22" t="s">
        <v>16</v>
      </c>
      <c r="GUJ864" s="22" t="s">
        <v>16</v>
      </c>
      <c r="GUK864" s="22" t="s">
        <v>16</v>
      </c>
      <c r="GUL864" s="22" t="s">
        <v>16</v>
      </c>
      <c r="GUM864" s="22" t="s">
        <v>16</v>
      </c>
      <c r="GUN864" s="22" t="s">
        <v>16</v>
      </c>
      <c r="GUO864" s="22" t="s">
        <v>16</v>
      </c>
      <c r="GUP864" s="22" t="s">
        <v>16</v>
      </c>
      <c r="GUQ864" s="22" t="s">
        <v>16</v>
      </c>
      <c r="GUR864" s="22" t="s">
        <v>16</v>
      </c>
      <c r="GUS864" s="22" t="s">
        <v>16</v>
      </c>
      <c r="GUT864" s="22" t="s">
        <v>16</v>
      </c>
      <c r="GUU864" s="22" t="s">
        <v>16</v>
      </c>
      <c r="GUV864" s="22" t="s">
        <v>16</v>
      </c>
      <c r="GUW864" s="22" t="s">
        <v>16</v>
      </c>
      <c r="GUX864" s="22" t="s">
        <v>16</v>
      </c>
      <c r="GUY864" s="22" t="s">
        <v>16</v>
      </c>
      <c r="GUZ864" s="22" t="s">
        <v>16</v>
      </c>
      <c r="GVA864" s="22" t="s">
        <v>16</v>
      </c>
      <c r="GVB864" s="22" t="s">
        <v>16</v>
      </c>
      <c r="GVC864" s="22" t="s">
        <v>16</v>
      </c>
      <c r="GVD864" s="22" t="s">
        <v>16</v>
      </c>
      <c r="GVE864" s="22" t="s">
        <v>16</v>
      </c>
      <c r="GVF864" s="22" t="s">
        <v>16</v>
      </c>
      <c r="GVG864" s="22" t="s">
        <v>16</v>
      </c>
      <c r="GVH864" s="22" t="s">
        <v>16</v>
      </c>
      <c r="GVI864" s="22" t="s">
        <v>16</v>
      </c>
      <c r="GVJ864" s="22" t="s">
        <v>16</v>
      </c>
      <c r="GVK864" s="22" t="s">
        <v>16</v>
      </c>
      <c r="GVL864" s="22" t="s">
        <v>16</v>
      </c>
      <c r="GVM864" s="22" t="s">
        <v>16</v>
      </c>
      <c r="GVN864" s="22" t="s">
        <v>16</v>
      </c>
      <c r="GVO864" s="22" t="s">
        <v>16</v>
      </c>
      <c r="GVP864" s="22" t="s">
        <v>16</v>
      </c>
      <c r="GVQ864" s="22" t="s">
        <v>16</v>
      </c>
      <c r="GVR864" s="22" t="s">
        <v>16</v>
      </c>
      <c r="GVS864" s="22" t="s">
        <v>16</v>
      </c>
      <c r="GVT864" s="22" t="s">
        <v>16</v>
      </c>
      <c r="GVU864" s="22" t="s">
        <v>16</v>
      </c>
      <c r="GVV864" s="22" t="s">
        <v>16</v>
      </c>
      <c r="GVW864" s="22" t="s">
        <v>16</v>
      </c>
      <c r="GVX864" s="22" t="s">
        <v>16</v>
      </c>
      <c r="GVY864" s="22" t="s">
        <v>16</v>
      </c>
      <c r="GVZ864" s="22" t="s">
        <v>16</v>
      </c>
      <c r="GWA864" s="22" t="s">
        <v>16</v>
      </c>
      <c r="GWB864" s="22" t="s">
        <v>16</v>
      </c>
      <c r="GWC864" s="22" t="s">
        <v>16</v>
      </c>
      <c r="GWD864" s="22" t="s">
        <v>16</v>
      </c>
      <c r="GWE864" s="22" t="s">
        <v>16</v>
      </c>
      <c r="GWF864" s="22" t="s">
        <v>16</v>
      </c>
      <c r="GWG864" s="22" t="s">
        <v>16</v>
      </c>
      <c r="GWH864" s="22" t="s">
        <v>16</v>
      </c>
      <c r="GWI864" s="22" t="s">
        <v>16</v>
      </c>
      <c r="GWJ864" s="22" t="s">
        <v>16</v>
      </c>
      <c r="GWK864" s="22" t="s">
        <v>16</v>
      </c>
      <c r="GWL864" s="22" t="s">
        <v>16</v>
      </c>
      <c r="GWM864" s="22" t="s">
        <v>16</v>
      </c>
      <c r="GWN864" s="22" t="s">
        <v>16</v>
      </c>
      <c r="GWO864" s="22" t="s">
        <v>16</v>
      </c>
      <c r="GWP864" s="22" t="s">
        <v>16</v>
      </c>
      <c r="GWQ864" s="22" t="s">
        <v>16</v>
      </c>
      <c r="GWR864" s="22" t="s">
        <v>16</v>
      </c>
      <c r="GWS864" s="22" t="s">
        <v>16</v>
      </c>
      <c r="GWT864" s="22" t="s">
        <v>16</v>
      </c>
      <c r="GWU864" s="22" t="s">
        <v>16</v>
      </c>
      <c r="GWV864" s="22" t="s">
        <v>16</v>
      </c>
      <c r="GWW864" s="22" t="s">
        <v>16</v>
      </c>
      <c r="GWX864" s="22" t="s">
        <v>16</v>
      </c>
      <c r="GWY864" s="22" t="s">
        <v>16</v>
      </c>
      <c r="GWZ864" s="22" t="s">
        <v>16</v>
      </c>
      <c r="GXA864" s="22" t="s">
        <v>16</v>
      </c>
      <c r="GXB864" s="22" t="s">
        <v>16</v>
      </c>
      <c r="GXC864" s="22" t="s">
        <v>16</v>
      </c>
      <c r="GXD864" s="22" t="s">
        <v>16</v>
      </c>
      <c r="GXE864" s="22" t="s">
        <v>16</v>
      </c>
      <c r="GXF864" s="22" t="s">
        <v>16</v>
      </c>
      <c r="GXG864" s="22" t="s">
        <v>16</v>
      </c>
      <c r="GXH864" s="22" t="s">
        <v>16</v>
      </c>
      <c r="GXI864" s="22" t="s">
        <v>16</v>
      </c>
      <c r="GXJ864" s="22" t="s">
        <v>16</v>
      </c>
      <c r="GXK864" s="22" t="s">
        <v>16</v>
      </c>
      <c r="GXL864" s="22" t="s">
        <v>16</v>
      </c>
      <c r="GXM864" s="22" t="s">
        <v>16</v>
      </c>
      <c r="GXN864" s="22" t="s">
        <v>16</v>
      </c>
      <c r="GXO864" s="22" t="s">
        <v>16</v>
      </c>
      <c r="GXP864" s="22" t="s">
        <v>16</v>
      </c>
      <c r="GXQ864" s="22" t="s">
        <v>16</v>
      </c>
      <c r="GXR864" s="22" t="s">
        <v>16</v>
      </c>
      <c r="GXS864" s="22" t="s">
        <v>16</v>
      </c>
      <c r="GXT864" s="22" t="s">
        <v>16</v>
      </c>
      <c r="GXU864" s="22" t="s">
        <v>16</v>
      </c>
      <c r="GXV864" s="22" t="s">
        <v>16</v>
      </c>
      <c r="GXW864" s="22" t="s">
        <v>16</v>
      </c>
      <c r="GXX864" s="22" t="s">
        <v>16</v>
      </c>
      <c r="GXY864" s="22" t="s">
        <v>16</v>
      </c>
      <c r="GXZ864" s="22" t="s">
        <v>16</v>
      </c>
      <c r="GYA864" s="22" t="s">
        <v>16</v>
      </c>
      <c r="GYB864" s="22" t="s">
        <v>16</v>
      </c>
      <c r="GYC864" s="22" t="s">
        <v>16</v>
      </c>
      <c r="GYD864" s="22" t="s">
        <v>16</v>
      </c>
      <c r="GYE864" s="22" t="s">
        <v>16</v>
      </c>
      <c r="GYF864" s="22" t="s">
        <v>16</v>
      </c>
      <c r="GYG864" s="22" t="s">
        <v>16</v>
      </c>
      <c r="GYH864" s="22" t="s">
        <v>16</v>
      </c>
      <c r="GYI864" s="22" t="s">
        <v>16</v>
      </c>
      <c r="GYJ864" s="22" t="s">
        <v>16</v>
      </c>
      <c r="GYK864" s="22" t="s">
        <v>16</v>
      </c>
      <c r="GYL864" s="22" t="s">
        <v>16</v>
      </c>
      <c r="GYM864" s="22" t="s">
        <v>16</v>
      </c>
      <c r="GYN864" s="22" t="s">
        <v>16</v>
      </c>
      <c r="GYO864" s="22" t="s">
        <v>16</v>
      </c>
      <c r="GYP864" s="22" t="s">
        <v>16</v>
      </c>
      <c r="GYQ864" s="22" t="s">
        <v>16</v>
      </c>
      <c r="GYR864" s="22" t="s">
        <v>16</v>
      </c>
      <c r="GYS864" s="22" t="s">
        <v>16</v>
      </c>
      <c r="GYT864" s="22" t="s">
        <v>16</v>
      </c>
      <c r="GYU864" s="22" t="s">
        <v>16</v>
      </c>
      <c r="GYV864" s="22" t="s">
        <v>16</v>
      </c>
      <c r="GYW864" s="22" t="s">
        <v>16</v>
      </c>
      <c r="GYX864" s="22" t="s">
        <v>16</v>
      </c>
      <c r="GYY864" s="22" t="s">
        <v>16</v>
      </c>
      <c r="GYZ864" s="22" t="s">
        <v>16</v>
      </c>
      <c r="GZA864" s="22" t="s">
        <v>16</v>
      </c>
      <c r="GZB864" s="22" t="s">
        <v>16</v>
      </c>
      <c r="GZC864" s="22" t="s">
        <v>16</v>
      </c>
      <c r="GZD864" s="22" t="s">
        <v>16</v>
      </c>
      <c r="GZE864" s="22" t="s">
        <v>16</v>
      </c>
      <c r="GZF864" s="22" t="s">
        <v>16</v>
      </c>
      <c r="GZG864" s="22" t="s">
        <v>16</v>
      </c>
      <c r="GZH864" s="22" t="s">
        <v>16</v>
      </c>
      <c r="GZI864" s="22" t="s">
        <v>16</v>
      </c>
      <c r="GZJ864" s="22" t="s">
        <v>16</v>
      </c>
      <c r="GZK864" s="22" t="s">
        <v>16</v>
      </c>
      <c r="GZL864" s="22" t="s">
        <v>16</v>
      </c>
      <c r="GZM864" s="22" t="s">
        <v>16</v>
      </c>
      <c r="GZN864" s="22" t="s">
        <v>16</v>
      </c>
      <c r="GZO864" s="22" t="s">
        <v>16</v>
      </c>
      <c r="GZP864" s="22" t="s">
        <v>16</v>
      </c>
      <c r="GZQ864" s="22" t="s">
        <v>16</v>
      </c>
      <c r="GZR864" s="22" t="s">
        <v>16</v>
      </c>
      <c r="GZS864" s="22" t="s">
        <v>16</v>
      </c>
      <c r="GZT864" s="22" t="s">
        <v>16</v>
      </c>
      <c r="GZU864" s="22" t="s">
        <v>16</v>
      </c>
      <c r="GZV864" s="22" t="s">
        <v>16</v>
      </c>
      <c r="GZW864" s="22" t="s">
        <v>16</v>
      </c>
      <c r="GZX864" s="22" t="s">
        <v>16</v>
      </c>
      <c r="GZY864" s="22" t="s">
        <v>16</v>
      </c>
      <c r="GZZ864" s="22" t="s">
        <v>16</v>
      </c>
      <c r="HAA864" s="22" t="s">
        <v>16</v>
      </c>
      <c r="HAB864" s="22" t="s">
        <v>16</v>
      </c>
      <c r="HAC864" s="22" t="s">
        <v>16</v>
      </c>
      <c r="HAD864" s="22" t="s">
        <v>16</v>
      </c>
      <c r="HAE864" s="22" t="s">
        <v>16</v>
      </c>
      <c r="HAF864" s="22" t="s">
        <v>16</v>
      </c>
      <c r="HAG864" s="22" t="s">
        <v>16</v>
      </c>
      <c r="HAH864" s="22" t="s">
        <v>16</v>
      </c>
      <c r="HAI864" s="22" t="s">
        <v>16</v>
      </c>
      <c r="HAJ864" s="22" t="s">
        <v>16</v>
      </c>
      <c r="HAK864" s="22" t="s">
        <v>16</v>
      </c>
      <c r="HAL864" s="22" t="s">
        <v>16</v>
      </c>
      <c r="HAM864" s="22" t="s">
        <v>16</v>
      </c>
      <c r="HAN864" s="22" t="s">
        <v>16</v>
      </c>
      <c r="HAO864" s="22" t="s">
        <v>16</v>
      </c>
      <c r="HAP864" s="22" t="s">
        <v>16</v>
      </c>
      <c r="HAQ864" s="22" t="s">
        <v>16</v>
      </c>
      <c r="HAR864" s="22" t="s">
        <v>16</v>
      </c>
      <c r="HAS864" s="22" t="s">
        <v>16</v>
      </c>
      <c r="HAT864" s="22" t="s">
        <v>16</v>
      </c>
      <c r="HAU864" s="22" t="s">
        <v>16</v>
      </c>
      <c r="HAV864" s="22" t="s">
        <v>16</v>
      </c>
      <c r="HAW864" s="22" t="s">
        <v>16</v>
      </c>
      <c r="HAX864" s="22" t="s">
        <v>16</v>
      </c>
      <c r="HAY864" s="22" t="s">
        <v>16</v>
      </c>
      <c r="HAZ864" s="22" t="s">
        <v>16</v>
      </c>
      <c r="HBA864" s="22" t="s">
        <v>16</v>
      </c>
      <c r="HBB864" s="22" t="s">
        <v>16</v>
      </c>
      <c r="HBC864" s="22" t="s">
        <v>16</v>
      </c>
      <c r="HBD864" s="22" t="s">
        <v>16</v>
      </c>
      <c r="HBE864" s="22" t="s">
        <v>16</v>
      </c>
      <c r="HBF864" s="22" t="s">
        <v>16</v>
      </c>
      <c r="HBG864" s="22" t="s">
        <v>16</v>
      </c>
      <c r="HBH864" s="22" t="s">
        <v>16</v>
      </c>
      <c r="HBI864" s="22" t="s">
        <v>16</v>
      </c>
      <c r="HBJ864" s="22" t="s">
        <v>16</v>
      </c>
      <c r="HBK864" s="22" t="s">
        <v>16</v>
      </c>
      <c r="HBL864" s="22" t="s">
        <v>16</v>
      </c>
      <c r="HBM864" s="22" t="s">
        <v>16</v>
      </c>
      <c r="HBN864" s="22" t="s">
        <v>16</v>
      </c>
      <c r="HBO864" s="22" t="s">
        <v>16</v>
      </c>
      <c r="HBP864" s="22" t="s">
        <v>16</v>
      </c>
      <c r="HBQ864" s="22" t="s">
        <v>16</v>
      </c>
      <c r="HBR864" s="22" t="s">
        <v>16</v>
      </c>
      <c r="HBS864" s="22" t="s">
        <v>16</v>
      </c>
      <c r="HBT864" s="22" t="s">
        <v>16</v>
      </c>
      <c r="HBU864" s="22" t="s">
        <v>16</v>
      </c>
      <c r="HBV864" s="22" t="s">
        <v>16</v>
      </c>
      <c r="HBW864" s="22" t="s">
        <v>16</v>
      </c>
      <c r="HBX864" s="22" t="s">
        <v>16</v>
      </c>
      <c r="HBY864" s="22" t="s">
        <v>16</v>
      </c>
      <c r="HBZ864" s="22" t="s">
        <v>16</v>
      </c>
      <c r="HCA864" s="22" t="s">
        <v>16</v>
      </c>
      <c r="HCB864" s="22" t="s">
        <v>16</v>
      </c>
      <c r="HCC864" s="22" t="s">
        <v>16</v>
      </c>
      <c r="HCD864" s="22" t="s">
        <v>16</v>
      </c>
      <c r="HCE864" s="22" t="s">
        <v>16</v>
      </c>
      <c r="HCF864" s="22" t="s">
        <v>16</v>
      </c>
      <c r="HCG864" s="22" t="s">
        <v>16</v>
      </c>
      <c r="HCH864" s="22" t="s">
        <v>16</v>
      </c>
      <c r="HCI864" s="22" t="s">
        <v>16</v>
      </c>
      <c r="HCJ864" s="22" t="s">
        <v>16</v>
      </c>
      <c r="HCK864" s="22" t="s">
        <v>16</v>
      </c>
      <c r="HCL864" s="22" t="s">
        <v>16</v>
      </c>
      <c r="HCM864" s="22" t="s">
        <v>16</v>
      </c>
      <c r="HCN864" s="22" t="s">
        <v>16</v>
      </c>
      <c r="HCO864" s="22" t="s">
        <v>16</v>
      </c>
      <c r="HCP864" s="22" t="s">
        <v>16</v>
      </c>
      <c r="HCQ864" s="22" t="s">
        <v>16</v>
      </c>
      <c r="HCR864" s="22" t="s">
        <v>16</v>
      </c>
      <c r="HCS864" s="22" t="s">
        <v>16</v>
      </c>
      <c r="HCT864" s="22" t="s">
        <v>16</v>
      </c>
      <c r="HCU864" s="22" t="s">
        <v>16</v>
      </c>
      <c r="HCV864" s="22" t="s">
        <v>16</v>
      </c>
      <c r="HCW864" s="22" t="s">
        <v>16</v>
      </c>
      <c r="HCX864" s="22" t="s">
        <v>16</v>
      </c>
      <c r="HCY864" s="22" t="s">
        <v>16</v>
      </c>
      <c r="HCZ864" s="22" t="s">
        <v>16</v>
      </c>
      <c r="HDA864" s="22" t="s">
        <v>16</v>
      </c>
      <c r="HDB864" s="22" t="s">
        <v>16</v>
      </c>
      <c r="HDC864" s="22" t="s">
        <v>16</v>
      </c>
      <c r="HDD864" s="22" t="s">
        <v>16</v>
      </c>
      <c r="HDE864" s="22" t="s">
        <v>16</v>
      </c>
      <c r="HDF864" s="22" t="s">
        <v>16</v>
      </c>
      <c r="HDG864" s="22" t="s">
        <v>16</v>
      </c>
      <c r="HDH864" s="22" t="s">
        <v>16</v>
      </c>
      <c r="HDI864" s="22" t="s">
        <v>16</v>
      </c>
      <c r="HDJ864" s="22" t="s">
        <v>16</v>
      </c>
      <c r="HDK864" s="22" t="s">
        <v>16</v>
      </c>
      <c r="HDL864" s="22" t="s">
        <v>16</v>
      </c>
      <c r="HDM864" s="22" t="s">
        <v>16</v>
      </c>
      <c r="HDN864" s="22" t="s">
        <v>16</v>
      </c>
      <c r="HDO864" s="22" t="s">
        <v>16</v>
      </c>
      <c r="HDP864" s="22" t="s">
        <v>16</v>
      </c>
      <c r="HDQ864" s="22" t="s">
        <v>16</v>
      </c>
      <c r="HDR864" s="22" t="s">
        <v>16</v>
      </c>
      <c r="HDS864" s="22" t="s">
        <v>16</v>
      </c>
      <c r="HDT864" s="22" t="s">
        <v>16</v>
      </c>
      <c r="HDU864" s="22" t="s">
        <v>16</v>
      </c>
      <c r="HDV864" s="22" t="s">
        <v>16</v>
      </c>
      <c r="HDW864" s="22" t="s">
        <v>16</v>
      </c>
      <c r="HDX864" s="22" t="s">
        <v>16</v>
      </c>
      <c r="HDY864" s="22" t="s">
        <v>16</v>
      </c>
      <c r="HDZ864" s="22" t="s">
        <v>16</v>
      </c>
      <c r="HEA864" s="22" t="s">
        <v>16</v>
      </c>
      <c r="HEB864" s="22" t="s">
        <v>16</v>
      </c>
      <c r="HEC864" s="22" t="s">
        <v>16</v>
      </c>
      <c r="HED864" s="22" t="s">
        <v>16</v>
      </c>
      <c r="HEE864" s="22" t="s">
        <v>16</v>
      </c>
      <c r="HEF864" s="22" t="s">
        <v>16</v>
      </c>
      <c r="HEG864" s="22" t="s">
        <v>16</v>
      </c>
      <c r="HEH864" s="22" t="s">
        <v>16</v>
      </c>
      <c r="HEI864" s="22" t="s">
        <v>16</v>
      </c>
      <c r="HEJ864" s="22" t="s">
        <v>16</v>
      </c>
      <c r="HEK864" s="22" t="s">
        <v>16</v>
      </c>
      <c r="HEL864" s="22" t="s">
        <v>16</v>
      </c>
      <c r="HEM864" s="22" t="s">
        <v>16</v>
      </c>
      <c r="HEN864" s="22" t="s">
        <v>16</v>
      </c>
      <c r="HEO864" s="22" t="s">
        <v>16</v>
      </c>
      <c r="HEP864" s="22" t="s">
        <v>16</v>
      </c>
      <c r="HEQ864" s="22" t="s">
        <v>16</v>
      </c>
      <c r="HER864" s="22" t="s">
        <v>16</v>
      </c>
      <c r="HES864" s="22" t="s">
        <v>16</v>
      </c>
      <c r="HET864" s="22" t="s">
        <v>16</v>
      </c>
      <c r="HEU864" s="22" t="s">
        <v>16</v>
      </c>
      <c r="HEV864" s="22" t="s">
        <v>16</v>
      </c>
      <c r="HEW864" s="22" t="s">
        <v>16</v>
      </c>
      <c r="HEX864" s="22" t="s">
        <v>16</v>
      </c>
      <c r="HEY864" s="22" t="s">
        <v>16</v>
      </c>
      <c r="HEZ864" s="22" t="s">
        <v>16</v>
      </c>
      <c r="HFA864" s="22" t="s">
        <v>16</v>
      </c>
      <c r="HFB864" s="22" t="s">
        <v>16</v>
      </c>
      <c r="HFC864" s="22" t="s">
        <v>16</v>
      </c>
      <c r="HFD864" s="22" t="s">
        <v>16</v>
      </c>
      <c r="HFE864" s="22" t="s">
        <v>16</v>
      </c>
      <c r="HFF864" s="22" t="s">
        <v>16</v>
      </c>
      <c r="HFG864" s="22" t="s">
        <v>16</v>
      </c>
      <c r="HFH864" s="22" t="s">
        <v>16</v>
      </c>
      <c r="HFI864" s="22" t="s">
        <v>16</v>
      </c>
      <c r="HFJ864" s="22" t="s">
        <v>16</v>
      </c>
      <c r="HFK864" s="22" t="s">
        <v>16</v>
      </c>
      <c r="HFL864" s="22" t="s">
        <v>16</v>
      </c>
      <c r="HFM864" s="22" t="s">
        <v>16</v>
      </c>
      <c r="HFN864" s="22" t="s">
        <v>16</v>
      </c>
      <c r="HFO864" s="22" t="s">
        <v>16</v>
      </c>
      <c r="HFP864" s="22" t="s">
        <v>16</v>
      </c>
      <c r="HFQ864" s="22" t="s">
        <v>16</v>
      </c>
      <c r="HFR864" s="22" t="s">
        <v>16</v>
      </c>
      <c r="HFS864" s="22" t="s">
        <v>16</v>
      </c>
      <c r="HFT864" s="22" t="s">
        <v>16</v>
      </c>
      <c r="HFU864" s="22" t="s">
        <v>16</v>
      </c>
      <c r="HFV864" s="22" t="s">
        <v>16</v>
      </c>
      <c r="HFW864" s="22" t="s">
        <v>16</v>
      </c>
      <c r="HFX864" s="22" t="s">
        <v>16</v>
      </c>
      <c r="HFY864" s="22" t="s">
        <v>16</v>
      </c>
      <c r="HFZ864" s="22" t="s">
        <v>16</v>
      </c>
      <c r="HGA864" s="22" t="s">
        <v>16</v>
      </c>
      <c r="HGB864" s="22" t="s">
        <v>16</v>
      </c>
      <c r="HGC864" s="22" t="s">
        <v>16</v>
      </c>
      <c r="HGD864" s="22" t="s">
        <v>16</v>
      </c>
      <c r="HGE864" s="22" t="s">
        <v>16</v>
      </c>
      <c r="HGF864" s="22" t="s">
        <v>16</v>
      </c>
      <c r="HGG864" s="22" t="s">
        <v>16</v>
      </c>
      <c r="HGH864" s="22" t="s">
        <v>16</v>
      </c>
      <c r="HGI864" s="22" t="s">
        <v>16</v>
      </c>
      <c r="HGJ864" s="22" t="s">
        <v>16</v>
      </c>
      <c r="HGK864" s="22" t="s">
        <v>16</v>
      </c>
      <c r="HGL864" s="22" t="s">
        <v>16</v>
      </c>
      <c r="HGM864" s="22" t="s">
        <v>16</v>
      </c>
      <c r="HGN864" s="22" t="s">
        <v>16</v>
      </c>
      <c r="HGO864" s="22" t="s">
        <v>16</v>
      </c>
      <c r="HGP864" s="22" t="s">
        <v>16</v>
      </c>
      <c r="HGQ864" s="22" t="s">
        <v>16</v>
      </c>
      <c r="HGR864" s="22" t="s">
        <v>16</v>
      </c>
      <c r="HGS864" s="22" t="s">
        <v>16</v>
      </c>
      <c r="HGT864" s="22" t="s">
        <v>16</v>
      </c>
      <c r="HGU864" s="22" t="s">
        <v>16</v>
      </c>
      <c r="HGV864" s="22" t="s">
        <v>16</v>
      </c>
      <c r="HGW864" s="22" t="s">
        <v>16</v>
      </c>
      <c r="HGX864" s="22" t="s">
        <v>16</v>
      </c>
      <c r="HGY864" s="22" t="s">
        <v>16</v>
      </c>
      <c r="HGZ864" s="22" t="s">
        <v>16</v>
      </c>
      <c r="HHA864" s="22" t="s">
        <v>16</v>
      </c>
      <c r="HHB864" s="22" t="s">
        <v>16</v>
      </c>
      <c r="HHC864" s="22" t="s">
        <v>16</v>
      </c>
      <c r="HHD864" s="22" t="s">
        <v>16</v>
      </c>
      <c r="HHE864" s="22" t="s">
        <v>16</v>
      </c>
      <c r="HHF864" s="22" t="s">
        <v>16</v>
      </c>
      <c r="HHG864" s="22" t="s">
        <v>16</v>
      </c>
      <c r="HHH864" s="22" t="s">
        <v>16</v>
      </c>
      <c r="HHI864" s="22" t="s">
        <v>16</v>
      </c>
      <c r="HHJ864" s="22" t="s">
        <v>16</v>
      </c>
      <c r="HHK864" s="22" t="s">
        <v>16</v>
      </c>
      <c r="HHL864" s="22" t="s">
        <v>16</v>
      </c>
      <c r="HHM864" s="22" t="s">
        <v>16</v>
      </c>
      <c r="HHN864" s="22" t="s">
        <v>16</v>
      </c>
      <c r="HHO864" s="22" t="s">
        <v>16</v>
      </c>
      <c r="HHP864" s="22" t="s">
        <v>16</v>
      </c>
      <c r="HHQ864" s="22" t="s">
        <v>16</v>
      </c>
      <c r="HHR864" s="22" t="s">
        <v>16</v>
      </c>
      <c r="HHS864" s="22" t="s">
        <v>16</v>
      </c>
      <c r="HHT864" s="22" t="s">
        <v>16</v>
      </c>
      <c r="HHU864" s="22" t="s">
        <v>16</v>
      </c>
      <c r="HHV864" s="22" t="s">
        <v>16</v>
      </c>
      <c r="HHW864" s="22" t="s">
        <v>16</v>
      </c>
      <c r="HHX864" s="22" t="s">
        <v>16</v>
      </c>
      <c r="HHY864" s="22" t="s">
        <v>16</v>
      </c>
      <c r="HHZ864" s="22" t="s">
        <v>16</v>
      </c>
      <c r="HIA864" s="22" t="s">
        <v>16</v>
      </c>
      <c r="HIB864" s="22" t="s">
        <v>16</v>
      </c>
      <c r="HIC864" s="22" t="s">
        <v>16</v>
      </c>
      <c r="HID864" s="22" t="s">
        <v>16</v>
      </c>
      <c r="HIE864" s="22" t="s">
        <v>16</v>
      </c>
      <c r="HIF864" s="22" t="s">
        <v>16</v>
      </c>
      <c r="HIG864" s="22" t="s">
        <v>16</v>
      </c>
      <c r="HIH864" s="22" t="s">
        <v>16</v>
      </c>
      <c r="HII864" s="22" t="s">
        <v>16</v>
      </c>
      <c r="HIJ864" s="22" t="s">
        <v>16</v>
      </c>
      <c r="HIK864" s="22" t="s">
        <v>16</v>
      </c>
      <c r="HIL864" s="22" t="s">
        <v>16</v>
      </c>
      <c r="HIM864" s="22" t="s">
        <v>16</v>
      </c>
      <c r="HIN864" s="22" t="s">
        <v>16</v>
      </c>
      <c r="HIO864" s="22" t="s">
        <v>16</v>
      </c>
      <c r="HIP864" s="22" t="s">
        <v>16</v>
      </c>
      <c r="HIQ864" s="22" t="s">
        <v>16</v>
      </c>
      <c r="HIR864" s="22" t="s">
        <v>16</v>
      </c>
      <c r="HIS864" s="22" t="s">
        <v>16</v>
      </c>
      <c r="HIT864" s="22" t="s">
        <v>16</v>
      </c>
      <c r="HIU864" s="22" t="s">
        <v>16</v>
      </c>
      <c r="HIV864" s="22" t="s">
        <v>16</v>
      </c>
      <c r="HIW864" s="22" t="s">
        <v>16</v>
      </c>
      <c r="HIX864" s="22" t="s">
        <v>16</v>
      </c>
      <c r="HIY864" s="22" t="s">
        <v>16</v>
      </c>
      <c r="HIZ864" s="22" t="s">
        <v>16</v>
      </c>
      <c r="HJA864" s="22" t="s">
        <v>16</v>
      </c>
      <c r="HJB864" s="22" t="s">
        <v>16</v>
      </c>
      <c r="HJC864" s="22" t="s">
        <v>16</v>
      </c>
      <c r="HJD864" s="22" t="s">
        <v>16</v>
      </c>
      <c r="HJE864" s="22" t="s">
        <v>16</v>
      </c>
      <c r="HJF864" s="22" t="s">
        <v>16</v>
      </c>
      <c r="HJG864" s="22" t="s">
        <v>16</v>
      </c>
      <c r="HJH864" s="22" t="s">
        <v>16</v>
      </c>
      <c r="HJI864" s="22" t="s">
        <v>16</v>
      </c>
      <c r="HJJ864" s="22" t="s">
        <v>16</v>
      </c>
      <c r="HJK864" s="22" t="s">
        <v>16</v>
      </c>
      <c r="HJL864" s="22" t="s">
        <v>16</v>
      </c>
      <c r="HJM864" s="22" t="s">
        <v>16</v>
      </c>
      <c r="HJN864" s="22" t="s">
        <v>16</v>
      </c>
      <c r="HJO864" s="22" t="s">
        <v>16</v>
      </c>
      <c r="HJP864" s="22" t="s">
        <v>16</v>
      </c>
      <c r="HJQ864" s="22" t="s">
        <v>16</v>
      </c>
      <c r="HJR864" s="22" t="s">
        <v>16</v>
      </c>
      <c r="HJS864" s="22" t="s">
        <v>16</v>
      </c>
      <c r="HJT864" s="22" t="s">
        <v>16</v>
      </c>
      <c r="HJU864" s="22" t="s">
        <v>16</v>
      </c>
      <c r="HJV864" s="22" t="s">
        <v>16</v>
      </c>
      <c r="HJW864" s="22" t="s">
        <v>16</v>
      </c>
      <c r="HJX864" s="22" t="s">
        <v>16</v>
      </c>
      <c r="HJY864" s="22" t="s">
        <v>16</v>
      </c>
      <c r="HJZ864" s="22" t="s">
        <v>16</v>
      </c>
      <c r="HKA864" s="22" t="s">
        <v>16</v>
      </c>
      <c r="HKB864" s="22" t="s">
        <v>16</v>
      </c>
      <c r="HKC864" s="22" t="s">
        <v>16</v>
      </c>
      <c r="HKD864" s="22" t="s">
        <v>16</v>
      </c>
      <c r="HKE864" s="22" t="s">
        <v>16</v>
      </c>
      <c r="HKF864" s="22" t="s">
        <v>16</v>
      </c>
      <c r="HKG864" s="22" t="s">
        <v>16</v>
      </c>
      <c r="HKH864" s="22" t="s">
        <v>16</v>
      </c>
      <c r="HKI864" s="22" t="s">
        <v>16</v>
      </c>
      <c r="HKJ864" s="22" t="s">
        <v>16</v>
      </c>
      <c r="HKK864" s="22" t="s">
        <v>16</v>
      </c>
      <c r="HKL864" s="22" t="s">
        <v>16</v>
      </c>
      <c r="HKM864" s="22" t="s">
        <v>16</v>
      </c>
      <c r="HKN864" s="22" t="s">
        <v>16</v>
      </c>
      <c r="HKO864" s="22" t="s">
        <v>16</v>
      </c>
      <c r="HKP864" s="22" t="s">
        <v>16</v>
      </c>
      <c r="HKQ864" s="22" t="s">
        <v>16</v>
      </c>
      <c r="HKR864" s="22" t="s">
        <v>16</v>
      </c>
      <c r="HKS864" s="22" t="s">
        <v>16</v>
      </c>
      <c r="HKT864" s="22" t="s">
        <v>16</v>
      </c>
      <c r="HKU864" s="22" t="s">
        <v>16</v>
      </c>
      <c r="HKV864" s="22" t="s">
        <v>16</v>
      </c>
      <c r="HKW864" s="22" t="s">
        <v>16</v>
      </c>
      <c r="HKX864" s="22" t="s">
        <v>16</v>
      </c>
      <c r="HKY864" s="22" t="s">
        <v>16</v>
      </c>
      <c r="HKZ864" s="22" t="s">
        <v>16</v>
      </c>
      <c r="HLA864" s="22" t="s">
        <v>16</v>
      </c>
      <c r="HLB864" s="22" t="s">
        <v>16</v>
      </c>
      <c r="HLC864" s="22" t="s">
        <v>16</v>
      </c>
      <c r="HLD864" s="22" t="s">
        <v>16</v>
      </c>
      <c r="HLE864" s="22" t="s">
        <v>16</v>
      </c>
      <c r="HLF864" s="22" t="s">
        <v>16</v>
      </c>
      <c r="HLG864" s="22" t="s">
        <v>16</v>
      </c>
      <c r="HLH864" s="22" t="s">
        <v>16</v>
      </c>
      <c r="HLI864" s="22" t="s">
        <v>16</v>
      </c>
      <c r="HLJ864" s="22" t="s">
        <v>16</v>
      </c>
      <c r="HLK864" s="22" t="s">
        <v>16</v>
      </c>
      <c r="HLL864" s="22" t="s">
        <v>16</v>
      </c>
      <c r="HLM864" s="22" t="s">
        <v>16</v>
      </c>
      <c r="HLN864" s="22" t="s">
        <v>16</v>
      </c>
      <c r="HLO864" s="22" t="s">
        <v>16</v>
      </c>
      <c r="HLP864" s="22" t="s">
        <v>16</v>
      </c>
      <c r="HLQ864" s="22" t="s">
        <v>16</v>
      </c>
      <c r="HLR864" s="22" t="s">
        <v>16</v>
      </c>
      <c r="HLS864" s="22" t="s">
        <v>16</v>
      </c>
      <c r="HLT864" s="22" t="s">
        <v>16</v>
      </c>
      <c r="HLU864" s="22" t="s">
        <v>16</v>
      </c>
      <c r="HLV864" s="22" t="s">
        <v>16</v>
      </c>
      <c r="HLW864" s="22" t="s">
        <v>16</v>
      </c>
      <c r="HLX864" s="22" t="s">
        <v>16</v>
      </c>
      <c r="HLY864" s="22" t="s">
        <v>16</v>
      </c>
      <c r="HLZ864" s="22" t="s">
        <v>16</v>
      </c>
      <c r="HMA864" s="22" t="s">
        <v>16</v>
      </c>
      <c r="HMB864" s="22" t="s">
        <v>16</v>
      </c>
      <c r="HMC864" s="22" t="s">
        <v>16</v>
      </c>
      <c r="HMD864" s="22" t="s">
        <v>16</v>
      </c>
      <c r="HME864" s="22" t="s">
        <v>16</v>
      </c>
      <c r="HMF864" s="22" t="s">
        <v>16</v>
      </c>
      <c r="HMG864" s="22" t="s">
        <v>16</v>
      </c>
      <c r="HMH864" s="22" t="s">
        <v>16</v>
      </c>
      <c r="HMI864" s="22" t="s">
        <v>16</v>
      </c>
      <c r="HMJ864" s="22" t="s">
        <v>16</v>
      </c>
      <c r="HMK864" s="22" t="s">
        <v>16</v>
      </c>
      <c r="HML864" s="22" t="s">
        <v>16</v>
      </c>
      <c r="HMM864" s="22" t="s">
        <v>16</v>
      </c>
      <c r="HMN864" s="22" t="s">
        <v>16</v>
      </c>
      <c r="HMO864" s="22" t="s">
        <v>16</v>
      </c>
      <c r="HMP864" s="22" t="s">
        <v>16</v>
      </c>
      <c r="HMQ864" s="22" t="s">
        <v>16</v>
      </c>
      <c r="HMR864" s="22" t="s">
        <v>16</v>
      </c>
      <c r="HMS864" s="22" t="s">
        <v>16</v>
      </c>
      <c r="HMT864" s="22" t="s">
        <v>16</v>
      </c>
      <c r="HMU864" s="22" t="s">
        <v>16</v>
      </c>
      <c r="HMV864" s="22" t="s">
        <v>16</v>
      </c>
      <c r="HMW864" s="22" t="s">
        <v>16</v>
      </c>
      <c r="HMX864" s="22" t="s">
        <v>16</v>
      </c>
      <c r="HMY864" s="22" t="s">
        <v>16</v>
      </c>
      <c r="HMZ864" s="22" t="s">
        <v>16</v>
      </c>
      <c r="HNA864" s="22" t="s">
        <v>16</v>
      </c>
      <c r="HNB864" s="22" t="s">
        <v>16</v>
      </c>
      <c r="HNC864" s="22" t="s">
        <v>16</v>
      </c>
      <c r="HND864" s="22" t="s">
        <v>16</v>
      </c>
      <c r="HNE864" s="22" t="s">
        <v>16</v>
      </c>
      <c r="HNF864" s="22" t="s">
        <v>16</v>
      </c>
      <c r="HNG864" s="22" t="s">
        <v>16</v>
      </c>
      <c r="HNH864" s="22" t="s">
        <v>16</v>
      </c>
      <c r="HNI864" s="22" t="s">
        <v>16</v>
      </c>
      <c r="HNJ864" s="22" t="s">
        <v>16</v>
      </c>
      <c r="HNK864" s="22" t="s">
        <v>16</v>
      </c>
      <c r="HNL864" s="22" t="s">
        <v>16</v>
      </c>
      <c r="HNM864" s="22" t="s">
        <v>16</v>
      </c>
      <c r="HNN864" s="22" t="s">
        <v>16</v>
      </c>
      <c r="HNO864" s="22" t="s">
        <v>16</v>
      </c>
      <c r="HNP864" s="22" t="s">
        <v>16</v>
      </c>
      <c r="HNQ864" s="22" t="s">
        <v>16</v>
      </c>
      <c r="HNR864" s="22" t="s">
        <v>16</v>
      </c>
      <c r="HNS864" s="22" t="s">
        <v>16</v>
      </c>
      <c r="HNT864" s="22" t="s">
        <v>16</v>
      </c>
      <c r="HNU864" s="22" t="s">
        <v>16</v>
      </c>
      <c r="HNV864" s="22" t="s">
        <v>16</v>
      </c>
      <c r="HNW864" s="22" t="s">
        <v>16</v>
      </c>
      <c r="HNX864" s="22" t="s">
        <v>16</v>
      </c>
      <c r="HNY864" s="22" t="s">
        <v>16</v>
      </c>
      <c r="HNZ864" s="22" t="s">
        <v>16</v>
      </c>
      <c r="HOA864" s="22" t="s">
        <v>16</v>
      </c>
      <c r="HOB864" s="22" t="s">
        <v>16</v>
      </c>
      <c r="HOC864" s="22" t="s">
        <v>16</v>
      </c>
      <c r="HOD864" s="22" t="s">
        <v>16</v>
      </c>
      <c r="HOE864" s="22" t="s">
        <v>16</v>
      </c>
      <c r="HOF864" s="22" t="s">
        <v>16</v>
      </c>
      <c r="HOG864" s="22" t="s">
        <v>16</v>
      </c>
      <c r="HOH864" s="22" t="s">
        <v>16</v>
      </c>
      <c r="HOI864" s="22" t="s">
        <v>16</v>
      </c>
      <c r="HOJ864" s="22" t="s">
        <v>16</v>
      </c>
      <c r="HOK864" s="22" t="s">
        <v>16</v>
      </c>
      <c r="HOL864" s="22" t="s">
        <v>16</v>
      </c>
      <c r="HOM864" s="22" t="s">
        <v>16</v>
      </c>
      <c r="HON864" s="22" t="s">
        <v>16</v>
      </c>
      <c r="HOO864" s="22" t="s">
        <v>16</v>
      </c>
      <c r="HOP864" s="22" t="s">
        <v>16</v>
      </c>
      <c r="HOQ864" s="22" t="s">
        <v>16</v>
      </c>
      <c r="HOR864" s="22" t="s">
        <v>16</v>
      </c>
      <c r="HOS864" s="22" t="s">
        <v>16</v>
      </c>
      <c r="HOT864" s="22" t="s">
        <v>16</v>
      </c>
      <c r="HOU864" s="22" t="s">
        <v>16</v>
      </c>
      <c r="HOV864" s="22" t="s">
        <v>16</v>
      </c>
      <c r="HOW864" s="22" t="s">
        <v>16</v>
      </c>
      <c r="HOX864" s="22" t="s">
        <v>16</v>
      </c>
      <c r="HOY864" s="22" t="s">
        <v>16</v>
      </c>
      <c r="HOZ864" s="22" t="s">
        <v>16</v>
      </c>
      <c r="HPA864" s="22" t="s">
        <v>16</v>
      </c>
      <c r="HPB864" s="22" t="s">
        <v>16</v>
      </c>
      <c r="HPC864" s="22" t="s">
        <v>16</v>
      </c>
      <c r="HPD864" s="22" t="s">
        <v>16</v>
      </c>
      <c r="HPE864" s="22" t="s">
        <v>16</v>
      </c>
      <c r="HPF864" s="22" t="s">
        <v>16</v>
      </c>
      <c r="HPG864" s="22" t="s">
        <v>16</v>
      </c>
      <c r="HPH864" s="22" t="s">
        <v>16</v>
      </c>
      <c r="HPI864" s="22" t="s">
        <v>16</v>
      </c>
      <c r="HPJ864" s="22" t="s">
        <v>16</v>
      </c>
      <c r="HPK864" s="22" t="s">
        <v>16</v>
      </c>
      <c r="HPL864" s="22" t="s">
        <v>16</v>
      </c>
      <c r="HPM864" s="22" t="s">
        <v>16</v>
      </c>
      <c r="HPN864" s="22" t="s">
        <v>16</v>
      </c>
      <c r="HPO864" s="22" t="s">
        <v>16</v>
      </c>
      <c r="HPP864" s="22" t="s">
        <v>16</v>
      </c>
      <c r="HPQ864" s="22" t="s">
        <v>16</v>
      </c>
      <c r="HPR864" s="22" t="s">
        <v>16</v>
      </c>
      <c r="HPS864" s="22" t="s">
        <v>16</v>
      </c>
      <c r="HPT864" s="22" t="s">
        <v>16</v>
      </c>
      <c r="HPU864" s="22" t="s">
        <v>16</v>
      </c>
      <c r="HPV864" s="22" t="s">
        <v>16</v>
      </c>
      <c r="HPW864" s="22" t="s">
        <v>16</v>
      </c>
      <c r="HPX864" s="22" t="s">
        <v>16</v>
      </c>
      <c r="HPY864" s="22" t="s">
        <v>16</v>
      </c>
      <c r="HPZ864" s="22" t="s">
        <v>16</v>
      </c>
      <c r="HQA864" s="22" t="s">
        <v>16</v>
      </c>
      <c r="HQB864" s="22" t="s">
        <v>16</v>
      </c>
      <c r="HQC864" s="22" t="s">
        <v>16</v>
      </c>
      <c r="HQD864" s="22" t="s">
        <v>16</v>
      </c>
      <c r="HQE864" s="22" t="s">
        <v>16</v>
      </c>
      <c r="HQF864" s="22" t="s">
        <v>16</v>
      </c>
      <c r="HQG864" s="22" t="s">
        <v>16</v>
      </c>
      <c r="HQH864" s="22" t="s">
        <v>16</v>
      </c>
      <c r="HQI864" s="22" t="s">
        <v>16</v>
      </c>
      <c r="HQJ864" s="22" t="s">
        <v>16</v>
      </c>
      <c r="HQK864" s="22" t="s">
        <v>16</v>
      </c>
      <c r="HQL864" s="22" t="s">
        <v>16</v>
      </c>
      <c r="HQM864" s="22" t="s">
        <v>16</v>
      </c>
      <c r="HQN864" s="22" t="s">
        <v>16</v>
      </c>
      <c r="HQO864" s="22" t="s">
        <v>16</v>
      </c>
      <c r="HQP864" s="22" t="s">
        <v>16</v>
      </c>
      <c r="HQQ864" s="22" t="s">
        <v>16</v>
      </c>
      <c r="HQR864" s="22" t="s">
        <v>16</v>
      </c>
      <c r="HQS864" s="22" t="s">
        <v>16</v>
      </c>
      <c r="HQT864" s="22" t="s">
        <v>16</v>
      </c>
      <c r="HQU864" s="22" t="s">
        <v>16</v>
      </c>
      <c r="HQV864" s="22" t="s">
        <v>16</v>
      </c>
      <c r="HQW864" s="22" t="s">
        <v>16</v>
      </c>
      <c r="HQX864" s="22" t="s">
        <v>16</v>
      </c>
      <c r="HQY864" s="22" t="s">
        <v>16</v>
      </c>
      <c r="HQZ864" s="22" t="s">
        <v>16</v>
      </c>
      <c r="HRA864" s="22" t="s">
        <v>16</v>
      </c>
      <c r="HRB864" s="22" t="s">
        <v>16</v>
      </c>
      <c r="HRC864" s="22" t="s">
        <v>16</v>
      </c>
      <c r="HRD864" s="22" t="s">
        <v>16</v>
      </c>
      <c r="HRE864" s="22" t="s">
        <v>16</v>
      </c>
      <c r="HRF864" s="22" t="s">
        <v>16</v>
      </c>
      <c r="HRG864" s="22" t="s">
        <v>16</v>
      </c>
      <c r="HRH864" s="22" t="s">
        <v>16</v>
      </c>
      <c r="HRI864" s="22" t="s">
        <v>16</v>
      </c>
      <c r="HRJ864" s="22" t="s">
        <v>16</v>
      </c>
      <c r="HRK864" s="22" t="s">
        <v>16</v>
      </c>
      <c r="HRL864" s="22" t="s">
        <v>16</v>
      </c>
      <c r="HRM864" s="22" t="s">
        <v>16</v>
      </c>
      <c r="HRN864" s="22" t="s">
        <v>16</v>
      </c>
      <c r="HRO864" s="22" t="s">
        <v>16</v>
      </c>
      <c r="HRP864" s="22" t="s">
        <v>16</v>
      </c>
      <c r="HRQ864" s="22" t="s">
        <v>16</v>
      </c>
      <c r="HRR864" s="22" t="s">
        <v>16</v>
      </c>
      <c r="HRS864" s="22" t="s">
        <v>16</v>
      </c>
      <c r="HRT864" s="22" t="s">
        <v>16</v>
      </c>
      <c r="HRU864" s="22" t="s">
        <v>16</v>
      </c>
      <c r="HRV864" s="22" t="s">
        <v>16</v>
      </c>
      <c r="HRW864" s="22" t="s">
        <v>16</v>
      </c>
      <c r="HRX864" s="22" t="s">
        <v>16</v>
      </c>
      <c r="HRY864" s="22" t="s">
        <v>16</v>
      </c>
      <c r="HRZ864" s="22" t="s">
        <v>16</v>
      </c>
      <c r="HSA864" s="22" t="s">
        <v>16</v>
      </c>
      <c r="HSB864" s="22" t="s">
        <v>16</v>
      </c>
      <c r="HSC864" s="22" t="s">
        <v>16</v>
      </c>
      <c r="HSD864" s="22" t="s">
        <v>16</v>
      </c>
      <c r="HSE864" s="22" t="s">
        <v>16</v>
      </c>
      <c r="HSF864" s="22" t="s">
        <v>16</v>
      </c>
      <c r="HSG864" s="22" t="s">
        <v>16</v>
      </c>
      <c r="HSH864" s="22" t="s">
        <v>16</v>
      </c>
      <c r="HSI864" s="22" t="s">
        <v>16</v>
      </c>
      <c r="HSJ864" s="22" t="s">
        <v>16</v>
      </c>
      <c r="HSK864" s="22" t="s">
        <v>16</v>
      </c>
      <c r="HSL864" s="22" t="s">
        <v>16</v>
      </c>
      <c r="HSM864" s="22" t="s">
        <v>16</v>
      </c>
      <c r="HSN864" s="22" t="s">
        <v>16</v>
      </c>
      <c r="HSO864" s="22" t="s">
        <v>16</v>
      </c>
      <c r="HSP864" s="22" t="s">
        <v>16</v>
      </c>
      <c r="HSQ864" s="22" t="s">
        <v>16</v>
      </c>
      <c r="HSR864" s="22" t="s">
        <v>16</v>
      </c>
      <c r="HSS864" s="22" t="s">
        <v>16</v>
      </c>
      <c r="HST864" s="22" t="s">
        <v>16</v>
      </c>
      <c r="HSU864" s="22" t="s">
        <v>16</v>
      </c>
      <c r="HSV864" s="22" t="s">
        <v>16</v>
      </c>
      <c r="HSW864" s="22" t="s">
        <v>16</v>
      </c>
      <c r="HSX864" s="22" t="s">
        <v>16</v>
      </c>
      <c r="HSY864" s="22" t="s">
        <v>16</v>
      </c>
      <c r="HSZ864" s="22" t="s">
        <v>16</v>
      </c>
      <c r="HTA864" s="22" t="s">
        <v>16</v>
      </c>
      <c r="HTB864" s="22" t="s">
        <v>16</v>
      </c>
      <c r="HTC864" s="22" t="s">
        <v>16</v>
      </c>
      <c r="HTD864" s="22" t="s">
        <v>16</v>
      </c>
      <c r="HTE864" s="22" t="s">
        <v>16</v>
      </c>
      <c r="HTF864" s="22" t="s">
        <v>16</v>
      </c>
      <c r="HTG864" s="22" t="s">
        <v>16</v>
      </c>
      <c r="HTH864" s="22" t="s">
        <v>16</v>
      </c>
      <c r="HTI864" s="22" t="s">
        <v>16</v>
      </c>
      <c r="HTJ864" s="22" t="s">
        <v>16</v>
      </c>
      <c r="HTK864" s="22" t="s">
        <v>16</v>
      </c>
      <c r="HTL864" s="22" t="s">
        <v>16</v>
      </c>
      <c r="HTM864" s="22" t="s">
        <v>16</v>
      </c>
      <c r="HTN864" s="22" t="s">
        <v>16</v>
      </c>
      <c r="HTO864" s="22" t="s">
        <v>16</v>
      </c>
      <c r="HTP864" s="22" t="s">
        <v>16</v>
      </c>
      <c r="HTQ864" s="22" t="s">
        <v>16</v>
      </c>
      <c r="HTR864" s="22" t="s">
        <v>16</v>
      </c>
      <c r="HTS864" s="22" t="s">
        <v>16</v>
      </c>
      <c r="HTT864" s="22" t="s">
        <v>16</v>
      </c>
      <c r="HTU864" s="22" t="s">
        <v>16</v>
      </c>
      <c r="HTV864" s="22" t="s">
        <v>16</v>
      </c>
      <c r="HTW864" s="22" t="s">
        <v>16</v>
      </c>
      <c r="HTX864" s="22" t="s">
        <v>16</v>
      </c>
      <c r="HTY864" s="22" t="s">
        <v>16</v>
      </c>
      <c r="HTZ864" s="22" t="s">
        <v>16</v>
      </c>
      <c r="HUA864" s="22" t="s">
        <v>16</v>
      </c>
      <c r="HUB864" s="22" t="s">
        <v>16</v>
      </c>
      <c r="HUC864" s="22" t="s">
        <v>16</v>
      </c>
      <c r="HUD864" s="22" t="s">
        <v>16</v>
      </c>
      <c r="HUE864" s="22" t="s">
        <v>16</v>
      </c>
      <c r="HUF864" s="22" t="s">
        <v>16</v>
      </c>
      <c r="HUG864" s="22" t="s">
        <v>16</v>
      </c>
      <c r="HUH864" s="22" t="s">
        <v>16</v>
      </c>
      <c r="HUI864" s="22" t="s">
        <v>16</v>
      </c>
      <c r="HUJ864" s="22" t="s">
        <v>16</v>
      </c>
      <c r="HUK864" s="22" t="s">
        <v>16</v>
      </c>
      <c r="HUL864" s="22" t="s">
        <v>16</v>
      </c>
      <c r="HUM864" s="22" t="s">
        <v>16</v>
      </c>
      <c r="HUN864" s="22" t="s">
        <v>16</v>
      </c>
      <c r="HUO864" s="22" t="s">
        <v>16</v>
      </c>
      <c r="HUP864" s="22" t="s">
        <v>16</v>
      </c>
      <c r="HUQ864" s="22" t="s">
        <v>16</v>
      </c>
      <c r="HUR864" s="22" t="s">
        <v>16</v>
      </c>
      <c r="HUS864" s="22" t="s">
        <v>16</v>
      </c>
      <c r="HUT864" s="22" t="s">
        <v>16</v>
      </c>
      <c r="HUU864" s="22" t="s">
        <v>16</v>
      </c>
      <c r="HUV864" s="22" t="s">
        <v>16</v>
      </c>
      <c r="HUW864" s="22" t="s">
        <v>16</v>
      </c>
      <c r="HUX864" s="22" t="s">
        <v>16</v>
      </c>
      <c r="HUY864" s="22" t="s">
        <v>16</v>
      </c>
      <c r="HUZ864" s="22" t="s">
        <v>16</v>
      </c>
      <c r="HVA864" s="22" t="s">
        <v>16</v>
      </c>
      <c r="HVB864" s="22" t="s">
        <v>16</v>
      </c>
      <c r="HVC864" s="22" t="s">
        <v>16</v>
      </c>
      <c r="HVD864" s="22" t="s">
        <v>16</v>
      </c>
      <c r="HVE864" s="22" t="s">
        <v>16</v>
      </c>
      <c r="HVF864" s="22" t="s">
        <v>16</v>
      </c>
      <c r="HVG864" s="22" t="s">
        <v>16</v>
      </c>
      <c r="HVH864" s="22" t="s">
        <v>16</v>
      </c>
      <c r="HVI864" s="22" t="s">
        <v>16</v>
      </c>
      <c r="HVJ864" s="22" t="s">
        <v>16</v>
      </c>
      <c r="HVK864" s="22" t="s">
        <v>16</v>
      </c>
      <c r="HVL864" s="22" t="s">
        <v>16</v>
      </c>
      <c r="HVM864" s="22" t="s">
        <v>16</v>
      </c>
      <c r="HVN864" s="22" t="s">
        <v>16</v>
      </c>
      <c r="HVO864" s="22" t="s">
        <v>16</v>
      </c>
      <c r="HVP864" s="22" t="s">
        <v>16</v>
      </c>
      <c r="HVQ864" s="22" t="s">
        <v>16</v>
      </c>
      <c r="HVR864" s="22" t="s">
        <v>16</v>
      </c>
      <c r="HVS864" s="22" t="s">
        <v>16</v>
      </c>
      <c r="HVT864" s="22" t="s">
        <v>16</v>
      </c>
      <c r="HVU864" s="22" t="s">
        <v>16</v>
      </c>
      <c r="HVV864" s="22" t="s">
        <v>16</v>
      </c>
      <c r="HVW864" s="22" t="s">
        <v>16</v>
      </c>
      <c r="HVX864" s="22" t="s">
        <v>16</v>
      </c>
      <c r="HVY864" s="22" t="s">
        <v>16</v>
      </c>
      <c r="HVZ864" s="22" t="s">
        <v>16</v>
      </c>
      <c r="HWA864" s="22" t="s">
        <v>16</v>
      </c>
      <c r="HWB864" s="22" t="s">
        <v>16</v>
      </c>
      <c r="HWC864" s="22" t="s">
        <v>16</v>
      </c>
      <c r="HWD864" s="22" t="s">
        <v>16</v>
      </c>
      <c r="HWE864" s="22" t="s">
        <v>16</v>
      </c>
      <c r="HWF864" s="22" t="s">
        <v>16</v>
      </c>
      <c r="HWG864" s="22" t="s">
        <v>16</v>
      </c>
      <c r="HWH864" s="22" t="s">
        <v>16</v>
      </c>
      <c r="HWI864" s="22" t="s">
        <v>16</v>
      </c>
      <c r="HWJ864" s="22" t="s">
        <v>16</v>
      </c>
      <c r="HWK864" s="22" t="s">
        <v>16</v>
      </c>
      <c r="HWL864" s="22" t="s">
        <v>16</v>
      </c>
      <c r="HWM864" s="22" t="s">
        <v>16</v>
      </c>
      <c r="HWN864" s="22" t="s">
        <v>16</v>
      </c>
      <c r="HWO864" s="22" t="s">
        <v>16</v>
      </c>
      <c r="HWP864" s="22" t="s">
        <v>16</v>
      </c>
      <c r="HWQ864" s="22" t="s">
        <v>16</v>
      </c>
      <c r="HWR864" s="22" t="s">
        <v>16</v>
      </c>
      <c r="HWS864" s="22" t="s">
        <v>16</v>
      </c>
      <c r="HWT864" s="22" t="s">
        <v>16</v>
      </c>
      <c r="HWU864" s="22" t="s">
        <v>16</v>
      </c>
      <c r="HWV864" s="22" t="s">
        <v>16</v>
      </c>
      <c r="HWW864" s="22" t="s">
        <v>16</v>
      </c>
      <c r="HWX864" s="22" t="s">
        <v>16</v>
      </c>
      <c r="HWY864" s="22" t="s">
        <v>16</v>
      </c>
      <c r="HWZ864" s="22" t="s">
        <v>16</v>
      </c>
      <c r="HXA864" s="22" t="s">
        <v>16</v>
      </c>
      <c r="HXB864" s="22" t="s">
        <v>16</v>
      </c>
      <c r="HXC864" s="22" t="s">
        <v>16</v>
      </c>
      <c r="HXD864" s="22" t="s">
        <v>16</v>
      </c>
      <c r="HXE864" s="22" t="s">
        <v>16</v>
      </c>
      <c r="HXF864" s="22" t="s">
        <v>16</v>
      </c>
      <c r="HXG864" s="22" t="s">
        <v>16</v>
      </c>
      <c r="HXH864" s="22" t="s">
        <v>16</v>
      </c>
      <c r="HXI864" s="22" t="s">
        <v>16</v>
      </c>
      <c r="HXJ864" s="22" t="s">
        <v>16</v>
      </c>
      <c r="HXK864" s="22" t="s">
        <v>16</v>
      </c>
      <c r="HXL864" s="22" t="s">
        <v>16</v>
      </c>
      <c r="HXM864" s="22" t="s">
        <v>16</v>
      </c>
      <c r="HXN864" s="22" t="s">
        <v>16</v>
      </c>
      <c r="HXO864" s="22" t="s">
        <v>16</v>
      </c>
      <c r="HXP864" s="22" t="s">
        <v>16</v>
      </c>
      <c r="HXQ864" s="22" t="s">
        <v>16</v>
      </c>
      <c r="HXR864" s="22" t="s">
        <v>16</v>
      </c>
      <c r="HXS864" s="22" t="s">
        <v>16</v>
      </c>
      <c r="HXT864" s="22" t="s">
        <v>16</v>
      </c>
      <c r="HXU864" s="22" t="s">
        <v>16</v>
      </c>
      <c r="HXV864" s="22" t="s">
        <v>16</v>
      </c>
      <c r="HXW864" s="22" t="s">
        <v>16</v>
      </c>
      <c r="HXX864" s="22" t="s">
        <v>16</v>
      </c>
      <c r="HXY864" s="22" t="s">
        <v>16</v>
      </c>
      <c r="HXZ864" s="22" t="s">
        <v>16</v>
      </c>
      <c r="HYA864" s="22" t="s">
        <v>16</v>
      </c>
      <c r="HYB864" s="22" t="s">
        <v>16</v>
      </c>
      <c r="HYC864" s="22" t="s">
        <v>16</v>
      </c>
      <c r="HYD864" s="22" t="s">
        <v>16</v>
      </c>
      <c r="HYE864" s="22" t="s">
        <v>16</v>
      </c>
      <c r="HYF864" s="22" t="s">
        <v>16</v>
      </c>
      <c r="HYG864" s="22" t="s">
        <v>16</v>
      </c>
      <c r="HYH864" s="22" t="s">
        <v>16</v>
      </c>
      <c r="HYI864" s="22" t="s">
        <v>16</v>
      </c>
      <c r="HYJ864" s="22" t="s">
        <v>16</v>
      </c>
      <c r="HYK864" s="22" t="s">
        <v>16</v>
      </c>
      <c r="HYL864" s="22" t="s">
        <v>16</v>
      </c>
      <c r="HYM864" s="22" t="s">
        <v>16</v>
      </c>
      <c r="HYN864" s="22" t="s">
        <v>16</v>
      </c>
      <c r="HYO864" s="22" t="s">
        <v>16</v>
      </c>
      <c r="HYP864" s="22" t="s">
        <v>16</v>
      </c>
      <c r="HYQ864" s="22" t="s">
        <v>16</v>
      </c>
      <c r="HYR864" s="22" t="s">
        <v>16</v>
      </c>
      <c r="HYS864" s="22" t="s">
        <v>16</v>
      </c>
      <c r="HYT864" s="22" t="s">
        <v>16</v>
      </c>
      <c r="HYU864" s="22" t="s">
        <v>16</v>
      </c>
      <c r="HYV864" s="22" t="s">
        <v>16</v>
      </c>
      <c r="HYW864" s="22" t="s">
        <v>16</v>
      </c>
      <c r="HYX864" s="22" t="s">
        <v>16</v>
      </c>
      <c r="HYY864" s="22" t="s">
        <v>16</v>
      </c>
      <c r="HYZ864" s="22" t="s">
        <v>16</v>
      </c>
      <c r="HZA864" s="22" t="s">
        <v>16</v>
      </c>
      <c r="HZB864" s="22" t="s">
        <v>16</v>
      </c>
      <c r="HZC864" s="22" t="s">
        <v>16</v>
      </c>
      <c r="HZD864" s="22" t="s">
        <v>16</v>
      </c>
      <c r="HZE864" s="22" t="s">
        <v>16</v>
      </c>
      <c r="HZF864" s="22" t="s">
        <v>16</v>
      </c>
      <c r="HZG864" s="22" t="s">
        <v>16</v>
      </c>
      <c r="HZH864" s="22" t="s">
        <v>16</v>
      </c>
      <c r="HZI864" s="22" t="s">
        <v>16</v>
      </c>
      <c r="HZJ864" s="22" t="s">
        <v>16</v>
      </c>
      <c r="HZK864" s="22" t="s">
        <v>16</v>
      </c>
      <c r="HZL864" s="22" t="s">
        <v>16</v>
      </c>
      <c r="HZM864" s="22" t="s">
        <v>16</v>
      </c>
      <c r="HZN864" s="22" t="s">
        <v>16</v>
      </c>
      <c r="HZO864" s="22" t="s">
        <v>16</v>
      </c>
      <c r="HZP864" s="22" t="s">
        <v>16</v>
      </c>
      <c r="HZQ864" s="22" t="s">
        <v>16</v>
      </c>
      <c r="HZR864" s="22" t="s">
        <v>16</v>
      </c>
      <c r="HZS864" s="22" t="s">
        <v>16</v>
      </c>
      <c r="HZT864" s="22" t="s">
        <v>16</v>
      </c>
      <c r="HZU864" s="22" t="s">
        <v>16</v>
      </c>
      <c r="HZV864" s="22" t="s">
        <v>16</v>
      </c>
      <c r="HZW864" s="22" t="s">
        <v>16</v>
      </c>
      <c r="HZX864" s="22" t="s">
        <v>16</v>
      </c>
      <c r="HZY864" s="22" t="s">
        <v>16</v>
      </c>
      <c r="HZZ864" s="22" t="s">
        <v>16</v>
      </c>
      <c r="IAA864" s="22" t="s">
        <v>16</v>
      </c>
      <c r="IAB864" s="22" t="s">
        <v>16</v>
      </c>
      <c r="IAC864" s="22" t="s">
        <v>16</v>
      </c>
      <c r="IAD864" s="22" t="s">
        <v>16</v>
      </c>
      <c r="IAE864" s="22" t="s">
        <v>16</v>
      </c>
      <c r="IAF864" s="22" t="s">
        <v>16</v>
      </c>
      <c r="IAG864" s="22" t="s">
        <v>16</v>
      </c>
      <c r="IAH864" s="22" t="s">
        <v>16</v>
      </c>
      <c r="IAI864" s="22" t="s">
        <v>16</v>
      </c>
      <c r="IAJ864" s="22" t="s">
        <v>16</v>
      </c>
      <c r="IAK864" s="22" t="s">
        <v>16</v>
      </c>
      <c r="IAL864" s="22" t="s">
        <v>16</v>
      </c>
      <c r="IAM864" s="22" t="s">
        <v>16</v>
      </c>
      <c r="IAN864" s="22" t="s">
        <v>16</v>
      </c>
      <c r="IAO864" s="22" t="s">
        <v>16</v>
      </c>
      <c r="IAP864" s="22" t="s">
        <v>16</v>
      </c>
      <c r="IAQ864" s="22" t="s">
        <v>16</v>
      </c>
      <c r="IAR864" s="22" t="s">
        <v>16</v>
      </c>
      <c r="IAS864" s="22" t="s">
        <v>16</v>
      </c>
      <c r="IAT864" s="22" t="s">
        <v>16</v>
      </c>
      <c r="IAU864" s="22" t="s">
        <v>16</v>
      </c>
      <c r="IAV864" s="22" t="s">
        <v>16</v>
      </c>
      <c r="IAW864" s="22" t="s">
        <v>16</v>
      </c>
      <c r="IAX864" s="22" t="s">
        <v>16</v>
      </c>
      <c r="IAY864" s="22" t="s">
        <v>16</v>
      </c>
      <c r="IAZ864" s="22" t="s">
        <v>16</v>
      </c>
      <c r="IBA864" s="22" t="s">
        <v>16</v>
      </c>
      <c r="IBB864" s="22" t="s">
        <v>16</v>
      </c>
      <c r="IBC864" s="22" t="s">
        <v>16</v>
      </c>
      <c r="IBD864" s="22" t="s">
        <v>16</v>
      </c>
      <c r="IBE864" s="22" t="s">
        <v>16</v>
      </c>
      <c r="IBF864" s="22" t="s">
        <v>16</v>
      </c>
      <c r="IBG864" s="22" t="s">
        <v>16</v>
      </c>
      <c r="IBH864" s="22" t="s">
        <v>16</v>
      </c>
      <c r="IBI864" s="22" t="s">
        <v>16</v>
      </c>
      <c r="IBJ864" s="22" t="s">
        <v>16</v>
      </c>
      <c r="IBK864" s="22" t="s">
        <v>16</v>
      </c>
      <c r="IBL864" s="22" t="s">
        <v>16</v>
      </c>
      <c r="IBM864" s="22" t="s">
        <v>16</v>
      </c>
      <c r="IBN864" s="22" t="s">
        <v>16</v>
      </c>
      <c r="IBO864" s="22" t="s">
        <v>16</v>
      </c>
      <c r="IBP864" s="22" t="s">
        <v>16</v>
      </c>
      <c r="IBQ864" s="22" t="s">
        <v>16</v>
      </c>
      <c r="IBR864" s="22" t="s">
        <v>16</v>
      </c>
      <c r="IBS864" s="22" t="s">
        <v>16</v>
      </c>
      <c r="IBT864" s="22" t="s">
        <v>16</v>
      </c>
      <c r="IBU864" s="22" t="s">
        <v>16</v>
      </c>
      <c r="IBV864" s="22" t="s">
        <v>16</v>
      </c>
      <c r="IBW864" s="22" t="s">
        <v>16</v>
      </c>
      <c r="IBX864" s="22" t="s">
        <v>16</v>
      </c>
      <c r="IBY864" s="22" t="s">
        <v>16</v>
      </c>
      <c r="IBZ864" s="22" t="s">
        <v>16</v>
      </c>
      <c r="ICA864" s="22" t="s">
        <v>16</v>
      </c>
      <c r="ICB864" s="22" t="s">
        <v>16</v>
      </c>
      <c r="ICC864" s="22" t="s">
        <v>16</v>
      </c>
      <c r="ICD864" s="22" t="s">
        <v>16</v>
      </c>
      <c r="ICE864" s="22" t="s">
        <v>16</v>
      </c>
      <c r="ICF864" s="22" t="s">
        <v>16</v>
      </c>
      <c r="ICG864" s="22" t="s">
        <v>16</v>
      </c>
      <c r="ICH864" s="22" t="s">
        <v>16</v>
      </c>
      <c r="ICI864" s="22" t="s">
        <v>16</v>
      </c>
      <c r="ICJ864" s="22" t="s">
        <v>16</v>
      </c>
      <c r="ICK864" s="22" t="s">
        <v>16</v>
      </c>
      <c r="ICL864" s="22" t="s">
        <v>16</v>
      </c>
      <c r="ICM864" s="22" t="s">
        <v>16</v>
      </c>
      <c r="ICN864" s="22" t="s">
        <v>16</v>
      </c>
      <c r="ICO864" s="22" t="s">
        <v>16</v>
      </c>
      <c r="ICP864" s="22" t="s">
        <v>16</v>
      </c>
      <c r="ICQ864" s="22" t="s">
        <v>16</v>
      </c>
      <c r="ICR864" s="22" t="s">
        <v>16</v>
      </c>
      <c r="ICS864" s="22" t="s">
        <v>16</v>
      </c>
      <c r="ICT864" s="22" t="s">
        <v>16</v>
      </c>
      <c r="ICU864" s="22" t="s">
        <v>16</v>
      </c>
      <c r="ICV864" s="22" t="s">
        <v>16</v>
      </c>
      <c r="ICW864" s="22" t="s">
        <v>16</v>
      </c>
      <c r="ICX864" s="22" t="s">
        <v>16</v>
      </c>
      <c r="ICY864" s="22" t="s">
        <v>16</v>
      </c>
      <c r="ICZ864" s="22" t="s">
        <v>16</v>
      </c>
      <c r="IDA864" s="22" t="s">
        <v>16</v>
      </c>
      <c r="IDB864" s="22" t="s">
        <v>16</v>
      </c>
      <c r="IDC864" s="22" t="s">
        <v>16</v>
      </c>
      <c r="IDD864" s="22" t="s">
        <v>16</v>
      </c>
      <c r="IDE864" s="22" t="s">
        <v>16</v>
      </c>
      <c r="IDF864" s="22" t="s">
        <v>16</v>
      </c>
      <c r="IDG864" s="22" t="s">
        <v>16</v>
      </c>
      <c r="IDH864" s="22" t="s">
        <v>16</v>
      </c>
      <c r="IDI864" s="22" t="s">
        <v>16</v>
      </c>
      <c r="IDJ864" s="22" t="s">
        <v>16</v>
      </c>
      <c r="IDK864" s="22" t="s">
        <v>16</v>
      </c>
      <c r="IDL864" s="22" t="s">
        <v>16</v>
      </c>
      <c r="IDM864" s="22" t="s">
        <v>16</v>
      </c>
      <c r="IDN864" s="22" t="s">
        <v>16</v>
      </c>
      <c r="IDO864" s="22" t="s">
        <v>16</v>
      </c>
      <c r="IDP864" s="22" t="s">
        <v>16</v>
      </c>
      <c r="IDQ864" s="22" t="s">
        <v>16</v>
      </c>
      <c r="IDR864" s="22" t="s">
        <v>16</v>
      </c>
      <c r="IDS864" s="22" t="s">
        <v>16</v>
      </c>
      <c r="IDT864" s="22" t="s">
        <v>16</v>
      </c>
      <c r="IDU864" s="22" t="s">
        <v>16</v>
      </c>
      <c r="IDV864" s="22" t="s">
        <v>16</v>
      </c>
      <c r="IDW864" s="22" t="s">
        <v>16</v>
      </c>
      <c r="IDX864" s="22" t="s">
        <v>16</v>
      </c>
      <c r="IDY864" s="22" t="s">
        <v>16</v>
      </c>
      <c r="IDZ864" s="22" t="s">
        <v>16</v>
      </c>
      <c r="IEA864" s="22" t="s">
        <v>16</v>
      </c>
      <c r="IEB864" s="22" t="s">
        <v>16</v>
      </c>
      <c r="IEC864" s="22" t="s">
        <v>16</v>
      </c>
      <c r="IED864" s="22" t="s">
        <v>16</v>
      </c>
      <c r="IEE864" s="22" t="s">
        <v>16</v>
      </c>
      <c r="IEF864" s="22" t="s">
        <v>16</v>
      </c>
      <c r="IEG864" s="22" t="s">
        <v>16</v>
      </c>
      <c r="IEH864" s="22" t="s">
        <v>16</v>
      </c>
      <c r="IEI864" s="22" t="s">
        <v>16</v>
      </c>
      <c r="IEJ864" s="22" t="s">
        <v>16</v>
      </c>
      <c r="IEK864" s="22" t="s">
        <v>16</v>
      </c>
      <c r="IEL864" s="22" t="s">
        <v>16</v>
      </c>
      <c r="IEM864" s="22" t="s">
        <v>16</v>
      </c>
      <c r="IEN864" s="22" t="s">
        <v>16</v>
      </c>
      <c r="IEO864" s="22" t="s">
        <v>16</v>
      </c>
      <c r="IEP864" s="22" t="s">
        <v>16</v>
      </c>
      <c r="IEQ864" s="22" t="s">
        <v>16</v>
      </c>
      <c r="IER864" s="22" t="s">
        <v>16</v>
      </c>
      <c r="IES864" s="22" t="s">
        <v>16</v>
      </c>
      <c r="IET864" s="22" t="s">
        <v>16</v>
      </c>
      <c r="IEU864" s="22" t="s">
        <v>16</v>
      </c>
      <c r="IEV864" s="22" t="s">
        <v>16</v>
      </c>
      <c r="IEW864" s="22" t="s">
        <v>16</v>
      </c>
      <c r="IEX864" s="22" t="s">
        <v>16</v>
      </c>
      <c r="IEY864" s="22" t="s">
        <v>16</v>
      </c>
      <c r="IEZ864" s="22" t="s">
        <v>16</v>
      </c>
      <c r="IFA864" s="22" t="s">
        <v>16</v>
      </c>
      <c r="IFB864" s="22" t="s">
        <v>16</v>
      </c>
      <c r="IFC864" s="22" t="s">
        <v>16</v>
      </c>
      <c r="IFD864" s="22" t="s">
        <v>16</v>
      </c>
      <c r="IFE864" s="22" t="s">
        <v>16</v>
      </c>
      <c r="IFF864" s="22" t="s">
        <v>16</v>
      </c>
      <c r="IFG864" s="22" t="s">
        <v>16</v>
      </c>
      <c r="IFH864" s="22" t="s">
        <v>16</v>
      </c>
      <c r="IFI864" s="22" t="s">
        <v>16</v>
      </c>
      <c r="IFJ864" s="22" t="s">
        <v>16</v>
      </c>
      <c r="IFK864" s="22" t="s">
        <v>16</v>
      </c>
      <c r="IFL864" s="22" t="s">
        <v>16</v>
      </c>
      <c r="IFM864" s="22" t="s">
        <v>16</v>
      </c>
      <c r="IFN864" s="22" t="s">
        <v>16</v>
      </c>
      <c r="IFO864" s="22" t="s">
        <v>16</v>
      </c>
      <c r="IFP864" s="22" t="s">
        <v>16</v>
      </c>
      <c r="IFQ864" s="22" t="s">
        <v>16</v>
      </c>
      <c r="IFR864" s="22" t="s">
        <v>16</v>
      </c>
      <c r="IFS864" s="22" t="s">
        <v>16</v>
      </c>
      <c r="IFT864" s="22" t="s">
        <v>16</v>
      </c>
      <c r="IFU864" s="22" t="s">
        <v>16</v>
      </c>
      <c r="IFV864" s="22" t="s">
        <v>16</v>
      </c>
      <c r="IFW864" s="22" t="s">
        <v>16</v>
      </c>
      <c r="IFX864" s="22" t="s">
        <v>16</v>
      </c>
      <c r="IFY864" s="22" t="s">
        <v>16</v>
      </c>
      <c r="IFZ864" s="22" t="s">
        <v>16</v>
      </c>
      <c r="IGA864" s="22" t="s">
        <v>16</v>
      </c>
      <c r="IGB864" s="22" t="s">
        <v>16</v>
      </c>
      <c r="IGC864" s="22" t="s">
        <v>16</v>
      </c>
      <c r="IGD864" s="22" t="s">
        <v>16</v>
      </c>
      <c r="IGE864" s="22" t="s">
        <v>16</v>
      </c>
      <c r="IGF864" s="22" t="s">
        <v>16</v>
      </c>
      <c r="IGG864" s="22" t="s">
        <v>16</v>
      </c>
      <c r="IGH864" s="22" t="s">
        <v>16</v>
      </c>
      <c r="IGI864" s="22" t="s">
        <v>16</v>
      </c>
      <c r="IGJ864" s="22" t="s">
        <v>16</v>
      </c>
      <c r="IGK864" s="22" t="s">
        <v>16</v>
      </c>
      <c r="IGL864" s="22" t="s">
        <v>16</v>
      </c>
      <c r="IGM864" s="22" t="s">
        <v>16</v>
      </c>
      <c r="IGN864" s="22" t="s">
        <v>16</v>
      </c>
      <c r="IGO864" s="22" t="s">
        <v>16</v>
      </c>
      <c r="IGP864" s="22" t="s">
        <v>16</v>
      </c>
      <c r="IGQ864" s="22" t="s">
        <v>16</v>
      </c>
      <c r="IGR864" s="22" t="s">
        <v>16</v>
      </c>
      <c r="IGS864" s="22" t="s">
        <v>16</v>
      </c>
      <c r="IGT864" s="22" t="s">
        <v>16</v>
      </c>
      <c r="IGU864" s="22" t="s">
        <v>16</v>
      </c>
      <c r="IGV864" s="22" t="s">
        <v>16</v>
      </c>
      <c r="IGW864" s="22" t="s">
        <v>16</v>
      </c>
      <c r="IGX864" s="22" t="s">
        <v>16</v>
      </c>
      <c r="IGY864" s="22" t="s">
        <v>16</v>
      </c>
      <c r="IGZ864" s="22" t="s">
        <v>16</v>
      </c>
      <c r="IHA864" s="22" t="s">
        <v>16</v>
      </c>
      <c r="IHB864" s="22" t="s">
        <v>16</v>
      </c>
      <c r="IHC864" s="22" t="s">
        <v>16</v>
      </c>
      <c r="IHD864" s="22" t="s">
        <v>16</v>
      </c>
      <c r="IHE864" s="22" t="s">
        <v>16</v>
      </c>
      <c r="IHF864" s="22" t="s">
        <v>16</v>
      </c>
      <c r="IHG864" s="22" t="s">
        <v>16</v>
      </c>
      <c r="IHH864" s="22" t="s">
        <v>16</v>
      </c>
      <c r="IHI864" s="22" t="s">
        <v>16</v>
      </c>
      <c r="IHJ864" s="22" t="s">
        <v>16</v>
      </c>
      <c r="IHK864" s="22" t="s">
        <v>16</v>
      </c>
      <c r="IHL864" s="22" t="s">
        <v>16</v>
      </c>
      <c r="IHM864" s="22" t="s">
        <v>16</v>
      </c>
      <c r="IHN864" s="22" t="s">
        <v>16</v>
      </c>
      <c r="IHO864" s="22" t="s">
        <v>16</v>
      </c>
      <c r="IHP864" s="22" t="s">
        <v>16</v>
      </c>
      <c r="IHQ864" s="22" t="s">
        <v>16</v>
      </c>
      <c r="IHR864" s="22" t="s">
        <v>16</v>
      </c>
      <c r="IHS864" s="22" t="s">
        <v>16</v>
      </c>
      <c r="IHT864" s="22" t="s">
        <v>16</v>
      </c>
      <c r="IHU864" s="22" t="s">
        <v>16</v>
      </c>
      <c r="IHV864" s="22" t="s">
        <v>16</v>
      </c>
      <c r="IHW864" s="22" t="s">
        <v>16</v>
      </c>
      <c r="IHX864" s="22" t="s">
        <v>16</v>
      </c>
      <c r="IHY864" s="22" t="s">
        <v>16</v>
      </c>
      <c r="IHZ864" s="22" t="s">
        <v>16</v>
      </c>
      <c r="IIA864" s="22" t="s">
        <v>16</v>
      </c>
      <c r="IIB864" s="22" t="s">
        <v>16</v>
      </c>
      <c r="IIC864" s="22" t="s">
        <v>16</v>
      </c>
      <c r="IID864" s="22" t="s">
        <v>16</v>
      </c>
      <c r="IIE864" s="22" t="s">
        <v>16</v>
      </c>
      <c r="IIF864" s="22" t="s">
        <v>16</v>
      </c>
      <c r="IIG864" s="22" t="s">
        <v>16</v>
      </c>
      <c r="IIH864" s="22" t="s">
        <v>16</v>
      </c>
      <c r="III864" s="22" t="s">
        <v>16</v>
      </c>
      <c r="IIJ864" s="22" t="s">
        <v>16</v>
      </c>
      <c r="IIK864" s="22" t="s">
        <v>16</v>
      </c>
      <c r="IIL864" s="22" t="s">
        <v>16</v>
      </c>
      <c r="IIM864" s="22" t="s">
        <v>16</v>
      </c>
      <c r="IIN864" s="22" t="s">
        <v>16</v>
      </c>
      <c r="IIO864" s="22" t="s">
        <v>16</v>
      </c>
      <c r="IIP864" s="22" t="s">
        <v>16</v>
      </c>
      <c r="IIQ864" s="22" t="s">
        <v>16</v>
      </c>
      <c r="IIR864" s="22" t="s">
        <v>16</v>
      </c>
      <c r="IIS864" s="22" t="s">
        <v>16</v>
      </c>
      <c r="IIT864" s="22" t="s">
        <v>16</v>
      </c>
      <c r="IIU864" s="22" t="s">
        <v>16</v>
      </c>
      <c r="IIV864" s="22" t="s">
        <v>16</v>
      </c>
      <c r="IIW864" s="22" t="s">
        <v>16</v>
      </c>
      <c r="IIX864" s="22" t="s">
        <v>16</v>
      </c>
      <c r="IIY864" s="22" t="s">
        <v>16</v>
      </c>
      <c r="IIZ864" s="22" t="s">
        <v>16</v>
      </c>
      <c r="IJA864" s="22" t="s">
        <v>16</v>
      </c>
      <c r="IJB864" s="22" t="s">
        <v>16</v>
      </c>
      <c r="IJC864" s="22" t="s">
        <v>16</v>
      </c>
      <c r="IJD864" s="22" t="s">
        <v>16</v>
      </c>
      <c r="IJE864" s="22" t="s">
        <v>16</v>
      </c>
      <c r="IJF864" s="22" t="s">
        <v>16</v>
      </c>
      <c r="IJG864" s="22" t="s">
        <v>16</v>
      </c>
      <c r="IJH864" s="22" t="s">
        <v>16</v>
      </c>
      <c r="IJI864" s="22" t="s">
        <v>16</v>
      </c>
      <c r="IJJ864" s="22" t="s">
        <v>16</v>
      </c>
      <c r="IJK864" s="22" t="s">
        <v>16</v>
      </c>
      <c r="IJL864" s="22" t="s">
        <v>16</v>
      </c>
      <c r="IJM864" s="22" t="s">
        <v>16</v>
      </c>
      <c r="IJN864" s="22" t="s">
        <v>16</v>
      </c>
      <c r="IJO864" s="22" t="s">
        <v>16</v>
      </c>
      <c r="IJP864" s="22" t="s">
        <v>16</v>
      </c>
      <c r="IJQ864" s="22" t="s">
        <v>16</v>
      </c>
      <c r="IJR864" s="22" t="s">
        <v>16</v>
      </c>
      <c r="IJS864" s="22" t="s">
        <v>16</v>
      </c>
      <c r="IJT864" s="22" t="s">
        <v>16</v>
      </c>
      <c r="IJU864" s="22" t="s">
        <v>16</v>
      </c>
      <c r="IJV864" s="22" t="s">
        <v>16</v>
      </c>
      <c r="IJW864" s="22" t="s">
        <v>16</v>
      </c>
      <c r="IJX864" s="22" t="s">
        <v>16</v>
      </c>
      <c r="IJY864" s="22" t="s">
        <v>16</v>
      </c>
      <c r="IJZ864" s="22" t="s">
        <v>16</v>
      </c>
      <c r="IKA864" s="22" t="s">
        <v>16</v>
      </c>
      <c r="IKB864" s="22" t="s">
        <v>16</v>
      </c>
      <c r="IKC864" s="22" t="s">
        <v>16</v>
      </c>
      <c r="IKD864" s="22" t="s">
        <v>16</v>
      </c>
      <c r="IKE864" s="22" t="s">
        <v>16</v>
      </c>
      <c r="IKF864" s="22" t="s">
        <v>16</v>
      </c>
      <c r="IKG864" s="22" t="s">
        <v>16</v>
      </c>
      <c r="IKH864" s="22" t="s">
        <v>16</v>
      </c>
      <c r="IKI864" s="22" t="s">
        <v>16</v>
      </c>
      <c r="IKJ864" s="22" t="s">
        <v>16</v>
      </c>
      <c r="IKK864" s="22" t="s">
        <v>16</v>
      </c>
      <c r="IKL864" s="22" t="s">
        <v>16</v>
      </c>
      <c r="IKM864" s="22" t="s">
        <v>16</v>
      </c>
      <c r="IKN864" s="22" t="s">
        <v>16</v>
      </c>
      <c r="IKO864" s="22" t="s">
        <v>16</v>
      </c>
      <c r="IKP864" s="22" t="s">
        <v>16</v>
      </c>
      <c r="IKQ864" s="22" t="s">
        <v>16</v>
      </c>
      <c r="IKR864" s="22" t="s">
        <v>16</v>
      </c>
      <c r="IKS864" s="22" t="s">
        <v>16</v>
      </c>
      <c r="IKT864" s="22" t="s">
        <v>16</v>
      </c>
      <c r="IKU864" s="22" t="s">
        <v>16</v>
      </c>
      <c r="IKV864" s="22" t="s">
        <v>16</v>
      </c>
      <c r="IKW864" s="22" t="s">
        <v>16</v>
      </c>
      <c r="IKX864" s="22" t="s">
        <v>16</v>
      </c>
      <c r="IKY864" s="22" t="s">
        <v>16</v>
      </c>
      <c r="IKZ864" s="22" t="s">
        <v>16</v>
      </c>
      <c r="ILA864" s="22" t="s">
        <v>16</v>
      </c>
      <c r="ILB864" s="22" t="s">
        <v>16</v>
      </c>
      <c r="ILC864" s="22" t="s">
        <v>16</v>
      </c>
      <c r="ILD864" s="22" t="s">
        <v>16</v>
      </c>
      <c r="ILE864" s="22" t="s">
        <v>16</v>
      </c>
      <c r="ILF864" s="22" t="s">
        <v>16</v>
      </c>
      <c r="ILG864" s="22" t="s">
        <v>16</v>
      </c>
      <c r="ILH864" s="22" t="s">
        <v>16</v>
      </c>
      <c r="ILI864" s="22" t="s">
        <v>16</v>
      </c>
      <c r="ILJ864" s="22" t="s">
        <v>16</v>
      </c>
      <c r="ILK864" s="22" t="s">
        <v>16</v>
      </c>
      <c r="ILL864" s="22" t="s">
        <v>16</v>
      </c>
      <c r="ILM864" s="22" t="s">
        <v>16</v>
      </c>
      <c r="ILN864" s="22" t="s">
        <v>16</v>
      </c>
      <c r="ILO864" s="22" t="s">
        <v>16</v>
      </c>
      <c r="ILP864" s="22" t="s">
        <v>16</v>
      </c>
      <c r="ILQ864" s="22" t="s">
        <v>16</v>
      </c>
      <c r="ILR864" s="22" t="s">
        <v>16</v>
      </c>
      <c r="ILS864" s="22" t="s">
        <v>16</v>
      </c>
      <c r="ILT864" s="22" t="s">
        <v>16</v>
      </c>
      <c r="ILU864" s="22" t="s">
        <v>16</v>
      </c>
      <c r="ILV864" s="22" t="s">
        <v>16</v>
      </c>
      <c r="ILW864" s="22" t="s">
        <v>16</v>
      </c>
      <c r="ILX864" s="22" t="s">
        <v>16</v>
      </c>
      <c r="ILY864" s="22" t="s">
        <v>16</v>
      </c>
      <c r="ILZ864" s="22" t="s">
        <v>16</v>
      </c>
      <c r="IMA864" s="22" t="s">
        <v>16</v>
      </c>
      <c r="IMB864" s="22" t="s">
        <v>16</v>
      </c>
      <c r="IMC864" s="22" t="s">
        <v>16</v>
      </c>
      <c r="IMD864" s="22" t="s">
        <v>16</v>
      </c>
      <c r="IME864" s="22" t="s">
        <v>16</v>
      </c>
      <c r="IMF864" s="22" t="s">
        <v>16</v>
      </c>
      <c r="IMG864" s="22" t="s">
        <v>16</v>
      </c>
      <c r="IMH864" s="22" t="s">
        <v>16</v>
      </c>
      <c r="IMI864" s="22" t="s">
        <v>16</v>
      </c>
      <c r="IMJ864" s="22" t="s">
        <v>16</v>
      </c>
      <c r="IMK864" s="22" t="s">
        <v>16</v>
      </c>
      <c r="IML864" s="22" t="s">
        <v>16</v>
      </c>
      <c r="IMM864" s="22" t="s">
        <v>16</v>
      </c>
      <c r="IMN864" s="22" t="s">
        <v>16</v>
      </c>
      <c r="IMO864" s="22" t="s">
        <v>16</v>
      </c>
      <c r="IMP864" s="22" t="s">
        <v>16</v>
      </c>
      <c r="IMQ864" s="22" t="s">
        <v>16</v>
      </c>
      <c r="IMR864" s="22" t="s">
        <v>16</v>
      </c>
      <c r="IMS864" s="22" t="s">
        <v>16</v>
      </c>
      <c r="IMT864" s="22" t="s">
        <v>16</v>
      </c>
      <c r="IMU864" s="22" t="s">
        <v>16</v>
      </c>
      <c r="IMV864" s="22" t="s">
        <v>16</v>
      </c>
      <c r="IMW864" s="22" t="s">
        <v>16</v>
      </c>
      <c r="IMX864" s="22" t="s">
        <v>16</v>
      </c>
      <c r="IMY864" s="22" t="s">
        <v>16</v>
      </c>
      <c r="IMZ864" s="22" t="s">
        <v>16</v>
      </c>
      <c r="INA864" s="22" t="s">
        <v>16</v>
      </c>
      <c r="INB864" s="22" t="s">
        <v>16</v>
      </c>
      <c r="INC864" s="22" t="s">
        <v>16</v>
      </c>
      <c r="IND864" s="22" t="s">
        <v>16</v>
      </c>
      <c r="INE864" s="22" t="s">
        <v>16</v>
      </c>
      <c r="INF864" s="22" t="s">
        <v>16</v>
      </c>
      <c r="ING864" s="22" t="s">
        <v>16</v>
      </c>
      <c r="INH864" s="22" t="s">
        <v>16</v>
      </c>
      <c r="INI864" s="22" t="s">
        <v>16</v>
      </c>
      <c r="INJ864" s="22" t="s">
        <v>16</v>
      </c>
      <c r="INK864" s="22" t="s">
        <v>16</v>
      </c>
      <c r="INL864" s="22" t="s">
        <v>16</v>
      </c>
      <c r="INM864" s="22" t="s">
        <v>16</v>
      </c>
      <c r="INN864" s="22" t="s">
        <v>16</v>
      </c>
      <c r="INO864" s="22" t="s">
        <v>16</v>
      </c>
      <c r="INP864" s="22" t="s">
        <v>16</v>
      </c>
      <c r="INQ864" s="22" t="s">
        <v>16</v>
      </c>
      <c r="INR864" s="22" t="s">
        <v>16</v>
      </c>
      <c r="INS864" s="22" t="s">
        <v>16</v>
      </c>
      <c r="INT864" s="22" t="s">
        <v>16</v>
      </c>
      <c r="INU864" s="22" t="s">
        <v>16</v>
      </c>
      <c r="INV864" s="22" t="s">
        <v>16</v>
      </c>
      <c r="INW864" s="22" t="s">
        <v>16</v>
      </c>
      <c r="INX864" s="22" t="s">
        <v>16</v>
      </c>
      <c r="INY864" s="22" t="s">
        <v>16</v>
      </c>
      <c r="INZ864" s="22" t="s">
        <v>16</v>
      </c>
      <c r="IOA864" s="22" t="s">
        <v>16</v>
      </c>
      <c r="IOB864" s="22" t="s">
        <v>16</v>
      </c>
      <c r="IOC864" s="22" t="s">
        <v>16</v>
      </c>
      <c r="IOD864" s="22" t="s">
        <v>16</v>
      </c>
      <c r="IOE864" s="22" t="s">
        <v>16</v>
      </c>
      <c r="IOF864" s="22" t="s">
        <v>16</v>
      </c>
      <c r="IOG864" s="22" t="s">
        <v>16</v>
      </c>
      <c r="IOH864" s="22" t="s">
        <v>16</v>
      </c>
      <c r="IOI864" s="22" t="s">
        <v>16</v>
      </c>
      <c r="IOJ864" s="22" t="s">
        <v>16</v>
      </c>
      <c r="IOK864" s="22" t="s">
        <v>16</v>
      </c>
      <c r="IOL864" s="22" t="s">
        <v>16</v>
      </c>
      <c r="IOM864" s="22" t="s">
        <v>16</v>
      </c>
      <c r="ION864" s="22" t="s">
        <v>16</v>
      </c>
      <c r="IOO864" s="22" t="s">
        <v>16</v>
      </c>
      <c r="IOP864" s="22" t="s">
        <v>16</v>
      </c>
      <c r="IOQ864" s="22" t="s">
        <v>16</v>
      </c>
      <c r="IOR864" s="22" t="s">
        <v>16</v>
      </c>
      <c r="IOS864" s="22" t="s">
        <v>16</v>
      </c>
      <c r="IOT864" s="22" t="s">
        <v>16</v>
      </c>
      <c r="IOU864" s="22" t="s">
        <v>16</v>
      </c>
      <c r="IOV864" s="22" t="s">
        <v>16</v>
      </c>
      <c r="IOW864" s="22" t="s">
        <v>16</v>
      </c>
      <c r="IOX864" s="22" t="s">
        <v>16</v>
      </c>
      <c r="IOY864" s="22" t="s">
        <v>16</v>
      </c>
      <c r="IOZ864" s="22" t="s">
        <v>16</v>
      </c>
      <c r="IPA864" s="22" t="s">
        <v>16</v>
      </c>
      <c r="IPB864" s="22" t="s">
        <v>16</v>
      </c>
      <c r="IPC864" s="22" t="s">
        <v>16</v>
      </c>
      <c r="IPD864" s="22" t="s">
        <v>16</v>
      </c>
      <c r="IPE864" s="22" t="s">
        <v>16</v>
      </c>
      <c r="IPF864" s="22" t="s">
        <v>16</v>
      </c>
      <c r="IPG864" s="22" t="s">
        <v>16</v>
      </c>
      <c r="IPH864" s="22" t="s">
        <v>16</v>
      </c>
      <c r="IPI864" s="22" t="s">
        <v>16</v>
      </c>
      <c r="IPJ864" s="22" t="s">
        <v>16</v>
      </c>
      <c r="IPK864" s="22" t="s">
        <v>16</v>
      </c>
      <c r="IPL864" s="22" t="s">
        <v>16</v>
      </c>
      <c r="IPM864" s="22" t="s">
        <v>16</v>
      </c>
      <c r="IPN864" s="22" t="s">
        <v>16</v>
      </c>
      <c r="IPO864" s="22" t="s">
        <v>16</v>
      </c>
      <c r="IPP864" s="22" t="s">
        <v>16</v>
      </c>
      <c r="IPQ864" s="22" t="s">
        <v>16</v>
      </c>
      <c r="IPR864" s="22" t="s">
        <v>16</v>
      </c>
      <c r="IPS864" s="22" t="s">
        <v>16</v>
      </c>
      <c r="IPT864" s="22" t="s">
        <v>16</v>
      </c>
      <c r="IPU864" s="22" t="s">
        <v>16</v>
      </c>
      <c r="IPV864" s="22" t="s">
        <v>16</v>
      </c>
      <c r="IPW864" s="22" t="s">
        <v>16</v>
      </c>
      <c r="IPX864" s="22" t="s">
        <v>16</v>
      </c>
      <c r="IPY864" s="22" t="s">
        <v>16</v>
      </c>
      <c r="IPZ864" s="22" t="s">
        <v>16</v>
      </c>
      <c r="IQA864" s="22" t="s">
        <v>16</v>
      </c>
      <c r="IQB864" s="22" t="s">
        <v>16</v>
      </c>
      <c r="IQC864" s="22" t="s">
        <v>16</v>
      </c>
      <c r="IQD864" s="22" t="s">
        <v>16</v>
      </c>
      <c r="IQE864" s="22" t="s">
        <v>16</v>
      </c>
      <c r="IQF864" s="22" t="s">
        <v>16</v>
      </c>
      <c r="IQG864" s="22" t="s">
        <v>16</v>
      </c>
      <c r="IQH864" s="22" t="s">
        <v>16</v>
      </c>
      <c r="IQI864" s="22" t="s">
        <v>16</v>
      </c>
      <c r="IQJ864" s="22" t="s">
        <v>16</v>
      </c>
      <c r="IQK864" s="22" t="s">
        <v>16</v>
      </c>
      <c r="IQL864" s="22" t="s">
        <v>16</v>
      </c>
      <c r="IQM864" s="22" t="s">
        <v>16</v>
      </c>
      <c r="IQN864" s="22" t="s">
        <v>16</v>
      </c>
      <c r="IQO864" s="22" t="s">
        <v>16</v>
      </c>
      <c r="IQP864" s="22" t="s">
        <v>16</v>
      </c>
      <c r="IQQ864" s="22" t="s">
        <v>16</v>
      </c>
      <c r="IQR864" s="22" t="s">
        <v>16</v>
      </c>
      <c r="IQS864" s="22" t="s">
        <v>16</v>
      </c>
      <c r="IQT864" s="22" t="s">
        <v>16</v>
      </c>
      <c r="IQU864" s="22" t="s">
        <v>16</v>
      </c>
      <c r="IQV864" s="22" t="s">
        <v>16</v>
      </c>
      <c r="IQW864" s="22" t="s">
        <v>16</v>
      </c>
      <c r="IQX864" s="22" t="s">
        <v>16</v>
      </c>
      <c r="IQY864" s="22" t="s">
        <v>16</v>
      </c>
      <c r="IQZ864" s="22" t="s">
        <v>16</v>
      </c>
      <c r="IRA864" s="22" t="s">
        <v>16</v>
      </c>
      <c r="IRB864" s="22" t="s">
        <v>16</v>
      </c>
      <c r="IRC864" s="22" t="s">
        <v>16</v>
      </c>
      <c r="IRD864" s="22" t="s">
        <v>16</v>
      </c>
      <c r="IRE864" s="22" t="s">
        <v>16</v>
      </c>
      <c r="IRF864" s="22" t="s">
        <v>16</v>
      </c>
      <c r="IRG864" s="22" t="s">
        <v>16</v>
      </c>
      <c r="IRH864" s="22" t="s">
        <v>16</v>
      </c>
      <c r="IRI864" s="22" t="s">
        <v>16</v>
      </c>
      <c r="IRJ864" s="22" t="s">
        <v>16</v>
      </c>
      <c r="IRK864" s="22" t="s">
        <v>16</v>
      </c>
      <c r="IRL864" s="22" t="s">
        <v>16</v>
      </c>
      <c r="IRM864" s="22" t="s">
        <v>16</v>
      </c>
      <c r="IRN864" s="22" t="s">
        <v>16</v>
      </c>
      <c r="IRO864" s="22" t="s">
        <v>16</v>
      </c>
      <c r="IRP864" s="22" t="s">
        <v>16</v>
      </c>
      <c r="IRQ864" s="22" t="s">
        <v>16</v>
      </c>
      <c r="IRR864" s="22" t="s">
        <v>16</v>
      </c>
      <c r="IRS864" s="22" t="s">
        <v>16</v>
      </c>
      <c r="IRT864" s="22" t="s">
        <v>16</v>
      </c>
      <c r="IRU864" s="22" t="s">
        <v>16</v>
      </c>
      <c r="IRV864" s="22" t="s">
        <v>16</v>
      </c>
      <c r="IRW864" s="22" t="s">
        <v>16</v>
      </c>
      <c r="IRX864" s="22" t="s">
        <v>16</v>
      </c>
      <c r="IRY864" s="22" t="s">
        <v>16</v>
      </c>
      <c r="IRZ864" s="22" t="s">
        <v>16</v>
      </c>
      <c r="ISA864" s="22" t="s">
        <v>16</v>
      </c>
      <c r="ISB864" s="22" t="s">
        <v>16</v>
      </c>
      <c r="ISC864" s="22" t="s">
        <v>16</v>
      </c>
      <c r="ISD864" s="22" t="s">
        <v>16</v>
      </c>
      <c r="ISE864" s="22" t="s">
        <v>16</v>
      </c>
      <c r="ISF864" s="22" t="s">
        <v>16</v>
      </c>
      <c r="ISG864" s="22" t="s">
        <v>16</v>
      </c>
      <c r="ISH864" s="22" t="s">
        <v>16</v>
      </c>
      <c r="ISI864" s="22" t="s">
        <v>16</v>
      </c>
      <c r="ISJ864" s="22" t="s">
        <v>16</v>
      </c>
      <c r="ISK864" s="22" t="s">
        <v>16</v>
      </c>
      <c r="ISL864" s="22" t="s">
        <v>16</v>
      </c>
      <c r="ISM864" s="22" t="s">
        <v>16</v>
      </c>
      <c r="ISN864" s="22" t="s">
        <v>16</v>
      </c>
      <c r="ISO864" s="22" t="s">
        <v>16</v>
      </c>
      <c r="ISP864" s="22" t="s">
        <v>16</v>
      </c>
      <c r="ISQ864" s="22" t="s">
        <v>16</v>
      </c>
      <c r="ISR864" s="22" t="s">
        <v>16</v>
      </c>
      <c r="ISS864" s="22" t="s">
        <v>16</v>
      </c>
      <c r="IST864" s="22" t="s">
        <v>16</v>
      </c>
      <c r="ISU864" s="22" t="s">
        <v>16</v>
      </c>
      <c r="ISV864" s="22" t="s">
        <v>16</v>
      </c>
      <c r="ISW864" s="22" t="s">
        <v>16</v>
      </c>
      <c r="ISX864" s="22" t="s">
        <v>16</v>
      </c>
      <c r="ISY864" s="22" t="s">
        <v>16</v>
      </c>
      <c r="ISZ864" s="22" t="s">
        <v>16</v>
      </c>
      <c r="ITA864" s="22" t="s">
        <v>16</v>
      </c>
      <c r="ITB864" s="22" t="s">
        <v>16</v>
      </c>
      <c r="ITC864" s="22" t="s">
        <v>16</v>
      </c>
      <c r="ITD864" s="22" t="s">
        <v>16</v>
      </c>
      <c r="ITE864" s="22" t="s">
        <v>16</v>
      </c>
      <c r="ITF864" s="22" t="s">
        <v>16</v>
      </c>
      <c r="ITG864" s="22" t="s">
        <v>16</v>
      </c>
      <c r="ITH864" s="22" t="s">
        <v>16</v>
      </c>
      <c r="ITI864" s="22" t="s">
        <v>16</v>
      </c>
      <c r="ITJ864" s="22" t="s">
        <v>16</v>
      </c>
      <c r="ITK864" s="22" t="s">
        <v>16</v>
      </c>
      <c r="ITL864" s="22" t="s">
        <v>16</v>
      </c>
      <c r="ITM864" s="22" t="s">
        <v>16</v>
      </c>
      <c r="ITN864" s="22" t="s">
        <v>16</v>
      </c>
      <c r="ITO864" s="22" t="s">
        <v>16</v>
      </c>
      <c r="ITP864" s="22" t="s">
        <v>16</v>
      </c>
      <c r="ITQ864" s="22" t="s">
        <v>16</v>
      </c>
      <c r="ITR864" s="22" t="s">
        <v>16</v>
      </c>
      <c r="ITS864" s="22" t="s">
        <v>16</v>
      </c>
      <c r="ITT864" s="22" t="s">
        <v>16</v>
      </c>
      <c r="ITU864" s="22" t="s">
        <v>16</v>
      </c>
      <c r="ITV864" s="22" t="s">
        <v>16</v>
      </c>
      <c r="ITW864" s="22" t="s">
        <v>16</v>
      </c>
      <c r="ITX864" s="22" t="s">
        <v>16</v>
      </c>
      <c r="ITY864" s="22" t="s">
        <v>16</v>
      </c>
      <c r="ITZ864" s="22" t="s">
        <v>16</v>
      </c>
      <c r="IUA864" s="22" t="s">
        <v>16</v>
      </c>
      <c r="IUB864" s="22" t="s">
        <v>16</v>
      </c>
      <c r="IUC864" s="22" t="s">
        <v>16</v>
      </c>
      <c r="IUD864" s="22" t="s">
        <v>16</v>
      </c>
      <c r="IUE864" s="22" t="s">
        <v>16</v>
      </c>
      <c r="IUF864" s="22" t="s">
        <v>16</v>
      </c>
      <c r="IUG864" s="22" t="s">
        <v>16</v>
      </c>
      <c r="IUH864" s="22" t="s">
        <v>16</v>
      </c>
      <c r="IUI864" s="22" t="s">
        <v>16</v>
      </c>
      <c r="IUJ864" s="22" t="s">
        <v>16</v>
      </c>
      <c r="IUK864" s="22" t="s">
        <v>16</v>
      </c>
      <c r="IUL864" s="22" t="s">
        <v>16</v>
      </c>
      <c r="IUM864" s="22" t="s">
        <v>16</v>
      </c>
      <c r="IUN864" s="22" t="s">
        <v>16</v>
      </c>
      <c r="IUO864" s="22" t="s">
        <v>16</v>
      </c>
      <c r="IUP864" s="22" t="s">
        <v>16</v>
      </c>
      <c r="IUQ864" s="22" t="s">
        <v>16</v>
      </c>
      <c r="IUR864" s="22" t="s">
        <v>16</v>
      </c>
      <c r="IUS864" s="22" t="s">
        <v>16</v>
      </c>
      <c r="IUT864" s="22" t="s">
        <v>16</v>
      </c>
      <c r="IUU864" s="22" t="s">
        <v>16</v>
      </c>
      <c r="IUV864" s="22" t="s">
        <v>16</v>
      </c>
      <c r="IUW864" s="22" t="s">
        <v>16</v>
      </c>
      <c r="IUX864" s="22" t="s">
        <v>16</v>
      </c>
      <c r="IUY864" s="22" t="s">
        <v>16</v>
      </c>
      <c r="IUZ864" s="22" t="s">
        <v>16</v>
      </c>
      <c r="IVA864" s="22" t="s">
        <v>16</v>
      </c>
      <c r="IVB864" s="22" t="s">
        <v>16</v>
      </c>
      <c r="IVC864" s="22" t="s">
        <v>16</v>
      </c>
      <c r="IVD864" s="22" t="s">
        <v>16</v>
      </c>
      <c r="IVE864" s="22" t="s">
        <v>16</v>
      </c>
      <c r="IVF864" s="22" t="s">
        <v>16</v>
      </c>
      <c r="IVG864" s="22" t="s">
        <v>16</v>
      </c>
      <c r="IVH864" s="22" t="s">
        <v>16</v>
      </c>
      <c r="IVI864" s="22" t="s">
        <v>16</v>
      </c>
      <c r="IVJ864" s="22" t="s">
        <v>16</v>
      </c>
      <c r="IVK864" s="22" t="s">
        <v>16</v>
      </c>
      <c r="IVL864" s="22" t="s">
        <v>16</v>
      </c>
      <c r="IVM864" s="22" t="s">
        <v>16</v>
      </c>
      <c r="IVN864" s="22" t="s">
        <v>16</v>
      </c>
      <c r="IVO864" s="22" t="s">
        <v>16</v>
      </c>
      <c r="IVP864" s="22" t="s">
        <v>16</v>
      </c>
      <c r="IVQ864" s="22" t="s">
        <v>16</v>
      </c>
      <c r="IVR864" s="22" t="s">
        <v>16</v>
      </c>
      <c r="IVS864" s="22" t="s">
        <v>16</v>
      </c>
      <c r="IVT864" s="22" t="s">
        <v>16</v>
      </c>
      <c r="IVU864" s="22" t="s">
        <v>16</v>
      </c>
      <c r="IVV864" s="22" t="s">
        <v>16</v>
      </c>
      <c r="IVW864" s="22" t="s">
        <v>16</v>
      </c>
      <c r="IVX864" s="22" t="s">
        <v>16</v>
      </c>
      <c r="IVY864" s="22" t="s">
        <v>16</v>
      </c>
      <c r="IVZ864" s="22" t="s">
        <v>16</v>
      </c>
      <c r="IWA864" s="22" t="s">
        <v>16</v>
      </c>
      <c r="IWB864" s="22" t="s">
        <v>16</v>
      </c>
      <c r="IWC864" s="22" t="s">
        <v>16</v>
      </c>
      <c r="IWD864" s="22" t="s">
        <v>16</v>
      </c>
      <c r="IWE864" s="22" t="s">
        <v>16</v>
      </c>
      <c r="IWF864" s="22" t="s">
        <v>16</v>
      </c>
      <c r="IWG864" s="22" t="s">
        <v>16</v>
      </c>
      <c r="IWH864" s="22" t="s">
        <v>16</v>
      </c>
      <c r="IWI864" s="22" t="s">
        <v>16</v>
      </c>
      <c r="IWJ864" s="22" t="s">
        <v>16</v>
      </c>
      <c r="IWK864" s="22" t="s">
        <v>16</v>
      </c>
      <c r="IWL864" s="22" t="s">
        <v>16</v>
      </c>
      <c r="IWM864" s="22" t="s">
        <v>16</v>
      </c>
      <c r="IWN864" s="22" t="s">
        <v>16</v>
      </c>
      <c r="IWO864" s="22" t="s">
        <v>16</v>
      </c>
      <c r="IWP864" s="22" t="s">
        <v>16</v>
      </c>
      <c r="IWQ864" s="22" t="s">
        <v>16</v>
      </c>
      <c r="IWR864" s="22" t="s">
        <v>16</v>
      </c>
      <c r="IWS864" s="22" t="s">
        <v>16</v>
      </c>
      <c r="IWT864" s="22" t="s">
        <v>16</v>
      </c>
      <c r="IWU864" s="22" t="s">
        <v>16</v>
      </c>
      <c r="IWV864" s="22" t="s">
        <v>16</v>
      </c>
      <c r="IWW864" s="22" t="s">
        <v>16</v>
      </c>
      <c r="IWX864" s="22" t="s">
        <v>16</v>
      </c>
      <c r="IWY864" s="22" t="s">
        <v>16</v>
      </c>
      <c r="IWZ864" s="22" t="s">
        <v>16</v>
      </c>
      <c r="IXA864" s="22" t="s">
        <v>16</v>
      </c>
      <c r="IXB864" s="22" t="s">
        <v>16</v>
      </c>
      <c r="IXC864" s="22" t="s">
        <v>16</v>
      </c>
      <c r="IXD864" s="22" t="s">
        <v>16</v>
      </c>
      <c r="IXE864" s="22" t="s">
        <v>16</v>
      </c>
      <c r="IXF864" s="22" t="s">
        <v>16</v>
      </c>
      <c r="IXG864" s="22" t="s">
        <v>16</v>
      </c>
      <c r="IXH864" s="22" t="s">
        <v>16</v>
      </c>
      <c r="IXI864" s="22" t="s">
        <v>16</v>
      </c>
      <c r="IXJ864" s="22" t="s">
        <v>16</v>
      </c>
      <c r="IXK864" s="22" t="s">
        <v>16</v>
      </c>
      <c r="IXL864" s="22" t="s">
        <v>16</v>
      </c>
      <c r="IXM864" s="22" t="s">
        <v>16</v>
      </c>
      <c r="IXN864" s="22" t="s">
        <v>16</v>
      </c>
      <c r="IXO864" s="22" t="s">
        <v>16</v>
      </c>
      <c r="IXP864" s="22" t="s">
        <v>16</v>
      </c>
      <c r="IXQ864" s="22" t="s">
        <v>16</v>
      </c>
      <c r="IXR864" s="22" t="s">
        <v>16</v>
      </c>
      <c r="IXS864" s="22" t="s">
        <v>16</v>
      </c>
      <c r="IXT864" s="22" t="s">
        <v>16</v>
      </c>
      <c r="IXU864" s="22" t="s">
        <v>16</v>
      </c>
      <c r="IXV864" s="22" t="s">
        <v>16</v>
      </c>
      <c r="IXW864" s="22" t="s">
        <v>16</v>
      </c>
      <c r="IXX864" s="22" t="s">
        <v>16</v>
      </c>
      <c r="IXY864" s="22" t="s">
        <v>16</v>
      </c>
      <c r="IXZ864" s="22" t="s">
        <v>16</v>
      </c>
      <c r="IYA864" s="22" t="s">
        <v>16</v>
      </c>
      <c r="IYB864" s="22" t="s">
        <v>16</v>
      </c>
      <c r="IYC864" s="22" t="s">
        <v>16</v>
      </c>
      <c r="IYD864" s="22" t="s">
        <v>16</v>
      </c>
      <c r="IYE864" s="22" t="s">
        <v>16</v>
      </c>
      <c r="IYF864" s="22" t="s">
        <v>16</v>
      </c>
      <c r="IYG864" s="22" t="s">
        <v>16</v>
      </c>
      <c r="IYH864" s="22" t="s">
        <v>16</v>
      </c>
      <c r="IYI864" s="22" t="s">
        <v>16</v>
      </c>
      <c r="IYJ864" s="22" t="s">
        <v>16</v>
      </c>
      <c r="IYK864" s="22" t="s">
        <v>16</v>
      </c>
      <c r="IYL864" s="22" t="s">
        <v>16</v>
      </c>
      <c r="IYM864" s="22" t="s">
        <v>16</v>
      </c>
      <c r="IYN864" s="22" t="s">
        <v>16</v>
      </c>
      <c r="IYO864" s="22" t="s">
        <v>16</v>
      </c>
      <c r="IYP864" s="22" t="s">
        <v>16</v>
      </c>
      <c r="IYQ864" s="22" t="s">
        <v>16</v>
      </c>
      <c r="IYR864" s="22" t="s">
        <v>16</v>
      </c>
      <c r="IYS864" s="22" t="s">
        <v>16</v>
      </c>
      <c r="IYT864" s="22" t="s">
        <v>16</v>
      </c>
      <c r="IYU864" s="22" t="s">
        <v>16</v>
      </c>
      <c r="IYV864" s="22" t="s">
        <v>16</v>
      </c>
      <c r="IYW864" s="22" t="s">
        <v>16</v>
      </c>
      <c r="IYX864" s="22" t="s">
        <v>16</v>
      </c>
      <c r="IYY864" s="22" t="s">
        <v>16</v>
      </c>
      <c r="IYZ864" s="22" t="s">
        <v>16</v>
      </c>
      <c r="IZA864" s="22" t="s">
        <v>16</v>
      </c>
      <c r="IZB864" s="22" t="s">
        <v>16</v>
      </c>
      <c r="IZC864" s="22" t="s">
        <v>16</v>
      </c>
      <c r="IZD864" s="22" t="s">
        <v>16</v>
      </c>
      <c r="IZE864" s="22" t="s">
        <v>16</v>
      </c>
      <c r="IZF864" s="22" t="s">
        <v>16</v>
      </c>
      <c r="IZG864" s="22" t="s">
        <v>16</v>
      </c>
      <c r="IZH864" s="22" t="s">
        <v>16</v>
      </c>
      <c r="IZI864" s="22" t="s">
        <v>16</v>
      </c>
      <c r="IZJ864" s="22" t="s">
        <v>16</v>
      </c>
      <c r="IZK864" s="22" t="s">
        <v>16</v>
      </c>
      <c r="IZL864" s="22" t="s">
        <v>16</v>
      </c>
      <c r="IZM864" s="22" t="s">
        <v>16</v>
      </c>
      <c r="IZN864" s="22" t="s">
        <v>16</v>
      </c>
      <c r="IZO864" s="22" t="s">
        <v>16</v>
      </c>
      <c r="IZP864" s="22" t="s">
        <v>16</v>
      </c>
      <c r="IZQ864" s="22" t="s">
        <v>16</v>
      </c>
      <c r="IZR864" s="22" t="s">
        <v>16</v>
      </c>
      <c r="IZS864" s="22" t="s">
        <v>16</v>
      </c>
      <c r="IZT864" s="22" t="s">
        <v>16</v>
      </c>
      <c r="IZU864" s="22" t="s">
        <v>16</v>
      </c>
      <c r="IZV864" s="22" t="s">
        <v>16</v>
      </c>
      <c r="IZW864" s="22" t="s">
        <v>16</v>
      </c>
      <c r="IZX864" s="22" t="s">
        <v>16</v>
      </c>
      <c r="IZY864" s="22" t="s">
        <v>16</v>
      </c>
      <c r="IZZ864" s="22" t="s">
        <v>16</v>
      </c>
      <c r="JAA864" s="22" t="s">
        <v>16</v>
      </c>
      <c r="JAB864" s="22" t="s">
        <v>16</v>
      </c>
      <c r="JAC864" s="22" t="s">
        <v>16</v>
      </c>
      <c r="JAD864" s="22" t="s">
        <v>16</v>
      </c>
      <c r="JAE864" s="22" t="s">
        <v>16</v>
      </c>
      <c r="JAF864" s="22" t="s">
        <v>16</v>
      </c>
      <c r="JAG864" s="22" t="s">
        <v>16</v>
      </c>
      <c r="JAH864" s="22" t="s">
        <v>16</v>
      </c>
      <c r="JAI864" s="22" t="s">
        <v>16</v>
      </c>
      <c r="JAJ864" s="22" t="s">
        <v>16</v>
      </c>
      <c r="JAK864" s="22" t="s">
        <v>16</v>
      </c>
      <c r="JAL864" s="22" t="s">
        <v>16</v>
      </c>
      <c r="JAM864" s="22" t="s">
        <v>16</v>
      </c>
      <c r="JAN864" s="22" t="s">
        <v>16</v>
      </c>
      <c r="JAO864" s="22" t="s">
        <v>16</v>
      </c>
      <c r="JAP864" s="22" t="s">
        <v>16</v>
      </c>
      <c r="JAQ864" s="22" t="s">
        <v>16</v>
      </c>
      <c r="JAR864" s="22" t="s">
        <v>16</v>
      </c>
      <c r="JAS864" s="22" t="s">
        <v>16</v>
      </c>
      <c r="JAT864" s="22" t="s">
        <v>16</v>
      </c>
      <c r="JAU864" s="22" t="s">
        <v>16</v>
      </c>
      <c r="JAV864" s="22" t="s">
        <v>16</v>
      </c>
      <c r="JAW864" s="22" t="s">
        <v>16</v>
      </c>
      <c r="JAX864" s="22" t="s">
        <v>16</v>
      </c>
      <c r="JAY864" s="22" t="s">
        <v>16</v>
      </c>
      <c r="JAZ864" s="22" t="s">
        <v>16</v>
      </c>
      <c r="JBA864" s="22" t="s">
        <v>16</v>
      </c>
      <c r="JBB864" s="22" t="s">
        <v>16</v>
      </c>
      <c r="JBC864" s="22" t="s">
        <v>16</v>
      </c>
      <c r="JBD864" s="22" t="s">
        <v>16</v>
      </c>
      <c r="JBE864" s="22" t="s">
        <v>16</v>
      </c>
      <c r="JBF864" s="22" t="s">
        <v>16</v>
      </c>
      <c r="JBG864" s="22" t="s">
        <v>16</v>
      </c>
      <c r="JBH864" s="22" t="s">
        <v>16</v>
      </c>
      <c r="JBI864" s="22" t="s">
        <v>16</v>
      </c>
      <c r="JBJ864" s="22" t="s">
        <v>16</v>
      </c>
      <c r="JBK864" s="22" t="s">
        <v>16</v>
      </c>
      <c r="JBL864" s="22" t="s">
        <v>16</v>
      </c>
      <c r="JBM864" s="22" t="s">
        <v>16</v>
      </c>
      <c r="JBN864" s="22" t="s">
        <v>16</v>
      </c>
      <c r="JBO864" s="22" t="s">
        <v>16</v>
      </c>
      <c r="JBP864" s="22" t="s">
        <v>16</v>
      </c>
      <c r="JBQ864" s="22" t="s">
        <v>16</v>
      </c>
      <c r="JBR864" s="22" t="s">
        <v>16</v>
      </c>
      <c r="JBS864" s="22" t="s">
        <v>16</v>
      </c>
      <c r="JBT864" s="22" t="s">
        <v>16</v>
      </c>
      <c r="JBU864" s="22" t="s">
        <v>16</v>
      </c>
      <c r="JBV864" s="22" t="s">
        <v>16</v>
      </c>
      <c r="JBW864" s="22" t="s">
        <v>16</v>
      </c>
      <c r="JBX864" s="22" t="s">
        <v>16</v>
      </c>
      <c r="JBY864" s="22" t="s">
        <v>16</v>
      </c>
      <c r="JBZ864" s="22" t="s">
        <v>16</v>
      </c>
      <c r="JCA864" s="22" t="s">
        <v>16</v>
      </c>
      <c r="JCB864" s="22" t="s">
        <v>16</v>
      </c>
      <c r="JCC864" s="22" t="s">
        <v>16</v>
      </c>
      <c r="JCD864" s="22" t="s">
        <v>16</v>
      </c>
      <c r="JCE864" s="22" t="s">
        <v>16</v>
      </c>
      <c r="JCF864" s="22" t="s">
        <v>16</v>
      </c>
      <c r="JCG864" s="22" t="s">
        <v>16</v>
      </c>
      <c r="JCH864" s="22" t="s">
        <v>16</v>
      </c>
      <c r="JCI864" s="22" t="s">
        <v>16</v>
      </c>
      <c r="JCJ864" s="22" t="s">
        <v>16</v>
      </c>
      <c r="JCK864" s="22" t="s">
        <v>16</v>
      </c>
      <c r="JCL864" s="22" t="s">
        <v>16</v>
      </c>
      <c r="JCM864" s="22" t="s">
        <v>16</v>
      </c>
      <c r="JCN864" s="22" t="s">
        <v>16</v>
      </c>
      <c r="JCO864" s="22" t="s">
        <v>16</v>
      </c>
      <c r="JCP864" s="22" t="s">
        <v>16</v>
      </c>
      <c r="JCQ864" s="22" t="s">
        <v>16</v>
      </c>
      <c r="JCR864" s="22" t="s">
        <v>16</v>
      </c>
      <c r="JCS864" s="22" t="s">
        <v>16</v>
      </c>
      <c r="JCT864" s="22" t="s">
        <v>16</v>
      </c>
      <c r="JCU864" s="22" t="s">
        <v>16</v>
      </c>
      <c r="JCV864" s="22" t="s">
        <v>16</v>
      </c>
      <c r="JCW864" s="22" t="s">
        <v>16</v>
      </c>
      <c r="JCX864" s="22" t="s">
        <v>16</v>
      </c>
      <c r="JCY864" s="22" t="s">
        <v>16</v>
      </c>
      <c r="JCZ864" s="22" t="s">
        <v>16</v>
      </c>
      <c r="JDA864" s="22" t="s">
        <v>16</v>
      </c>
      <c r="JDB864" s="22" t="s">
        <v>16</v>
      </c>
      <c r="JDC864" s="22" t="s">
        <v>16</v>
      </c>
      <c r="JDD864" s="22" t="s">
        <v>16</v>
      </c>
      <c r="JDE864" s="22" t="s">
        <v>16</v>
      </c>
      <c r="JDF864" s="22" t="s">
        <v>16</v>
      </c>
      <c r="JDG864" s="22" t="s">
        <v>16</v>
      </c>
      <c r="JDH864" s="22" t="s">
        <v>16</v>
      </c>
      <c r="JDI864" s="22" t="s">
        <v>16</v>
      </c>
      <c r="JDJ864" s="22" t="s">
        <v>16</v>
      </c>
      <c r="JDK864" s="22" t="s">
        <v>16</v>
      </c>
      <c r="JDL864" s="22" t="s">
        <v>16</v>
      </c>
      <c r="JDM864" s="22" t="s">
        <v>16</v>
      </c>
      <c r="JDN864" s="22" t="s">
        <v>16</v>
      </c>
      <c r="JDO864" s="22" t="s">
        <v>16</v>
      </c>
      <c r="JDP864" s="22" t="s">
        <v>16</v>
      </c>
      <c r="JDQ864" s="22" t="s">
        <v>16</v>
      </c>
      <c r="JDR864" s="22" t="s">
        <v>16</v>
      </c>
      <c r="JDS864" s="22" t="s">
        <v>16</v>
      </c>
      <c r="JDT864" s="22" t="s">
        <v>16</v>
      </c>
      <c r="JDU864" s="22" t="s">
        <v>16</v>
      </c>
      <c r="JDV864" s="22" t="s">
        <v>16</v>
      </c>
      <c r="JDW864" s="22" t="s">
        <v>16</v>
      </c>
      <c r="JDX864" s="22" t="s">
        <v>16</v>
      </c>
      <c r="JDY864" s="22" t="s">
        <v>16</v>
      </c>
      <c r="JDZ864" s="22" t="s">
        <v>16</v>
      </c>
      <c r="JEA864" s="22" t="s">
        <v>16</v>
      </c>
      <c r="JEB864" s="22" t="s">
        <v>16</v>
      </c>
      <c r="JEC864" s="22" t="s">
        <v>16</v>
      </c>
      <c r="JED864" s="22" t="s">
        <v>16</v>
      </c>
      <c r="JEE864" s="22" t="s">
        <v>16</v>
      </c>
      <c r="JEF864" s="22" t="s">
        <v>16</v>
      </c>
      <c r="JEG864" s="22" t="s">
        <v>16</v>
      </c>
      <c r="JEH864" s="22" t="s">
        <v>16</v>
      </c>
      <c r="JEI864" s="22" t="s">
        <v>16</v>
      </c>
      <c r="JEJ864" s="22" t="s">
        <v>16</v>
      </c>
      <c r="JEK864" s="22" t="s">
        <v>16</v>
      </c>
      <c r="JEL864" s="22" t="s">
        <v>16</v>
      </c>
      <c r="JEM864" s="22" t="s">
        <v>16</v>
      </c>
      <c r="JEN864" s="22" t="s">
        <v>16</v>
      </c>
      <c r="JEO864" s="22" t="s">
        <v>16</v>
      </c>
      <c r="JEP864" s="22" t="s">
        <v>16</v>
      </c>
      <c r="JEQ864" s="22" t="s">
        <v>16</v>
      </c>
      <c r="JER864" s="22" t="s">
        <v>16</v>
      </c>
      <c r="JES864" s="22" t="s">
        <v>16</v>
      </c>
      <c r="JET864" s="22" t="s">
        <v>16</v>
      </c>
      <c r="JEU864" s="22" t="s">
        <v>16</v>
      </c>
      <c r="JEV864" s="22" t="s">
        <v>16</v>
      </c>
      <c r="JEW864" s="22" t="s">
        <v>16</v>
      </c>
      <c r="JEX864" s="22" t="s">
        <v>16</v>
      </c>
      <c r="JEY864" s="22" t="s">
        <v>16</v>
      </c>
      <c r="JEZ864" s="22" t="s">
        <v>16</v>
      </c>
      <c r="JFA864" s="22" t="s">
        <v>16</v>
      </c>
      <c r="JFB864" s="22" t="s">
        <v>16</v>
      </c>
      <c r="JFC864" s="22" t="s">
        <v>16</v>
      </c>
      <c r="JFD864" s="22" t="s">
        <v>16</v>
      </c>
      <c r="JFE864" s="22" t="s">
        <v>16</v>
      </c>
      <c r="JFF864" s="22" t="s">
        <v>16</v>
      </c>
      <c r="JFG864" s="22" t="s">
        <v>16</v>
      </c>
      <c r="JFH864" s="22" t="s">
        <v>16</v>
      </c>
      <c r="JFI864" s="22" t="s">
        <v>16</v>
      </c>
      <c r="JFJ864" s="22" t="s">
        <v>16</v>
      </c>
      <c r="JFK864" s="22" t="s">
        <v>16</v>
      </c>
      <c r="JFL864" s="22" t="s">
        <v>16</v>
      </c>
      <c r="JFM864" s="22" t="s">
        <v>16</v>
      </c>
      <c r="JFN864" s="22" t="s">
        <v>16</v>
      </c>
      <c r="JFO864" s="22" t="s">
        <v>16</v>
      </c>
      <c r="JFP864" s="22" t="s">
        <v>16</v>
      </c>
      <c r="JFQ864" s="22" t="s">
        <v>16</v>
      </c>
      <c r="JFR864" s="22" t="s">
        <v>16</v>
      </c>
      <c r="JFS864" s="22" t="s">
        <v>16</v>
      </c>
      <c r="JFT864" s="22" t="s">
        <v>16</v>
      </c>
      <c r="JFU864" s="22" t="s">
        <v>16</v>
      </c>
      <c r="JFV864" s="22" t="s">
        <v>16</v>
      </c>
      <c r="JFW864" s="22" t="s">
        <v>16</v>
      </c>
      <c r="JFX864" s="22" t="s">
        <v>16</v>
      </c>
      <c r="JFY864" s="22" t="s">
        <v>16</v>
      </c>
      <c r="JFZ864" s="22" t="s">
        <v>16</v>
      </c>
      <c r="JGA864" s="22" t="s">
        <v>16</v>
      </c>
      <c r="JGB864" s="22" t="s">
        <v>16</v>
      </c>
      <c r="JGC864" s="22" t="s">
        <v>16</v>
      </c>
      <c r="JGD864" s="22" t="s">
        <v>16</v>
      </c>
      <c r="JGE864" s="22" t="s">
        <v>16</v>
      </c>
      <c r="JGF864" s="22" t="s">
        <v>16</v>
      </c>
      <c r="JGG864" s="22" t="s">
        <v>16</v>
      </c>
      <c r="JGH864" s="22" t="s">
        <v>16</v>
      </c>
      <c r="JGI864" s="22" t="s">
        <v>16</v>
      </c>
      <c r="JGJ864" s="22" t="s">
        <v>16</v>
      </c>
      <c r="JGK864" s="22" t="s">
        <v>16</v>
      </c>
      <c r="JGL864" s="22" t="s">
        <v>16</v>
      </c>
      <c r="JGM864" s="22" t="s">
        <v>16</v>
      </c>
      <c r="JGN864" s="22" t="s">
        <v>16</v>
      </c>
      <c r="JGO864" s="22" t="s">
        <v>16</v>
      </c>
      <c r="JGP864" s="22" t="s">
        <v>16</v>
      </c>
      <c r="JGQ864" s="22" t="s">
        <v>16</v>
      </c>
      <c r="JGR864" s="22" t="s">
        <v>16</v>
      </c>
      <c r="JGS864" s="22" t="s">
        <v>16</v>
      </c>
      <c r="JGT864" s="22" t="s">
        <v>16</v>
      </c>
      <c r="JGU864" s="22" t="s">
        <v>16</v>
      </c>
      <c r="JGV864" s="22" t="s">
        <v>16</v>
      </c>
      <c r="JGW864" s="22" t="s">
        <v>16</v>
      </c>
      <c r="JGX864" s="22" t="s">
        <v>16</v>
      </c>
      <c r="JGY864" s="22" t="s">
        <v>16</v>
      </c>
      <c r="JGZ864" s="22" t="s">
        <v>16</v>
      </c>
      <c r="JHA864" s="22" t="s">
        <v>16</v>
      </c>
      <c r="JHB864" s="22" t="s">
        <v>16</v>
      </c>
      <c r="JHC864" s="22" t="s">
        <v>16</v>
      </c>
      <c r="JHD864" s="22" t="s">
        <v>16</v>
      </c>
      <c r="JHE864" s="22" t="s">
        <v>16</v>
      </c>
      <c r="JHF864" s="22" t="s">
        <v>16</v>
      </c>
      <c r="JHG864" s="22" t="s">
        <v>16</v>
      </c>
      <c r="JHH864" s="22" t="s">
        <v>16</v>
      </c>
      <c r="JHI864" s="22" t="s">
        <v>16</v>
      </c>
      <c r="JHJ864" s="22" t="s">
        <v>16</v>
      </c>
      <c r="JHK864" s="22" t="s">
        <v>16</v>
      </c>
      <c r="JHL864" s="22" t="s">
        <v>16</v>
      </c>
      <c r="JHM864" s="22" t="s">
        <v>16</v>
      </c>
      <c r="JHN864" s="22" t="s">
        <v>16</v>
      </c>
      <c r="JHO864" s="22" t="s">
        <v>16</v>
      </c>
      <c r="JHP864" s="22" t="s">
        <v>16</v>
      </c>
      <c r="JHQ864" s="22" t="s">
        <v>16</v>
      </c>
      <c r="JHR864" s="22" t="s">
        <v>16</v>
      </c>
      <c r="JHS864" s="22" t="s">
        <v>16</v>
      </c>
      <c r="JHT864" s="22" t="s">
        <v>16</v>
      </c>
      <c r="JHU864" s="22" t="s">
        <v>16</v>
      </c>
      <c r="JHV864" s="22" t="s">
        <v>16</v>
      </c>
      <c r="JHW864" s="22" t="s">
        <v>16</v>
      </c>
      <c r="JHX864" s="22" t="s">
        <v>16</v>
      </c>
      <c r="JHY864" s="22" t="s">
        <v>16</v>
      </c>
      <c r="JHZ864" s="22" t="s">
        <v>16</v>
      </c>
      <c r="JIA864" s="22" t="s">
        <v>16</v>
      </c>
      <c r="JIB864" s="22" t="s">
        <v>16</v>
      </c>
      <c r="JIC864" s="22" t="s">
        <v>16</v>
      </c>
      <c r="JID864" s="22" t="s">
        <v>16</v>
      </c>
      <c r="JIE864" s="22" t="s">
        <v>16</v>
      </c>
      <c r="JIF864" s="22" t="s">
        <v>16</v>
      </c>
      <c r="JIG864" s="22" t="s">
        <v>16</v>
      </c>
      <c r="JIH864" s="22" t="s">
        <v>16</v>
      </c>
      <c r="JII864" s="22" t="s">
        <v>16</v>
      </c>
      <c r="JIJ864" s="22" t="s">
        <v>16</v>
      </c>
      <c r="JIK864" s="22" t="s">
        <v>16</v>
      </c>
      <c r="JIL864" s="22" t="s">
        <v>16</v>
      </c>
      <c r="JIM864" s="22" t="s">
        <v>16</v>
      </c>
      <c r="JIN864" s="22" t="s">
        <v>16</v>
      </c>
      <c r="JIO864" s="22" t="s">
        <v>16</v>
      </c>
      <c r="JIP864" s="22" t="s">
        <v>16</v>
      </c>
      <c r="JIQ864" s="22" t="s">
        <v>16</v>
      </c>
      <c r="JIR864" s="22" t="s">
        <v>16</v>
      </c>
      <c r="JIS864" s="22" t="s">
        <v>16</v>
      </c>
      <c r="JIT864" s="22" t="s">
        <v>16</v>
      </c>
      <c r="JIU864" s="22" t="s">
        <v>16</v>
      </c>
      <c r="JIV864" s="22" t="s">
        <v>16</v>
      </c>
      <c r="JIW864" s="22" t="s">
        <v>16</v>
      </c>
      <c r="JIX864" s="22" t="s">
        <v>16</v>
      </c>
      <c r="JIY864" s="22" t="s">
        <v>16</v>
      </c>
      <c r="JIZ864" s="22" t="s">
        <v>16</v>
      </c>
      <c r="JJA864" s="22" t="s">
        <v>16</v>
      </c>
      <c r="JJB864" s="22" t="s">
        <v>16</v>
      </c>
      <c r="JJC864" s="22" t="s">
        <v>16</v>
      </c>
      <c r="JJD864" s="22" t="s">
        <v>16</v>
      </c>
      <c r="JJE864" s="22" t="s">
        <v>16</v>
      </c>
      <c r="JJF864" s="22" t="s">
        <v>16</v>
      </c>
      <c r="JJG864" s="22" t="s">
        <v>16</v>
      </c>
      <c r="JJH864" s="22" t="s">
        <v>16</v>
      </c>
      <c r="JJI864" s="22" t="s">
        <v>16</v>
      </c>
      <c r="JJJ864" s="22" t="s">
        <v>16</v>
      </c>
      <c r="JJK864" s="22" t="s">
        <v>16</v>
      </c>
      <c r="JJL864" s="22" t="s">
        <v>16</v>
      </c>
      <c r="JJM864" s="22" t="s">
        <v>16</v>
      </c>
      <c r="JJN864" s="22" t="s">
        <v>16</v>
      </c>
      <c r="JJO864" s="22" t="s">
        <v>16</v>
      </c>
      <c r="JJP864" s="22" t="s">
        <v>16</v>
      </c>
      <c r="JJQ864" s="22" t="s">
        <v>16</v>
      </c>
      <c r="JJR864" s="22" t="s">
        <v>16</v>
      </c>
      <c r="JJS864" s="22" t="s">
        <v>16</v>
      </c>
      <c r="JJT864" s="22" t="s">
        <v>16</v>
      </c>
      <c r="JJU864" s="22" t="s">
        <v>16</v>
      </c>
      <c r="JJV864" s="22" t="s">
        <v>16</v>
      </c>
      <c r="JJW864" s="22" t="s">
        <v>16</v>
      </c>
      <c r="JJX864" s="22" t="s">
        <v>16</v>
      </c>
      <c r="JJY864" s="22" t="s">
        <v>16</v>
      </c>
      <c r="JJZ864" s="22" t="s">
        <v>16</v>
      </c>
      <c r="JKA864" s="22" t="s">
        <v>16</v>
      </c>
      <c r="JKB864" s="22" t="s">
        <v>16</v>
      </c>
      <c r="JKC864" s="22" t="s">
        <v>16</v>
      </c>
      <c r="JKD864" s="22" t="s">
        <v>16</v>
      </c>
      <c r="JKE864" s="22" t="s">
        <v>16</v>
      </c>
      <c r="JKF864" s="22" t="s">
        <v>16</v>
      </c>
      <c r="JKG864" s="22" t="s">
        <v>16</v>
      </c>
      <c r="JKH864" s="22" t="s">
        <v>16</v>
      </c>
      <c r="JKI864" s="22" t="s">
        <v>16</v>
      </c>
      <c r="JKJ864" s="22" t="s">
        <v>16</v>
      </c>
      <c r="JKK864" s="22" t="s">
        <v>16</v>
      </c>
      <c r="JKL864" s="22" t="s">
        <v>16</v>
      </c>
      <c r="JKM864" s="22" t="s">
        <v>16</v>
      </c>
      <c r="JKN864" s="22" t="s">
        <v>16</v>
      </c>
      <c r="JKO864" s="22" t="s">
        <v>16</v>
      </c>
      <c r="JKP864" s="22" t="s">
        <v>16</v>
      </c>
      <c r="JKQ864" s="22" t="s">
        <v>16</v>
      </c>
      <c r="JKR864" s="22" t="s">
        <v>16</v>
      </c>
      <c r="JKS864" s="22" t="s">
        <v>16</v>
      </c>
      <c r="JKT864" s="22" t="s">
        <v>16</v>
      </c>
      <c r="JKU864" s="22" t="s">
        <v>16</v>
      </c>
      <c r="JKV864" s="22" t="s">
        <v>16</v>
      </c>
      <c r="JKW864" s="22" t="s">
        <v>16</v>
      </c>
      <c r="JKX864" s="22" t="s">
        <v>16</v>
      </c>
      <c r="JKY864" s="22" t="s">
        <v>16</v>
      </c>
      <c r="JKZ864" s="22" t="s">
        <v>16</v>
      </c>
      <c r="JLA864" s="22" t="s">
        <v>16</v>
      </c>
      <c r="JLB864" s="22" t="s">
        <v>16</v>
      </c>
      <c r="JLC864" s="22" t="s">
        <v>16</v>
      </c>
      <c r="JLD864" s="22" t="s">
        <v>16</v>
      </c>
      <c r="JLE864" s="22" t="s">
        <v>16</v>
      </c>
      <c r="JLF864" s="22" t="s">
        <v>16</v>
      </c>
      <c r="JLG864" s="22" t="s">
        <v>16</v>
      </c>
      <c r="JLH864" s="22" t="s">
        <v>16</v>
      </c>
      <c r="JLI864" s="22" t="s">
        <v>16</v>
      </c>
      <c r="JLJ864" s="22" t="s">
        <v>16</v>
      </c>
      <c r="JLK864" s="22" t="s">
        <v>16</v>
      </c>
      <c r="JLL864" s="22" t="s">
        <v>16</v>
      </c>
      <c r="JLM864" s="22" t="s">
        <v>16</v>
      </c>
      <c r="JLN864" s="22" t="s">
        <v>16</v>
      </c>
      <c r="JLO864" s="22" t="s">
        <v>16</v>
      </c>
      <c r="JLP864" s="22" t="s">
        <v>16</v>
      </c>
      <c r="JLQ864" s="22" t="s">
        <v>16</v>
      </c>
      <c r="JLR864" s="22" t="s">
        <v>16</v>
      </c>
      <c r="JLS864" s="22" t="s">
        <v>16</v>
      </c>
      <c r="JLT864" s="22" t="s">
        <v>16</v>
      </c>
      <c r="JLU864" s="22" t="s">
        <v>16</v>
      </c>
      <c r="JLV864" s="22" t="s">
        <v>16</v>
      </c>
      <c r="JLW864" s="22" t="s">
        <v>16</v>
      </c>
      <c r="JLX864" s="22" t="s">
        <v>16</v>
      </c>
      <c r="JLY864" s="22" t="s">
        <v>16</v>
      </c>
      <c r="JLZ864" s="22" t="s">
        <v>16</v>
      </c>
      <c r="JMA864" s="22" t="s">
        <v>16</v>
      </c>
      <c r="JMB864" s="22" t="s">
        <v>16</v>
      </c>
      <c r="JMC864" s="22" t="s">
        <v>16</v>
      </c>
      <c r="JMD864" s="22" t="s">
        <v>16</v>
      </c>
      <c r="JME864" s="22" t="s">
        <v>16</v>
      </c>
      <c r="JMF864" s="22" t="s">
        <v>16</v>
      </c>
      <c r="JMG864" s="22" t="s">
        <v>16</v>
      </c>
      <c r="JMH864" s="22" t="s">
        <v>16</v>
      </c>
      <c r="JMI864" s="22" t="s">
        <v>16</v>
      </c>
      <c r="JMJ864" s="22" t="s">
        <v>16</v>
      </c>
      <c r="JMK864" s="22" t="s">
        <v>16</v>
      </c>
      <c r="JML864" s="22" t="s">
        <v>16</v>
      </c>
      <c r="JMM864" s="22" t="s">
        <v>16</v>
      </c>
      <c r="JMN864" s="22" t="s">
        <v>16</v>
      </c>
      <c r="JMO864" s="22" t="s">
        <v>16</v>
      </c>
      <c r="JMP864" s="22" t="s">
        <v>16</v>
      </c>
      <c r="JMQ864" s="22" t="s">
        <v>16</v>
      </c>
      <c r="JMR864" s="22" t="s">
        <v>16</v>
      </c>
      <c r="JMS864" s="22" t="s">
        <v>16</v>
      </c>
      <c r="JMT864" s="22" t="s">
        <v>16</v>
      </c>
      <c r="JMU864" s="22" t="s">
        <v>16</v>
      </c>
      <c r="JMV864" s="22" t="s">
        <v>16</v>
      </c>
      <c r="JMW864" s="22" t="s">
        <v>16</v>
      </c>
      <c r="JMX864" s="22" t="s">
        <v>16</v>
      </c>
      <c r="JMY864" s="22" t="s">
        <v>16</v>
      </c>
      <c r="JMZ864" s="22" t="s">
        <v>16</v>
      </c>
      <c r="JNA864" s="22" t="s">
        <v>16</v>
      </c>
      <c r="JNB864" s="22" t="s">
        <v>16</v>
      </c>
      <c r="JNC864" s="22" t="s">
        <v>16</v>
      </c>
      <c r="JND864" s="22" t="s">
        <v>16</v>
      </c>
      <c r="JNE864" s="22" t="s">
        <v>16</v>
      </c>
      <c r="JNF864" s="22" t="s">
        <v>16</v>
      </c>
      <c r="JNG864" s="22" t="s">
        <v>16</v>
      </c>
      <c r="JNH864" s="22" t="s">
        <v>16</v>
      </c>
      <c r="JNI864" s="22" t="s">
        <v>16</v>
      </c>
      <c r="JNJ864" s="22" t="s">
        <v>16</v>
      </c>
      <c r="JNK864" s="22" t="s">
        <v>16</v>
      </c>
      <c r="JNL864" s="22" t="s">
        <v>16</v>
      </c>
      <c r="JNM864" s="22" t="s">
        <v>16</v>
      </c>
      <c r="JNN864" s="22" t="s">
        <v>16</v>
      </c>
      <c r="JNO864" s="22" t="s">
        <v>16</v>
      </c>
      <c r="JNP864" s="22" t="s">
        <v>16</v>
      </c>
      <c r="JNQ864" s="22" t="s">
        <v>16</v>
      </c>
      <c r="JNR864" s="22" t="s">
        <v>16</v>
      </c>
      <c r="JNS864" s="22" t="s">
        <v>16</v>
      </c>
      <c r="JNT864" s="22" t="s">
        <v>16</v>
      </c>
      <c r="JNU864" s="22" t="s">
        <v>16</v>
      </c>
      <c r="JNV864" s="22" t="s">
        <v>16</v>
      </c>
      <c r="JNW864" s="22" t="s">
        <v>16</v>
      </c>
      <c r="JNX864" s="22" t="s">
        <v>16</v>
      </c>
      <c r="JNY864" s="22" t="s">
        <v>16</v>
      </c>
      <c r="JNZ864" s="22" t="s">
        <v>16</v>
      </c>
      <c r="JOA864" s="22" t="s">
        <v>16</v>
      </c>
      <c r="JOB864" s="22" t="s">
        <v>16</v>
      </c>
      <c r="JOC864" s="22" t="s">
        <v>16</v>
      </c>
      <c r="JOD864" s="22" t="s">
        <v>16</v>
      </c>
      <c r="JOE864" s="22" t="s">
        <v>16</v>
      </c>
      <c r="JOF864" s="22" t="s">
        <v>16</v>
      </c>
      <c r="JOG864" s="22" t="s">
        <v>16</v>
      </c>
      <c r="JOH864" s="22" t="s">
        <v>16</v>
      </c>
      <c r="JOI864" s="22" t="s">
        <v>16</v>
      </c>
      <c r="JOJ864" s="22" t="s">
        <v>16</v>
      </c>
      <c r="JOK864" s="22" t="s">
        <v>16</v>
      </c>
      <c r="JOL864" s="22" t="s">
        <v>16</v>
      </c>
      <c r="JOM864" s="22" t="s">
        <v>16</v>
      </c>
      <c r="JON864" s="22" t="s">
        <v>16</v>
      </c>
      <c r="JOO864" s="22" t="s">
        <v>16</v>
      </c>
      <c r="JOP864" s="22" t="s">
        <v>16</v>
      </c>
      <c r="JOQ864" s="22" t="s">
        <v>16</v>
      </c>
      <c r="JOR864" s="22" t="s">
        <v>16</v>
      </c>
      <c r="JOS864" s="22" t="s">
        <v>16</v>
      </c>
      <c r="JOT864" s="22" t="s">
        <v>16</v>
      </c>
      <c r="JOU864" s="22" t="s">
        <v>16</v>
      </c>
      <c r="JOV864" s="22" t="s">
        <v>16</v>
      </c>
      <c r="JOW864" s="22" t="s">
        <v>16</v>
      </c>
      <c r="JOX864" s="22" t="s">
        <v>16</v>
      </c>
      <c r="JOY864" s="22" t="s">
        <v>16</v>
      </c>
      <c r="JOZ864" s="22" t="s">
        <v>16</v>
      </c>
      <c r="JPA864" s="22" t="s">
        <v>16</v>
      </c>
      <c r="JPB864" s="22" t="s">
        <v>16</v>
      </c>
      <c r="JPC864" s="22" t="s">
        <v>16</v>
      </c>
      <c r="JPD864" s="22" t="s">
        <v>16</v>
      </c>
      <c r="JPE864" s="22" t="s">
        <v>16</v>
      </c>
      <c r="JPF864" s="22" t="s">
        <v>16</v>
      </c>
      <c r="JPG864" s="22" t="s">
        <v>16</v>
      </c>
      <c r="JPH864" s="22" t="s">
        <v>16</v>
      </c>
      <c r="JPI864" s="22" t="s">
        <v>16</v>
      </c>
      <c r="JPJ864" s="22" t="s">
        <v>16</v>
      </c>
      <c r="JPK864" s="22" t="s">
        <v>16</v>
      </c>
      <c r="JPL864" s="22" t="s">
        <v>16</v>
      </c>
      <c r="JPM864" s="22" t="s">
        <v>16</v>
      </c>
      <c r="JPN864" s="22" t="s">
        <v>16</v>
      </c>
      <c r="JPO864" s="22" t="s">
        <v>16</v>
      </c>
      <c r="JPP864" s="22" t="s">
        <v>16</v>
      </c>
      <c r="JPQ864" s="22" t="s">
        <v>16</v>
      </c>
      <c r="JPR864" s="22" t="s">
        <v>16</v>
      </c>
      <c r="JPS864" s="22" t="s">
        <v>16</v>
      </c>
      <c r="JPT864" s="22" t="s">
        <v>16</v>
      </c>
      <c r="JPU864" s="22" t="s">
        <v>16</v>
      </c>
      <c r="JPV864" s="22" t="s">
        <v>16</v>
      </c>
      <c r="JPW864" s="22" t="s">
        <v>16</v>
      </c>
      <c r="JPX864" s="22" t="s">
        <v>16</v>
      </c>
      <c r="JPY864" s="22" t="s">
        <v>16</v>
      </c>
      <c r="JPZ864" s="22" t="s">
        <v>16</v>
      </c>
      <c r="JQA864" s="22" t="s">
        <v>16</v>
      </c>
      <c r="JQB864" s="22" t="s">
        <v>16</v>
      </c>
      <c r="JQC864" s="22" t="s">
        <v>16</v>
      </c>
      <c r="JQD864" s="22" t="s">
        <v>16</v>
      </c>
      <c r="JQE864" s="22" t="s">
        <v>16</v>
      </c>
      <c r="JQF864" s="22" t="s">
        <v>16</v>
      </c>
      <c r="JQG864" s="22" t="s">
        <v>16</v>
      </c>
      <c r="JQH864" s="22" t="s">
        <v>16</v>
      </c>
      <c r="JQI864" s="22" t="s">
        <v>16</v>
      </c>
      <c r="JQJ864" s="22" t="s">
        <v>16</v>
      </c>
      <c r="JQK864" s="22" t="s">
        <v>16</v>
      </c>
      <c r="JQL864" s="22" t="s">
        <v>16</v>
      </c>
      <c r="JQM864" s="22" t="s">
        <v>16</v>
      </c>
      <c r="JQN864" s="22" t="s">
        <v>16</v>
      </c>
      <c r="JQO864" s="22" t="s">
        <v>16</v>
      </c>
      <c r="JQP864" s="22" t="s">
        <v>16</v>
      </c>
      <c r="JQQ864" s="22" t="s">
        <v>16</v>
      </c>
      <c r="JQR864" s="22" t="s">
        <v>16</v>
      </c>
      <c r="JQS864" s="22" t="s">
        <v>16</v>
      </c>
      <c r="JQT864" s="22" t="s">
        <v>16</v>
      </c>
      <c r="JQU864" s="22" t="s">
        <v>16</v>
      </c>
      <c r="JQV864" s="22" t="s">
        <v>16</v>
      </c>
      <c r="JQW864" s="22" t="s">
        <v>16</v>
      </c>
      <c r="JQX864" s="22" t="s">
        <v>16</v>
      </c>
      <c r="JQY864" s="22" t="s">
        <v>16</v>
      </c>
      <c r="JQZ864" s="22" t="s">
        <v>16</v>
      </c>
      <c r="JRA864" s="22" t="s">
        <v>16</v>
      </c>
      <c r="JRB864" s="22" t="s">
        <v>16</v>
      </c>
      <c r="JRC864" s="22" t="s">
        <v>16</v>
      </c>
      <c r="JRD864" s="22" t="s">
        <v>16</v>
      </c>
      <c r="JRE864" s="22" t="s">
        <v>16</v>
      </c>
      <c r="JRF864" s="22" t="s">
        <v>16</v>
      </c>
      <c r="JRG864" s="22" t="s">
        <v>16</v>
      </c>
      <c r="JRH864" s="22" t="s">
        <v>16</v>
      </c>
      <c r="JRI864" s="22" t="s">
        <v>16</v>
      </c>
      <c r="JRJ864" s="22" t="s">
        <v>16</v>
      </c>
      <c r="JRK864" s="22" t="s">
        <v>16</v>
      </c>
      <c r="JRL864" s="22" t="s">
        <v>16</v>
      </c>
      <c r="JRM864" s="22" t="s">
        <v>16</v>
      </c>
      <c r="JRN864" s="22" t="s">
        <v>16</v>
      </c>
      <c r="JRO864" s="22" t="s">
        <v>16</v>
      </c>
      <c r="JRP864" s="22" t="s">
        <v>16</v>
      </c>
      <c r="JRQ864" s="22" t="s">
        <v>16</v>
      </c>
      <c r="JRR864" s="22" t="s">
        <v>16</v>
      </c>
      <c r="JRS864" s="22" t="s">
        <v>16</v>
      </c>
      <c r="JRT864" s="22" t="s">
        <v>16</v>
      </c>
      <c r="JRU864" s="22" t="s">
        <v>16</v>
      </c>
      <c r="JRV864" s="22" t="s">
        <v>16</v>
      </c>
      <c r="JRW864" s="22" t="s">
        <v>16</v>
      </c>
      <c r="JRX864" s="22" t="s">
        <v>16</v>
      </c>
      <c r="JRY864" s="22" t="s">
        <v>16</v>
      </c>
      <c r="JRZ864" s="22" t="s">
        <v>16</v>
      </c>
      <c r="JSA864" s="22" t="s">
        <v>16</v>
      </c>
      <c r="JSB864" s="22" t="s">
        <v>16</v>
      </c>
      <c r="JSC864" s="22" t="s">
        <v>16</v>
      </c>
      <c r="JSD864" s="22" t="s">
        <v>16</v>
      </c>
      <c r="JSE864" s="22" t="s">
        <v>16</v>
      </c>
      <c r="JSF864" s="22" t="s">
        <v>16</v>
      </c>
      <c r="JSG864" s="22" t="s">
        <v>16</v>
      </c>
      <c r="JSH864" s="22" t="s">
        <v>16</v>
      </c>
      <c r="JSI864" s="22" t="s">
        <v>16</v>
      </c>
      <c r="JSJ864" s="22" t="s">
        <v>16</v>
      </c>
      <c r="JSK864" s="22" t="s">
        <v>16</v>
      </c>
      <c r="JSL864" s="22" t="s">
        <v>16</v>
      </c>
      <c r="JSM864" s="22" t="s">
        <v>16</v>
      </c>
      <c r="JSN864" s="22" t="s">
        <v>16</v>
      </c>
      <c r="JSO864" s="22" t="s">
        <v>16</v>
      </c>
      <c r="JSP864" s="22" t="s">
        <v>16</v>
      </c>
      <c r="JSQ864" s="22" t="s">
        <v>16</v>
      </c>
      <c r="JSR864" s="22" t="s">
        <v>16</v>
      </c>
      <c r="JSS864" s="22" t="s">
        <v>16</v>
      </c>
      <c r="JST864" s="22" t="s">
        <v>16</v>
      </c>
      <c r="JSU864" s="22" t="s">
        <v>16</v>
      </c>
      <c r="JSV864" s="22" t="s">
        <v>16</v>
      </c>
      <c r="JSW864" s="22" t="s">
        <v>16</v>
      </c>
      <c r="JSX864" s="22" t="s">
        <v>16</v>
      </c>
      <c r="JSY864" s="22" t="s">
        <v>16</v>
      </c>
      <c r="JSZ864" s="22" t="s">
        <v>16</v>
      </c>
      <c r="JTA864" s="22" t="s">
        <v>16</v>
      </c>
      <c r="JTB864" s="22" t="s">
        <v>16</v>
      </c>
      <c r="JTC864" s="22" t="s">
        <v>16</v>
      </c>
      <c r="JTD864" s="22" t="s">
        <v>16</v>
      </c>
      <c r="JTE864" s="22" t="s">
        <v>16</v>
      </c>
      <c r="JTF864" s="22" t="s">
        <v>16</v>
      </c>
      <c r="JTG864" s="22" t="s">
        <v>16</v>
      </c>
      <c r="JTH864" s="22" t="s">
        <v>16</v>
      </c>
      <c r="JTI864" s="22" t="s">
        <v>16</v>
      </c>
      <c r="JTJ864" s="22" t="s">
        <v>16</v>
      </c>
      <c r="JTK864" s="22" t="s">
        <v>16</v>
      </c>
      <c r="JTL864" s="22" t="s">
        <v>16</v>
      </c>
      <c r="JTM864" s="22" t="s">
        <v>16</v>
      </c>
      <c r="JTN864" s="22" t="s">
        <v>16</v>
      </c>
      <c r="JTO864" s="22" t="s">
        <v>16</v>
      </c>
      <c r="JTP864" s="22" t="s">
        <v>16</v>
      </c>
      <c r="JTQ864" s="22" t="s">
        <v>16</v>
      </c>
      <c r="JTR864" s="22" t="s">
        <v>16</v>
      </c>
      <c r="JTS864" s="22" t="s">
        <v>16</v>
      </c>
      <c r="JTT864" s="22" t="s">
        <v>16</v>
      </c>
      <c r="JTU864" s="22" t="s">
        <v>16</v>
      </c>
      <c r="JTV864" s="22" t="s">
        <v>16</v>
      </c>
      <c r="JTW864" s="22" t="s">
        <v>16</v>
      </c>
      <c r="JTX864" s="22" t="s">
        <v>16</v>
      </c>
      <c r="JTY864" s="22" t="s">
        <v>16</v>
      </c>
      <c r="JTZ864" s="22" t="s">
        <v>16</v>
      </c>
      <c r="JUA864" s="22" t="s">
        <v>16</v>
      </c>
      <c r="JUB864" s="22" t="s">
        <v>16</v>
      </c>
      <c r="JUC864" s="22" t="s">
        <v>16</v>
      </c>
      <c r="JUD864" s="22" t="s">
        <v>16</v>
      </c>
      <c r="JUE864" s="22" t="s">
        <v>16</v>
      </c>
      <c r="JUF864" s="22" t="s">
        <v>16</v>
      </c>
      <c r="JUG864" s="22" t="s">
        <v>16</v>
      </c>
      <c r="JUH864" s="22" t="s">
        <v>16</v>
      </c>
      <c r="JUI864" s="22" t="s">
        <v>16</v>
      </c>
      <c r="JUJ864" s="22" t="s">
        <v>16</v>
      </c>
      <c r="JUK864" s="22" t="s">
        <v>16</v>
      </c>
      <c r="JUL864" s="22" t="s">
        <v>16</v>
      </c>
      <c r="JUM864" s="22" t="s">
        <v>16</v>
      </c>
      <c r="JUN864" s="22" t="s">
        <v>16</v>
      </c>
      <c r="JUO864" s="22" t="s">
        <v>16</v>
      </c>
      <c r="JUP864" s="22" t="s">
        <v>16</v>
      </c>
      <c r="JUQ864" s="22" t="s">
        <v>16</v>
      </c>
      <c r="JUR864" s="22" t="s">
        <v>16</v>
      </c>
      <c r="JUS864" s="22" t="s">
        <v>16</v>
      </c>
      <c r="JUT864" s="22" t="s">
        <v>16</v>
      </c>
      <c r="JUU864" s="22" t="s">
        <v>16</v>
      </c>
      <c r="JUV864" s="22" t="s">
        <v>16</v>
      </c>
      <c r="JUW864" s="22" t="s">
        <v>16</v>
      </c>
      <c r="JUX864" s="22" t="s">
        <v>16</v>
      </c>
      <c r="JUY864" s="22" t="s">
        <v>16</v>
      </c>
      <c r="JUZ864" s="22" t="s">
        <v>16</v>
      </c>
      <c r="JVA864" s="22" t="s">
        <v>16</v>
      </c>
      <c r="JVB864" s="22" t="s">
        <v>16</v>
      </c>
      <c r="JVC864" s="22" t="s">
        <v>16</v>
      </c>
      <c r="JVD864" s="22" t="s">
        <v>16</v>
      </c>
      <c r="JVE864" s="22" t="s">
        <v>16</v>
      </c>
      <c r="JVF864" s="22" t="s">
        <v>16</v>
      </c>
      <c r="JVG864" s="22" t="s">
        <v>16</v>
      </c>
      <c r="JVH864" s="22" t="s">
        <v>16</v>
      </c>
      <c r="JVI864" s="22" t="s">
        <v>16</v>
      </c>
      <c r="JVJ864" s="22" t="s">
        <v>16</v>
      </c>
      <c r="JVK864" s="22" t="s">
        <v>16</v>
      </c>
      <c r="JVL864" s="22" t="s">
        <v>16</v>
      </c>
      <c r="JVM864" s="22" t="s">
        <v>16</v>
      </c>
      <c r="JVN864" s="22" t="s">
        <v>16</v>
      </c>
      <c r="JVO864" s="22" t="s">
        <v>16</v>
      </c>
      <c r="JVP864" s="22" t="s">
        <v>16</v>
      </c>
      <c r="JVQ864" s="22" t="s">
        <v>16</v>
      </c>
      <c r="JVR864" s="22" t="s">
        <v>16</v>
      </c>
      <c r="JVS864" s="22" t="s">
        <v>16</v>
      </c>
      <c r="JVT864" s="22" t="s">
        <v>16</v>
      </c>
      <c r="JVU864" s="22" t="s">
        <v>16</v>
      </c>
      <c r="JVV864" s="22" t="s">
        <v>16</v>
      </c>
      <c r="JVW864" s="22" t="s">
        <v>16</v>
      </c>
      <c r="JVX864" s="22" t="s">
        <v>16</v>
      </c>
      <c r="JVY864" s="22" t="s">
        <v>16</v>
      </c>
      <c r="JVZ864" s="22" t="s">
        <v>16</v>
      </c>
      <c r="JWA864" s="22" t="s">
        <v>16</v>
      </c>
      <c r="JWB864" s="22" t="s">
        <v>16</v>
      </c>
      <c r="JWC864" s="22" t="s">
        <v>16</v>
      </c>
      <c r="JWD864" s="22" t="s">
        <v>16</v>
      </c>
      <c r="JWE864" s="22" t="s">
        <v>16</v>
      </c>
      <c r="JWF864" s="22" t="s">
        <v>16</v>
      </c>
      <c r="JWG864" s="22" t="s">
        <v>16</v>
      </c>
      <c r="JWH864" s="22" t="s">
        <v>16</v>
      </c>
      <c r="JWI864" s="22" t="s">
        <v>16</v>
      </c>
      <c r="JWJ864" s="22" t="s">
        <v>16</v>
      </c>
      <c r="JWK864" s="22" t="s">
        <v>16</v>
      </c>
      <c r="JWL864" s="22" t="s">
        <v>16</v>
      </c>
      <c r="JWM864" s="22" t="s">
        <v>16</v>
      </c>
      <c r="JWN864" s="22" t="s">
        <v>16</v>
      </c>
      <c r="JWO864" s="22" t="s">
        <v>16</v>
      </c>
      <c r="JWP864" s="22" t="s">
        <v>16</v>
      </c>
      <c r="JWQ864" s="22" t="s">
        <v>16</v>
      </c>
      <c r="JWR864" s="22" t="s">
        <v>16</v>
      </c>
      <c r="JWS864" s="22" t="s">
        <v>16</v>
      </c>
      <c r="JWT864" s="22" t="s">
        <v>16</v>
      </c>
      <c r="JWU864" s="22" t="s">
        <v>16</v>
      </c>
      <c r="JWV864" s="22" t="s">
        <v>16</v>
      </c>
      <c r="JWW864" s="22" t="s">
        <v>16</v>
      </c>
      <c r="JWX864" s="22" t="s">
        <v>16</v>
      </c>
      <c r="JWY864" s="22" t="s">
        <v>16</v>
      </c>
      <c r="JWZ864" s="22" t="s">
        <v>16</v>
      </c>
      <c r="JXA864" s="22" t="s">
        <v>16</v>
      </c>
      <c r="JXB864" s="22" t="s">
        <v>16</v>
      </c>
      <c r="JXC864" s="22" t="s">
        <v>16</v>
      </c>
      <c r="JXD864" s="22" t="s">
        <v>16</v>
      </c>
      <c r="JXE864" s="22" t="s">
        <v>16</v>
      </c>
      <c r="JXF864" s="22" t="s">
        <v>16</v>
      </c>
      <c r="JXG864" s="22" t="s">
        <v>16</v>
      </c>
      <c r="JXH864" s="22" t="s">
        <v>16</v>
      </c>
      <c r="JXI864" s="22" t="s">
        <v>16</v>
      </c>
      <c r="JXJ864" s="22" t="s">
        <v>16</v>
      </c>
      <c r="JXK864" s="22" t="s">
        <v>16</v>
      </c>
      <c r="JXL864" s="22" t="s">
        <v>16</v>
      </c>
      <c r="JXM864" s="22" t="s">
        <v>16</v>
      </c>
      <c r="JXN864" s="22" t="s">
        <v>16</v>
      </c>
      <c r="JXO864" s="22" t="s">
        <v>16</v>
      </c>
      <c r="JXP864" s="22" t="s">
        <v>16</v>
      </c>
      <c r="JXQ864" s="22" t="s">
        <v>16</v>
      </c>
      <c r="JXR864" s="22" t="s">
        <v>16</v>
      </c>
      <c r="JXS864" s="22" t="s">
        <v>16</v>
      </c>
      <c r="JXT864" s="22" t="s">
        <v>16</v>
      </c>
      <c r="JXU864" s="22" t="s">
        <v>16</v>
      </c>
      <c r="JXV864" s="22" t="s">
        <v>16</v>
      </c>
      <c r="JXW864" s="22" t="s">
        <v>16</v>
      </c>
      <c r="JXX864" s="22" t="s">
        <v>16</v>
      </c>
      <c r="JXY864" s="22" t="s">
        <v>16</v>
      </c>
      <c r="JXZ864" s="22" t="s">
        <v>16</v>
      </c>
      <c r="JYA864" s="22" t="s">
        <v>16</v>
      </c>
      <c r="JYB864" s="22" t="s">
        <v>16</v>
      </c>
      <c r="JYC864" s="22" t="s">
        <v>16</v>
      </c>
      <c r="JYD864" s="22" t="s">
        <v>16</v>
      </c>
      <c r="JYE864" s="22" t="s">
        <v>16</v>
      </c>
      <c r="JYF864" s="22" t="s">
        <v>16</v>
      </c>
      <c r="JYG864" s="22" t="s">
        <v>16</v>
      </c>
      <c r="JYH864" s="22" t="s">
        <v>16</v>
      </c>
      <c r="JYI864" s="22" t="s">
        <v>16</v>
      </c>
      <c r="JYJ864" s="22" t="s">
        <v>16</v>
      </c>
      <c r="JYK864" s="22" t="s">
        <v>16</v>
      </c>
      <c r="JYL864" s="22" t="s">
        <v>16</v>
      </c>
      <c r="JYM864" s="22" t="s">
        <v>16</v>
      </c>
      <c r="JYN864" s="22" t="s">
        <v>16</v>
      </c>
      <c r="JYO864" s="22" t="s">
        <v>16</v>
      </c>
      <c r="JYP864" s="22" t="s">
        <v>16</v>
      </c>
      <c r="JYQ864" s="22" t="s">
        <v>16</v>
      </c>
      <c r="JYR864" s="22" t="s">
        <v>16</v>
      </c>
      <c r="JYS864" s="22" t="s">
        <v>16</v>
      </c>
      <c r="JYT864" s="22" t="s">
        <v>16</v>
      </c>
      <c r="JYU864" s="22" t="s">
        <v>16</v>
      </c>
      <c r="JYV864" s="22" t="s">
        <v>16</v>
      </c>
      <c r="JYW864" s="22" t="s">
        <v>16</v>
      </c>
      <c r="JYX864" s="22" t="s">
        <v>16</v>
      </c>
      <c r="JYY864" s="22" t="s">
        <v>16</v>
      </c>
      <c r="JYZ864" s="22" t="s">
        <v>16</v>
      </c>
      <c r="JZA864" s="22" t="s">
        <v>16</v>
      </c>
      <c r="JZB864" s="22" t="s">
        <v>16</v>
      </c>
      <c r="JZC864" s="22" t="s">
        <v>16</v>
      </c>
      <c r="JZD864" s="22" t="s">
        <v>16</v>
      </c>
      <c r="JZE864" s="22" t="s">
        <v>16</v>
      </c>
      <c r="JZF864" s="22" t="s">
        <v>16</v>
      </c>
      <c r="JZG864" s="22" t="s">
        <v>16</v>
      </c>
      <c r="JZH864" s="22" t="s">
        <v>16</v>
      </c>
      <c r="JZI864" s="22" t="s">
        <v>16</v>
      </c>
      <c r="JZJ864" s="22" t="s">
        <v>16</v>
      </c>
      <c r="JZK864" s="22" t="s">
        <v>16</v>
      </c>
      <c r="JZL864" s="22" t="s">
        <v>16</v>
      </c>
      <c r="JZM864" s="22" t="s">
        <v>16</v>
      </c>
      <c r="JZN864" s="22" t="s">
        <v>16</v>
      </c>
      <c r="JZO864" s="22" t="s">
        <v>16</v>
      </c>
      <c r="JZP864" s="22" t="s">
        <v>16</v>
      </c>
      <c r="JZQ864" s="22" t="s">
        <v>16</v>
      </c>
      <c r="JZR864" s="22" t="s">
        <v>16</v>
      </c>
      <c r="JZS864" s="22" t="s">
        <v>16</v>
      </c>
      <c r="JZT864" s="22" t="s">
        <v>16</v>
      </c>
      <c r="JZU864" s="22" t="s">
        <v>16</v>
      </c>
      <c r="JZV864" s="22" t="s">
        <v>16</v>
      </c>
      <c r="JZW864" s="22" t="s">
        <v>16</v>
      </c>
      <c r="JZX864" s="22" t="s">
        <v>16</v>
      </c>
      <c r="JZY864" s="22" t="s">
        <v>16</v>
      </c>
      <c r="JZZ864" s="22" t="s">
        <v>16</v>
      </c>
      <c r="KAA864" s="22" t="s">
        <v>16</v>
      </c>
      <c r="KAB864" s="22" t="s">
        <v>16</v>
      </c>
      <c r="KAC864" s="22" t="s">
        <v>16</v>
      </c>
      <c r="KAD864" s="22" t="s">
        <v>16</v>
      </c>
      <c r="KAE864" s="22" t="s">
        <v>16</v>
      </c>
      <c r="KAF864" s="22" t="s">
        <v>16</v>
      </c>
      <c r="KAG864" s="22" t="s">
        <v>16</v>
      </c>
      <c r="KAH864" s="22" t="s">
        <v>16</v>
      </c>
      <c r="KAI864" s="22" t="s">
        <v>16</v>
      </c>
      <c r="KAJ864" s="22" t="s">
        <v>16</v>
      </c>
      <c r="KAK864" s="22" t="s">
        <v>16</v>
      </c>
      <c r="KAL864" s="22" t="s">
        <v>16</v>
      </c>
      <c r="KAM864" s="22" t="s">
        <v>16</v>
      </c>
      <c r="KAN864" s="22" t="s">
        <v>16</v>
      </c>
      <c r="KAO864" s="22" t="s">
        <v>16</v>
      </c>
      <c r="KAP864" s="22" t="s">
        <v>16</v>
      </c>
      <c r="KAQ864" s="22" t="s">
        <v>16</v>
      </c>
      <c r="KAR864" s="22" t="s">
        <v>16</v>
      </c>
      <c r="KAS864" s="22" t="s">
        <v>16</v>
      </c>
      <c r="KAT864" s="22" t="s">
        <v>16</v>
      </c>
      <c r="KAU864" s="22" t="s">
        <v>16</v>
      </c>
      <c r="KAV864" s="22" t="s">
        <v>16</v>
      </c>
      <c r="KAW864" s="22" t="s">
        <v>16</v>
      </c>
      <c r="KAX864" s="22" t="s">
        <v>16</v>
      </c>
      <c r="KAY864" s="22" t="s">
        <v>16</v>
      </c>
      <c r="KAZ864" s="22" t="s">
        <v>16</v>
      </c>
      <c r="KBA864" s="22" t="s">
        <v>16</v>
      </c>
      <c r="KBB864" s="22" t="s">
        <v>16</v>
      </c>
      <c r="KBC864" s="22" t="s">
        <v>16</v>
      </c>
      <c r="KBD864" s="22" t="s">
        <v>16</v>
      </c>
      <c r="KBE864" s="22" t="s">
        <v>16</v>
      </c>
      <c r="KBF864" s="22" t="s">
        <v>16</v>
      </c>
      <c r="KBG864" s="22" t="s">
        <v>16</v>
      </c>
      <c r="KBH864" s="22" t="s">
        <v>16</v>
      </c>
      <c r="KBI864" s="22" t="s">
        <v>16</v>
      </c>
      <c r="KBJ864" s="22" t="s">
        <v>16</v>
      </c>
      <c r="KBK864" s="22" t="s">
        <v>16</v>
      </c>
      <c r="KBL864" s="22" t="s">
        <v>16</v>
      </c>
      <c r="KBM864" s="22" t="s">
        <v>16</v>
      </c>
      <c r="KBN864" s="22" t="s">
        <v>16</v>
      </c>
      <c r="KBO864" s="22" t="s">
        <v>16</v>
      </c>
      <c r="KBP864" s="22" t="s">
        <v>16</v>
      </c>
      <c r="KBQ864" s="22" t="s">
        <v>16</v>
      </c>
      <c r="KBR864" s="22" t="s">
        <v>16</v>
      </c>
      <c r="KBS864" s="22" t="s">
        <v>16</v>
      </c>
      <c r="KBT864" s="22" t="s">
        <v>16</v>
      </c>
      <c r="KBU864" s="22" t="s">
        <v>16</v>
      </c>
      <c r="KBV864" s="22" t="s">
        <v>16</v>
      </c>
      <c r="KBW864" s="22" t="s">
        <v>16</v>
      </c>
      <c r="KBX864" s="22" t="s">
        <v>16</v>
      </c>
      <c r="KBY864" s="22" t="s">
        <v>16</v>
      </c>
      <c r="KBZ864" s="22" t="s">
        <v>16</v>
      </c>
      <c r="KCA864" s="22" t="s">
        <v>16</v>
      </c>
      <c r="KCB864" s="22" t="s">
        <v>16</v>
      </c>
      <c r="KCC864" s="22" t="s">
        <v>16</v>
      </c>
      <c r="KCD864" s="22" t="s">
        <v>16</v>
      </c>
      <c r="KCE864" s="22" t="s">
        <v>16</v>
      </c>
      <c r="KCF864" s="22" t="s">
        <v>16</v>
      </c>
      <c r="KCG864" s="22" t="s">
        <v>16</v>
      </c>
      <c r="KCH864" s="22" t="s">
        <v>16</v>
      </c>
      <c r="KCI864" s="22" t="s">
        <v>16</v>
      </c>
      <c r="KCJ864" s="22" t="s">
        <v>16</v>
      </c>
      <c r="KCK864" s="22" t="s">
        <v>16</v>
      </c>
      <c r="KCL864" s="22" t="s">
        <v>16</v>
      </c>
      <c r="KCM864" s="22" t="s">
        <v>16</v>
      </c>
      <c r="KCN864" s="22" t="s">
        <v>16</v>
      </c>
      <c r="KCO864" s="22" t="s">
        <v>16</v>
      </c>
      <c r="KCP864" s="22" t="s">
        <v>16</v>
      </c>
      <c r="KCQ864" s="22" t="s">
        <v>16</v>
      </c>
      <c r="KCR864" s="22" t="s">
        <v>16</v>
      </c>
      <c r="KCS864" s="22" t="s">
        <v>16</v>
      </c>
      <c r="KCT864" s="22" t="s">
        <v>16</v>
      </c>
      <c r="KCU864" s="22" t="s">
        <v>16</v>
      </c>
      <c r="KCV864" s="22" t="s">
        <v>16</v>
      </c>
      <c r="KCW864" s="22" t="s">
        <v>16</v>
      </c>
      <c r="KCX864" s="22" t="s">
        <v>16</v>
      </c>
      <c r="KCY864" s="22" t="s">
        <v>16</v>
      </c>
      <c r="KCZ864" s="22" t="s">
        <v>16</v>
      </c>
      <c r="KDA864" s="22" t="s">
        <v>16</v>
      </c>
      <c r="KDB864" s="22" t="s">
        <v>16</v>
      </c>
      <c r="KDC864" s="22" t="s">
        <v>16</v>
      </c>
      <c r="KDD864" s="22" t="s">
        <v>16</v>
      </c>
      <c r="KDE864" s="22" t="s">
        <v>16</v>
      </c>
      <c r="KDF864" s="22" t="s">
        <v>16</v>
      </c>
      <c r="KDG864" s="22" t="s">
        <v>16</v>
      </c>
      <c r="KDH864" s="22" t="s">
        <v>16</v>
      </c>
      <c r="KDI864" s="22" t="s">
        <v>16</v>
      </c>
      <c r="KDJ864" s="22" t="s">
        <v>16</v>
      </c>
      <c r="KDK864" s="22" t="s">
        <v>16</v>
      </c>
      <c r="KDL864" s="22" t="s">
        <v>16</v>
      </c>
      <c r="KDM864" s="22" t="s">
        <v>16</v>
      </c>
      <c r="KDN864" s="22" t="s">
        <v>16</v>
      </c>
      <c r="KDO864" s="22" t="s">
        <v>16</v>
      </c>
      <c r="KDP864" s="22" t="s">
        <v>16</v>
      </c>
      <c r="KDQ864" s="22" t="s">
        <v>16</v>
      </c>
      <c r="KDR864" s="22" t="s">
        <v>16</v>
      </c>
      <c r="KDS864" s="22" t="s">
        <v>16</v>
      </c>
      <c r="KDT864" s="22" t="s">
        <v>16</v>
      </c>
      <c r="KDU864" s="22" t="s">
        <v>16</v>
      </c>
      <c r="KDV864" s="22" t="s">
        <v>16</v>
      </c>
      <c r="KDW864" s="22" t="s">
        <v>16</v>
      </c>
      <c r="KDX864" s="22" t="s">
        <v>16</v>
      </c>
      <c r="KDY864" s="22" t="s">
        <v>16</v>
      </c>
      <c r="KDZ864" s="22" t="s">
        <v>16</v>
      </c>
      <c r="KEA864" s="22" t="s">
        <v>16</v>
      </c>
      <c r="KEB864" s="22" t="s">
        <v>16</v>
      </c>
      <c r="KEC864" s="22" t="s">
        <v>16</v>
      </c>
      <c r="KED864" s="22" t="s">
        <v>16</v>
      </c>
      <c r="KEE864" s="22" t="s">
        <v>16</v>
      </c>
      <c r="KEF864" s="22" t="s">
        <v>16</v>
      </c>
      <c r="KEG864" s="22" t="s">
        <v>16</v>
      </c>
      <c r="KEH864" s="22" t="s">
        <v>16</v>
      </c>
      <c r="KEI864" s="22" t="s">
        <v>16</v>
      </c>
      <c r="KEJ864" s="22" t="s">
        <v>16</v>
      </c>
      <c r="KEK864" s="22" t="s">
        <v>16</v>
      </c>
      <c r="KEL864" s="22" t="s">
        <v>16</v>
      </c>
      <c r="KEM864" s="22" t="s">
        <v>16</v>
      </c>
      <c r="KEN864" s="22" t="s">
        <v>16</v>
      </c>
      <c r="KEO864" s="22" t="s">
        <v>16</v>
      </c>
      <c r="KEP864" s="22" t="s">
        <v>16</v>
      </c>
      <c r="KEQ864" s="22" t="s">
        <v>16</v>
      </c>
      <c r="KER864" s="22" t="s">
        <v>16</v>
      </c>
      <c r="KES864" s="22" t="s">
        <v>16</v>
      </c>
      <c r="KET864" s="22" t="s">
        <v>16</v>
      </c>
      <c r="KEU864" s="22" t="s">
        <v>16</v>
      </c>
      <c r="KEV864" s="22" t="s">
        <v>16</v>
      </c>
      <c r="KEW864" s="22" t="s">
        <v>16</v>
      </c>
      <c r="KEX864" s="22" t="s">
        <v>16</v>
      </c>
      <c r="KEY864" s="22" t="s">
        <v>16</v>
      </c>
      <c r="KEZ864" s="22" t="s">
        <v>16</v>
      </c>
      <c r="KFA864" s="22" t="s">
        <v>16</v>
      </c>
      <c r="KFB864" s="22" t="s">
        <v>16</v>
      </c>
      <c r="KFC864" s="22" t="s">
        <v>16</v>
      </c>
      <c r="KFD864" s="22" t="s">
        <v>16</v>
      </c>
      <c r="KFE864" s="22" t="s">
        <v>16</v>
      </c>
      <c r="KFF864" s="22" t="s">
        <v>16</v>
      </c>
      <c r="KFG864" s="22" t="s">
        <v>16</v>
      </c>
      <c r="KFH864" s="22" t="s">
        <v>16</v>
      </c>
      <c r="KFI864" s="22" t="s">
        <v>16</v>
      </c>
      <c r="KFJ864" s="22" t="s">
        <v>16</v>
      </c>
      <c r="KFK864" s="22" t="s">
        <v>16</v>
      </c>
      <c r="KFL864" s="22" t="s">
        <v>16</v>
      </c>
      <c r="KFM864" s="22" t="s">
        <v>16</v>
      </c>
      <c r="KFN864" s="22" t="s">
        <v>16</v>
      </c>
      <c r="KFO864" s="22" t="s">
        <v>16</v>
      </c>
      <c r="KFP864" s="22" t="s">
        <v>16</v>
      </c>
      <c r="KFQ864" s="22" t="s">
        <v>16</v>
      </c>
      <c r="KFR864" s="22" t="s">
        <v>16</v>
      </c>
      <c r="KFS864" s="22" t="s">
        <v>16</v>
      </c>
      <c r="KFT864" s="22" t="s">
        <v>16</v>
      </c>
      <c r="KFU864" s="22" t="s">
        <v>16</v>
      </c>
      <c r="KFV864" s="22" t="s">
        <v>16</v>
      </c>
      <c r="KFW864" s="22" t="s">
        <v>16</v>
      </c>
      <c r="KFX864" s="22" t="s">
        <v>16</v>
      </c>
      <c r="KFY864" s="22" t="s">
        <v>16</v>
      </c>
      <c r="KFZ864" s="22" t="s">
        <v>16</v>
      </c>
      <c r="KGA864" s="22" t="s">
        <v>16</v>
      </c>
      <c r="KGB864" s="22" t="s">
        <v>16</v>
      </c>
      <c r="KGC864" s="22" t="s">
        <v>16</v>
      </c>
      <c r="KGD864" s="22" t="s">
        <v>16</v>
      </c>
      <c r="KGE864" s="22" t="s">
        <v>16</v>
      </c>
      <c r="KGF864" s="22" t="s">
        <v>16</v>
      </c>
      <c r="KGG864" s="22" t="s">
        <v>16</v>
      </c>
      <c r="KGH864" s="22" t="s">
        <v>16</v>
      </c>
      <c r="KGI864" s="22" t="s">
        <v>16</v>
      </c>
      <c r="KGJ864" s="22" t="s">
        <v>16</v>
      </c>
      <c r="KGK864" s="22" t="s">
        <v>16</v>
      </c>
      <c r="KGL864" s="22" t="s">
        <v>16</v>
      </c>
      <c r="KGM864" s="22" t="s">
        <v>16</v>
      </c>
      <c r="KGN864" s="22" t="s">
        <v>16</v>
      </c>
      <c r="KGO864" s="22" t="s">
        <v>16</v>
      </c>
      <c r="KGP864" s="22" t="s">
        <v>16</v>
      </c>
      <c r="KGQ864" s="22" t="s">
        <v>16</v>
      </c>
      <c r="KGR864" s="22" t="s">
        <v>16</v>
      </c>
      <c r="KGS864" s="22" t="s">
        <v>16</v>
      </c>
      <c r="KGT864" s="22" t="s">
        <v>16</v>
      </c>
      <c r="KGU864" s="22" t="s">
        <v>16</v>
      </c>
      <c r="KGV864" s="22" t="s">
        <v>16</v>
      </c>
      <c r="KGW864" s="22" t="s">
        <v>16</v>
      </c>
      <c r="KGX864" s="22" t="s">
        <v>16</v>
      </c>
      <c r="KGY864" s="22" t="s">
        <v>16</v>
      </c>
      <c r="KGZ864" s="22" t="s">
        <v>16</v>
      </c>
      <c r="KHA864" s="22" t="s">
        <v>16</v>
      </c>
      <c r="KHB864" s="22" t="s">
        <v>16</v>
      </c>
      <c r="KHC864" s="22" t="s">
        <v>16</v>
      </c>
      <c r="KHD864" s="22" t="s">
        <v>16</v>
      </c>
      <c r="KHE864" s="22" t="s">
        <v>16</v>
      </c>
      <c r="KHF864" s="22" t="s">
        <v>16</v>
      </c>
      <c r="KHG864" s="22" t="s">
        <v>16</v>
      </c>
      <c r="KHH864" s="22" t="s">
        <v>16</v>
      </c>
      <c r="KHI864" s="22" t="s">
        <v>16</v>
      </c>
      <c r="KHJ864" s="22" t="s">
        <v>16</v>
      </c>
      <c r="KHK864" s="22" t="s">
        <v>16</v>
      </c>
      <c r="KHL864" s="22" t="s">
        <v>16</v>
      </c>
      <c r="KHM864" s="22" t="s">
        <v>16</v>
      </c>
      <c r="KHN864" s="22" t="s">
        <v>16</v>
      </c>
      <c r="KHO864" s="22" t="s">
        <v>16</v>
      </c>
      <c r="KHP864" s="22" t="s">
        <v>16</v>
      </c>
      <c r="KHQ864" s="22" t="s">
        <v>16</v>
      </c>
      <c r="KHR864" s="22" t="s">
        <v>16</v>
      </c>
      <c r="KHS864" s="22" t="s">
        <v>16</v>
      </c>
      <c r="KHT864" s="22" t="s">
        <v>16</v>
      </c>
      <c r="KHU864" s="22" t="s">
        <v>16</v>
      </c>
      <c r="KHV864" s="22" t="s">
        <v>16</v>
      </c>
      <c r="KHW864" s="22" t="s">
        <v>16</v>
      </c>
      <c r="KHX864" s="22" t="s">
        <v>16</v>
      </c>
      <c r="KHY864" s="22" t="s">
        <v>16</v>
      </c>
      <c r="KHZ864" s="22" t="s">
        <v>16</v>
      </c>
      <c r="KIA864" s="22" t="s">
        <v>16</v>
      </c>
      <c r="KIB864" s="22" t="s">
        <v>16</v>
      </c>
      <c r="KIC864" s="22" t="s">
        <v>16</v>
      </c>
      <c r="KID864" s="22" t="s">
        <v>16</v>
      </c>
      <c r="KIE864" s="22" t="s">
        <v>16</v>
      </c>
      <c r="KIF864" s="22" t="s">
        <v>16</v>
      </c>
      <c r="KIG864" s="22" t="s">
        <v>16</v>
      </c>
      <c r="KIH864" s="22" t="s">
        <v>16</v>
      </c>
      <c r="KII864" s="22" t="s">
        <v>16</v>
      </c>
      <c r="KIJ864" s="22" t="s">
        <v>16</v>
      </c>
      <c r="KIK864" s="22" t="s">
        <v>16</v>
      </c>
      <c r="KIL864" s="22" t="s">
        <v>16</v>
      </c>
      <c r="KIM864" s="22" t="s">
        <v>16</v>
      </c>
      <c r="KIN864" s="22" t="s">
        <v>16</v>
      </c>
      <c r="KIO864" s="22" t="s">
        <v>16</v>
      </c>
      <c r="KIP864" s="22" t="s">
        <v>16</v>
      </c>
      <c r="KIQ864" s="22" t="s">
        <v>16</v>
      </c>
      <c r="KIR864" s="22" t="s">
        <v>16</v>
      </c>
      <c r="KIS864" s="22" t="s">
        <v>16</v>
      </c>
      <c r="KIT864" s="22" t="s">
        <v>16</v>
      </c>
      <c r="KIU864" s="22" t="s">
        <v>16</v>
      </c>
      <c r="KIV864" s="22" t="s">
        <v>16</v>
      </c>
      <c r="KIW864" s="22" t="s">
        <v>16</v>
      </c>
      <c r="KIX864" s="22" t="s">
        <v>16</v>
      </c>
      <c r="KIY864" s="22" t="s">
        <v>16</v>
      </c>
      <c r="KIZ864" s="22" t="s">
        <v>16</v>
      </c>
      <c r="KJA864" s="22" t="s">
        <v>16</v>
      </c>
      <c r="KJB864" s="22" t="s">
        <v>16</v>
      </c>
      <c r="KJC864" s="22" t="s">
        <v>16</v>
      </c>
      <c r="KJD864" s="22" t="s">
        <v>16</v>
      </c>
      <c r="KJE864" s="22" t="s">
        <v>16</v>
      </c>
      <c r="KJF864" s="22" t="s">
        <v>16</v>
      </c>
      <c r="KJG864" s="22" t="s">
        <v>16</v>
      </c>
      <c r="KJH864" s="22" t="s">
        <v>16</v>
      </c>
      <c r="KJI864" s="22" t="s">
        <v>16</v>
      </c>
      <c r="KJJ864" s="22" t="s">
        <v>16</v>
      </c>
      <c r="KJK864" s="22" t="s">
        <v>16</v>
      </c>
      <c r="KJL864" s="22" t="s">
        <v>16</v>
      </c>
      <c r="KJM864" s="22" t="s">
        <v>16</v>
      </c>
      <c r="KJN864" s="22" t="s">
        <v>16</v>
      </c>
      <c r="KJO864" s="22" t="s">
        <v>16</v>
      </c>
      <c r="KJP864" s="22" t="s">
        <v>16</v>
      </c>
      <c r="KJQ864" s="22" t="s">
        <v>16</v>
      </c>
      <c r="KJR864" s="22" t="s">
        <v>16</v>
      </c>
      <c r="KJS864" s="22" t="s">
        <v>16</v>
      </c>
      <c r="KJT864" s="22" t="s">
        <v>16</v>
      </c>
      <c r="KJU864" s="22" t="s">
        <v>16</v>
      </c>
      <c r="KJV864" s="22" t="s">
        <v>16</v>
      </c>
      <c r="KJW864" s="22" t="s">
        <v>16</v>
      </c>
      <c r="KJX864" s="22" t="s">
        <v>16</v>
      </c>
      <c r="KJY864" s="22" t="s">
        <v>16</v>
      </c>
      <c r="KJZ864" s="22" t="s">
        <v>16</v>
      </c>
      <c r="KKA864" s="22" t="s">
        <v>16</v>
      </c>
      <c r="KKB864" s="22" t="s">
        <v>16</v>
      </c>
      <c r="KKC864" s="22" t="s">
        <v>16</v>
      </c>
      <c r="KKD864" s="22" t="s">
        <v>16</v>
      </c>
      <c r="KKE864" s="22" t="s">
        <v>16</v>
      </c>
      <c r="KKF864" s="22" t="s">
        <v>16</v>
      </c>
      <c r="KKG864" s="22" t="s">
        <v>16</v>
      </c>
      <c r="KKH864" s="22" t="s">
        <v>16</v>
      </c>
      <c r="KKI864" s="22" t="s">
        <v>16</v>
      </c>
      <c r="KKJ864" s="22" t="s">
        <v>16</v>
      </c>
      <c r="KKK864" s="22" t="s">
        <v>16</v>
      </c>
      <c r="KKL864" s="22" t="s">
        <v>16</v>
      </c>
      <c r="KKM864" s="22" t="s">
        <v>16</v>
      </c>
      <c r="KKN864" s="22" t="s">
        <v>16</v>
      </c>
      <c r="KKO864" s="22" t="s">
        <v>16</v>
      </c>
      <c r="KKP864" s="22" t="s">
        <v>16</v>
      </c>
      <c r="KKQ864" s="22" t="s">
        <v>16</v>
      </c>
      <c r="KKR864" s="22" t="s">
        <v>16</v>
      </c>
      <c r="KKS864" s="22" t="s">
        <v>16</v>
      </c>
      <c r="KKT864" s="22" t="s">
        <v>16</v>
      </c>
      <c r="KKU864" s="22" t="s">
        <v>16</v>
      </c>
      <c r="KKV864" s="22" t="s">
        <v>16</v>
      </c>
      <c r="KKW864" s="22" t="s">
        <v>16</v>
      </c>
      <c r="KKX864" s="22" t="s">
        <v>16</v>
      </c>
      <c r="KKY864" s="22" t="s">
        <v>16</v>
      </c>
      <c r="KKZ864" s="22" t="s">
        <v>16</v>
      </c>
      <c r="KLA864" s="22" t="s">
        <v>16</v>
      </c>
      <c r="KLB864" s="22" t="s">
        <v>16</v>
      </c>
      <c r="KLC864" s="22" t="s">
        <v>16</v>
      </c>
      <c r="KLD864" s="22" t="s">
        <v>16</v>
      </c>
      <c r="KLE864" s="22" t="s">
        <v>16</v>
      </c>
      <c r="KLF864" s="22" t="s">
        <v>16</v>
      </c>
      <c r="KLG864" s="22" t="s">
        <v>16</v>
      </c>
      <c r="KLH864" s="22" t="s">
        <v>16</v>
      </c>
      <c r="KLI864" s="22" t="s">
        <v>16</v>
      </c>
      <c r="KLJ864" s="22" t="s">
        <v>16</v>
      </c>
      <c r="KLK864" s="22" t="s">
        <v>16</v>
      </c>
      <c r="KLL864" s="22" t="s">
        <v>16</v>
      </c>
      <c r="KLM864" s="22" t="s">
        <v>16</v>
      </c>
      <c r="KLN864" s="22" t="s">
        <v>16</v>
      </c>
      <c r="KLO864" s="22" t="s">
        <v>16</v>
      </c>
      <c r="KLP864" s="22" t="s">
        <v>16</v>
      </c>
      <c r="KLQ864" s="22" t="s">
        <v>16</v>
      </c>
      <c r="KLR864" s="22" t="s">
        <v>16</v>
      </c>
      <c r="KLS864" s="22" t="s">
        <v>16</v>
      </c>
      <c r="KLT864" s="22" t="s">
        <v>16</v>
      </c>
      <c r="KLU864" s="22" t="s">
        <v>16</v>
      </c>
      <c r="KLV864" s="22" t="s">
        <v>16</v>
      </c>
      <c r="KLW864" s="22" t="s">
        <v>16</v>
      </c>
      <c r="KLX864" s="22" t="s">
        <v>16</v>
      </c>
      <c r="KLY864" s="22" t="s">
        <v>16</v>
      </c>
      <c r="KLZ864" s="22" t="s">
        <v>16</v>
      </c>
      <c r="KMA864" s="22" t="s">
        <v>16</v>
      </c>
      <c r="KMB864" s="22" t="s">
        <v>16</v>
      </c>
      <c r="KMC864" s="22" t="s">
        <v>16</v>
      </c>
      <c r="KMD864" s="22" t="s">
        <v>16</v>
      </c>
      <c r="KME864" s="22" t="s">
        <v>16</v>
      </c>
      <c r="KMF864" s="22" t="s">
        <v>16</v>
      </c>
      <c r="KMG864" s="22" t="s">
        <v>16</v>
      </c>
      <c r="KMH864" s="22" t="s">
        <v>16</v>
      </c>
      <c r="KMI864" s="22" t="s">
        <v>16</v>
      </c>
      <c r="KMJ864" s="22" t="s">
        <v>16</v>
      </c>
      <c r="KMK864" s="22" t="s">
        <v>16</v>
      </c>
      <c r="KML864" s="22" t="s">
        <v>16</v>
      </c>
      <c r="KMM864" s="22" t="s">
        <v>16</v>
      </c>
      <c r="KMN864" s="22" t="s">
        <v>16</v>
      </c>
      <c r="KMO864" s="22" t="s">
        <v>16</v>
      </c>
      <c r="KMP864" s="22" t="s">
        <v>16</v>
      </c>
      <c r="KMQ864" s="22" t="s">
        <v>16</v>
      </c>
      <c r="KMR864" s="22" t="s">
        <v>16</v>
      </c>
      <c r="KMS864" s="22" t="s">
        <v>16</v>
      </c>
      <c r="KMT864" s="22" t="s">
        <v>16</v>
      </c>
      <c r="KMU864" s="22" t="s">
        <v>16</v>
      </c>
      <c r="KMV864" s="22" t="s">
        <v>16</v>
      </c>
      <c r="KMW864" s="22" t="s">
        <v>16</v>
      </c>
      <c r="KMX864" s="22" t="s">
        <v>16</v>
      </c>
      <c r="KMY864" s="22" t="s">
        <v>16</v>
      </c>
      <c r="KMZ864" s="22" t="s">
        <v>16</v>
      </c>
      <c r="KNA864" s="22" t="s">
        <v>16</v>
      </c>
      <c r="KNB864" s="22" t="s">
        <v>16</v>
      </c>
      <c r="KNC864" s="22" t="s">
        <v>16</v>
      </c>
      <c r="KND864" s="22" t="s">
        <v>16</v>
      </c>
      <c r="KNE864" s="22" t="s">
        <v>16</v>
      </c>
      <c r="KNF864" s="22" t="s">
        <v>16</v>
      </c>
      <c r="KNG864" s="22" t="s">
        <v>16</v>
      </c>
      <c r="KNH864" s="22" t="s">
        <v>16</v>
      </c>
      <c r="KNI864" s="22" t="s">
        <v>16</v>
      </c>
      <c r="KNJ864" s="22" t="s">
        <v>16</v>
      </c>
      <c r="KNK864" s="22" t="s">
        <v>16</v>
      </c>
      <c r="KNL864" s="22" t="s">
        <v>16</v>
      </c>
      <c r="KNM864" s="22" t="s">
        <v>16</v>
      </c>
      <c r="KNN864" s="22" t="s">
        <v>16</v>
      </c>
      <c r="KNO864" s="22" t="s">
        <v>16</v>
      </c>
      <c r="KNP864" s="22" t="s">
        <v>16</v>
      </c>
      <c r="KNQ864" s="22" t="s">
        <v>16</v>
      </c>
      <c r="KNR864" s="22" t="s">
        <v>16</v>
      </c>
      <c r="KNS864" s="22" t="s">
        <v>16</v>
      </c>
      <c r="KNT864" s="22" t="s">
        <v>16</v>
      </c>
      <c r="KNU864" s="22" t="s">
        <v>16</v>
      </c>
      <c r="KNV864" s="22" t="s">
        <v>16</v>
      </c>
      <c r="KNW864" s="22" t="s">
        <v>16</v>
      </c>
      <c r="KNX864" s="22" t="s">
        <v>16</v>
      </c>
      <c r="KNY864" s="22" t="s">
        <v>16</v>
      </c>
      <c r="KNZ864" s="22" t="s">
        <v>16</v>
      </c>
      <c r="KOA864" s="22" t="s">
        <v>16</v>
      </c>
      <c r="KOB864" s="22" t="s">
        <v>16</v>
      </c>
      <c r="KOC864" s="22" t="s">
        <v>16</v>
      </c>
      <c r="KOD864" s="22" t="s">
        <v>16</v>
      </c>
      <c r="KOE864" s="22" t="s">
        <v>16</v>
      </c>
      <c r="KOF864" s="22" t="s">
        <v>16</v>
      </c>
      <c r="KOG864" s="22" t="s">
        <v>16</v>
      </c>
      <c r="KOH864" s="22" t="s">
        <v>16</v>
      </c>
      <c r="KOI864" s="22" t="s">
        <v>16</v>
      </c>
      <c r="KOJ864" s="22" t="s">
        <v>16</v>
      </c>
      <c r="KOK864" s="22" t="s">
        <v>16</v>
      </c>
      <c r="KOL864" s="22" t="s">
        <v>16</v>
      </c>
      <c r="KOM864" s="22" t="s">
        <v>16</v>
      </c>
      <c r="KON864" s="22" t="s">
        <v>16</v>
      </c>
      <c r="KOO864" s="22" t="s">
        <v>16</v>
      </c>
      <c r="KOP864" s="22" t="s">
        <v>16</v>
      </c>
      <c r="KOQ864" s="22" t="s">
        <v>16</v>
      </c>
      <c r="KOR864" s="22" t="s">
        <v>16</v>
      </c>
      <c r="KOS864" s="22" t="s">
        <v>16</v>
      </c>
      <c r="KOT864" s="22" t="s">
        <v>16</v>
      </c>
      <c r="KOU864" s="22" t="s">
        <v>16</v>
      </c>
      <c r="KOV864" s="22" t="s">
        <v>16</v>
      </c>
      <c r="KOW864" s="22" t="s">
        <v>16</v>
      </c>
      <c r="KOX864" s="22" t="s">
        <v>16</v>
      </c>
      <c r="KOY864" s="22" t="s">
        <v>16</v>
      </c>
      <c r="KOZ864" s="22" t="s">
        <v>16</v>
      </c>
      <c r="KPA864" s="22" t="s">
        <v>16</v>
      </c>
      <c r="KPB864" s="22" t="s">
        <v>16</v>
      </c>
      <c r="KPC864" s="22" t="s">
        <v>16</v>
      </c>
      <c r="KPD864" s="22" t="s">
        <v>16</v>
      </c>
      <c r="KPE864" s="22" t="s">
        <v>16</v>
      </c>
      <c r="KPF864" s="22" t="s">
        <v>16</v>
      </c>
      <c r="KPG864" s="22" t="s">
        <v>16</v>
      </c>
      <c r="KPH864" s="22" t="s">
        <v>16</v>
      </c>
      <c r="KPI864" s="22" t="s">
        <v>16</v>
      </c>
      <c r="KPJ864" s="22" t="s">
        <v>16</v>
      </c>
      <c r="KPK864" s="22" t="s">
        <v>16</v>
      </c>
      <c r="KPL864" s="22" t="s">
        <v>16</v>
      </c>
      <c r="KPM864" s="22" t="s">
        <v>16</v>
      </c>
      <c r="KPN864" s="22" t="s">
        <v>16</v>
      </c>
      <c r="KPO864" s="22" t="s">
        <v>16</v>
      </c>
      <c r="KPP864" s="22" t="s">
        <v>16</v>
      </c>
      <c r="KPQ864" s="22" t="s">
        <v>16</v>
      </c>
      <c r="KPR864" s="22" t="s">
        <v>16</v>
      </c>
      <c r="KPS864" s="22" t="s">
        <v>16</v>
      </c>
      <c r="KPT864" s="22" t="s">
        <v>16</v>
      </c>
      <c r="KPU864" s="22" t="s">
        <v>16</v>
      </c>
      <c r="KPV864" s="22" t="s">
        <v>16</v>
      </c>
      <c r="KPW864" s="22" t="s">
        <v>16</v>
      </c>
      <c r="KPX864" s="22" t="s">
        <v>16</v>
      </c>
      <c r="KPY864" s="22" t="s">
        <v>16</v>
      </c>
      <c r="KPZ864" s="22" t="s">
        <v>16</v>
      </c>
      <c r="KQA864" s="22" t="s">
        <v>16</v>
      </c>
      <c r="KQB864" s="22" t="s">
        <v>16</v>
      </c>
      <c r="KQC864" s="22" t="s">
        <v>16</v>
      </c>
      <c r="KQD864" s="22" t="s">
        <v>16</v>
      </c>
      <c r="KQE864" s="22" t="s">
        <v>16</v>
      </c>
      <c r="KQF864" s="22" t="s">
        <v>16</v>
      </c>
      <c r="KQG864" s="22" t="s">
        <v>16</v>
      </c>
      <c r="KQH864" s="22" t="s">
        <v>16</v>
      </c>
      <c r="KQI864" s="22" t="s">
        <v>16</v>
      </c>
      <c r="KQJ864" s="22" t="s">
        <v>16</v>
      </c>
      <c r="KQK864" s="22" t="s">
        <v>16</v>
      </c>
      <c r="KQL864" s="22" t="s">
        <v>16</v>
      </c>
      <c r="KQM864" s="22" t="s">
        <v>16</v>
      </c>
      <c r="KQN864" s="22" t="s">
        <v>16</v>
      </c>
      <c r="KQO864" s="22" t="s">
        <v>16</v>
      </c>
      <c r="KQP864" s="22" t="s">
        <v>16</v>
      </c>
      <c r="KQQ864" s="22" t="s">
        <v>16</v>
      </c>
      <c r="KQR864" s="22" t="s">
        <v>16</v>
      </c>
      <c r="KQS864" s="22" t="s">
        <v>16</v>
      </c>
      <c r="KQT864" s="22" t="s">
        <v>16</v>
      </c>
      <c r="KQU864" s="22" t="s">
        <v>16</v>
      </c>
      <c r="KQV864" s="22" t="s">
        <v>16</v>
      </c>
      <c r="KQW864" s="22" t="s">
        <v>16</v>
      </c>
      <c r="KQX864" s="22" t="s">
        <v>16</v>
      </c>
      <c r="KQY864" s="22" t="s">
        <v>16</v>
      </c>
      <c r="KQZ864" s="22" t="s">
        <v>16</v>
      </c>
      <c r="KRA864" s="22" t="s">
        <v>16</v>
      </c>
      <c r="KRB864" s="22" t="s">
        <v>16</v>
      </c>
      <c r="KRC864" s="22" t="s">
        <v>16</v>
      </c>
      <c r="KRD864" s="22" t="s">
        <v>16</v>
      </c>
      <c r="KRE864" s="22" t="s">
        <v>16</v>
      </c>
      <c r="KRF864" s="22" t="s">
        <v>16</v>
      </c>
      <c r="KRG864" s="22" t="s">
        <v>16</v>
      </c>
      <c r="KRH864" s="22" t="s">
        <v>16</v>
      </c>
      <c r="KRI864" s="22" t="s">
        <v>16</v>
      </c>
      <c r="KRJ864" s="22" t="s">
        <v>16</v>
      </c>
      <c r="KRK864" s="22" t="s">
        <v>16</v>
      </c>
      <c r="KRL864" s="22" t="s">
        <v>16</v>
      </c>
      <c r="KRM864" s="22" t="s">
        <v>16</v>
      </c>
      <c r="KRN864" s="22" t="s">
        <v>16</v>
      </c>
      <c r="KRO864" s="22" t="s">
        <v>16</v>
      </c>
      <c r="KRP864" s="22" t="s">
        <v>16</v>
      </c>
      <c r="KRQ864" s="22" t="s">
        <v>16</v>
      </c>
      <c r="KRR864" s="22" t="s">
        <v>16</v>
      </c>
      <c r="KRS864" s="22" t="s">
        <v>16</v>
      </c>
      <c r="KRT864" s="22" t="s">
        <v>16</v>
      </c>
      <c r="KRU864" s="22" t="s">
        <v>16</v>
      </c>
      <c r="KRV864" s="22" t="s">
        <v>16</v>
      </c>
      <c r="KRW864" s="22" t="s">
        <v>16</v>
      </c>
      <c r="KRX864" s="22" t="s">
        <v>16</v>
      </c>
      <c r="KRY864" s="22" t="s">
        <v>16</v>
      </c>
      <c r="KRZ864" s="22" t="s">
        <v>16</v>
      </c>
      <c r="KSA864" s="22" t="s">
        <v>16</v>
      </c>
      <c r="KSB864" s="22" t="s">
        <v>16</v>
      </c>
      <c r="KSC864" s="22" t="s">
        <v>16</v>
      </c>
      <c r="KSD864" s="22" t="s">
        <v>16</v>
      </c>
      <c r="KSE864" s="22" t="s">
        <v>16</v>
      </c>
      <c r="KSF864" s="22" t="s">
        <v>16</v>
      </c>
      <c r="KSG864" s="22" t="s">
        <v>16</v>
      </c>
      <c r="KSH864" s="22" t="s">
        <v>16</v>
      </c>
      <c r="KSI864" s="22" t="s">
        <v>16</v>
      </c>
      <c r="KSJ864" s="22" t="s">
        <v>16</v>
      </c>
      <c r="KSK864" s="22" t="s">
        <v>16</v>
      </c>
      <c r="KSL864" s="22" t="s">
        <v>16</v>
      </c>
      <c r="KSM864" s="22" t="s">
        <v>16</v>
      </c>
      <c r="KSN864" s="22" t="s">
        <v>16</v>
      </c>
      <c r="KSO864" s="22" t="s">
        <v>16</v>
      </c>
      <c r="KSP864" s="22" t="s">
        <v>16</v>
      </c>
      <c r="KSQ864" s="22" t="s">
        <v>16</v>
      </c>
      <c r="KSR864" s="22" t="s">
        <v>16</v>
      </c>
      <c r="KSS864" s="22" t="s">
        <v>16</v>
      </c>
      <c r="KST864" s="22" t="s">
        <v>16</v>
      </c>
      <c r="KSU864" s="22" t="s">
        <v>16</v>
      </c>
      <c r="KSV864" s="22" t="s">
        <v>16</v>
      </c>
      <c r="KSW864" s="22" t="s">
        <v>16</v>
      </c>
      <c r="KSX864" s="22" t="s">
        <v>16</v>
      </c>
      <c r="KSY864" s="22" t="s">
        <v>16</v>
      </c>
      <c r="KSZ864" s="22" t="s">
        <v>16</v>
      </c>
      <c r="KTA864" s="22" t="s">
        <v>16</v>
      </c>
      <c r="KTB864" s="22" t="s">
        <v>16</v>
      </c>
      <c r="KTC864" s="22" t="s">
        <v>16</v>
      </c>
      <c r="KTD864" s="22" t="s">
        <v>16</v>
      </c>
      <c r="KTE864" s="22" t="s">
        <v>16</v>
      </c>
      <c r="KTF864" s="22" t="s">
        <v>16</v>
      </c>
      <c r="KTG864" s="22" t="s">
        <v>16</v>
      </c>
      <c r="KTH864" s="22" t="s">
        <v>16</v>
      </c>
      <c r="KTI864" s="22" t="s">
        <v>16</v>
      </c>
      <c r="KTJ864" s="22" t="s">
        <v>16</v>
      </c>
      <c r="KTK864" s="22" t="s">
        <v>16</v>
      </c>
      <c r="KTL864" s="22" t="s">
        <v>16</v>
      </c>
      <c r="KTM864" s="22" t="s">
        <v>16</v>
      </c>
      <c r="KTN864" s="22" t="s">
        <v>16</v>
      </c>
      <c r="KTO864" s="22" t="s">
        <v>16</v>
      </c>
      <c r="KTP864" s="22" t="s">
        <v>16</v>
      </c>
      <c r="KTQ864" s="22" t="s">
        <v>16</v>
      </c>
      <c r="KTR864" s="22" t="s">
        <v>16</v>
      </c>
      <c r="KTS864" s="22" t="s">
        <v>16</v>
      </c>
      <c r="KTT864" s="22" t="s">
        <v>16</v>
      </c>
      <c r="KTU864" s="22" t="s">
        <v>16</v>
      </c>
      <c r="KTV864" s="22" t="s">
        <v>16</v>
      </c>
      <c r="KTW864" s="22" t="s">
        <v>16</v>
      </c>
      <c r="KTX864" s="22" t="s">
        <v>16</v>
      </c>
      <c r="KTY864" s="22" t="s">
        <v>16</v>
      </c>
      <c r="KTZ864" s="22" t="s">
        <v>16</v>
      </c>
      <c r="KUA864" s="22" t="s">
        <v>16</v>
      </c>
      <c r="KUB864" s="22" t="s">
        <v>16</v>
      </c>
      <c r="KUC864" s="22" t="s">
        <v>16</v>
      </c>
      <c r="KUD864" s="22" t="s">
        <v>16</v>
      </c>
      <c r="KUE864" s="22" t="s">
        <v>16</v>
      </c>
      <c r="KUF864" s="22" t="s">
        <v>16</v>
      </c>
      <c r="KUG864" s="22" t="s">
        <v>16</v>
      </c>
      <c r="KUH864" s="22" t="s">
        <v>16</v>
      </c>
      <c r="KUI864" s="22" t="s">
        <v>16</v>
      </c>
      <c r="KUJ864" s="22" t="s">
        <v>16</v>
      </c>
      <c r="KUK864" s="22" t="s">
        <v>16</v>
      </c>
      <c r="KUL864" s="22" t="s">
        <v>16</v>
      </c>
      <c r="KUM864" s="22" t="s">
        <v>16</v>
      </c>
      <c r="KUN864" s="22" t="s">
        <v>16</v>
      </c>
      <c r="KUO864" s="22" t="s">
        <v>16</v>
      </c>
      <c r="KUP864" s="22" t="s">
        <v>16</v>
      </c>
      <c r="KUQ864" s="22" t="s">
        <v>16</v>
      </c>
      <c r="KUR864" s="22" t="s">
        <v>16</v>
      </c>
      <c r="KUS864" s="22" t="s">
        <v>16</v>
      </c>
      <c r="KUT864" s="22" t="s">
        <v>16</v>
      </c>
      <c r="KUU864" s="22" t="s">
        <v>16</v>
      </c>
      <c r="KUV864" s="22" t="s">
        <v>16</v>
      </c>
      <c r="KUW864" s="22" t="s">
        <v>16</v>
      </c>
      <c r="KUX864" s="22" t="s">
        <v>16</v>
      </c>
      <c r="KUY864" s="22" t="s">
        <v>16</v>
      </c>
      <c r="KUZ864" s="22" t="s">
        <v>16</v>
      </c>
      <c r="KVA864" s="22" t="s">
        <v>16</v>
      </c>
      <c r="KVB864" s="22" t="s">
        <v>16</v>
      </c>
      <c r="KVC864" s="22" t="s">
        <v>16</v>
      </c>
      <c r="KVD864" s="22" t="s">
        <v>16</v>
      </c>
      <c r="KVE864" s="22" t="s">
        <v>16</v>
      </c>
      <c r="KVF864" s="22" t="s">
        <v>16</v>
      </c>
      <c r="KVG864" s="22" t="s">
        <v>16</v>
      </c>
      <c r="KVH864" s="22" t="s">
        <v>16</v>
      </c>
      <c r="KVI864" s="22" t="s">
        <v>16</v>
      </c>
      <c r="KVJ864" s="22" t="s">
        <v>16</v>
      </c>
      <c r="KVK864" s="22" t="s">
        <v>16</v>
      </c>
      <c r="KVL864" s="22" t="s">
        <v>16</v>
      </c>
      <c r="KVM864" s="22" t="s">
        <v>16</v>
      </c>
      <c r="KVN864" s="22" t="s">
        <v>16</v>
      </c>
      <c r="KVO864" s="22" t="s">
        <v>16</v>
      </c>
      <c r="KVP864" s="22" t="s">
        <v>16</v>
      </c>
      <c r="KVQ864" s="22" t="s">
        <v>16</v>
      </c>
      <c r="KVR864" s="22" t="s">
        <v>16</v>
      </c>
      <c r="KVS864" s="22" t="s">
        <v>16</v>
      </c>
      <c r="KVT864" s="22" t="s">
        <v>16</v>
      </c>
      <c r="KVU864" s="22" t="s">
        <v>16</v>
      </c>
      <c r="KVV864" s="22" t="s">
        <v>16</v>
      </c>
      <c r="KVW864" s="22" t="s">
        <v>16</v>
      </c>
      <c r="KVX864" s="22" t="s">
        <v>16</v>
      </c>
      <c r="KVY864" s="22" t="s">
        <v>16</v>
      </c>
      <c r="KVZ864" s="22" t="s">
        <v>16</v>
      </c>
      <c r="KWA864" s="22" t="s">
        <v>16</v>
      </c>
      <c r="KWB864" s="22" t="s">
        <v>16</v>
      </c>
      <c r="KWC864" s="22" t="s">
        <v>16</v>
      </c>
      <c r="KWD864" s="22" t="s">
        <v>16</v>
      </c>
      <c r="KWE864" s="22" t="s">
        <v>16</v>
      </c>
      <c r="KWF864" s="22" t="s">
        <v>16</v>
      </c>
      <c r="KWG864" s="22" t="s">
        <v>16</v>
      </c>
      <c r="KWH864" s="22" t="s">
        <v>16</v>
      </c>
      <c r="KWI864" s="22" t="s">
        <v>16</v>
      </c>
      <c r="KWJ864" s="22" t="s">
        <v>16</v>
      </c>
      <c r="KWK864" s="22" t="s">
        <v>16</v>
      </c>
      <c r="KWL864" s="22" t="s">
        <v>16</v>
      </c>
      <c r="KWM864" s="22" t="s">
        <v>16</v>
      </c>
      <c r="KWN864" s="22" t="s">
        <v>16</v>
      </c>
      <c r="KWO864" s="22" t="s">
        <v>16</v>
      </c>
      <c r="KWP864" s="22" t="s">
        <v>16</v>
      </c>
      <c r="KWQ864" s="22" t="s">
        <v>16</v>
      </c>
      <c r="KWR864" s="22" t="s">
        <v>16</v>
      </c>
      <c r="KWS864" s="22" t="s">
        <v>16</v>
      </c>
      <c r="KWT864" s="22" t="s">
        <v>16</v>
      </c>
      <c r="KWU864" s="22" t="s">
        <v>16</v>
      </c>
      <c r="KWV864" s="22" t="s">
        <v>16</v>
      </c>
      <c r="KWW864" s="22" t="s">
        <v>16</v>
      </c>
      <c r="KWX864" s="22" t="s">
        <v>16</v>
      </c>
      <c r="KWY864" s="22" t="s">
        <v>16</v>
      </c>
      <c r="KWZ864" s="22" t="s">
        <v>16</v>
      </c>
      <c r="KXA864" s="22" t="s">
        <v>16</v>
      </c>
      <c r="KXB864" s="22" t="s">
        <v>16</v>
      </c>
      <c r="KXC864" s="22" t="s">
        <v>16</v>
      </c>
      <c r="KXD864" s="22" t="s">
        <v>16</v>
      </c>
      <c r="KXE864" s="22" t="s">
        <v>16</v>
      </c>
      <c r="KXF864" s="22" t="s">
        <v>16</v>
      </c>
      <c r="KXG864" s="22" t="s">
        <v>16</v>
      </c>
      <c r="KXH864" s="22" t="s">
        <v>16</v>
      </c>
      <c r="KXI864" s="22" t="s">
        <v>16</v>
      </c>
      <c r="KXJ864" s="22" t="s">
        <v>16</v>
      </c>
      <c r="KXK864" s="22" t="s">
        <v>16</v>
      </c>
      <c r="KXL864" s="22" t="s">
        <v>16</v>
      </c>
      <c r="KXM864" s="22" t="s">
        <v>16</v>
      </c>
      <c r="KXN864" s="22" t="s">
        <v>16</v>
      </c>
      <c r="KXO864" s="22" t="s">
        <v>16</v>
      </c>
      <c r="KXP864" s="22" t="s">
        <v>16</v>
      </c>
      <c r="KXQ864" s="22" t="s">
        <v>16</v>
      </c>
      <c r="KXR864" s="22" t="s">
        <v>16</v>
      </c>
      <c r="KXS864" s="22" t="s">
        <v>16</v>
      </c>
      <c r="KXT864" s="22" t="s">
        <v>16</v>
      </c>
      <c r="KXU864" s="22" t="s">
        <v>16</v>
      </c>
      <c r="KXV864" s="22" t="s">
        <v>16</v>
      </c>
      <c r="KXW864" s="22" t="s">
        <v>16</v>
      </c>
      <c r="KXX864" s="22" t="s">
        <v>16</v>
      </c>
      <c r="KXY864" s="22" t="s">
        <v>16</v>
      </c>
      <c r="KXZ864" s="22" t="s">
        <v>16</v>
      </c>
      <c r="KYA864" s="22" t="s">
        <v>16</v>
      </c>
      <c r="KYB864" s="22" t="s">
        <v>16</v>
      </c>
      <c r="KYC864" s="22" t="s">
        <v>16</v>
      </c>
      <c r="KYD864" s="22" t="s">
        <v>16</v>
      </c>
      <c r="KYE864" s="22" t="s">
        <v>16</v>
      </c>
      <c r="KYF864" s="22" t="s">
        <v>16</v>
      </c>
      <c r="KYG864" s="22" t="s">
        <v>16</v>
      </c>
      <c r="KYH864" s="22" t="s">
        <v>16</v>
      </c>
      <c r="KYI864" s="22" t="s">
        <v>16</v>
      </c>
      <c r="KYJ864" s="22" t="s">
        <v>16</v>
      </c>
      <c r="KYK864" s="22" t="s">
        <v>16</v>
      </c>
      <c r="KYL864" s="22" t="s">
        <v>16</v>
      </c>
      <c r="KYM864" s="22" t="s">
        <v>16</v>
      </c>
      <c r="KYN864" s="22" t="s">
        <v>16</v>
      </c>
      <c r="KYO864" s="22" t="s">
        <v>16</v>
      </c>
      <c r="KYP864" s="22" t="s">
        <v>16</v>
      </c>
      <c r="KYQ864" s="22" t="s">
        <v>16</v>
      </c>
      <c r="KYR864" s="22" t="s">
        <v>16</v>
      </c>
      <c r="KYS864" s="22" t="s">
        <v>16</v>
      </c>
      <c r="KYT864" s="22" t="s">
        <v>16</v>
      </c>
      <c r="KYU864" s="22" t="s">
        <v>16</v>
      </c>
      <c r="KYV864" s="22" t="s">
        <v>16</v>
      </c>
      <c r="KYW864" s="22" t="s">
        <v>16</v>
      </c>
      <c r="KYX864" s="22" t="s">
        <v>16</v>
      </c>
      <c r="KYY864" s="22" t="s">
        <v>16</v>
      </c>
      <c r="KYZ864" s="22" t="s">
        <v>16</v>
      </c>
      <c r="KZA864" s="22" t="s">
        <v>16</v>
      </c>
      <c r="KZB864" s="22" t="s">
        <v>16</v>
      </c>
      <c r="KZC864" s="22" t="s">
        <v>16</v>
      </c>
      <c r="KZD864" s="22" t="s">
        <v>16</v>
      </c>
      <c r="KZE864" s="22" t="s">
        <v>16</v>
      </c>
      <c r="KZF864" s="22" t="s">
        <v>16</v>
      </c>
      <c r="KZG864" s="22" t="s">
        <v>16</v>
      </c>
      <c r="KZH864" s="22" t="s">
        <v>16</v>
      </c>
      <c r="KZI864" s="22" t="s">
        <v>16</v>
      </c>
      <c r="KZJ864" s="22" t="s">
        <v>16</v>
      </c>
      <c r="KZK864" s="22" t="s">
        <v>16</v>
      </c>
      <c r="KZL864" s="22" t="s">
        <v>16</v>
      </c>
      <c r="KZM864" s="22" t="s">
        <v>16</v>
      </c>
      <c r="KZN864" s="22" t="s">
        <v>16</v>
      </c>
      <c r="KZO864" s="22" t="s">
        <v>16</v>
      </c>
      <c r="KZP864" s="22" t="s">
        <v>16</v>
      </c>
      <c r="KZQ864" s="22" t="s">
        <v>16</v>
      </c>
      <c r="KZR864" s="22" t="s">
        <v>16</v>
      </c>
      <c r="KZS864" s="22" t="s">
        <v>16</v>
      </c>
      <c r="KZT864" s="22" t="s">
        <v>16</v>
      </c>
      <c r="KZU864" s="22" t="s">
        <v>16</v>
      </c>
      <c r="KZV864" s="22" t="s">
        <v>16</v>
      </c>
      <c r="KZW864" s="22" t="s">
        <v>16</v>
      </c>
      <c r="KZX864" s="22" t="s">
        <v>16</v>
      </c>
      <c r="KZY864" s="22" t="s">
        <v>16</v>
      </c>
      <c r="KZZ864" s="22" t="s">
        <v>16</v>
      </c>
      <c r="LAA864" s="22" t="s">
        <v>16</v>
      </c>
      <c r="LAB864" s="22" t="s">
        <v>16</v>
      </c>
      <c r="LAC864" s="22" t="s">
        <v>16</v>
      </c>
      <c r="LAD864" s="22" t="s">
        <v>16</v>
      </c>
      <c r="LAE864" s="22" t="s">
        <v>16</v>
      </c>
      <c r="LAF864" s="22" t="s">
        <v>16</v>
      </c>
      <c r="LAG864" s="22" t="s">
        <v>16</v>
      </c>
      <c r="LAH864" s="22" t="s">
        <v>16</v>
      </c>
      <c r="LAI864" s="22" t="s">
        <v>16</v>
      </c>
      <c r="LAJ864" s="22" t="s">
        <v>16</v>
      </c>
      <c r="LAK864" s="22" t="s">
        <v>16</v>
      </c>
      <c r="LAL864" s="22" t="s">
        <v>16</v>
      </c>
      <c r="LAM864" s="22" t="s">
        <v>16</v>
      </c>
      <c r="LAN864" s="22" t="s">
        <v>16</v>
      </c>
      <c r="LAO864" s="22" t="s">
        <v>16</v>
      </c>
      <c r="LAP864" s="22" t="s">
        <v>16</v>
      </c>
      <c r="LAQ864" s="22" t="s">
        <v>16</v>
      </c>
      <c r="LAR864" s="22" t="s">
        <v>16</v>
      </c>
      <c r="LAS864" s="22" t="s">
        <v>16</v>
      </c>
      <c r="LAT864" s="22" t="s">
        <v>16</v>
      </c>
      <c r="LAU864" s="22" t="s">
        <v>16</v>
      </c>
      <c r="LAV864" s="22" t="s">
        <v>16</v>
      </c>
      <c r="LAW864" s="22" t="s">
        <v>16</v>
      </c>
      <c r="LAX864" s="22" t="s">
        <v>16</v>
      </c>
      <c r="LAY864" s="22" t="s">
        <v>16</v>
      </c>
      <c r="LAZ864" s="22" t="s">
        <v>16</v>
      </c>
      <c r="LBA864" s="22" t="s">
        <v>16</v>
      </c>
      <c r="LBB864" s="22" t="s">
        <v>16</v>
      </c>
      <c r="LBC864" s="22" t="s">
        <v>16</v>
      </c>
      <c r="LBD864" s="22" t="s">
        <v>16</v>
      </c>
      <c r="LBE864" s="22" t="s">
        <v>16</v>
      </c>
      <c r="LBF864" s="22" t="s">
        <v>16</v>
      </c>
      <c r="LBG864" s="22" t="s">
        <v>16</v>
      </c>
      <c r="LBH864" s="22" t="s">
        <v>16</v>
      </c>
      <c r="LBI864" s="22" t="s">
        <v>16</v>
      </c>
      <c r="LBJ864" s="22" t="s">
        <v>16</v>
      </c>
      <c r="LBK864" s="22" t="s">
        <v>16</v>
      </c>
      <c r="LBL864" s="22" t="s">
        <v>16</v>
      </c>
      <c r="LBM864" s="22" t="s">
        <v>16</v>
      </c>
      <c r="LBN864" s="22" t="s">
        <v>16</v>
      </c>
      <c r="LBO864" s="22" t="s">
        <v>16</v>
      </c>
      <c r="LBP864" s="22" t="s">
        <v>16</v>
      </c>
      <c r="LBQ864" s="22" t="s">
        <v>16</v>
      </c>
      <c r="LBR864" s="22" t="s">
        <v>16</v>
      </c>
      <c r="LBS864" s="22" t="s">
        <v>16</v>
      </c>
      <c r="LBT864" s="22" t="s">
        <v>16</v>
      </c>
      <c r="LBU864" s="22" t="s">
        <v>16</v>
      </c>
      <c r="LBV864" s="22" t="s">
        <v>16</v>
      </c>
      <c r="LBW864" s="22" t="s">
        <v>16</v>
      </c>
      <c r="LBX864" s="22" t="s">
        <v>16</v>
      </c>
      <c r="LBY864" s="22" t="s">
        <v>16</v>
      </c>
      <c r="LBZ864" s="22" t="s">
        <v>16</v>
      </c>
      <c r="LCA864" s="22" t="s">
        <v>16</v>
      </c>
      <c r="LCB864" s="22" t="s">
        <v>16</v>
      </c>
      <c r="LCC864" s="22" t="s">
        <v>16</v>
      </c>
      <c r="LCD864" s="22" t="s">
        <v>16</v>
      </c>
      <c r="LCE864" s="22" t="s">
        <v>16</v>
      </c>
      <c r="LCF864" s="22" t="s">
        <v>16</v>
      </c>
      <c r="LCG864" s="22" t="s">
        <v>16</v>
      </c>
      <c r="LCH864" s="22" t="s">
        <v>16</v>
      </c>
      <c r="LCI864" s="22" t="s">
        <v>16</v>
      </c>
      <c r="LCJ864" s="22" t="s">
        <v>16</v>
      </c>
      <c r="LCK864" s="22" t="s">
        <v>16</v>
      </c>
      <c r="LCL864" s="22" t="s">
        <v>16</v>
      </c>
      <c r="LCM864" s="22" t="s">
        <v>16</v>
      </c>
      <c r="LCN864" s="22" t="s">
        <v>16</v>
      </c>
      <c r="LCO864" s="22" t="s">
        <v>16</v>
      </c>
      <c r="LCP864" s="22" t="s">
        <v>16</v>
      </c>
      <c r="LCQ864" s="22" t="s">
        <v>16</v>
      </c>
      <c r="LCR864" s="22" t="s">
        <v>16</v>
      </c>
      <c r="LCS864" s="22" t="s">
        <v>16</v>
      </c>
      <c r="LCT864" s="22" t="s">
        <v>16</v>
      </c>
      <c r="LCU864" s="22" t="s">
        <v>16</v>
      </c>
      <c r="LCV864" s="22" t="s">
        <v>16</v>
      </c>
      <c r="LCW864" s="22" t="s">
        <v>16</v>
      </c>
      <c r="LCX864" s="22" t="s">
        <v>16</v>
      </c>
      <c r="LCY864" s="22" t="s">
        <v>16</v>
      </c>
      <c r="LCZ864" s="22" t="s">
        <v>16</v>
      </c>
      <c r="LDA864" s="22" t="s">
        <v>16</v>
      </c>
      <c r="LDB864" s="22" t="s">
        <v>16</v>
      </c>
      <c r="LDC864" s="22" t="s">
        <v>16</v>
      </c>
      <c r="LDD864" s="22" t="s">
        <v>16</v>
      </c>
      <c r="LDE864" s="22" t="s">
        <v>16</v>
      </c>
      <c r="LDF864" s="22" t="s">
        <v>16</v>
      </c>
      <c r="LDG864" s="22" t="s">
        <v>16</v>
      </c>
      <c r="LDH864" s="22" t="s">
        <v>16</v>
      </c>
      <c r="LDI864" s="22" t="s">
        <v>16</v>
      </c>
      <c r="LDJ864" s="22" t="s">
        <v>16</v>
      </c>
      <c r="LDK864" s="22" t="s">
        <v>16</v>
      </c>
      <c r="LDL864" s="22" t="s">
        <v>16</v>
      </c>
      <c r="LDM864" s="22" t="s">
        <v>16</v>
      </c>
      <c r="LDN864" s="22" t="s">
        <v>16</v>
      </c>
      <c r="LDO864" s="22" t="s">
        <v>16</v>
      </c>
      <c r="LDP864" s="22" t="s">
        <v>16</v>
      </c>
      <c r="LDQ864" s="22" t="s">
        <v>16</v>
      </c>
      <c r="LDR864" s="22" t="s">
        <v>16</v>
      </c>
      <c r="LDS864" s="22" t="s">
        <v>16</v>
      </c>
      <c r="LDT864" s="22" t="s">
        <v>16</v>
      </c>
      <c r="LDU864" s="22" t="s">
        <v>16</v>
      </c>
      <c r="LDV864" s="22" t="s">
        <v>16</v>
      </c>
      <c r="LDW864" s="22" t="s">
        <v>16</v>
      </c>
      <c r="LDX864" s="22" t="s">
        <v>16</v>
      </c>
      <c r="LDY864" s="22" t="s">
        <v>16</v>
      </c>
      <c r="LDZ864" s="22" t="s">
        <v>16</v>
      </c>
      <c r="LEA864" s="22" t="s">
        <v>16</v>
      </c>
      <c r="LEB864" s="22" t="s">
        <v>16</v>
      </c>
      <c r="LEC864" s="22" t="s">
        <v>16</v>
      </c>
      <c r="LED864" s="22" t="s">
        <v>16</v>
      </c>
      <c r="LEE864" s="22" t="s">
        <v>16</v>
      </c>
      <c r="LEF864" s="22" t="s">
        <v>16</v>
      </c>
      <c r="LEG864" s="22" t="s">
        <v>16</v>
      </c>
      <c r="LEH864" s="22" t="s">
        <v>16</v>
      </c>
      <c r="LEI864" s="22" t="s">
        <v>16</v>
      </c>
      <c r="LEJ864" s="22" t="s">
        <v>16</v>
      </c>
      <c r="LEK864" s="22" t="s">
        <v>16</v>
      </c>
      <c r="LEL864" s="22" t="s">
        <v>16</v>
      </c>
      <c r="LEM864" s="22" t="s">
        <v>16</v>
      </c>
      <c r="LEN864" s="22" t="s">
        <v>16</v>
      </c>
      <c r="LEO864" s="22" t="s">
        <v>16</v>
      </c>
      <c r="LEP864" s="22" t="s">
        <v>16</v>
      </c>
      <c r="LEQ864" s="22" t="s">
        <v>16</v>
      </c>
      <c r="LER864" s="22" t="s">
        <v>16</v>
      </c>
      <c r="LES864" s="22" t="s">
        <v>16</v>
      </c>
      <c r="LET864" s="22" t="s">
        <v>16</v>
      </c>
      <c r="LEU864" s="22" t="s">
        <v>16</v>
      </c>
      <c r="LEV864" s="22" t="s">
        <v>16</v>
      </c>
      <c r="LEW864" s="22" t="s">
        <v>16</v>
      </c>
      <c r="LEX864" s="22" t="s">
        <v>16</v>
      </c>
      <c r="LEY864" s="22" t="s">
        <v>16</v>
      </c>
      <c r="LEZ864" s="22" t="s">
        <v>16</v>
      </c>
      <c r="LFA864" s="22" t="s">
        <v>16</v>
      </c>
      <c r="LFB864" s="22" t="s">
        <v>16</v>
      </c>
      <c r="LFC864" s="22" t="s">
        <v>16</v>
      </c>
      <c r="LFD864" s="22" t="s">
        <v>16</v>
      </c>
      <c r="LFE864" s="22" t="s">
        <v>16</v>
      </c>
      <c r="LFF864" s="22" t="s">
        <v>16</v>
      </c>
      <c r="LFG864" s="22" t="s">
        <v>16</v>
      </c>
      <c r="LFH864" s="22" t="s">
        <v>16</v>
      </c>
      <c r="LFI864" s="22" t="s">
        <v>16</v>
      </c>
      <c r="LFJ864" s="22" t="s">
        <v>16</v>
      </c>
      <c r="LFK864" s="22" t="s">
        <v>16</v>
      </c>
      <c r="LFL864" s="22" t="s">
        <v>16</v>
      </c>
      <c r="LFM864" s="22" t="s">
        <v>16</v>
      </c>
      <c r="LFN864" s="22" t="s">
        <v>16</v>
      </c>
      <c r="LFO864" s="22" t="s">
        <v>16</v>
      </c>
      <c r="LFP864" s="22" t="s">
        <v>16</v>
      </c>
      <c r="LFQ864" s="22" t="s">
        <v>16</v>
      </c>
      <c r="LFR864" s="22" t="s">
        <v>16</v>
      </c>
      <c r="LFS864" s="22" t="s">
        <v>16</v>
      </c>
      <c r="LFT864" s="22" t="s">
        <v>16</v>
      </c>
      <c r="LFU864" s="22" t="s">
        <v>16</v>
      </c>
      <c r="LFV864" s="22" t="s">
        <v>16</v>
      </c>
      <c r="LFW864" s="22" t="s">
        <v>16</v>
      </c>
      <c r="LFX864" s="22" t="s">
        <v>16</v>
      </c>
      <c r="LFY864" s="22" t="s">
        <v>16</v>
      </c>
      <c r="LFZ864" s="22" t="s">
        <v>16</v>
      </c>
      <c r="LGA864" s="22" t="s">
        <v>16</v>
      </c>
      <c r="LGB864" s="22" t="s">
        <v>16</v>
      </c>
      <c r="LGC864" s="22" t="s">
        <v>16</v>
      </c>
      <c r="LGD864" s="22" t="s">
        <v>16</v>
      </c>
      <c r="LGE864" s="22" t="s">
        <v>16</v>
      </c>
      <c r="LGF864" s="22" t="s">
        <v>16</v>
      </c>
      <c r="LGG864" s="22" t="s">
        <v>16</v>
      </c>
      <c r="LGH864" s="22" t="s">
        <v>16</v>
      </c>
      <c r="LGI864" s="22" t="s">
        <v>16</v>
      </c>
      <c r="LGJ864" s="22" t="s">
        <v>16</v>
      </c>
      <c r="LGK864" s="22" t="s">
        <v>16</v>
      </c>
      <c r="LGL864" s="22" t="s">
        <v>16</v>
      </c>
      <c r="LGM864" s="22" t="s">
        <v>16</v>
      </c>
      <c r="LGN864" s="22" t="s">
        <v>16</v>
      </c>
      <c r="LGO864" s="22" t="s">
        <v>16</v>
      </c>
      <c r="LGP864" s="22" t="s">
        <v>16</v>
      </c>
      <c r="LGQ864" s="22" t="s">
        <v>16</v>
      </c>
      <c r="LGR864" s="22" t="s">
        <v>16</v>
      </c>
      <c r="LGS864" s="22" t="s">
        <v>16</v>
      </c>
      <c r="LGT864" s="22" t="s">
        <v>16</v>
      </c>
      <c r="LGU864" s="22" t="s">
        <v>16</v>
      </c>
      <c r="LGV864" s="22" t="s">
        <v>16</v>
      </c>
      <c r="LGW864" s="22" t="s">
        <v>16</v>
      </c>
      <c r="LGX864" s="22" t="s">
        <v>16</v>
      </c>
      <c r="LGY864" s="22" t="s">
        <v>16</v>
      </c>
      <c r="LGZ864" s="22" t="s">
        <v>16</v>
      </c>
      <c r="LHA864" s="22" t="s">
        <v>16</v>
      </c>
      <c r="LHB864" s="22" t="s">
        <v>16</v>
      </c>
      <c r="LHC864" s="22" t="s">
        <v>16</v>
      </c>
      <c r="LHD864" s="22" t="s">
        <v>16</v>
      </c>
      <c r="LHE864" s="22" t="s">
        <v>16</v>
      </c>
      <c r="LHF864" s="22" t="s">
        <v>16</v>
      </c>
      <c r="LHG864" s="22" t="s">
        <v>16</v>
      </c>
      <c r="LHH864" s="22" t="s">
        <v>16</v>
      </c>
      <c r="LHI864" s="22" t="s">
        <v>16</v>
      </c>
      <c r="LHJ864" s="22" t="s">
        <v>16</v>
      </c>
      <c r="LHK864" s="22" t="s">
        <v>16</v>
      </c>
      <c r="LHL864" s="22" t="s">
        <v>16</v>
      </c>
      <c r="LHM864" s="22" t="s">
        <v>16</v>
      </c>
      <c r="LHN864" s="22" t="s">
        <v>16</v>
      </c>
      <c r="LHO864" s="22" t="s">
        <v>16</v>
      </c>
      <c r="LHP864" s="22" t="s">
        <v>16</v>
      </c>
      <c r="LHQ864" s="22" t="s">
        <v>16</v>
      </c>
      <c r="LHR864" s="22" t="s">
        <v>16</v>
      </c>
      <c r="LHS864" s="22" t="s">
        <v>16</v>
      </c>
      <c r="LHT864" s="22" t="s">
        <v>16</v>
      </c>
      <c r="LHU864" s="22" t="s">
        <v>16</v>
      </c>
      <c r="LHV864" s="22" t="s">
        <v>16</v>
      </c>
      <c r="LHW864" s="22" t="s">
        <v>16</v>
      </c>
      <c r="LHX864" s="22" t="s">
        <v>16</v>
      </c>
      <c r="LHY864" s="22" t="s">
        <v>16</v>
      </c>
      <c r="LHZ864" s="22" t="s">
        <v>16</v>
      </c>
      <c r="LIA864" s="22" t="s">
        <v>16</v>
      </c>
      <c r="LIB864" s="22" t="s">
        <v>16</v>
      </c>
      <c r="LIC864" s="22" t="s">
        <v>16</v>
      </c>
      <c r="LID864" s="22" t="s">
        <v>16</v>
      </c>
      <c r="LIE864" s="22" t="s">
        <v>16</v>
      </c>
      <c r="LIF864" s="22" t="s">
        <v>16</v>
      </c>
      <c r="LIG864" s="22" t="s">
        <v>16</v>
      </c>
      <c r="LIH864" s="22" t="s">
        <v>16</v>
      </c>
      <c r="LII864" s="22" t="s">
        <v>16</v>
      </c>
      <c r="LIJ864" s="22" t="s">
        <v>16</v>
      </c>
      <c r="LIK864" s="22" t="s">
        <v>16</v>
      </c>
      <c r="LIL864" s="22" t="s">
        <v>16</v>
      </c>
      <c r="LIM864" s="22" t="s">
        <v>16</v>
      </c>
      <c r="LIN864" s="22" t="s">
        <v>16</v>
      </c>
      <c r="LIO864" s="22" t="s">
        <v>16</v>
      </c>
      <c r="LIP864" s="22" t="s">
        <v>16</v>
      </c>
      <c r="LIQ864" s="22" t="s">
        <v>16</v>
      </c>
      <c r="LIR864" s="22" t="s">
        <v>16</v>
      </c>
      <c r="LIS864" s="22" t="s">
        <v>16</v>
      </c>
      <c r="LIT864" s="22" t="s">
        <v>16</v>
      </c>
      <c r="LIU864" s="22" t="s">
        <v>16</v>
      </c>
      <c r="LIV864" s="22" t="s">
        <v>16</v>
      </c>
      <c r="LIW864" s="22" t="s">
        <v>16</v>
      </c>
      <c r="LIX864" s="22" t="s">
        <v>16</v>
      </c>
      <c r="LIY864" s="22" t="s">
        <v>16</v>
      </c>
      <c r="LIZ864" s="22" t="s">
        <v>16</v>
      </c>
      <c r="LJA864" s="22" t="s">
        <v>16</v>
      </c>
      <c r="LJB864" s="22" t="s">
        <v>16</v>
      </c>
      <c r="LJC864" s="22" t="s">
        <v>16</v>
      </c>
      <c r="LJD864" s="22" t="s">
        <v>16</v>
      </c>
      <c r="LJE864" s="22" t="s">
        <v>16</v>
      </c>
      <c r="LJF864" s="22" t="s">
        <v>16</v>
      </c>
      <c r="LJG864" s="22" t="s">
        <v>16</v>
      </c>
      <c r="LJH864" s="22" t="s">
        <v>16</v>
      </c>
      <c r="LJI864" s="22" t="s">
        <v>16</v>
      </c>
      <c r="LJJ864" s="22" t="s">
        <v>16</v>
      </c>
      <c r="LJK864" s="22" t="s">
        <v>16</v>
      </c>
      <c r="LJL864" s="22" t="s">
        <v>16</v>
      </c>
      <c r="LJM864" s="22" t="s">
        <v>16</v>
      </c>
      <c r="LJN864" s="22" t="s">
        <v>16</v>
      </c>
      <c r="LJO864" s="22" t="s">
        <v>16</v>
      </c>
      <c r="LJP864" s="22" t="s">
        <v>16</v>
      </c>
      <c r="LJQ864" s="22" t="s">
        <v>16</v>
      </c>
      <c r="LJR864" s="22" t="s">
        <v>16</v>
      </c>
      <c r="LJS864" s="22" t="s">
        <v>16</v>
      </c>
      <c r="LJT864" s="22" t="s">
        <v>16</v>
      </c>
      <c r="LJU864" s="22" t="s">
        <v>16</v>
      </c>
      <c r="LJV864" s="22" t="s">
        <v>16</v>
      </c>
      <c r="LJW864" s="22" t="s">
        <v>16</v>
      </c>
      <c r="LJX864" s="22" t="s">
        <v>16</v>
      </c>
      <c r="LJY864" s="22" t="s">
        <v>16</v>
      </c>
      <c r="LJZ864" s="22" t="s">
        <v>16</v>
      </c>
      <c r="LKA864" s="22" t="s">
        <v>16</v>
      </c>
      <c r="LKB864" s="22" t="s">
        <v>16</v>
      </c>
      <c r="LKC864" s="22" t="s">
        <v>16</v>
      </c>
      <c r="LKD864" s="22" t="s">
        <v>16</v>
      </c>
      <c r="LKE864" s="22" t="s">
        <v>16</v>
      </c>
      <c r="LKF864" s="22" t="s">
        <v>16</v>
      </c>
      <c r="LKG864" s="22" t="s">
        <v>16</v>
      </c>
      <c r="LKH864" s="22" t="s">
        <v>16</v>
      </c>
      <c r="LKI864" s="22" t="s">
        <v>16</v>
      </c>
      <c r="LKJ864" s="22" t="s">
        <v>16</v>
      </c>
      <c r="LKK864" s="22" t="s">
        <v>16</v>
      </c>
      <c r="LKL864" s="22" t="s">
        <v>16</v>
      </c>
      <c r="LKM864" s="22" t="s">
        <v>16</v>
      </c>
      <c r="LKN864" s="22" t="s">
        <v>16</v>
      </c>
      <c r="LKO864" s="22" t="s">
        <v>16</v>
      </c>
      <c r="LKP864" s="22" t="s">
        <v>16</v>
      </c>
      <c r="LKQ864" s="22" t="s">
        <v>16</v>
      </c>
      <c r="LKR864" s="22" t="s">
        <v>16</v>
      </c>
      <c r="LKS864" s="22" t="s">
        <v>16</v>
      </c>
      <c r="LKT864" s="22" t="s">
        <v>16</v>
      </c>
      <c r="LKU864" s="22" t="s">
        <v>16</v>
      </c>
      <c r="LKV864" s="22" t="s">
        <v>16</v>
      </c>
      <c r="LKW864" s="22" t="s">
        <v>16</v>
      </c>
      <c r="LKX864" s="22" t="s">
        <v>16</v>
      </c>
      <c r="LKY864" s="22" t="s">
        <v>16</v>
      </c>
      <c r="LKZ864" s="22" t="s">
        <v>16</v>
      </c>
      <c r="LLA864" s="22" t="s">
        <v>16</v>
      </c>
      <c r="LLB864" s="22" t="s">
        <v>16</v>
      </c>
      <c r="LLC864" s="22" t="s">
        <v>16</v>
      </c>
      <c r="LLD864" s="22" t="s">
        <v>16</v>
      </c>
      <c r="LLE864" s="22" t="s">
        <v>16</v>
      </c>
      <c r="LLF864" s="22" t="s">
        <v>16</v>
      </c>
      <c r="LLG864" s="22" t="s">
        <v>16</v>
      </c>
      <c r="LLH864" s="22" t="s">
        <v>16</v>
      </c>
      <c r="LLI864" s="22" t="s">
        <v>16</v>
      </c>
      <c r="LLJ864" s="22" t="s">
        <v>16</v>
      </c>
      <c r="LLK864" s="22" t="s">
        <v>16</v>
      </c>
      <c r="LLL864" s="22" t="s">
        <v>16</v>
      </c>
      <c r="LLM864" s="22" t="s">
        <v>16</v>
      </c>
      <c r="LLN864" s="22" t="s">
        <v>16</v>
      </c>
      <c r="LLO864" s="22" t="s">
        <v>16</v>
      </c>
      <c r="LLP864" s="22" t="s">
        <v>16</v>
      </c>
      <c r="LLQ864" s="22" t="s">
        <v>16</v>
      </c>
      <c r="LLR864" s="22" t="s">
        <v>16</v>
      </c>
      <c r="LLS864" s="22" t="s">
        <v>16</v>
      </c>
      <c r="LLT864" s="22" t="s">
        <v>16</v>
      </c>
      <c r="LLU864" s="22" t="s">
        <v>16</v>
      </c>
      <c r="LLV864" s="22" t="s">
        <v>16</v>
      </c>
      <c r="LLW864" s="22" t="s">
        <v>16</v>
      </c>
      <c r="LLX864" s="22" t="s">
        <v>16</v>
      </c>
      <c r="LLY864" s="22" t="s">
        <v>16</v>
      </c>
      <c r="LLZ864" s="22" t="s">
        <v>16</v>
      </c>
      <c r="LMA864" s="22" t="s">
        <v>16</v>
      </c>
      <c r="LMB864" s="22" t="s">
        <v>16</v>
      </c>
      <c r="LMC864" s="22" t="s">
        <v>16</v>
      </c>
      <c r="LMD864" s="22" t="s">
        <v>16</v>
      </c>
      <c r="LME864" s="22" t="s">
        <v>16</v>
      </c>
      <c r="LMF864" s="22" t="s">
        <v>16</v>
      </c>
      <c r="LMG864" s="22" t="s">
        <v>16</v>
      </c>
      <c r="LMH864" s="22" t="s">
        <v>16</v>
      </c>
      <c r="LMI864" s="22" t="s">
        <v>16</v>
      </c>
      <c r="LMJ864" s="22" t="s">
        <v>16</v>
      </c>
      <c r="LMK864" s="22" t="s">
        <v>16</v>
      </c>
      <c r="LML864" s="22" t="s">
        <v>16</v>
      </c>
      <c r="LMM864" s="22" t="s">
        <v>16</v>
      </c>
      <c r="LMN864" s="22" t="s">
        <v>16</v>
      </c>
      <c r="LMO864" s="22" t="s">
        <v>16</v>
      </c>
      <c r="LMP864" s="22" t="s">
        <v>16</v>
      </c>
      <c r="LMQ864" s="22" t="s">
        <v>16</v>
      </c>
      <c r="LMR864" s="22" t="s">
        <v>16</v>
      </c>
      <c r="LMS864" s="22" t="s">
        <v>16</v>
      </c>
      <c r="LMT864" s="22" t="s">
        <v>16</v>
      </c>
      <c r="LMU864" s="22" t="s">
        <v>16</v>
      </c>
      <c r="LMV864" s="22" t="s">
        <v>16</v>
      </c>
      <c r="LMW864" s="22" t="s">
        <v>16</v>
      </c>
      <c r="LMX864" s="22" t="s">
        <v>16</v>
      </c>
      <c r="LMY864" s="22" t="s">
        <v>16</v>
      </c>
      <c r="LMZ864" s="22" t="s">
        <v>16</v>
      </c>
      <c r="LNA864" s="22" t="s">
        <v>16</v>
      </c>
      <c r="LNB864" s="22" t="s">
        <v>16</v>
      </c>
      <c r="LNC864" s="22" t="s">
        <v>16</v>
      </c>
      <c r="LND864" s="22" t="s">
        <v>16</v>
      </c>
      <c r="LNE864" s="22" t="s">
        <v>16</v>
      </c>
      <c r="LNF864" s="22" t="s">
        <v>16</v>
      </c>
      <c r="LNG864" s="22" t="s">
        <v>16</v>
      </c>
      <c r="LNH864" s="22" t="s">
        <v>16</v>
      </c>
      <c r="LNI864" s="22" t="s">
        <v>16</v>
      </c>
      <c r="LNJ864" s="22" t="s">
        <v>16</v>
      </c>
      <c r="LNK864" s="22" t="s">
        <v>16</v>
      </c>
      <c r="LNL864" s="22" t="s">
        <v>16</v>
      </c>
      <c r="LNM864" s="22" t="s">
        <v>16</v>
      </c>
      <c r="LNN864" s="22" t="s">
        <v>16</v>
      </c>
      <c r="LNO864" s="22" t="s">
        <v>16</v>
      </c>
      <c r="LNP864" s="22" t="s">
        <v>16</v>
      </c>
      <c r="LNQ864" s="22" t="s">
        <v>16</v>
      </c>
      <c r="LNR864" s="22" t="s">
        <v>16</v>
      </c>
      <c r="LNS864" s="22" t="s">
        <v>16</v>
      </c>
      <c r="LNT864" s="22" t="s">
        <v>16</v>
      </c>
      <c r="LNU864" s="22" t="s">
        <v>16</v>
      </c>
      <c r="LNV864" s="22" t="s">
        <v>16</v>
      </c>
      <c r="LNW864" s="22" t="s">
        <v>16</v>
      </c>
      <c r="LNX864" s="22" t="s">
        <v>16</v>
      </c>
      <c r="LNY864" s="22" t="s">
        <v>16</v>
      </c>
      <c r="LNZ864" s="22" t="s">
        <v>16</v>
      </c>
      <c r="LOA864" s="22" t="s">
        <v>16</v>
      </c>
      <c r="LOB864" s="22" t="s">
        <v>16</v>
      </c>
      <c r="LOC864" s="22" t="s">
        <v>16</v>
      </c>
      <c r="LOD864" s="22" t="s">
        <v>16</v>
      </c>
      <c r="LOE864" s="22" t="s">
        <v>16</v>
      </c>
      <c r="LOF864" s="22" t="s">
        <v>16</v>
      </c>
      <c r="LOG864" s="22" t="s">
        <v>16</v>
      </c>
      <c r="LOH864" s="22" t="s">
        <v>16</v>
      </c>
      <c r="LOI864" s="22" t="s">
        <v>16</v>
      </c>
      <c r="LOJ864" s="22" t="s">
        <v>16</v>
      </c>
      <c r="LOK864" s="22" t="s">
        <v>16</v>
      </c>
      <c r="LOL864" s="22" t="s">
        <v>16</v>
      </c>
      <c r="LOM864" s="22" t="s">
        <v>16</v>
      </c>
      <c r="LON864" s="22" t="s">
        <v>16</v>
      </c>
      <c r="LOO864" s="22" t="s">
        <v>16</v>
      </c>
      <c r="LOP864" s="22" t="s">
        <v>16</v>
      </c>
      <c r="LOQ864" s="22" t="s">
        <v>16</v>
      </c>
      <c r="LOR864" s="22" t="s">
        <v>16</v>
      </c>
      <c r="LOS864" s="22" t="s">
        <v>16</v>
      </c>
      <c r="LOT864" s="22" t="s">
        <v>16</v>
      </c>
      <c r="LOU864" s="22" t="s">
        <v>16</v>
      </c>
      <c r="LOV864" s="22" t="s">
        <v>16</v>
      </c>
      <c r="LOW864" s="22" t="s">
        <v>16</v>
      </c>
      <c r="LOX864" s="22" t="s">
        <v>16</v>
      </c>
      <c r="LOY864" s="22" t="s">
        <v>16</v>
      </c>
      <c r="LOZ864" s="22" t="s">
        <v>16</v>
      </c>
      <c r="LPA864" s="22" t="s">
        <v>16</v>
      </c>
      <c r="LPB864" s="22" t="s">
        <v>16</v>
      </c>
      <c r="LPC864" s="22" t="s">
        <v>16</v>
      </c>
      <c r="LPD864" s="22" t="s">
        <v>16</v>
      </c>
      <c r="LPE864" s="22" t="s">
        <v>16</v>
      </c>
      <c r="LPF864" s="22" t="s">
        <v>16</v>
      </c>
      <c r="LPG864" s="22" t="s">
        <v>16</v>
      </c>
      <c r="LPH864" s="22" t="s">
        <v>16</v>
      </c>
      <c r="LPI864" s="22" t="s">
        <v>16</v>
      </c>
      <c r="LPJ864" s="22" t="s">
        <v>16</v>
      </c>
      <c r="LPK864" s="22" t="s">
        <v>16</v>
      </c>
      <c r="LPL864" s="22" t="s">
        <v>16</v>
      </c>
      <c r="LPM864" s="22" t="s">
        <v>16</v>
      </c>
      <c r="LPN864" s="22" t="s">
        <v>16</v>
      </c>
      <c r="LPO864" s="22" t="s">
        <v>16</v>
      </c>
      <c r="LPP864" s="22" t="s">
        <v>16</v>
      </c>
      <c r="LPQ864" s="22" t="s">
        <v>16</v>
      </c>
      <c r="LPR864" s="22" t="s">
        <v>16</v>
      </c>
      <c r="LPS864" s="22" t="s">
        <v>16</v>
      </c>
      <c r="LPT864" s="22" t="s">
        <v>16</v>
      </c>
      <c r="LPU864" s="22" t="s">
        <v>16</v>
      </c>
      <c r="LPV864" s="22" t="s">
        <v>16</v>
      </c>
      <c r="LPW864" s="22" t="s">
        <v>16</v>
      </c>
      <c r="LPX864" s="22" t="s">
        <v>16</v>
      </c>
      <c r="LPY864" s="22" t="s">
        <v>16</v>
      </c>
      <c r="LPZ864" s="22" t="s">
        <v>16</v>
      </c>
      <c r="LQA864" s="22" t="s">
        <v>16</v>
      </c>
      <c r="LQB864" s="22" t="s">
        <v>16</v>
      </c>
      <c r="LQC864" s="22" t="s">
        <v>16</v>
      </c>
      <c r="LQD864" s="22" t="s">
        <v>16</v>
      </c>
      <c r="LQE864" s="22" t="s">
        <v>16</v>
      </c>
      <c r="LQF864" s="22" t="s">
        <v>16</v>
      </c>
      <c r="LQG864" s="22" t="s">
        <v>16</v>
      </c>
      <c r="LQH864" s="22" t="s">
        <v>16</v>
      </c>
      <c r="LQI864" s="22" t="s">
        <v>16</v>
      </c>
      <c r="LQJ864" s="22" t="s">
        <v>16</v>
      </c>
      <c r="LQK864" s="22" t="s">
        <v>16</v>
      </c>
      <c r="LQL864" s="22" t="s">
        <v>16</v>
      </c>
      <c r="LQM864" s="22" t="s">
        <v>16</v>
      </c>
      <c r="LQN864" s="22" t="s">
        <v>16</v>
      </c>
      <c r="LQO864" s="22" t="s">
        <v>16</v>
      </c>
      <c r="LQP864" s="22" t="s">
        <v>16</v>
      </c>
      <c r="LQQ864" s="22" t="s">
        <v>16</v>
      </c>
      <c r="LQR864" s="22" t="s">
        <v>16</v>
      </c>
      <c r="LQS864" s="22" t="s">
        <v>16</v>
      </c>
      <c r="LQT864" s="22" t="s">
        <v>16</v>
      </c>
      <c r="LQU864" s="22" t="s">
        <v>16</v>
      </c>
      <c r="LQV864" s="22" t="s">
        <v>16</v>
      </c>
      <c r="LQW864" s="22" t="s">
        <v>16</v>
      </c>
      <c r="LQX864" s="22" t="s">
        <v>16</v>
      </c>
      <c r="LQY864" s="22" t="s">
        <v>16</v>
      </c>
      <c r="LQZ864" s="22" t="s">
        <v>16</v>
      </c>
      <c r="LRA864" s="22" t="s">
        <v>16</v>
      </c>
      <c r="LRB864" s="22" t="s">
        <v>16</v>
      </c>
      <c r="LRC864" s="22" t="s">
        <v>16</v>
      </c>
      <c r="LRD864" s="22" t="s">
        <v>16</v>
      </c>
      <c r="LRE864" s="22" t="s">
        <v>16</v>
      </c>
      <c r="LRF864" s="22" t="s">
        <v>16</v>
      </c>
      <c r="LRG864" s="22" t="s">
        <v>16</v>
      </c>
      <c r="LRH864" s="22" t="s">
        <v>16</v>
      </c>
      <c r="LRI864" s="22" t="s">
        <v>16</v>
      </c>
      <c r="LRJ864" s="22" t="s">
        <v>16</v>
      </c>
      <c r="LRK864" s="22" t="s">
        <v>16</v>
      </c>
      <c r="LRL864" s="22" t="s">
        <v>16</v>
      </c>
      <c r="LRM864" s="22" t="s">
        <v>16</v>
      </c>
      <c r="LRN864" s="22" t="s">
        <v>16</v>
      </c>
      <c r="LRO864" s="22" t="s">
        <v>16</v>
      </c>
      <c r="LRP864" s="22" t="s">
        <v>16</v>
      </c>
      <c r="LRQ864" s="22" t="s">
        <v>16</v>
      </c>
      <c r="LRR864" s="22" t="s">
        <v>16</v>
      </c>
      <c r="LRS864" s="22" t="s">
        <v>16</v>
      </c>
      <c r="LRT864" s="22" t="s">
        <v>16</v>
      </c>
      <c r="LRU864" s="22" t="s">
        <v>16</v>
      </c>
      <c r="LRV864" s="22" t="s">
        <v>16</v>
      </c>
      <c r="LRW864" s="22" t="s">
        <v>16</v>
      </c>
      <c r="LRX864" s="22" t="s">
        <v>16</v>
      </c>
      <c r="LRY864" s="22" t="s">
        <v>16</v>
      </c>
      <c r="LRZ864" s="22" t="s">
        <v>16</v>
      </c>
      <c r="LSA864" s="22" t="s">
        <v>16</v>
      </c>
      <c r="LSB864" s="22" t="s">
        <v>16</v>
      </c>
      <c r="LSC864" s="22" t="s">
        <v>16</v>
      </c>
      <c r="LSD864" s="22" t="s">
        <v>16</v>
      </c>
      <c r="LSE864" s="22" t="s">
        <v>16</v>
      </c>
      <c r="LSF864" s="22" t="s">
        <v>16</v>
      </c>
      <c r="LSG864" s="22" t="s">
        <v>16</v>
      </c>
      <c r="LSH864" s="22" t="s">
        <v>16</v>
      </c>
      <c r="LSI864" s="22" t="s">
        <v>16</v>
      </c>
      <c r="LSJ864" s="22" t="s">
        <v>16</v>
      </c>
      <c r="LSK864" s="22" t="s">
        <v>16</v>
      </c>
      <c r="LSL864" s="22" t="s">
        <v>16</v>
      </c>
      <c r="LSM864" s="22" t="s">
        <v>16</v>
      </c>
      <c r="LSN864" s="22" t="s">
        <v>16</v>
      </c>
      <c r="LSO864" s="22" t="s">
        <v>16</v>
      </c>
      <c r="LSP864" s="22" t="s">
        <v>16</v>
      </c>
      <c r="LSQ864" s="22" t="s">
        <v>16</v>
      </c>
      <c r="LSR864" s="22" t="s">
        <v>16</v>
      </c>
      <c r="LSS864" s="22" t="s">
        <v>16</v>
      </c>
      <c r="LST864" s="22" t="s">
        <v>16</v>
      </c>
      <c r="LSU864" s="22" t="s">
        <v>16</v>
      </c>
      <c r="LSV864" s="22" t="s">
        <v>16</v>
      </c>
      <c r="LSW864" s="22" t="s">
        <v>16</v>
      </c>
      <c r="LSX864" s="22" t="s">
        <v>16</v>
      </c>
      <c r="LSY864" s="22" t="s">
        <v>16</v>
      </c>
      <c r="LSZ864" s="22" t="s">
        <v>16</v>
      </c>
      <c r="LTA864" s="22" t="s">
        <v>16</v>
      </c>
      <c r="LTB864" s="22" t="s">
        <v>16</v>
      </c>
      <c r="LTC864" s="22" t="s">
        <v>16</v>
      </c>
      <c r="LTD864" s="22" t="s">
        <v>16</v>
      </c>
      <c r="LTE864" s="22" t="s">
        <v>16</v>
      </c>
      <c r="LTF864" s="22" t="s">
        <v>16</v>
      </c>
      <c r="LTG864" s="22" t="s">
        <v>16</v>
      </c>
      <c r="LTH864" s="22" t="s">
        <v>16</v>
      </c>
      <c r="LTI864" s="22" t="s">
        <v>16</v>
      </c>
      <c r="LTJ864" s="22" t="s">
        <v>16</v>
      </c>
      <c r="LTK864" s="22" t="s">
        <v>16</v>
      </c>
      <c r="LTL864" s="22" t="s">
        <v>16</v>
      </c>
      <c r="LTM864" s="22" t="s">
        <v>16</v>
      </c>
      <c r="LTN864" s="22" t="s">
        <v>16</v>
      </c>
      <c r="LTO864" s="22" t="s">
        <v>16</v>
      </c>
      <c r="LTP864" s="22" t="s">
        <v>16</v>
      </c>
      <c r="LTQ864" s="22" t="s">
        <v>16</v>
      </c>
      <c r="LTR864" s="22" t="s">
        <v>16</v>
      </c>
      <c r="LTS864" s="22" t="s">
        <v>16</v>
      </c>
      <c r="LTT864" s="22" t="s">
        <v>16</v>
      </c>
      <c r="LTU864" s="22" t="s">
        <v>16</v>
      </c>
      <c r="LTV864" s="22" t="s">
        <v>16</v>
      </c>
      <c r="LTW864" s="22" t="s">
        <v>16</v>
      </c>
      <c r="LTX864" s="22" t="s">
        <v>16</v>
      </c>
      <c r="LTY864" s="22" t="s">
        <v>16</v>
      </c>
      <c r="LTZ864" s="22" t="s">
        <v>16</v>
      </c>
      <c r="LUA864" s="22" t="s">
        <v>16</v>
      </c>
      <c r="LUB864" s="22" t="s">
        <v>16</v>
      </c>
      <c r="LUC864" s="22" t="s">
        <v>16</v>
      </c>
      <c r="LUD864" s="22" t="s">
        <v>16</v>
      </c>
      <c r="LUE864" s="22" t="s">
        <v>16</v>
      </c>
      <c r="LUF864" s="22" t="s">
        <v>16</v>
      </c>
      <c r="LUG864" s="22" t="s">
        <v>16</v>
      </c>
      <c r="LUH864" s="22" t="s">
        <v>16</v>
      </c>
      <c r="LUI864" s="22" t="s">
        <v>16</v>
      </c>
      <c r="LUJ864" s="22" t="s">
        <v>16</v>
      </c>
      <c r="LUK864" s="22" t="s">
        <v>16</v>
      </c>
      <c r="LUL864" s="22" t="s">
        <v>16</v>
      </c>
      <c r="LUM864" s="22" t="s">
        <v>16</v>
      </c>
      <c r="LUN864" s="22" t="s">
        <v>16</v>
      </c>
      <c r="LUO864" s="22" t="s">
        <v>16</v>
      </c>
      <c r="LUP864" s="22" t="s">
        <v>16</v>
      </c>
      <c r="LUQ864" s="22" t="s">
        <v>16</v>
      </c>
      <c r="LUR864" s="22" t="s">
        <v>16</v>
      </c>
      <c r="LUS864" s="22" t="s">
        <v>16</v>
      </c>
      <c r="LUT864" s="22" t="s">
        <v>16</v>
      </c>
      <c r="LUU864" s="22" t="s">
        <v>16</v>
      </c>
      <c r="LUV864" s="22" t="s">
        <v>16</v>
      </c>
      <c r="LUW864" s="22" t="s">
        <v>16</v>
      </c>
      <c r="LUX864" s="22" t="s">
        <v>16</v>
      </c>
      <c r="LUY864" s="22" t="s">
        <v>16</v>
      </c>
      <c r="LUZ864" s="22" t="s">
        <v>16</v>
      </c>
      <c r="LVA864" s="22" t="s">
        <v>16</v>
      </c>
      <c r="LVB864" s="22" t="s">
        <v>16</v>
      </c>
      <c r="LVC864" s="22" t="s">
        <v>16</v>
      </c>
      <c r="LVD864" s="22" t="s">
        <v>16</v>
      </c>
      <c r="LVE864" s="22" t="s">
        <v>16</v>
      </c>
      <c r="LVF864" s="22" t="s">
        <v>16</v>
      </c>
      <c r="LVG864" s="22" t="s">
        <v>16</v>
      </c>
      <c r="LVH864" s="22" t="s">
        <v>16</v>
      </c>
      <c r="LVI864" s="22" t="s">
        <v>16</v>
      </c>
      <c r="LVJ864" s="22" t="s">
        <v>16</v>
      </c>
      <c r="LVK864" s="22" t="s">
        <v>16</v>
      </c>
      <c r="LVL864" s="22" t="s">
        <v>16</v>
      </c>
      <c r="LVM864" s="22" t="s">
        <v>16</v>
      </c>
      <c r="LVN864" s="22" t="s">
        <v>16</v>
      </c>
      <c r="LVO864" s="22" t="s">
        <v>16</v>
      </c>
      <c r="LVP864" s="22" t="s">
        <v>16</v>
      </c>
      <c r="LVQ864" s="22" t="s">
        <v>16</v>
      </c>
      <c r="LVR864" s="22" t="s">
        <v>16</v>
      </c>
      <c r="LVS864" s="22" t="s">
        <v>16</v>
      </c>
      <c r="LVT864" s="22" t="s">
        <v>16</v>
      </c>
      <c r="LVU864" s="22" t="s">
        <v>16</v>
      </c>
      <c r="LVV864" s="22" t="s">
        <v>16</v>
      </c>
      <c r="LVW864" s="22" t="s">
        <v>16</v>
      </c>
      <c r="LVX864" s="22" t="s">
        <v>16</v>
      </c>
      <c r="LVY864" s="22" t="s">
        <v>16</v>
      </c>
      <c r="LVZ864" s="22" t="s">
        <v>16</v>
      </c>
      <c r="LWA864" s="22" t="s">
        <v>16</v>
      </c>
      <c r="LWB864" s="22" t="s">
        <v>16</v>
      </c>
      <c r="LWC864" s="22" t="s">
        <v>16</v>
      </c>
      <c r="LWD864" s="22" t="s">
        <v>16</v>
      </c>
      <c r="LWE864" s="22" t="s">
        <v>16</v>
      </c>
      <c r="LWF864" s="22" t="s">
        <v>16</v>
      </c>
      <c r="LWG864" s="22" t="s">
        <v>16</v>
      </c>
      <c r="LWH864" s="22" t="s">
        <v>16</v>
      </c>
      <c r="LWI864" s="22" t="s">
        <v>16</v>
      </c>
      <c r="LWJ864" s="22" t="s">
        <v>16</v>
      </c>
      <c r="LWK864" s="22" t="s">
        <v>16</v>
      </c>
      <c r="LWL864" s="22" t="s">
        <v>16</v>
      </c>
      <c r="LWM864" s="22" t="s">
        <v>16</v>
      </c>
      <c r="LWN864" s="22" t="s">
        <v>16</v>
      </c>
      <c r="LWO864" s="22" t="s">
        <v>16</v>
      </c>
      <c r="LWP864" s="22" t="s">
        <v>16</v>
      </c>
      <c r="LWQ864" s="22" t="s">
        <v>16</v>
      </c>
      <c r="LWR864" s="22" t="s">
        <v>16</v>
      </c>
      <c r="LWS864" s="22" t="s">
        <v>16</v>
      </c>
      <c r="LWT864" s="22" t="s">
        <v>16</v>
      </c>
      <c r="LWU864" s="22" t="s">
        <v>16</v>
      </c>
      <c r="LWV864" s="22" t="s">
        <v>16</v>
      </c>
      <c r="LWW864" s="22" t="s">
        <v>16</v>
      </c>
      <c r="LWX864" s="22" t="s">
        <v>16</v>
      </c>
      <c r="LWY864" s="22" t="s">
        <v>16</v>
      </c>
      <c r="LWZ864" s="22" t="s">
        <v>16</v>
      </c>
      <c r="LXA864" s="22" t="s">
        <v>16</v>
      </c>
      <c r="LXB864" s="22" t="s">
        <v>16</v>
      </c>
      <c r="LXC864" s="22" t="s">
        <v>16</v>
      </c>
      <c r="LXD864" s="22" t="s">
        <v>16</v>
      </c>
      <c r="LXE864" s="22" t="s">
        <v>16</v>
      </c>
      <c r="LXF864" s="22" t="s">
        <v>16</v>
      </c>
      <c r="LXG864" s="22" t="s">
        <v>16</v>
      </c>
      <c r="LXH864" s="22" t="s">
        <v>16</v>
      </c>
      <c r="LXI864" s="22" t="s">
        <v>16</v>
      </c>
      <c r="LXJ864" s="22" t="s">
        <v>16</v>
      </c>
      <c r="LXK864" s="22" t="s">
        <v>16</v>
      </c>
      <c r="LXL864" s="22" t="s">
        <v>16</v>
      </c>
      <c r="LXM864" s="22" t="s">
        <v>16</v>
      </c>
      <c r="LXN864" s="22" t="s">
        <v>16</v>
      </c>
      <c r="LXO864" s="22" t="s">
        <v>16</v>
      </c>
      <c r="LXP864" s="22" t="s">
        <v>16</v>
      </c>
      <c r="LXQ864" s="22" t="s">
        <v>16</v>
      </c>
      <c r="LXR864" s="22" t="s">
        <v>16</v>
      </c>
      <c r="LXS864" s="22" t="s">
        <v>16</v>
      </c>
      <c r="LXT864" s="22" t="s">
        <v>16</v>
      </c>
      <c r="LXU864" s="22" t="s">
        <v>16</v>
      </c>
      <c r="LXV864" s="22" t="s">
        <v>16</v>
      </c>
      <c r="LXW864" s="22" t="s">
        <v>16</v>
      </c>
      <c r="LXX864" s="22" t="s">
        <v>16</v>
      </c>
      <c r="LXY864" s="22" t="s">
        <v>16</v>
      </c>
      <c r="LXZ864" s="22" t="s">
        <v>16</v>
      </c>
      <c r="LYA864" s="22" t="s">
        <v>16</v>
      </c>
      <c r="LYB864" s="22" t="s">
        <v>16</v>
      </c>
      <c r="LYC864" s="22" t="s">
        <v>16</v>
      </c>
      <c r="LYD864" s="22" t="s">
        <v>16</v>
      </c>
      <c r="LYE864" s="22" t="s">
        <v>16</v>
      </c>
      <c r="LYF864" s="22" t="s">
        <v>16</v>
      </c>
      <c r="LYG864" s="22" t="s">
        <v>16</v>
      </c>
      <c r="LYH864" s="22" t="s">
        <v>16</v>
      </c>
      <c r="LYI864" s="22" t="s">
        <v>16</v>
      </c>
      <c r="LYJ864" s="22" t="s">
        <v>16</v>
      </c>
      <c r="LYK864" s="22" t="s">
        <v>16</v>
      </c>
      <c r="LYL864" s="22" t="s">
        <v>16</v>
      </c>
      <c r="LYM864" s="22" t="s">
        <v>16</v>
      </c>
      <c r="LYN864" s="22" t="s">
        <v>16</v>
      </c>
      <c r="LYO864" s="22" t="s">
        <v>16</v>
      </c>
      <c r="LYP864" s="22" t="s">
        <v>16</v>
      </c>
      <c r="LYQ864" s="22" t="s">
        <v>16</v>
      </c>
      <c r="LYR864" s="22" t="s">
        <v>16</v>
      </c>
      <c r="LYS864" s="22" t="s">
        <v>16</v>
      </c>
      <c r="LYT864" s="22" t="s">
        <v>16</v>
      </c>
      <c r="LYU864" s="22" t="s">
        <v>16</v>
      </c>
      <c r="LYV864" s="22" t="s">
        <v>16</v>
      </c>
      <c r="LYW864" s="22" t="s">
        <v>16</v>
      </c>
      <c r="LYX864" s="22" t="s">
        <v>16</v>
      </c>
      <c r="LYY864" s="22" t="s">
        <v>16</v>
      </c>
      <c r="LYZ864" s="22" t="s">
        <v>16</v>
      </c>
      <c r="LZA864" s="22" t="s">
        <v>16</v>
      </c>
      <c r="LZB864" s="22" t="s">
        <v>16</v>
      </c>
      <c r="LZC864" s="22" t="s">
        <v>16</v>
      </c>
      <c r="LZD864" s="22" t="s">
        <v>16</v>
      </c>
      <c r="LZE864" s="22" t="s">
        <v>16</v>
      </c>
      <c r="LZF864" s="22" t="s">
        <v>16</v>
      </c>
      <c r="LZG864" s="22" t="s">
        <v>16</v>
      </c>
      <c r="LZH864" s="22" t="s">
        <v>16</v>
      </c>
      <c r="LZI864" s="22" t="s">
        <v>16</v>
      </c>
      <c r="LZJ864" s="22" t="s">
        <v>16</v>
      </c>
      <c r="LZK864" s="22" t="s">
        <v>16</v>
      </c>
      <c r="LZL864" s="22" t="s">
        <v>16</v>
      </c>
      <c r="LZM864" s="22" t="s">
        <v>16</v>
      </c>
      <c r="LZN864" s="22" t="s">
        <v>16</v>
      </c>
      <c r="LZO864" s="22" t="s">
        <v>16</v>
      </c>
      <c r="LZP864" s="22" t="s">
        <v>16</v>
      </c>
      <c r="LZQ864" s="22" t="s">
        <v>16</v>
      </c>
      <c r="LZR864" s="22" t="s">
        <v>16</v>
      </c>
      <c r="LZS864" s="22" t="s">
        <v>16</v>
      </c>
      <c r="LZT864" s="22" t="s">
        <v>16</v>
      </c>
      <c r="LZU864" s="22" t="s">
        <v>16</v>
      </c>
      <c r="LZV864" s="22" t="s">
        <v>16</v>
      </c>
      <c r="LZW864" s="22" t="s">
        <v>16</v>
      </c>
      <c r="LZX864" s="22" t="s">
        <v>16</v>
      </c>
      <c r="LZY864" s="22" t="s">
        <v>16</v>
      </c>
      <c r="LZZ864" s="22" t="s">
        <v>16</v>
      </c>
      <c r="MAA864" s="22" t="s">
        <v>16</v>
      </c>
      <c r="MAB864" s="22" t="s">
        <v>16</v>
      </c>
      <c r="MAC864" s="22" t="s">
        <v>16</v>
      </c>
      <c r="MAD864" s="22" t="s">
        <v>16</v>
      </c>
      <c r="MAE864" s="22" t="s">
        <v>16</v>
      </c>
      <c r="MAF864" s="22" t="s">
        <v>16</v>
      </c>
      <c r="MAG864" s="22" t="s">
        <v>16</v>
      </c>
      <c r="MAH864" s="22" t="s">
        <v>16</v>
      </c>
      <c r="MAI864" s="22" t="s">
        <v>16</v>
      </c>
      <c r="MAJ864" s="22" t="s">
        <v>16</v>
      </c>
      <c r="MAK864" s="22" t="s">
        <v>16</v>
      </c>
      <c r="MAL864" s="22" t="s">
        <v>16</v>
      </c>
      <c r="MAM864" s="22" t="s">
        <v>16</v>
      </c>
      <c r="MAN864" s="22" t="s">
        <v>16</v>
      </c>
      <c r="MAO864" s="22" t="s">
        <v>16</v>
      </c>
      <c r="MAP864" s="22" t="s">
        <v>16</v>
      </c>
      <c r="MAQ864" s="22" t="s">
        <v>16</v>
      </c>
      <c r="MAR864" s="22" t="s">
        <v>16</v>
      </c>
      <c r="MAS864" s="22" t="s">
        <v>16</v>
      </c>
      <c r="MAT864" s="22" t="s">
        <v>16</v>
      </c>
      <c r="MAU864" s="22" t="s">
        <v>16</v>
      </c>
      <c r="MAV864" s="22" t="s">
        <v>16</v>
      </c>
      <c r="MAW864" s="22" t="s">
        <v>16</v>
      </c>
      <c r="MAX864" s="22" t="s">
        <v>16</v>
      </c>
      <c r="MAY864" s="22" t="s">
        <v>16</v>
      </c>
      <c r="MAZ864" s="22" t="s">
        <v>16</v>
      </c>
      <c r="MBA864" s="22" t="s">
        <v>16</v>
      </c>
      <c r="MBB864" s="22" t="s">
        <v>16</v>
      </c>
      <c r="MBC864" s="22" t="s">
        <v>16</v>
      </c>
      <c r="MBD864" s="22" t="s">
        <v>16</v>
      </c>
      <c r="MBE864" s="22" t="s">
        <v>16</v>
      </c>
      <c r="MBF864" s="22" t="s">
        <v>16</v>
      </c>
      <c r="MBG864" s="22" t="s">
        <v>16</v>
      </c>
      <c r="MBH864" s="22" t="s">
        <v>16</v>
      </c>
      <c r="MBI864" s="22" t="s">
        <v>16</v>
      </c>
      <c r="MBJ864" s="22" t="s">
        <v>16</v>
      </c>
      <c r="MBK864" s="22" t="s">
        <v>16</v>
      </c>
      <c r="MBL864" s="22" t="s">
        <v>16</v>
      </c>
      <c r="MBM864" s="22" t="s">
        <v>16</v>
      </c>
      <c r="MBN864" s="22" t="s">
        <v>16</v>
      </c>
      <c r="MBO864" s="22" t="s">
        <v>16</v>
      </c>
      <c r="MBP864" s="22" t="s">
        <v>16</v>
      </c>
      <c r="MBQ864" s="22" t="s">
        <v>16</v>
      </c>
      <c r="MBR864" s="22" t="s">
        <v>16</v>
      </c>
      <c r="MBS864" s="22" t="s">
        <v>16</v>
      </c>
      <c r="MBT864" s="22" t="s">
        <v>16</v>
      </c>
      <c r="MBU864" s="22" t="s">
        <v>16</v>
      </c>
      <c r="MBV864" s="22" t="s">
        <v>16</v>
      </c>
      <c r="MBW864" s="22" t="s">
        <v>16</v>
      </c>
      <c r="MBX864" s="22" t="s">
        <v>16</v>
      </c>
      <c r="MBY864" s="22" t="s">
        <v>16</v>
      </c>
      <c r="MBZ864" s="22" t="s">
        <v>16</v>
      </c>
      <c r="MCA864" s="22" t="s">
        <v>16</v>
      </c>
      <c r="MCB864" s="22" t="s">
        <v>16</v>
      </c>
      <c r="MCC864" s="22" t="s">
        <v>16</v>
      </c>
      <c r="MCD864" s="22" t="s">
        <v>16</v>
      </c>
      <c r="MCE864" s="22" t="s">
        <v>16</v>
      </c>
      <c r="MCF864" s="22" t="s">
        <v>16</v>
      </c>
      <c r="MCG864" s="22" t="s">
        <v>16</v>
      </c>
      <c r="MCH864" s="22" t="s">
        <v>16</v>
      </c>
      <c r="MCI864" s="22" t="s">
        <v>16</v>
      </c>
      <c r="MCJ864" s="22" t="s">
        <v>16</v>
      </c>
      <c r="MCK864" s="22" t="s">
        <v>16</v>
      </c>
      <c r="MCL864" s="22" t="s">
        <v>16</v>
      </c>
      <c r="MCM864" s="22" t="s">
        <v>16</v>
      </c>
      <c r="MCN864" s="22" t="s">
        <v>16</v>
      </c>
      <c r="MCO864" s="22" t="s">
        <v>16</v>
      </c>
      <c r="MCP864" s="22" t="s">
        <v>16</v>
      </c>
      <c r="MCQ864" s="22" t="s">
        <v>16</v>
      </c>
      <c r="MCR864" s="22" t="s">
        <v>16</v>
      </c>
      <c r="MCS864" s="22" t="s">
        <v>16</v>
      </c>
      <c r="MCT864" s="22" t="s">
        <v>16</v>
      </c>
      <c r="MCU864" s="22" t="s">
        <v>16</v>
      </c>
      <c r="MCV864" s="22" t="s">
        <v>16</v>
      </c>
      <c r="MCW864" s="22" t="s">
        <v>16</v>
      </c>
      <c r="MCX864" s="22" t="s">
        <v>16</v>
      </c>
      <c r="MCY864" s="22" t="s">
        <v>16</v>
      </c>
      <c r="MCZ864" s="22" t="s">
        <v>16</v>
      </c>
      <c r="MDA864" s="22" t="s">
        <v>16</v>
      </c>
      <c r="MDB864" s="22" t="s">
        <v>16</v>
      </c>
      <c r="MDC864" s="22" t="s">
        <v>16</v>
      </c>
      <c r="MDD864" s="22" t="s">
        <v>16</v>
      </c>
      <c r="MDE864" s="22" t="s">
        <v>16</v>
      </c>
      <c r="MDF864" s="22" t="s">
        <v>16</v>
      </c>
      <c r="MDG864" s="22" t="s">
        <v>16</v>
      </c>
      <c r="MDH864" s="22" t="s">
        <v>16</v>
      </c>
      <c r="MDI864" s="22" t="s">
        <v>16</v>
      </c>
      <c r="MDJ864" s="22" t="s">
        <v>16</v>
      </c>
      <c r="MDK864" s="22" t="s">
        <v>16</v>
      </c>
      <c r="MDL864" s="22" t="s">
        <v>16</v>
      </c>
      <c r="MDM864" s="22" t="s">
        <v>16</v>
      </c>
      <c r="MDN864" s="22" t="s">
        <v>16</v>
      </c>
      <c r="MDO864" s="22" t="s">
        <v>16</v>
      </c>
      <c r="MDP864" s="22" t="s">
        <v>16</v>
      </c>
      <c r="MDQ864" s="22" t="s">
        <v>16</v>
      </c>
      <c r="MDR864" s="22" t="s">
        <v>16</v>
      </c>
      <c r="MDS864" s="22" t="s">
        <v>16</v>
      </c>
      <c r="MDT864" s="22" t="s">
        <v>16</v>
      </c>
      <c r="MDU864" s="22" t="s">
        <v>16</v>
      </c>
      <c r="MDV864" s="22" t="s">
        <v>16</v>
      </c>
      <c r="MDW864" s="22" t="s">
        <v>16</v>
      </c>
      <c r="MDX864" s="22" t="s">
        <v>16</v>
      </c>
      <c r="MDY864" s="22" t="s">
        <v>16</v>
      </c>
      <c r="MDZ864" s="22" t="s">
        <v>16</v>
      </c>
      <c r="MEA864" s="22" t="s">
        <v>16</v>
      </c>
      <c r="MEB864" s="22" t="s">
        <v>16</v>
      </c>
      <c r="MEC864" s="22" t="s">
        <v>16</v>
      </c>
      <c r="MED864" s="22" t="s">
        <v>16</v>
      </c>
      <c r="MEE864" s="22" t="s">
        <v>16</v>
      </c>
      <c r="MEF864" s="22" t="s">
        <v>16</v>
      </c>
      <c r="MEG864" s="22" t="s">
        <v>16</v>
      </c>
      <c r="MEH864" s="22" t="s">
        <v>16</v>
      </c>
      <c r="MEI864" s="22" t="s">
        <v>16</v>
      </c>
      <c r="MEJ864" s="22" t="s">
        <v>16</v>
      </c>
      <c r="MEK864" s="22" t="s">
        <v>16</v>
      </c>
      <c r="MEL864" s="22" t="s">
        <v>16</v>
      </c>
      <c r="MEM864" s="22" t="s">
        <v>16</v>
      </c>
      <c r="MEN864" s="22" t="s">
        <v>16</v>
      </c>
      <c r="MEO864" s="22" t="s">
        <v>16</v>
      </c>
      <c r="MEP864" s="22" t="s">
        <v>16</v>
      </c>
      <c r="MEQ864" s="22" t="s">
        <v>16</v>
      </c>
      <c r="MER864" s="22" t="s">
        <v>16</v>
      </c>
      <c r="MES864" s="22" t="s">
        <v>16</v>
      </c>
      <c r="MET864" s="22" t="s">
        <v>16</v>
      </c>
      <c r="MEU864" s="22" t="s">
        <v>16</v>
      </c>
      <c r="MEV864" s="22" t="s">
        <v>16</v>
      </c>
      <c r="MEW864" s="22" t="s">
        <v>16</v>
      </c>
      <c r="MEX864" s="22" t="s">
        <v>16</v>
      </c>
      <c r="MEY864" s="22" t="s">
        <v>16</v>
      </c>
      <c r="MEZ864" s="22" t="s">
        <v>16</v>
      </c>
      <c r="MFA864" s="22" t="s">
        <v>16</v>
      </c>
      <c r="MFB864" s="22" t="s">
        <v>16</v>
      </c>
      <c r="MFC864" s="22" t="s">
        <v>16</v>
      </c>
      <c r="MFD864" s="22" t="s">
        <v>16</v>
      </c>
      <c r="MFE864" s="22" t="s">
        <v>16</v>
      </c>
      <c r="MFF864" s="22" t="s">
        <v>16</v>
      </c>
      <c r="MFG864" s="22" t="s">
        <v>16</v>
      </c>
      <c r="MFH864" s="22" t="s">
        <v>16</v>
      </c>
      <c r="MFI864" s="22" t="s">
        <v>16</v>
      </c>
      <c r="MFJ864" s="22" t="s">
        <v>16</v>
      </c>
      <c r="MFK864" s="22" t="s">
        <v>16</v>
      </c>
      <c r="MFL864" s="22" t="s">
        <v>16</v>
      </c>
      <c r="MFM864" s="22" t="s">
        <v>16</v>
      </c>
      <c r="MFN864" s="22" t="s">
        <v>16</v>
      </c>
      <c r="MFO864" s="22" t="s">
        <v>16</v>
      </c>
      <c r="MFP864" s="22" t="s">
        <v>16</v>
      </c>
      <c r="MFQ864" s="22" t="s">
        <v>16</v>
      </c>
      <c r="MFR864" s="22" t="s">
        <v>16</v>
      </c>
      <c r="MFS864" s="22" t="s">
        <v>16</v>
      </c>
      <c r="MFT864" s="22" t="s">
        <v>16</v>
      </c>
      <c r="MFU864" s="22" t="s">
        <v>16</v>
      </c>
      <c r="MFV864" s="22" t="s">
        <v>16</v>
      </c>
      <c r="MFW864" s="22" t="s">
        <v>16</v>
      </c>
      <c r="MFX864" s="22" t="s">
        <v>16</v>
      </c>
      <c r="MFY864" s="22" t="s">
        <v>16</v>
      </c>
      <c r="MFZ864" s="22" t="s">
        <v>16</v>
      </c>
      <c r="MGA864" s="22" t="s">
        <v>16</v>
      </c>
      <c r="MGB864" s="22" t="s">
        <v>16</v>
      </c>
      <c r="MGC864" s="22" t="s">
        <v>16</v>
      </c>
      <c r="MGD864" s="22" t="s">
        <v>16</v>
      </c>
      <c r="MGE864" s="22" t="s">
        <v>16</v>
      </c>
      <c r="MGF864" s="22" t="s">
        <v>16</v>
      </c>
      <c r="MGG864" s="22" t="s">
        <v>16</v>
      </c>
      <c r="MGH864" s="22" t="s">
        <v>16</v>
      </c>
      <c r="MGI864" s="22" t="s">
        <v>16</v>
      </c>
      <c r="MGJ864" s="22" t="s">
        <v>16</v>
      </c>
      <c r="MGK864" s="22" t="s">
        <v>16</v>
      </c>
      <c r="MGL864" s="22" t="s">
        <v>16</v>
      </c>
      <c r="MGM864" s="22" t="s">
        <v>16</v>
      </c>
      <c r="MGN864" s="22" t="s">
        <v>16</v>
      </c>
      <c r="MGO864" s="22" t="s">
        <v>16</v>
      </c>
      <c r="MGP864" s="22" t="s">
        <v>16</v>
      </c>
      <c r="MGQ864" s="22" t="s">
        <v>16</v>
      </c>
      <c r="MGR864" s="22" t="s">
        <v>16</v>
      </c>
      <c r="MGS864" s="22" t="s">
        <v>16</v>
      </c>
      <c r="MGT864" s="22" t="s">
        <v>16</v>
      </c>
      <c r="MGU864" s="22" t="s">
        <v>16</v>
      </c>
      <c r="MGV864" s="22" t="s">
        <v>16</v>
      </c>
      <c r="MGW864" s="22" t="s">
        <v>16</v>
      </c>
      <c r="MGX864" s="22" t="s">
        <v>16</v>
      </c>
      <c r="MGY864" s="22" t="s">
        <v>16</v>
      </c>
      <c r="MGZ864" s="22" t="s">
        <v>16</v>
      </c>
      <c r="MHA864" s="22" t="s">
        <v>16</v>
      </c>
      <c r="MHB864" s="22" t="s">
        <v>16</v>
      </c>
      <c r="MHC864" s="22" t="s">
        <v>16</v>
      </c>
      <c r="MHD864" s="22" t="s">
        <v>16</v>
      </c>
      <c r="MHE864" s="22" t="s">
        <v>16</v>
      </c>
      <c r="MHF864" s="22" t="s">
        <v>16</v>
      </c>
      <c r="MHG864" s="22" t="s">
        <v>16</v>
      </c>
      <c r="MHH864" s="22" t="s">
        <v>16</v>
      </c>
      <c r="MHI864" s="22" t="s">
        <v>16</v>
      </c>
      <c r="MHJ864" s="22" t="s">
        <v>16</v>
      </c>
      <c r="MHK864" s="22" t="s">
        <v>16</v>
      </c>
      <c r="MHL864" s="22" t="s">
        <v>16</v>
      </c>
      <c r="MHM864" s="22" t="s">
        <v>16</v>
      </c>
      <c r="MHN864" s="22" t="s">
        <v>16</v>
      </c>
      <c r="MHO864" s="22" t="s">
        <v>16</v>
      </c>
      <c r="MHP864" s="22" t="s">
        <v>16</v>
      </c>
      <c r="MHQ864" s="22" t="s">
        <v>16</v>
      </c>
      <c r="MHR864" s="22" t="s">
        <v>16</v>
      </c>
      <c r="MHS864" s="22" t="s">
        <v>16</v>
      </c>
      <c r="MHT864" s="22" t="s">
        <v>16</v>
      </c>
      <c r="MHU864" s="22" t="s">
        <v>16</v>
      </c>
      <c r="MHV864" s="22" t="s">
        <v>16</v>
      </c>
      <c r="MHW864" s="22" t="s">
        <v>16</v>
      </c>
      <c r="MHX864" s="22" t="s">
        <v>16</v>
      </c>
      <c r="MHY864" s="22" t="s">
        <v>16</v>
      </c>
      <c r="MHZ864" s="22" t="s">
        <v>16</v>
      </c>
      <c r="MIA864" s="22" t="s">
        <v>16</v>
      </c>
      <c r="MIB864" s="22" t="s">
        <v>16</v>
      </c>
      <c r="MIC864" s="22" t="s">
        <v>16</v>
      </c>
      <c r="MID864" s="22" t="s">
        <v>16</v>
      </c>
      <c r="MIE864" s="22" t="s">
        <v>16</v>
      </c>
      <c r="MIF864" s="22" t="s">
        <v>16</v>
      </c>
      <c r="MIG864" s="22" t="s">
        <v>16</v>
      </c>
      <c r="MIH864" s="22" t="s">
        <v>16</v>
      </c>
      <c r="MII864" s="22" t="s">
        <v>16</v>
      </c>
      <c r="MIJ864" s="22" t="s">
        <v>16</v>
      </c>
      <c r="MIK864" s="22" t="s">
        <v>16</v>
      </c>
      <c r="MIL864" s="22" t="s">
        <v>16</v>
      </c>
      <c r="MIM864" s="22" t="s">
        <v>16</v>
      </c>
      <c r="MIN864" s="22" t="s">
        <v>16</v>
      </c>
      <c r="MIO864" s="22" t="s">
        <v>16</v>
      </c>
      <c r="MIP864" s="22" t="s">
        <v>16</v>
      </c>
      <c r="MIQ864" s="22" t="s">
        <v>16</v>
      </c>
      <c r="MIR864" s="22" t="s">
        <v>16</v>
      </c>
      <c r="MIS864" s="22" t="s">
        <v>16</v>
      </c>
      <c r="MIT864" s="22" t="s">
        <v>16</v>
      </c>
      <c r="MIU864" s="22" t="s">
        <v>16</v>
      </c>
      <c r="MIV864" s="22" t="s">
        <v>16</v>
      </c>
      <c r="MIW864" s="22" t="s">
        <v>16</v>
      </c>
      <c r="MIX864" s="22" t="s">
        <v>16</v>
      </c>
      <c r="MIY864" s="22" t="s">
        <v>16</v>
      </c>
      <c r="MIZ864" s="22" t="s">
        <v>16</v>
      </c>
      <c r="MJA864" s="22" t="s">
        <v>16</v>
      </c>
      <c r="MJB864" s="22" t="s">
        <v>16</v>
      </c>
      <c r="MJC864" s="22" t="s">
        <v>16</v>
      </c>
      <c r="MJD864" s="22" t="s">
        <v>16</v>
      </c>
      <c r="MJE864" s="22" t="s">
        <v>16</v>
      </c>
      <c r="MJF864" s="22" t="s">
        <v>16</v>
      </c>
      <c r="MJG864" s="22" t="s">
        <v>16</v>
      </c>
      <c r="MJH864" s="22" t="s">
        <v>16</v>
      </c>
      <c r="MJI864" s="22" t="s">
        <v>16</v>
      </c>
      <c r="MJJ864" s="22" t="s">
        <v>16</v>
      </c>
      <c r="MJK864" s="22" t="s">
        <v>16</v>
      </c>
      <c r="MJL864" s="22" t="s">
        <v>16</v>
      </c>
      <c r="MJM864" s="22" t="s">
        <v>16</v>
      </c>
      <c r="MJN864" s="22" t="s">
        <v>16</v>
      </c>
      <c r="MJO864" s="22" t="s">
        <v>16</v>
      </c>
      <c r="MJP864" s="22" t="s">
        <v>16</v>
      </c>
      <c r="MJQ864" s="22" t="s">
        <v>16</v>
      </c>
      <c r="MJR864" s="22" t="s">
        <v>16</v>
      </c>
      <c r="MJS864" s="22" t="s">
        <v>16</v>
      </c>
      <c r="MJT864" s="22" t="s">
        <v>16</v>
      </c>
      <c r="MJU864" s="22" t="s">
        <v>16</v>
      </c>
      <c r="MJV864" s="22" t="s">
        <v>16</v>
      </c>
      <c r="MJW864" s="22" t="s">
        <v>16</v>
      </c>
      <c r="MJX864" s="22" t="s">
        <v>16</v>
      </c>
      <c r="MJY864" s="22" t="s">
        <v>16</v>
      </c>
      <c r="MJZ864" s="22" t="s">
        <v>16</v>
      </c>
      <c r="MKA864" s="22" t="s">
        <v>16</v>
      </c>
      <c r="MKB864" s="22" t="s">
        <v>16</v>
      </c>
      <c r="MKC864" s="22" t="s">
        <v>16</v>
      </c>
      <c r="MKD864" s="22" t="s">
        <v>16</v>
      </c>
      <c r="MKE864" s="22" t="s">
        <v>16</v>
      </c>
      <c r="MKF864" s="22" t="s">
        <v>16</v>
      </c>
      <c r="MKG864" s="22" t="s">
        <v>16</v>
      </c>
      <c r="MKH864" s="22" t="s">
        <v>16</v>
      </c>
      <c r="MKI864" s="22" t="s">
        <v>16</v>
      </c>
      <c r="MKJ864" s="22" t="s">
        <v>16</v>
      </c>
      <c r="MKK864" s="22" t="s">
        <v>16</v>
      </c>
      <c r="MKL864" s="22" t="s">
        <v>16</v>
      </c>
      <c r="MKM864" s="22" t="s">
        <v>16</v>
      </c>
      <c r="MKN864" s="22" t="s">
        <v>16</v>
      </c>
      <c r="MKO864" s="22" t="s">
        <v>16</v>
      </c>
      <c r="MKP864" s="22" t="s">
        <v>16</v>
      </c>
      <c r="MKQ864" s="22" t="s">
        <v>16</v>
      </c>
      <c r="MKR864" s="22" t="s">
        <v>16</v>
      </c>
      <c r="MKS864" s="22" t="s">
        <v>16</v>
      </c>
      <c r="MKT864" s="22" t="s">
        <v>16</v>
      </c>
      <c r="MKU864" s="22" t="s">
        <v>16</v>
      </c>
      <c r="MKV864" s="22" t="s">
        <v>16</v>
      </c>
      <c r="MKW864" s="22" t="s">
        <v>16</v>
      </c>
      <c r="MKX864" s="22" t="s">
        <v>16</v>
      </c>
      <c r="MKY864" s="22" t="s">
        <v>16</v>
      </c>
      <c r="MKZ864" s="22" t="s">
        <v>16</v>
      </c>
      <c r="MLA864" s="22" t="s">
        <v>16</v>
      </c>
      <c r="MLB864" s="22" t="s">
        <v>16</v>
      </c>
      <c r="MLC864" s="22" t="s">
        <v>16</v>
      </c>
      <c r="MLD864" s="22" t="s">
        <v>16</v>
      </c>
      <c r="MLE864" s="22" t="s">
        <v>16</v>
      </c>
      <c r="MLF864" s="22" t="s">
        <v>16</v>
      </c>
      <c r="MLG864" s="22" t="s">
        <v>16</v>
      </c>
      <c r="MLH864" s="22" t="s">
        <v>16</v>
      </c>
      <c r="MLI864" s="22" t="s">
        <v>16</v>
      </c>
      <c r="MLJ864" s="22" t="s">
        <v>16</v>
      </c>
      <c r="MLK864" s="22" t="s">
        <v>16</v>
      </c>
      <c r="MLL864" s="22" t="s">
        <v>16</v>
      </c>
      <c r="MLM864" s="22" t="s">
        <v>16</v>
      </c>
      <c r="MLN864" s="22" t="s">
        <v>16</v>
      </c>
      <c r="MLO864" s="22" t="s">
        <v>16</v>
      </c>
      <c r="MLP864" s="22" t="s">
        <v>16</v>
      </c>
      <c r="MLQ864" s="22" t="s">
        <v>16</v>
      </c>
      <c r="MLR864" s="22" t="s">
        <v>16</v>
      </c>
      <c r="MLS864" s="22" t="s">
        <v>16</v>
      </c>
      <c r="MLT864" s="22" t="s">
        <v>16</v>
      </c>
      <c r="MLU864" s="22" t="s">
        <v>16</v>
      </c>
      <c r="MLV864" s="22" t="s">
        <v>16</v>
      </c>
      <c r="MLW864" s="22" t="s">
        <v>16</v>
      </c>
      <c r="MLX864" s="22" t="s">
        <v>16</v>
      </c>
      <c r="MLY864" s="22" t="s">
        <v>16</v>
      </c>
      <c r="MLZ864" s="22" t="s">
        <v>16</v>
      </c>
      <c r="MMA864" s="22" t="s">
        <v>16</v>
      </c>
      <c r="MMB864" s="22" t="s">
        <v>16</v>
      </c>
      <c r="MMC864" s="22" t="s">
        <v>16</v>
      </c>
      <c r="MMD864" s="22" t="s">
        <v>16</v>
      </c>
      <c r="MME864" s="22" t="s">
        <v>16</v>
      </c>
      <c r="MMF864" s="22" t="s">
        <v>16</v>
      </c>
      <c r="MMG864" s="22" t="s">
        <v>16</v>
      </c>
      <c r="MMH864" s="22" t="s">
        <v>16</v>
      </c>
      <c r="MMI864" s="22" t="s">
        <v>16</v>
      </c>
      <c r="MMJ864" s="22" t="s">
        <v>16</v>
      </c>
      <c r="MMK864" s="22" t="s">
        <v>16</v>
      </c>
      <c r="MML864" s="22" t="s">
        <v>16</v>
      </c>
      <c r="MMM864" s="22" t="s">
        <v>16</v>
      </c>
      <c r="MMN864" s="22" t="s">
        <v>16</v>
      </c>
      <c r="MMO864" s="22" t="s">
        <v>16</v>
      </c>
      <c r="MMP864" s="22" t="s">
        <v>16</v>
      </c>
      <c r="MMQ864" s="22" t="s">
        <v>16</v>
      </c>
      <c r="MMR864" s="22" t="s">
        <v>16</v>
      </c>
      <c r="MMS864" s="22" t="s">
        <v>16</v>
      </c>
      <c r="MMT864" s="22" t="s">
        <v>16</v>
      </c>
      <c r="MMU864" s="22" t="s">
        <v>16</v>
      </c>
      <c r="MMV864" s="22" t="s">
        <v>16</v>
      </c>
      <c r="MMW864" s="22" t="s">
        <v>16</v>
      </c>
      <c r="MMX864" s="22" t="s">
        <v>16</v>
      </c>
      <c r="MMY864" s="22" t="s">
        <v>16</v>
      </c>
      <c r="MMZ864" s="22" t="s">
        <v>16</v>
      </c>
      <c r="MNA864" s="22" t="s">
        <v>16</v>
      </c>
      <c r="MNB864" s="22" t="s">
        <v>16</v>
      </c>
      <c r="MNC864" s="22" t="s">
        <v>16</v>
      </c>
      <c r="MND864" s="22" t="s">
        <v>16</v>
      </c>
      <c r="MNE864" s="22" t="s">
        <v>16</v>
      </c>
      <c r="MNF864" s="22" t="s">
        <v>16</v>
      </c>
      <c r="MNG864" s="22" t="s">
        <v>16</v>
      </c>
      <c r="MNH864" s="22" t="s">
        <v>16</v>
      </c>
      <c r="MNI864" s="22" t="s">
        <v>16</v>
      </c>
      <c r="MNJ864" s="22" t="s">
        <v>16</v>
      </c>
      <c r="MNK864" s="22" t="s">
        <v>16</v>
      </c>
      <c r="MNL864" s="22" t="s">
        <v>16</v>
      </c>
      <c r="MNM864" s="22" t="s">
        <v>16</v>
      </c>
      <c r="MNN864" s="22" t="s">
        <v>16</v>
      </c>
      <c r="MNO864" s="22" t="s">
        <v>16</v>
      </c>
      <c r="MNP864" s="22" t="s">
        <v>16</v>
      </c>
      <c r="MNQ864" s="22" t="s">
        <v>16</v>
      </c>
      <c r="MNR864" s="22" t="s">
        <v>16</v>
      </c>
      <c r="MNS864" s="22" t="s">
        <v>16</v>
      </c>
      <c r="MNT864" s="22" t="s">
        <v>16</v>
      </c>
      <c r="MNU864" s="22" t="s">
        <v>16</v>
      </c>
      <c r="MNV864" s="22" t="s">
        <v>16</v>
      </c>
      <c r="MNW864" s="22" t="s">
        <v>16</v>
      </c>
      <c r="MNX864" s="22" t="s">
        <v>16</v>
      </c>
      <c r="MNY864" s="22" t="s">
        <v>16</v>
      </c>
      <c r="MNZ864" s="22" t="s">
        <v>16</v>
      </c>
      <c r="MOA864" s="22" t="s">
        <v>16</v>
      </c>
      <c r="MOB864" s="22" t="s">
        <v>16</v>
      </c>
      <c r="MOC864" s="22" t="s">
        <v>16</v>
      </c>
      <c r="MOD864" s="22" t="s">
        <v>16</v>
      </c>
      <c r="MOE864" s="22" t="s">
        <v>16</v>
      </c>
      <c r="MOF864" s="22" t="s">
        <v>16</v>
      </c>
      <c r="MOG864" s="22" t="s">
        <v>16</v>
      </c>
      <c r="MOH864" s="22" t="s">
        <v>16</v>
      </c>
      <c r="MOI864" s="22" t="s">
        <v>16</v>
      </c>
      <c r="MOJ864" s="22" t="s">
        <v>16</v>
      </c>
      <c r="MOK864" s="22" t="s">
        <v>16</v>
      </c>
      <c r="MOL864" s="22" t="s">
        <v>16</v>
      </c>
      <c r="MOM864" s="22" t="s">
        <v>16</v>
      </c>
      <c r="MON864" s="22" t="s">
        <v>16</v>
      </c>
      <c r="MOO864" s="22" t="s">
        <v>16</v>
      </c>
      <c r="MOP864" s="22" t="s">
        <v>16</v>
      </c>
      <c r="MOQ864" s="22" t="s">
        <v>16</v>
      </c>
      <c r="MOR864" s="22" t="s">
        <v>16</v>
      </c>
      <c r="MOS864" s="22" t="s">
        <v>16</v>
      </c>
      <c r="MOT864" s="22" t="s">
        <v>16</v>
      </c>
      <c r="MOU864" s="22" t="s">
        <v>16</v>
      </c>
      <c r="MOV864" s="22" t="s">
        <v>16</v>
      </c>
      <c r="MOW864" s="22" t="s">
        <v>16</v>
      </c>
      <c r="MOX864" s="22" t="s">
        <v>16</v>
      </c>
      <c r="MOY864" s="22" t="s">
        <v>16</v>
      </c>
      <c r="MOZ864" s="22" t="s">
        <v>16</v>
      </c>
      <c r="MPA864" s="22" t="s">
        <v>16</v>
      </c>
      <c r="MPB864" s="22" t="s">
        <v>16</v>
      </c>
      <c r="MPC864" s="22" t="s">
        <v>16</v>
      </c>
      <c r="MPD864" s="22" t="s">
        <v>16</v>
      </c>
      <c r="MPE864" s="22" t="s">
        <v>16</v>
      </c>
      <c r="MPF864" s="22" t="s">
        <v>16</v>
      </c>
      <c r="MPG864" s="22" t="s">
        <v>16</v>
      </c>
      <c r="MPH864" s="22" t="s">
        <v>16</v>
      </c>
      <c r="MPI864" s="22" t="s">
        <v>16</v>
      </c>
      <c r="MPJ864" s="22" t="s">
        <v>16</v>
      </c>
      <c r="MPK864" s="22" t="s">
        <v>16</v>
      </c>
      <c r="MPL864" s="22" t="s">
        <v>16</v>
      </c>
      <c r="MPM864" s="22" t="s">
        <v>16</v>
      </c>
      <c r="MPN864" s="22" t="s">
        <v>16</v>
      </c>
      <c r="MPO864" s="22" t="s">
        <v>16</v>
      </c>
      <c r="MPP864" s="22" t="s">
        <v>16</v>
      </c>
      <c r="MPQ864" s="22" t="s">
        <v>16</v>
      </c>
      <c r="MPR864" s="22" t="s">
        <v>16</v>
      </c>
      <c r="MPS864" s="22" t="s">
        <v>16</v>
      </c>
      <c r="MPT864" s="22" t="s">
        <v>16</v>
      </c>
      <c r="MPU864" s="22" t="s">
        <v>16</v>
      </c>
      <c r="MPV864" s="22" t="s">
        <v>16</v>
      </c>
      <c r="MPW864" s="22" t="s">
        <v>16</v>
      </c>
      <c r="MPX864" s="22" t="s">
        <v>16</v>
      </c>
      <c r="MPY864" s="22" t="s">
        <v>16</v>
      </c>
      <c r="MPZ864" s="22" t="s">
        <v>16</v>
      </c>
      <c r="MQA864" s="22" t="s">
        <v>16</v>
      </c>
      <c r="MQB864" s="22" t="s">
        <v>16</v>
      </c>
      <c r="MQC864" s="22" t="s">
        <v>16</v>
      </c>
      <c r="MQD864" s="22" t="s">
        <v>16</v>
      </c>
      <c r="MQE864" s="22" t="s">
        <v>16</v>
      </c>
      <c r="MQF864" s="22" t="s">
        <v>16</v>
      </c>
      <c r="MQG864" s="22" t="s">
        <v>16</v>
      </c>
      <c r="MQH864" s="22" t="s">
        <v>16</v>
      </c>
      <c r="MQI864" s="22" t="s">
        <v>16</v>
      </c>
      <c r="MQJ864" s="22" t="s">
        <v>16</v>
      </c>
      <c r="MQK864" s="22" t="s">
        <v>16</v>
      </c>
      <c r="MQL864" s="22" t="s">
        <v>16</v>
      </c>
      <c r="MQM864" s="22" t="s">
        <v>16</v>
      </c>
      <c r="MQN864" s="22" t="s">
        <v>16</v>
      </c>
      <c r="MQO864" s="22" t="s">
        <v>16</v>
      </c>
      <c r="MQP864" s="22" t="s">
        <v>16</v>
      </c>
      <c r="MQQ864" s="22" t="s">
        <v>16</v>
      </c>
      <c r="MQR864" s="22" t="s">
        <v>16</v>
      </c>
      <c r="MQS864" s="22" t="s">
        <v>16</v>
      </c>
      <c r="MQT864" s="22" t="s">
        <v>16</v>
      </c>
      <c r="MQU864" s="22" t="s">
        <v>16</v>
      </c>
      <c r="MQV864" s="22" t="s">
        <v>16</v>
      </c>
      <c r="MQW864" s="22" t="s">
        <v>16</v>
      </c>
      <c r="MQX864" s="22" t="s">
        <v>16</v>
      </c>
      <c r="MQY864" s="22" t="s">
        <v>16</v>
      </c>
      <c r="MQZ864" s="22" t="s">
        <v>16</v>
      </c>
      <c r="MRA864" s="22" t="s">
        <v>16</v>
      </c>
      <c r="MRB864" s="22" t="s">
        <v>16</v>
      </c>
      <c r="MRC864" s="22" t="s">
        <v>16</v>
      </c>
      <c r="MRD864" s="22" t="s">
        <v>16</v>
      </c>
      <c r="MRE864" s="22" t="s">
        <v>16</v>
      </c>
      <c r="MRF864" s="22" t="s">
        <v>16</v>
      </c>
      <c r="MRG864" s="22" t="s">
        <v>16</v>
      </c>
      <c r="MRH864" s="22" t="s">
        <v>16</v>
      </c>
      <c r="MRI864" s="22" t="s">
        <v>16</v>
      </c>
      <c r="MRJ864" s="22" t="s">
        <v>16</v>
      </c>
      <c r="MRK864" s="22" t="s">
        <v>16</v>
      </c>
      <c r="MRL864" s="22" t="s">
        <v>16</v>
      </c>
      <c r="MRM864" s="22" t="s">
        <v>16</v>
      </c>
      <c r="MRN864" s="22" t="s">
        <v>16</v>
      </c>
      <c r="MRO864" s="22" t="s">
        <v>16</v>
      </c>
      <c r="MRP864" s="22" t="s">
        <v>16</v>
      </c>
      <c r="MRQ864" s="22" t="s">
        <v>16</v>
      </c>
      <c r="MRR864" s="22" t="s">
        <v>16</v>
      </c>
      <c r="MRS864" s="22" t="s">
        <v>16</v>
      </c>
      <c r="MRT864" s="22" t="s">
        <v>16</v>
      </c>
      <c r="MRU864" s="22" t="s">
        <v>16</v>
      </c>
      <c r="MRV864" s="22" t="s">
        <v>16</v>
      </c>
      <c r="MRW864" s="22" t="s">
        <v>16</v>
      </c>
      <c r="MRX864" s="22" t="s">
        <v>16</v>
      </c>
      <c r="MRY864" s="22" t="s">
        <v>16</v>
      </c>
      <c r="MRZ864" s="22" t="s">
        <v>16</v>
      </c>
      <c r="MSA864" s="22" t="s">
        <v>16</v>
      </c>
      <c r="MSB864" s="22" t="s">
        <v>16</v>
      </c>
      <c r="MSC864" s="22" t="s">
        <v>16</v>
      </c>
      <c r="MSD864" s="22" t="s">
        <v>16</v>
      </c>
      <c r="MSE864" s="22" t="s">
        <v>16</v>
      </c>
      <c r="MSF864" s="22" t="s">
        <v>16</v>
      </c>
      <c r="MSG864" s="22" t="s">
        <v>16</v>
      </c>
      <c r="MSH864" s="22" t="s">
        <v>16</v>
      </c>
      <c r="MSI864" s="22" t="s">
        <v>16</v>
      </c>
      <c r="MSJ864" s="22" t="s">
        <v>16</v>
      </c>
      <c r="MSK864" s="22" t="s">
        <v>16</v>
      </c>
      <c r="MSL864" s="22" t="s">
        <v>16</v>
      </c>
      <c r="MSM864" s="22" t="s">
        <v>16</v>
      </c>
      <c r="MSN864" s="22" t="s">
        <v>16</v>
      </c>
      <c r="MSO864" s="22" t="s">
        <v>16</v>
      </c>
      <c r="MSP864" s="22" t="s">
        <v>16</v>
      </c>
      <c r="MSQ864" s="22" t="s">
        <v>16</v>
      </c>
      <c r="MSR864" s="22" t="s">
        <v>16</v>
      </c>
      <c r="MSS864" s="22" t="s">
        <v>16</v>
      </c>
      <c r="MST864" s="22" t="s">
        <v>16</v>
      </c>
      <c r="MSU864" s="22" t="s">
        <v>16</v>
      </c>
      <c r="MSV864" s="22" t="s">
        <v>16</v>
      </c>
      <c r="MSW864" s="22" t="s">
        <v>16</v>
      </c>
      <c r="MSX864" s="22" t="s">
        <v>16</v>
      </c>
      <c r="MSY864" s="22" t="s">
        <v>16</v>
      </c>
      <c r="MSZ864" s="22" t="s">
        <v>16</v>
      </c>
      <c r="MTA864" s="22" t="s">
        <v>16</v>
      </c>
      <c r="MTB864" s="22" t="s">
        <v>16</v>
      </c>
      <c r="MTC864" s="22" t="s">
        <v>16</v>
      </c>
      <c r="MTD864" s="22" t="s">
        <v>16</v>
      </c>
      <c r="MTE864" s="22" t="s">
        <v>16</v>
      </c>
      <c r="MTF864" s="22" t="s">
        <v>16</v>
      </c>
      <c r="MTG864" s="22" t="s">
        <v>16</v>
      </c>
      <c r="MTH864" s="22" t="s">
        <v>16</v>
      </c>
      <c r="MTI864" s="22" t="s">
        <v>16</v>
      </c>
      <c r="MTJ864" s="22" t="s">
        <v>16</v>
      </c>
      <c r="MTK864" s="22" t="s">
        <v>16</v>
      </c>
      <c r="MTL864" s="22" t="s">
        <v>16</v>
      </c>
      <c r="MTM864" s="22" t="s">
        <v>16</v>
      </c>
      <c r="MTN864" s="22" t="s">
        <v>16</v>
      </c>
      <c r="MTO864" s="22" t="s">
        <v>16</v>
      </c>
      <c r="MTP864" s="22" t="s">
        <v>16</v>
      </c>
      <c r="MTQ864" s="22" t="s">
        <v>16</v>
      </c>
      <c r="MTR864" s="22" t="s">
        <v>16</v>
      </c>
      <c r="MTS864" s="22" t="s">
        <v>16</v>
      </c>
      <c r="MTT864" s="22" t="s">
        <v>16</v>
      </c>
      <c r="MTU864" s="22" t="s">
        <v>16</v>
      </c>
      <c r="MTV864" s="22" t="s">
        <v>16</v>
      </c>
      <c r="MTW864" s="22" t="s">
        <v>16</v>
      </c>
      <c r="MTX864" s="22" t="s">
        <v>16</v>
      </c>
      <c r="MTY864" s="22" t="s">
        <v>16</v>
      </c>
      <c r="MTZ864" s="22" t="s">
        <v>16</v>
      </c>
      <c r="MUA864" s="22" t="s">
        <v>16</v>
      </c>
      <c r="MUB864" s="22" t="s">
        <v>16</v>
      </c>
      <c r="MUC864" s="22" t="s">
        <v>16</v>
      </c>
      <c r="MUD864" s="22" t="s">
        <v>16</v>
      </c>
      <c r="MUE864" s="22" t="s">
        <v>16</v>
      </c>
      <c r="MUF864" s="22" t="s">
        <v>16</v>
      </c>
      <c r="MUG864" s="22" t="s">
        <v>16</v>
      </c>
      <c r="MUH864" s="22" t="s">
        <v>16</v>
      </c>
      <c r="MUI864" s="22" t="s">
        <v>16</v>
      </c>
      <c r="MUJ864" s="22" t="s">
        <v>16</v>
      </c>
      <c r="MUK864" s="22" t="s">
        <v>16</v>
      </c>
      <c r="MUL864" s="22" t="s">
        <v>16</v>
      </c>
      <c r="MUM864" s="22" t="s">
        <v>16</v>
      </c>
      <c r="MUN864" s="22" t="s">
        <v>16</v>
      </c>
      <c r="MUO864" s="22" t="s">
        <v>16</v>
      </c>
      <c r="MUP864" s="22" t="s">
        <v>16</v>
      </c>
      <c r="MUQ864" s="22" t="s">
        <v>16</v>
      </c>
      <c r="MUR864" s="22" t="s">
        <v>16</v>
      </c>
      <c r="MUS864" s="22" t="s">
        <v>16</v>
      </c>
      <c r="MUT864" s="22" t="s">
        <v>16</v>
      </c>
      <c r="MUU864" s="22" t="s">
        <v>16</v>
      </c>
      <c r="MUV864" s="22" t="s">
        <v>16</v>
      </c>
      <c r="MUW864" s="22" t="s">
        <v>16</v>
      </c>
      <c r="MUX864" s="22" t="s">
        <v>16</v>
      </c>
      <c r="MUY864" s="22" t="s">
        <v>16</v>
      </c>
      <c r="MUZ864" s="22" t="s">
        <v>16</v>
      </c>
      <c r="MVA864" s="22" t="s">
        <v>16</v>
      </c>
      <c r="MVB864" s="22" t="s">
        <v>16</v>
      </c>
      <c r="MVC864" s="22" t="s">
        <v>16</v>
      </c>
      <c r="MVD864" s="22" t="s">
        <v>16</v>
      </c>
      <c r="MVE864" s="22" t="s">
        <v>16</v>
      </c>
      <c r="MVF864" s="22" t="s">
        <v>16</v>
      </c>
      <c r="MVG864" s="22" t="s">
        <v>16</v>
      </c>
      <c r="MVH864" s="22" t="s">
        <v>16</v>
      </c>
      <c r="MVI864" s="22" t="s">
        <v>16</v>
      </c>
      <c r="MVJ864" s="22" t="s">
        <v>16</v>
      </c>
      <c r="MVK864" s="22" t="s">
        <v>16</v>
      </c>
      <c r="MVL864" s="22" t="s">
        <v>16</v>
      </c>
      <c r="MVM864" s="22" t="s">
        <v>16</v>
      </c>
      <c r="MVN864" s="22" t="s">
        <v>16</v>
      </c>
      <c r="MVO864" s="22" t="s">
        <v>16</v>
      </c>
      <c r="MVP864" s="22" t="s">
        <v>16</v>
      </c>
      <c r="MVQ864" s="22" t="s">
        <v>16</v>
      </c>
      <c r="MVR864" s="22" t="s">
        <v>16</v>
      </c>
      <c r="MVS864" s="22" t="s">
        <v>16</v>
      </c>
      <c r="MVT864" s="22" t="s">
        <v>16</v>
      </c>
      <c r="MVU864" s="22" t="s">
        <v>16</v>
      </c>
      <c r="MVV864" s="22" t="s">
        <v>16</v>
      </c>
      <c r="MVW864" s="22" t="s">
        <v>16</v>
      </c>
      <c r="MVX864" s="22" t="s">
        <v>16</v>
      </c>
      <c r="MVY864" s="22" t="s">
        <v>16</v>
      </c>
      <c r="MVZ864" s="22" t="s">
        <v>16</v>
      </c>
      <c r="MWA864" s="22" t="s">
        <v>16</v>
      </c>
      <c r="MWB864" s="22" t="s">
        <v>16</v>
      </c>
      <c r="MWC864" s="22" t="s">
        <v>16</v>
      </c>
      <c r="MWD864" s="22" t="s">
        <v>16</v>
      </c>
      <c r="MWE864" s="22" t="s">
        <v>16</v>
      </c>
      <c r="MWF864" s="22" t="s">
        <v>16</v>
      </c>
      <c r="MWG864" s="22" t="s">
        <v>16</v>
      </c>
      <c r="MWH864" s="22" t="s">
        <v>16</v>
      </c>
      <c r="MWI864" s="22" t="s">
        <v>16</v>
      </c>
      <c r="MWJ864" s="22" t="s">
        <v>16</v>
      </c>
      <c r="MWK864" s="22" t="s">
        <v>16</v>
      </c>
      <c r="MWL864" s="22" t="s">
        <v>16</v>
      </c>
      <c r="MWM864" s="22" t="s">
        <v>16</v>
      </c>
      <c r="MWN864" s="22" t="s">
        <v>16</v>
      </c>
      <c r="MWO864" s="22" t="s">
        <v>16</v>
      </c>
      <c r="MWP864" s="22" t="s">
        <v>16</v>
      </c>
      <c r="MWQ864" s="22" t="s">
        <v>16</v>
      </c>
      <c r="MWR864" s="22" t="s">
        <v>16</v>
      </c>
      <c r="MWS864" s="22" t="s">
        <v>16</v>
      </c>
      <c r="MWT864" s="22" t="s">
        <v>16</v>
      </c>
      <c r="MWU864" s="22" t="s">
        <v>16</v>
      </c>
      <c r="MWV864" s="22" t="s">
        <v>16</v>
      </c>
      <c r="MWW864" s="22" t="s">
        <v>16</v>
      </c>
      <c r="MWX864" s="22" t="s">
        <v>16</v>
      </c>
      <c r="MWY864" s="22" t="s">
        <v>16</v>
      </c>
      <c r="MWZ864" s="22" t="s">
        <v>16</v>
      </c>
      <c r="MXA864" s="22" t="s">
        <v>16</v>
      </c>
      <c r="MXB864" s="22" t="s">
        <v>16</v>
      </c>
      <c r="MXC864" s="22" t="s">
        <v>16</v>
      </c>
      <c r="MXD864" s="22" t="s">
        <v>16</v>
      </c>
      <c r="MXE864" s="22" t="s">
        <v>16</v>
      </c>
      <c r="MXF864" s="22" t="s">
        <v>16</v>
      </c>
      <c r="MXG864" s="22" t="s">
        <v>16</v>
      </c>
      <c r="MXH864" s="22" t="s">
        <v>16</v>
      </c>
      <c r="MXI864" s="22" t="s">
        <v>16</v>
      </c>
      <c r="MXJ864" s="22" t="s">
        <v>16</v>
      </c>
      <c r="MXK864" s="22" t="s">
        <v>16</v>
      </c>
      <c r="MXL864" s="22" t="s">
        <v>16</v>
      </c>
      <c r="MXM864" s="22" t="s">
        <v>16</v>
      </c>
      <c r="MXN864" s="22" t="s">
        <v>16</v>
      </c>
      <c r="MXO864" s="22" t="s">
        <v>16</v>
      </c>
      <c r="MXP864" s="22" t="s">
        <v>16</v>
      </c>
      <c r="MXQ864" s="22" t="s">
        <v>16</v>
      </c>
      <c r="MXR864" s="22" t="s">
        <v>16</v>
      </c>
      <c r="MXS864" s="22" t="s">
        <v>16</v>
      </c>
      <c r="MXT864" s="22" t="s">
        <v>16</v>
      </c>
      <c r="MXU864" s="22" t="s">
        <v>16</v>
      </c>
      <c r="MXV864" s="22" t="s">
        <v>16</v>
      </c>
      <c r="MXW864" s="22" t="s">
        <v>16</v>
      </c>
      <c r="MXX864" s="22" t="s">
        <v>16</v>
      </c>
      <c r="MXY864" s="22" t="s">
        <v>16</v>
      </c>
      <c r="MXZ864" s="22" t="s">
        <v>16</v>
      </c>
      <c r="MYA864" s="22" t="s">
        <v>16</v>
      </c>
      <c r="MYB864" s="22" t="s">
        <v>16</v>
      </c>
      <c r="MYC864" s="22" t="s">
        <v>16</v>
      </c>
      <c r="MYD864" s="22" t="s">
        <v>16</v>
      </c>
      <c r="MYE864" s="22" t="s">
        <v>16</v>
      </c>
      <c r="MYF864" s="22" t="s">
        <v>16</v>
      </c>
      <c r="MYG864" s="22" t="s">
        <v>16</v>
      </c>
      <c r="MYH864" s="22" t="s">
        <v>16</v>
      </c>
      <c r="MYI864" s="22" t="s">
        <v>16</v>
      </c>
      <c r="MYJ864" s="22" t="s">
        <v>16</v>
      </c>
      <c r="MYK864" s="22" t="s">
        <v>16</v>
      </c>
      <c r="MYL864" s="22" t="s">
        <v>16</v>
      </c>
      <c r="MYM864" s="22" t="s">
        <v>16</v>
      </c>
      <c r="MYN864" s="22" t="s">
        <v>16</v>
      </c>
      <c r="MYO864" s="22" t="s">
        <v>16</v>
      </c>
      <c r="MYP864" s="22" t="s">
        <v>16</v>
      </c>
      <c r="MYQ864" s="22" t="s">
        <v>16</v>
      </c>
      <c r="MYR864" s="22" t="s">
        <v>16</v>
      </c>
      <c r="MYS864" s="22" t="s">
        <v>16</v>
      </c>
      <c r="MYT864" s="22" t="s">
        <v>16</v>
      </c>
      <c r="MYU864" s="22" t="s">
        <v>16</v>
      </c>
      <c r="MYV864" s="22" t="s">
        <v>16</v>
      </c>
      <c r="MYW864" s="22" t="s">
        <v>16</v>
      </c>
      <c r="MYX864" s="22" t="s">
        <v>16</v>
      </c>
      <c r="MYY864" s="22" t="s">
        <v>16</v>
      </c>
      <c r="MYZ864" s="22" t="s">
        <v>16</v>
      </c>
      <c r="MZA864" s="22" t="s">
        <v>16</v>
      </c>
      <c r="MZB864" s="22" t="s">
        <v>16</v>
      </c>
      <c r="MZC864" s="22" t="s">
        <v>16</v>
      </c>
      <c r="MZD864" s="22" t="s">
        <v>16</v>
      </c>
      <c r="MZE864" s="22" t="s">
        <v>16</v>
      </c>
      <c r="MZF864" s="22" t="s">
        <v>16</v>
      </c>
      <c r="MZG864" s="22" t="s">
        <v>16</v>
      </c>
      <c r="MZH864" s="22" t="s">
        <v>16</v>
      </c>
      <c r="MZI864" s="22" t="s">
        <v>16</v>
      </c>
      <c r="MZJ864" s="22" t="s">
        <v>16</v>
      </c>
      <c r="MZK864" s="22" t="s">
        <v>16</v>
      </c>
      <c r="MZL864" s="22" t="s">
        <v>16</v>
      </c>
      <c r="MZM864" s="22" t="s">
        <v>16</v>
      </c>
      <c r="MZN864" s="22" t="s">
        <v>16</v>
      </c>
      <c r="MZO864" s="22" t="s">
        <v>16</v>
      </c>
      <c r="MZP864" s="22" t="s">
        <v>16</v>
      </c>
      <c r="MZQ864" s="22" t="s">
        <v>16</v>
      </c>
      <c r="MZR864" s="22" t="s">
        <v>16</v>
      </c>
      <c r="MZS864" s="22" t="s">
        <v>16</v>
      </c>
      <c r="MZT864" s="22" t="s">
        <v>16</v>
      </c>
      <c r="MZU864" s="22" t="s">
        <v>16</v>
      </c>
      <c r="MZV864" s="22" t="s">
        <v>16</v>
      </c>
      <c r="MZW864" s="22" t="s">
        <v>16</v>
      </c>
      <c r="MZX864" s="22" t="s">
        <v>16</v>
      </c>
      <c r="MZY864" s="22" t="s">
        <v>16</v>
      </c>
      <c r="MZZ864" s="22" t="s">
        <v>16</v>
      </c>
      <c r="NAA864" s="22" t="s">
        <v>16</v>
      </c>
      <c r="NAB864" s="22" t="s">
        <v>16</v>
      </c>
      <c r="NAC864" s="22" t="s">
        <v>16</v>
      </c>
      <c r="NAD864" s="22" t="s">
        <v>16</v>
      </c>
      <c r="NAE864" s="22" t="s">
        <v>16</v>
      </c>
      <c r="NAF864" s="22" t="s">
        <v>16</v>
      </c>
      <c r="NAG864" s="22" t="s">
        <v>16</v>
      </c>
      <c r="NAH864" s="22" t="s">
        <v>16</v>
      </c>
      <c r="NAI864" s="22" t="s">
        <v>16</v>
      </c>
      <c r="NAJ864" s="22" t="s">
        <v>16</v>
      </c>
      <c r="NAK864" s="22" t="s">
        <v>16</v>
      </c>
      <c r="NAL864" s="22" t="s">
        <v>16</v>
      </c>
      <c r="NAM864" s="22" t="s">
        <v>16</v>
      </c>
      <c r="NAN864" s="22" t="s">
        <v>16</v>
      </c>
      <c r="NAO864" s="22" t="s">
        <v>16</v>
      </c>
      <c r="NAP864" s="22" t="s">
        <v>16</v>
      </c>
      <c r="NAQ864" s="22" t="s">
        <v>16</v>
      </c>
      <c r="NAR864" s="22" t="s">
        <v>16</v>
      </c>
      <c r="NAS864" s="22" t="s">
        <v>16</v>
      </c>
      <c r="NAT864" s="22" t="s">
        <v>16</v>
      </c>
      <c r="NAU864" s="22" t="s">
        <v>16</v>
      </c>
      <c r="NAV864" s="22" t="s">
        <v>16</v>
      </c>
      <c r="NAW864" s="22" t="s">
        <v>16</v>
      </c>
      <c r="NAX864" s="22" t="s">
        <v>16</v>
      </c>
      <c r="NAY864" s="22" t="s">
        <v>16</v>
      </c>
      <c r="NAZ864" s="22" t="s">
        <v>16</v>
      </c>
      <c r="NBA864" s="22" t="s">
        <v>16</v>
      </c>
      <c r="NBB864" s="22" t="s">
        <v>16</v>
      </c>
      <c r="NBC864" s="22" t="s">
        <v>16</v>
      </c>
      <c r="NBD864" s="22" t="s">
        <v>16</v>
      </c>
      <c r="NBE864" s="22" t="s">
        <v>16</v>
      </c>
      <c r="NBF864" s="22" t="s">
        <v>16</v>
      </c>
      <c r="NBG864" s="22" t="s">
        <v>16</v>
      </c>
      <c r="NBH864" s="22" t="s">
        <v>16</v>
      </c>
      <c r="NBI864" s="22" t="s">
        <v>16</v>
      </c>
      <c r="NBJ864" s="22" t="s">
        <v>16</v>
      </c>
      <c r="NBK864" s="22" t="s">
        <v>16</v>
      </c>
      <c r="NBL864" s="22" t="s">
        <v>16</v>
      </c>
      <c r="NBM864" s="22" t="s">
        <v>16</v>
      </c>
      <c r="NBN864" s="22" t="s">
        <v>16</v>
      </c>
      <c r="NBO864" s="22" t="s">
        <v>16</v>
      </c>
      <c r="NBP864" s="22" t="s">
        <v>16</v>
      </c>
      <c r="NBQ864" s="22" t="s">
        <v>16</v>
      </c>
      <c r="NBR864" s="22" t="s">
        <v>16</v>
      </c>
      <c r="NBS864" s="22" t="s">
        <v>16</v>
      </c>
      <c r="NBT864" s="22" t="s">
        <v>16</v>
      </c>
      <c r="NBU864" s="22" t="s">
        <v>16</v>
      </c>
      <c r="NBV864" s="22" t="s">
        <v>16</v>
      </c>
      <c r="NBW864" s="22" t="s">
        <v>16</v>
      </c>
      <c r="NBX864" s="22" t="s">
        <v>16</v>
      </c>
      <c r="NBY864" s="22" t="s">
        <v>16</v>
      </c>
      <c r="NBZ864" s="22" t="s">
        <v>16</v>
      </c>
      <c r="NCA864" s="22" t="s">
        <v>16</v>
      </c>
      <c r="NCB864" s="22" t="s">
        <v>16</v>
      </c>
      <c r="NCC864" s="22" t="s">
        <v>16</v>
      </c>
      <c r="NCD864" s="22" t="s">
        <v>16</v>
      </c>
      <c r="NCE864" s="22" t="s">
        <v>16</v>
      </c>
      <c r="NCF864" s="22" t="s">
        <v>16</v>
      </c>
      <c r="NCG864" s="22" t="s">
        <v>16</v>
      </c>
      <c r="NCH864" s="22" t="s">
        <v>16</v>
      </c>
      <c r="NCI864" s="22" t="s">
        <v>16</v>
      </c>
      <c r="NCJ864" s="22" t="s">
        <v>16</v>
      </c>
      <c r="NCK864" s="22" t="s">
        <v>16</v>
      </c>
      <c r="NCL864" s="22" t="s">
        <v>16</v>
      </c>
      <c r="NCM864" s="22" t="s">
        <v>16</v>
      </c>
      <c r="NCN864" s="22" t="s">
        <v>16</v>
      </c>
      <c r="NCO864" s="22" t="s">
        <v>16</v>
      </c>
      <c r="NCP864" s="22" t="s">
        <v>16</v>
      </c>
      <c r="NCQ864" s="22" t="s">
        <v>16</v>
      </c>
      <c r="NCR864" s="22" t="s">
        <v>16</v>
      </c>
      <c r="NCS864" s="22" t="s">
        <v>16</v>
      </c>
      <c r="NCT864" s="22" t="s">
        <v>16</v>
      </c>
      <c r="NCU864" s="22" t="s">
        <v>16</v>
      </c>
      <c r="NCV864" s="22" t="s">
        <v>16</v>
      </c>
      <c r="NCW864" s="22" t="s">
        <v>16</v>
      </c>
      <c r="NCX864" s="22" t="s">
        <v>16</v>
      </c>
      <c r="NCY864" s="22" t="s">
        <v>16</v>
      </c>
      <c r="NCZ864" s="22" t="s">
        <v>16</v>
      </c>
      <c r="NDA864" s="22" t="s">
        <v>16</v>
      </c>
      <c r="NDB864" s="22" t="s">
        <v>16</v>
      </c>
      <c r="NDC864" s="22" t="s">
        <v>16</v>
      </c>
      <c r="NDD864" s="22" t="s">
        <v>16</v>
      </c>
      <c r="NDE864" s="22" t="s">
        <v>16</v>
      </c>
      <c r="NDF864" s="22" t="s">
        <v>16</v>
      </c>
      <c r="NDG864" s="22" t="s">
        <v>16</v>
      </c>
      <c r="NDH864" s="22" t="s">
        <v>16</v>
      </c>
      <c r="NDI864" s="22" t="s">
        <v>16</v>
      </c>
      <c r="NDJ864" s="22" t="s">
        <v>16</v>
      </c>
      <c r="NDK864" s="22" t="s">
        <v>16</v>
      </c>
      <c r="NDL864" s="22" t="s">
        <v>16</v>
      </c>
      <c r="NDM864" s="22" t="s">
        <v>16</v>
      </c>
      <c r="NDN864" s="22" t="s">
        <v>16</v>
      </c>
      <c r="NDO864" s="22" t="s">
        <v>16</v>
      </c>
      <c r="NDP864" s="22" t="s">
        <v>16</v>
      </c>
      <c r="NDQ864" s="22" t="s">
        <v>16</v>
      </c>
      <c r="NDR864" s="22" t="s">
        <v>16</v>
      </c>
      <c r="NDS864" s="22" t="s">
        <v>16</v>
      </c>
      <c r="NDT864" s="22" t="s">
        <v>16</v>
      </c>
      <c r="NDU864" s="22" t="s">
        <v>16</v>
      </c>
      <c r="NDV864" s="22" t="s">
        <v>16</v>
      </c>
      <c r="NDW864" s="22" t="s">
        <v>16</v>
      </c>
      <c r="NDX864" s="22" t="s">
        <v>16</v>
      </c>
      <c r="NDY864" s="22" t="s">
        <v>16</v>
      </c>
      <c r="NDZ864" s="22" t="s">
        <v>16</v>
      </c>
      <c r="NEA864" s="22" t="s">
        <v>16</v>
      </c>
      <c r="NEB864" s="22" t="s">
        <v>16</v>
      </c>
      <c r="NEC864" s="22" t="s">
        <v>16</v>
      </c>
      <c r="NED864" s="22" t="s">
        <v>16</v>
      </c>
      <c r="NEE864" s="22" t="s">
        <v>16</v>
      </c>
      <c r="NEF864" s="22" t="s">
        <v>16</v>
      </c>
      <c r="NEG864" s="22" t="s">
        <v>16</v>
      </c>
      <c r="NEH864" s="22" t="s">
        <v>16</v>
      </c>
      <c r="NEI864" s="22" t="s">
        <v>16</v>
      </c>
      <c r="NEJ864" s="22" t="s">
        <v>16</v>
      </c>
      <c r="NEK864" s="22" t="s">
        <v>16</v>
      </c>
      <c r="NEL864" s="22" t="s">
        <v>16</v>
      </c>
      <c r="NEM864" s="22" t="s">
        <v>16</v>
      </c>
      <c r="NEN864" s="22" t="s">
        <v>16</v>
      </c>
      <c r="NEO864" s="22" t="s">
        <v>16</v>
      </c>
      <c r="NEP864" s="22" t="s">
        <v>16</v>
      </c>
      <c r="NEQ864" s="22" t="s">
        <v>16</v>
      </c>
      <c r="NER864" s="22" t="s">
        <v>16</v>
      </c>
      <c r="NES864" s="22" t="s">
        <v>16</v>
      </c>
      <c r="NET864" s="22" t="s">
        <v>16</v>
      </c>
      <c r="NEU864" s="22" t="s">
        <v>16</v>
      </c>
      <c r="NEV864" s="22" t="s">
        <v>16</v>
      </c>
      <c r="NEW864" s="22" t="s">
        <v>16</v>
      </c>
      <c r="NEX864" s="22" t="s">
        <v>16</v>
      </c>
      <c r="NEY864" s="22" t="s">
        <v>16</v>
      </c>
      <c r="NEZ864" s="22" t="s">
        <v>16</v>
      </c>
      <c r="NFA864" s="22" t="s">
        <v>16</v>
      </c>
      <c r="NFB864" s="22" t="s">
        <v>16</v>
      </c>
      <c r="NFC864" s="22" t="s">
        <v>16</v>
      </c>
      <c r="NFD864" s="22" t="s">
        <v>16</v>
      </c>
      <c r="NFE864" s="22" t="s">
        <v>16</v>
      </c>
      <c r="NFF864" s="22" t="s">
        <v>16</v>
      </c>
      <c r="NFG864" s="22" t="s">
        <v>16</v>
      </c>
      <c r="NFH864" s="22" t="s">
        <v>16</v>
      </c>
      <c r="NFI864" s="22" t="s">
        <v>16</v>
      </c>
      <c r="NFJ864" s="22" t="s">
        <v>16</v>
      </c>
      <c r="NFK864" s="22" t="s">
        <v>16</v>
      </c>
      <c r="NFL864" s="22" t="s">
        <v>16</v>
      </c>
      <c r="NFM864" s="22" t="s">
        <v>16</v>
      </c>
      <c r="NFN864" s="22" t="s">
        <v>16</v>
      </c>
      <c r="NFO864" s="22" t="s">
        <v>16</v>
      </c>
      <c r="NFP864" s="22" t="s">
        <v>16</v>
      </c>
      <c r="NFQ864" s="22" t="s">
        <v>16</v>
      </c>
      <c r="NFR864" s="22" t="s">
        <v>16</v>
      </c>
      <c r="NFS864" s="22" t="s">
        <v>16</v>
      </c>
      <c r="NFT864" s="22" t="s">
        <v>16</v>
      </c>
      <c r="NFU864" s="22" t="s">
        <v>16</v>
      </c>
      <c r="NFV864" s="22" t="s">
        <v>16</v>
      </c>
      <c r="NFW864" s="22" t="s">
        <v>16</v>
      </c>
      <c r="NFX864" s="22" t="s">
        <v>16</v>
      </c>
      <c r="NFY864" s="22" t="s">
        <v>16</v>
      </c>
      <c r="NFZ864" s="22" t="s">
        <v>16</v>
      </c>
      <c r="NGA864" s="22" t="s">
        <v>16</v>
      </c>
      <c r="NGB864" s="22" t="s">
        <v>16</v>
      </c>
      <c r="NGC864" s="22" t="s">
        <v>16</v>
      </c>
      <c r="NGD864" s="22" t="s">
        <v>16</v>
      </c>
      <c r="NGE864" s="22" t="s">
        <v>16</v>
      </c>
      <c r="NGF864" s="22" t="s">
        <v>16</v>
      </c>
      <c r="NGG864" s="22" t="s">
        <v>16</v>
      </c>
      <c r="NGH864" s="22" t="s">
        <v>16</v>
      </c>
      <c r="NGI864" s="22" t="s">
        <v>16</v>
      </c>
      <c r="NGJ864" s="22" t="s">
        <v>16</v>
      </c>
      <c r="NGK864" s="22" t="s">
        <v>16</v>
      </c>
      <c r="NGL864" s="22" t="s">
        <v>16</v>
      </c>
      <c r="NGM864" s="22" t="s">
        <v>16</v>
      </c>
      <c r="NGN864" s="22" t="s">
        <v>16</v>
      </c>
      <c r="NGO864" s="22" t="s">
        <v>16</v>
      </c>
      <c r="NGP864" s="22" t="s">
        <v>16</v>
      </c>
      <c r="NGQ864" s="22" t="s">
        <v>16</v>
      </c>
      <c r="NGR864" s="22" t="s">
        <v>16</v>
      </c>
      <c r="NGS864" s="22" t="s">
        <v>16</v>
      </c>
      <c r="NGT864" s="22" t="s">
        <v>16</v>
      </c>
      <c r="NGU864" s="22" t="s">
        <v>16</v>
      </c>
      <c r="NGV864" s="22" t="s">
        <v>16</v>
      </c>
      <c r="NGW864" s="22" t="s">
        <v>16</v>
      </c>
      <c r="NGX864" s="22" t="s">
        <v>16</v>
      </c>
      <c r="NGY864" s="22" t="s">
        <v>16</v>
      </c>
      <c r="NGZ864" s="22" t="s">
        <v>16</v>
      </c>
      <c r="NHA864" s="22" t="s">
        <v>16</v>
      </c>
      <c r="NHB864" s="22" t="s">
        <v>16</v>
      </c>
      <c r="NHC864" s="22" t="s">
        <v>16</v>
      </c>
      <c r="NHD864" s="22" t="s">
        <v>16</v>
      </c>
      <c r="NHE864" s="22" t="s">
        <v>16</v>
      </c>
      <c r="NHF864" s="22" t="s">
        <v>16</v>
      </c>
      <c r="NHG864" s="22" t="s">
        <v>16</v>
      </c>
      <c r="NHH864" s="22" t="s">
        <v>16</v>
      </c>
      <c r="NHI864" s="22" t="s">
        <v>16</v>
      </c>
      <c r="NHJ864" s="22" t="s">
        <v>16</v>
      </c>
      <c r="NHK864" s="22" t="s">
        <v>16</v>
      </c>
      <c r="NHL864" s="22" t="s">
        <v>16</v>
      </c>
      <c r="NHM864" s="22" t="s">
        <v>16</v>
      </c>
      <c r="NHN864" s="22" t="s">
        <v>16</v>
      </c>
      <c r="NHO864" s="22" t="s">
        <v>16</v>
      </c>
      <c r="NHP864" s="22" t="s">
        <v>16</v>
      </c>
      <c r="NHQ864" s="22" t="s">
        <v>16</v>
      </c>
      <c r="NHR864" s="22" t="s">
        <v>16</v>
      </c>
      <c r="NHS864" s="22" t="s">
        <v>16</v>
      </c>
      <c r="NHT864" s="22" t="s">
        <v>16</v>
      </c>
      <c r="NHU864" s="22" t="s">
        <v>16</v>
      </c>
      <c r="NHV864" s="22" t="s">
        <v>16</v>
      </c>
      <c r="NHW864" s="22" t="s">
        <v>16</v>
      </c>
      <c r="NHX864" s="22" t="s">
        <v>16</v>
      </c>
      <c r="NHY864" s="22" t="s">
        <v>16</v>
      </c>
      <c r="NHZ864" s="22" t="s">
        <v>16</v>
      </c>
      <c r="NIA864" s="22" t="s">
        <v>16</v>
      </c>
      <c r="NIB864" s="22" t="s">
        <v>16</v>
      </c>
      <c r="NIC864" s="22" t="s">
        <v>16</v>
      </c>
      <c r="NID864" s="22" t="s">
        <v>16</v>
      </c>
      <c r="NIE864" s="22" t="s">
        <v>16</v>
      </c>
      <c r="NIF864" s="22" t="s">
        <v>16</v>
      </c>
      <c r="NIG864" s="22" t="s">
        <v>16</v>
      </c>
      <c r="NIH864" s="22" t="s">
        <v>16</v>
      </c>
      <c r="NII864" s="22" t="s">
        <v>16</v>
      </c>
      <c r="NIJ864" s="22" t="s">
        <v>16</v>
      </c>
      <c r="NIK864" s="22" t="s">
        <v>16</v>
      </c>
      <c r="NIL864" s="22" t="s">
        <v>16</v>
      </c>
      <c r="NIM864" s="22" t="s">
        <v>16</v>
      </c>
      <c r="NIN864" s="22" t="s">
        <v>16</v>
      </c>
      <c r="NIO864" s="22" t="s">
        <v>16</v>
      </c>
      <c r="NIP864" s="22" t="s">
        <v>16</v>
      </c>
      <c r="NIQ864" s="22" t="s">
        <v>16</v>
      </c>
      <c r="NIR864" s="22" t="s">
        <v>16</v>
      </c>
      <c r="NIS864" s="22" t="s">
        <v>16</v>
      </c>
      <c r="NIT864" s="22" t="s">
        <v>16</v>
      </c>
      <c r="NIU864" s="22" t="s">
        <v>16</v>
      </c>
      <c r="NIV864" s="22" t="s">
        <v>16</v>
      </c>
      <c r="NIW864" s="22" t="s">
        <v>16</v>
      </c>
      <c r="NIX864" s="22" t="s">
        <v>16</v>
      </c>
      <c r="NIY864" s="22" t="s">
        <v>16</v>
      </c>
      <c r="NIZ864" s="22" t="s">
        <v>16</v>
      </c>
      <c r="NJA864" s="22" t="s">
        <v>16</v>
      </c>
      <c r="NJB864" s="22" t="s">
        <v>16</v>
      </c>
      <c r="NJC864" s="22" t="s">
        <v>16</v>
      </c>
      <c r="NJD864" s="22" t="s">
        <v>16</v>
      </c>
      <c r="NJE864" s="22" t="s">
        <v>16</v>
      </c>
      <c r="NJF864" s="22" t="s">
        <v>16</v>
      </c>
      <c r="NJG864" s="22" t="s">
        <v>16</v>
      </c>
      <c r="NJH864" s="22" t="s">
        <v>16</v>
      </c>
      <c r="NJI864" s="22" t="s">
        <v>16</v>
      </c>
      <c r="NJJ864" s="22" t="s">
        <v>16</v>
      </c>
      <c r="NJK864" s="22" t="s">
        <v>16</v>
      </c>
      <c r="NJL864" s="22" t="s">
        <v>16</v>
      </c>
      <c r="NJM864" s="22" t="s">
        <v>16</v>
      </c>
      <c r="NJN864" s="22" t="s">
        <v>16</v>
      </c>
      <c r="NJO864" s="22" t="s">
        <v>16</v>
      </c>
      <c r="NJP864" s="22" t="s">
        <v>16</v>
      </c>
      <c r="NJQ864" s="22" t="s">
        <v>16</v>
      </c>
      <c r="NJR864" s="22" t="s">
        <v>16</v>
      </c>
      <c r="NJS864" s="22" t="s">
        <v>16</v>
      </c>
      <c r="NJT864" s="22" t="s">
        <v>16</v>
      </c>
      <c r="NJU864" s="22" t="s">
        <v>16</v>
      </c>
      <c r="NJV864" s="22" t="s">
        <v>16</v>
      </c>
      <c r="NJW864" s="22" t="s">
        <v>16</v>
      </c>
      <c r="NJX864" s="22" t="s">
        <v>16</v>
      </c>
      <c r="NJY864" s="22" t="s">
        <v>16</v>
      </c>
      <c r="NJZ864" s="22" t="s">
        <v>16</v>
      </c>
      <c r="NKA864" s="22" t="s">
        <v>16</v>
      </c>
      <c r="NKB864" s="22" t="s">
        <v>16</v>
      </c>
      <c r="NKC864" s="22" t="s">
        <v>16</v>
      </c>
      <c r="NKD864" s="22" t="s">
        <v>16</v>
      </c>
      <c r="NKE864" s="22" t="s">
        <v>16</v>
      </c>
      <c r="NKF864" s="22" t="s">
        <v>16</v>
      </c>
      <c r="NKG864" s="22" t="s">
        <v>16</v>
      </c>
      <c r="NKH864" s="22" t="s">
        <v>16</v>
      </c>
      <c r="NKI864" s="22" t="s">
        <v>16</v>
      </c>
      <c r="NKJ864" s="22" t="s">
        <v>16</v>
      </c>
      <c r="NKK864" s="22" t="s">
        <v>16</v>
      </c>
      <c r="NKL864" s="22" t="s">
        <v>16</v>
      </c>
      <c r="NKM864" s="22" t="s">
        <v>16</v>
      </c>
      <c r="NKN864" s="22" t="s">
        <v>16</v>
      </c>
      <c r="NKO864" s="22" t="s">
        <v>16</v>
      </c>
      <c r="NKP864" s="22" t="s">
        <v>16</v>
      </c>
      <c r="NKQ864" s="22" t="s">
        <v>16</v>
      </c>
      <c r="NKR864" s="22" t="s">
        <v>16</v>
      </c>
      <c r="NKS864" s="22" t="s">
        <v>16</v>
      </c>
      <c r="NKT864" s="22" t="s">
        <v>16</v>
      </c>
      <c r="NKU864" s="22" t="s">
        <v>16</v>
      </c>
      <c r="NKV864" s="22" t="s">
        <v>16</v>
      </c>
      <c r="NKW864" s="22" t="s">
        <v>16</v>
      </c>
      <c r="NKX864" s="22" t="s">
        <v>16</v>
      </c>
      <c r="NKY864" s="22" t="s">
        <v>16</v>
      </c>
      <c r="NKZ864" s="22" t="s">
        <v>16</v>
      </c>
      <c r="NLA864" s="22" t="s">
        <v>16</v>
      </c>
      <c r="NLB864" s="22" t="s">
        <v>16</v>
      </c>
      <c r="NLC864" s="22" t="s">
        <v>16</v>
      </c>
      <c r="NLD864" s="22" t="s">
        <v>16</v>
      </c>
      <c r="NLE864" s="22" t="s">
        <v>16</v>
      </c>
      <c r="NLF864" s="22" t="s">
        <v>16</v>
      </c>
      <c r="NLG864" s="22" t="s">
        <v>16</v>
      </c>
      <c r="NLH864" s="22" t="s">
        <v>16</v>
      </c>
      <c r="NLI864" s="22" t="s">
        <v>16</v>
      </c>
      <c r="NLJ864" s="22" t="s">
        <v>16</v>
      </c>
      <c r="NLK864" s="22" t="s">
        <v>16</v>
      </c>
      <c r="NLL864" s="22" t="s">
        <v>16</v>
      </c>
      <c r="NLM864" s="22" t="s">
        <v>16</v>
      </c>
      <c r="NLN864" s="22" t="s">
        <v>16</v>
      </c>
      <c r="NLO864" s="22" t="s">
        <v>16</v>
      </c>
      <c r="NLP864" s="22" t="s">
        <v>16</v>
      </c>
      <c r="NLQ864" s="22" t="s">
        <v>16</v>
      </c>
      <c r="NLR864" s="22" t="s">
        <v>16</v>
      </c>
      <c r="NLS864" s="22" t="s">
        <v>16</v>
      </c>
      <c r="NLT864" s="22" t="s">
        <v>16</v>
      </c>
      <c r="NLU864" s="22" t="s">
        <v>16</v>
      </c>
      <c r="NLV864" s="22" t="s">
        <v>16</v>
      </c>
      <c r="NLW864" s="22" t="s">
        <v>16</v>
      </c>
      <c r="NLX864" s="22" t="s">
        <v>16</v>
      </c>
      <c r="NLY864" s="22" t="s">
        <v>16</v>
      </c>
      <c r="NLZ864" s="22" t="s">
        <v>16</v>
      </c>
      <c r="NMA864" s="22" t="s">
        <v>16</v>
      </c>
      <c r="NMB864" s="22" t="s">
        <v>16</v>
      </c>
      <c r="NMC864" s="22" t="s">
        <v>16</v>
      </c>
      <c r="NMD864" s="22" t="s">
        <v>16</v>
      </c>
      <c r="NME864" s="22" t="s">
        <v>16</v>
      </c>
      <c r="NMF864" s="22" t="s">
        <v>16</v>
      </c>
      <c r="NMG864" s="22" t="s">
        <v>16</v>
      </c>
      <c r="NMH864" s="22" t="s">
        <v>16</v>
      </c>
      <c r="NMI864" s="22" t="s">
        <v>16</v>
      </c>
      <c r="NMJ864" s="22" t="s">
        <v>16</v>
      </c>
      <c r="NMK864" s="22" t="s">
        <v>16</v>
      </c>
      <c r="NML864" s="22" t="s">
        <v>16</v>
      </c>
      <c r="NMM864" s="22" t="s">
        <v>16</v>
      </c>
      <c r="NMN864" s="22" t="s">
        <v>16</v>
      </c>
      <c r="NMO864" s="22" t="s">
        <v>16</v>
      </c>
      <c r="NMP864" s="22" t="s">
        <v>16</v>
      </c>
      <c r="NMQ864" s="22" t="s">
        <v>16</v>
      </c>
      <c r="NMR864" s="22" t="s">
        <v>16</v>
      </c>
      <c r="NMS864" s="22" t="s">
        <v>16</v>
      </c>
      <c r="NMT864" s="22" t="s">
        <v>16</v>
      </c>
      <c r="NMU864" s="22" t="s">
        <v>16</v>
      </c>
      <c r="NMV864" s="22" t="s">
        <v>16</v>
      </c>
      <c r="NMW864" s="22" t="s">
        <v>16</v>
      </c>
      <c r="NMX864" s="22" t="s">
        <v>16</v>
      </c>
      <c r="NMY864" s="22" t="s">
        <v>16</v>
      </c>
      <c r="NMZ864" s="22" t="s">
        <v>16</v>
      </c>
      <c r="NNA864" s="22" t="s">
        <v>16</v>
      </c>
      <c r="NNB864" s="22" t="s">
        <v>16</v>
      </c>
      <c r="NNC864" s="22" t="s">
        <v>16</v>
      </c>
      <c r="NND864" s="22" t="s">
        <v>16</v>
      </c>
      <c r="NNE864" s="22" t="s">
        <v>16</v>
      </c>
      <c r="NNF864" s="22" t="s">
        <v>16</v>
      </c>
      <c r="NNG864" s="22" t="s">
        <v>16</v>
      </c>
      <c r="NNH864" s="22" t="s">
        <v>16</v>
      </c>
      <c r="NNI864" s="22" t="s">
        <v>16</v>
      </c>
      <c r="NNJ864" s="22" t="s">
        <v>16</v>
      </c>
      <c r="NNK864" s="22" t="s">
        <v>16</v>
      </c>
      <c r="NNL864" s="22" t="s">
        <v>16</v>
      </c>
      <c r="NNM864" s="22" t="s">
        <v>16</v>
      </c>
      <c r="NNN864" s="22" t="s">
        <v>16</v>
      </c>
      <c r="NNO864" s="22" t="s">
        <v>16</v>
      </c>
      <c r="NNP864" s="22" t="s">
        <v>16</v>
      </c>
      <c r="NNQ864" s="22" t="s">
        <v>16</v>
      </c>
      <c r="NNR864" s="22" t="s">
        <v>16</v>
      </c>
      <c r="NNS864" s="22" t="s">
        <v>16</v>
      </c>
      <c r="NNT864" s="22" t="s">
        <v>16</v>
      </c>
      <c r="NNU864" s="22" t="s">
        <v>16</v>
      </c>
      <c r="NNV864" s="22" t="s">
        <v>16</v>
      </c>
      <c r="NNW864" s="22" t="s">
        <v>16</v>
      </c>
      <c r="NNX864" s="22" t="s">
        <v>16</v>
      </c>
      <c r="NNY864" s="22" t="s">
        <v>16</v>
      </c>
      <c r="NNZ864" s="22" t="s">
        <v>16</v>
      </c>
      <c r="NOA864" s="22" t="s">
        <v>16</v>
      </c>
      <c r="NOB864" s="22" t="s">
        <v>16</v>
      </c>
      <c r="NOC864" s="22" t="s">
        <v>16</v>
      </c>
      <c r="NOD864" s="22" t="s">
        <v>16</v>
      </c>
      <c r="NOE864" s="22" t="s">
        <v>16</v>
      </c>
      <c r="NOF864" s="22" t="s">
        <v>16</v>
      </c>
      <c r="NOG864" s="22" t="s">
        <v>16</v>
      </c>
      <c r="NOH864" s="22" t="s">
        <v>16</v>
      </c>
      <c r="NOI864" s="22" t="s">
        <v>16</v>
      </c>
      <c r="NOJ864" s="22" t="s">
        <v>16</v>
      </c>
      <c r="NOK864" s="22" t="s">
        <v>16</v>
      </c>
      <c r="NOL864" s="22" t="s">
        <v>16</v>
      </c>
      <c r="NOM864" s="22" t="s">
        <v>16</v>
      </c>
      <c r="NON864" s="22" t="s">
        <v>16</v>
      </c>
      <c r="NOO864" s="22" t="s">
        <v>16</v>
      </c>
      <c r="NOP864" s="22" t="s">
        <v>16</v>
      </c>
      <c r="NOQ864" s="22" t="s">
        <v>16</v>
      </c>
      <c r="NOR864" s="22" t="s">
        <v>16</v>
      </c>
      <c r="NOS864" s="22" t="s">
        <v>16</v>
      </c>
      <c r="NOT864" s="22" t="s">
        <v>16</v>
      </c>
      <c r="NOU864" s="22" t="s">
        <v>16</v>
      </c>
      <c r="NOV864" s="22" t="s">
        <v>16</v>
      </c>
      <c r="NOW864" s="22" t="s">
        <v>16</v>
      </c>
      <c r="NOX864" s="22" t="s">
        <v>16</v>
      </c>
      <c r="NOY864" s="22" t="s">
        <v>16</v>
      </c>
      <c r="NOZ864" s="22" t="s">
        <v>16</v>
      </c>
      <c r="NPA864" s="22" t="s">
        <v>16</v>
      </c>
      <c r="NPB864" s="22" t="s">
        <v>16</v>
      </c>
      <c r="NPC864" s="22" t="s">
        <v>16</v>
      </c>
      <c r="NPD864" s="22" t="s">
        <v>16</v>
      </c>
      <c r="NPE864" s="22" t="s">
        <v>16</v>
      </c>
      <c r="NPF864" s="22" t="s">
        <v>16</v>
      </c>
      <c r="NPG864" s="22" t="s">
        <v>16</v>
      </c>
      <c r="NPH864" s="22" t="s">
        <v>16</v>
      </c>
      <c r="NPI864" s="22" t="s">
        <v>16</v>
      </c>
      <c r="NPJ864" s="22" t="s">
        <v>16</v>
      </c>
      <c r="NPK864" s="22" t="s">
        <v>16</v>
      </c>
      <c r="NPL864" s="22" t="s">
        <v>16</v>
      </c>
      <c r="NPM864" s="22" t="s">
        <v>16</v>
      </c>
      <c r="NPN864" s="22" t="s">
        <v>16</v>
      </c>
      <c r="NPO864" s="22" t="s">
        <v>16</v>
      </c>
      <c r="NPP864" s="22" t="s">
        <v>16</v>
      </c>
      <c r="NPQ864" s="22" t="s">
        <v>16</v>
      </c>
      <c r="NPR864" s="22" t="s">
        <v>16</v>
      </c>
      <c r="NPS864" s="22" t="s">
        <v>16</v>
      </c>
      <c r="NPT864" s="22" t="s">
        <v>16</v>
      </c>
      <c r="NPU864" s="22" t="s">
        <v>16</v>
      </c>
      <c r="NPV864" s="22" t="s">
        <v>16</v>
      </c>
      <c r="NPW864" s="22" t="s">
        <v>16</v>
      </c>
      <c r="NPX864" s="22" t="s">
        <v>16</v>
      </c>
      <c r="NPY864" s="22" t="s">
        <v>16</v>
      </c>
      <c r="NPZ864" s="22" t="s">
        <v>16</v>
      </c>
      <c r="NQA864" s="22" t="s">
        <v>16</v>
      </c>
      <c r="NQB864" s="22" t="s">
        <v>16</v>
      </c>
      <c r="NQC864" s="22" t="s">
        <v>16</v>
      </c>
      <c r="NQD864" s="22" t="s">
        <v>16</v>
      </c>
      <c r="NQE864" s="22" t="s">
        <v>16</v>
      </c>
      <c r="NQF864" s="22" t="s">
        <v>16</v>
      </c>
      <c r="NQG864" s="22" t="s">
        <v>16</v>
      </c>
      <c r="NQH864" s="22" t="s">
        <v>16</v>
      </c>
      <c r="NQI864" s="22" t="s">
        <v>16</v>
      </c>
      <c r="NQJ864" s="22" t="s">
        <v>16</v>
      </c>
      <c r="NQK864" s="22" t="s">
        <v>16</v>
      </c>
      <c r="NQL864" s="22" t="s">
        <v>16</v>
      </c>
      <c r="NQM864" s="22" t="s">
        <v>16</v>
      </c>
      <c r="NQN864" s="22" t="s">
        <v>16</v>
      </c>
      <c r="NQO864" s="22" t="s">
        <v>16</v>
      </c>
      <c r="NQP864" s="22" t="s">
        <v>16</v>
      </c>
      <c r="NQQ864" s="22" t="s">
        <v>16</v>
      </c>
      <c r="NQR864" s="22" t="s">
        <v>16</v>
      </c>
      <c r="NQS864" s="22" t="s">
        <v>16</v>
      </c>
      <c r="NQT864" s="22" t="s">
        <v>16</v>
      </c>
      <c r="NQU864" s="22" t="s">
        <v>16</v>
      </c>
      <c r="NQV864" s="22" t="s">
        <v>16</v>
      </c>
      <c r="NQW864" s="22" t="s">
        <v>16</v>
      </c>
      <c r="NQX864" s="22" t="s">
        <v>16</v>
      </c>
      <c r="NQY864" s="22" t="s">
        <v>16</v>
      </c>
      <c r="NQZ864" s="22" t="s">
        <v>16</v>
      </c>
      <c r="NRA864" s="22" t="s">
        <v>16</v>
      </c>
      <c r="NRB864" s="22" t="s">
        <v>16</v>
      </c>
      <c r="NRC864" s="22" t="s">
        <v>16</v>
      </c>
      <c r="NRD864" s="22" t="s">
        <v>16</v>
      </c>
      <c r="NRE864" s="22" t="s">
        <v>16</v>
      </c>
      <c r="NRF864" s="22" t="s">
        <v>16</v>
      </c>
      <c r="NRG864" s="22" t="s">
        <v>16</v>
      </c>
      <c r="NRH864" s="22" t="s">
        <v>16</v>
      </c>
      <c r="NRI864" s="22" t="s">
        <v>16</v>
      </c>
      <c r="NRJ864" s="22" t="s">
        <v>16</v>
      </c>
      <c r="NRK864" s="22" t="s">
        <v>16</v>
      </c>
      <c r="NRL864" s="22" t="s">
        <v>16</v>
      </c>
      <c r="NRM864" s="22" t="s">
        <v>16</v>
      </c>
      <c r="NRN864" s="22" t="s">
        <v>16</v>
      </c>
      <c r="NRO864" s="22" t="s">
        <v>16</v>
      </c>
      <c r="NRP864" s="22" t="s">
        <v>16</v>
      </c>
      <c r="NRQ864" s="22" t="s">
        <v>16</v>
      </c>
      <c r="NRR864" s="22" t="s">
        <v>16</v>
      </c>
      <c r="NRS864" s="22" t="s">
        <v>16</v>
      </c>
      <c r="NRT864" s="22" t="s">
        <v>16</v>
      </c>
      <c r="NRU864" s="22" t="s">
        <v>16</v>
      </c>
      <c r="NRV864" s="22" t="s">
        <v>16</v>
      </c>
      <c r="NRW864" s="22" t="s">
        <v>16</v>
      </c>
      <c r="NRX864" s="22" t="s">
        <v>16</v>
      </c>
      <c r="NRY864" s="22" t="s">
        <v>16</v>
      </c>
      <c r="NRZ864" s="22" t="s">
        <v>16</v>
      </c>
      <c r="NSA864" s="22" t="s">
        <v>16</v>
      </c>
      <c r="NSB864" s="22" t="s">
        <v>16</v>
      </c>
      <c r="NSC864" s="22" t="s">
        <v>16</v>
      </c>
      <c r="NSD864" s="22" t="s">
        <v>16</v>
      </c>
      <c r="NSE864" s="22" t="s">
        <v>16</v>
      </c>
      <c r="NSF864" s="22" t="s">
        <v>16</v>
      </c>
      <c r="NSG864" s="22" t="s">
        <v>16</v>
      </c>
      <c r="NSH864" s="22" t="s">
        <v>16</v>
      </c>
      <c r="NSI864" s="22" t="s">
        <v>16</v>
      </c>
      <c r="NSJ864" s="22" t="s">
        <v>16</v>
      </c>
      <c r="NSK864" s="22" t="s">
        <v>16</v>
      </c>
      <c r="NSL864" s="22" t="s">
        <v>16</v>
      </c>
      <c r="NSM864" s="22" t="s">
        <v>16</v>
      </c>
      <c r="NSN864" s="22" t="s">
        <v>16</v>
      </c>
      <c r="NSO864" s="22" t="s">
        <v>16</v>
      </c>
      <c r="NSP864" s="22" t="s">
        <v>16</v>
      </c>
      <c r="NSQ864" s="22" t="s">
        <v>16</v>
      </c>
      <c r="NSR864" s="22" t="s">
        <v>16</v>
      </c>
      <c r="NSS864" s="22" t="s">
        <v>16</v>
      </c>
      <c r="NST864" s="22" t="s">
        <v>16</v>
      </c>
      <c r="NSU864" s="22" t="s">
        <v>16</v>
      </c>
      <c r="NSV864" s="22" t="s">
        <v>16</v>
      </c>
      <c r="NSW864" s="22" t="s">
        <v>16</v>
      </c>
      <c r="NSX864" s="22" t="s">
        <v>16</v>
      </c>
      <c r="NSY864" s="22" t="s">
        <v>16</v>
      </c>
      <c r="NSZ864" s="22" t="s">
        <v>16</v>
      </c>
      <c r="NTA864" s="22" t="s">
        <v>16</v>
      </c>
      <c r="NTB864" s="22" t="s">
        <v>16</v>
      </c>
      <c r="NTC864" s="22" t="s">
        <v>16</v>
      </c>
      <c r="NTD864" s="22" t="s">
        <v>16</v>
      </c>
      <c r="NTE864" s="22" t="s">
        <v>16</v>
      </c>
      <c r="NTF864" s="22" t="s">
        <v>16</v>
      </c>
      <c r="NTG864" s="22" t="s">
        <v>16</v>
      </c>
      <c r="NTH864" s="22" t="s">
        <v>16</v>
      </c>
      <c r="NTI864" s="22" t="s">
        <v>16</v>
      </c>
      <c r="NTJ864" s="22" t="s">
        <v>16</v>
      </c>
      <c r="NTK864" s="22" t="s">
        <v>16</v>
      </c>
      <c r="NTL864" s="22" t="s">
        <v>16</v>
      </c>
      <c r="NTM864" s="22" t="s">
        <v>16</v>
      </c>
      <c r="NTN864" s="22" t="s">
        <v>16</v>
      </c>
      <c r="NTO864" s="22" t="s">
        <v>16</v>
      </c>
      <c r="NTP864" s="22" t="s">
        <v>16</v>
      </c>
      <c r="NTQ864" s="22" t="s">
        <v>16</v>
      </c>
      <c r="NTR864" s="22" t="s">
        <v>16</v>
      </c>
      <c r="NTS864" s="22" t="s">
        <v>16</v>
      </c>
      <c r="NTT864" s="22" t="s">
        <v>16</v>
      </c>
      <c r="NTU864" s="22" t="s">
        <v>16</v>
      </c>
      <c r="NTV864" s="22" t="s">
        <v>16</v>
      </c>
      <c r="NTW864" s="22" t="s">
        <v>16</v>
      </c>
      <c r="NTX864" s="22" t="s">
        <v>16</v>
      </c>
      <c r="NTY864" s="22" t="s">
        <v>16</v>
      </c>
      <c r="NTZ864" s="22" t="s">
        <v>16</v>
      </c>
      <c r="NUA864" s="22" t="s">
        <v>16</v>
      </c>
      <c r="NUB864" s="22" t="s">
        <v>16</v>
      </c>
      <c r="NUC864" s="22" t="s">
        <v>16</v>
      </c>
      <c r="NUD864" s="22" t="s">
        <v>16</v>
      </c>
      <c r="NUE864" s="22" t="s">
        <v>16</v>
      </c>
      <c r="NUF864" s="22" t="s">
        <v>16</v>
      </c>
      <c r="NUG864" s="22" t="s">
        <v>16</v>
      </c>
      <c r="NUH864" s="22" t="s">
        <v>16</v>
      </c>
      <c r="NUI864" s="22" t="s">
        <v>16</v>
      </c>
      <c r="NUJ864" s="22" t="s">
        <v>16</v>
      </c>
      <c r="NUK864" s="22" t="s">
        <v>16</v>
      </c>
      <c r="NUL864" s="22" t="s">
        <v>16</v>
      </c>
      <c r="NUM864" s="22" t="s">
        <v>16</v>
      </c>
      <c r="NUN864" s="22" t="s">
        <v>16</v>
      </c>
      <c r="NUO864" s="22" t="s">
        <v>16</v>
      </c>
      <c r="NUP864" s="22" t="s">
        <v>16</v>
      </c>
      <c r="NUQ864" s="22" t="s">
        <v>16</v>
      </c>
      <c r="NUR864" s="22" t="s">
        <v>16</v>
      </c>
      <c r="NUS864" s="22" t="s">
        <v>16</v>
      </c>
      <c r="NUT864" s="22" t="s">
        <v>16</v>
      </c>
      <c r="NUU864" s="22" t="s">
        <v>16</v>
      </c>
      <c r="NUV864" s="22" t="s">
        <v>16</v>
      </c>
      <c r="NUW864" s="22" t="s">
        <v>16</v>
      </c>
      <c r="NUX864" s="22" t="s">
        <v>16</v>
      </c>
      <c r="NUY864" s="22" t="s">
        <v>16</v>
      </c>
      <c r="NUZ864" s="22" t="s">
        <v>16</v>
      </c>
      <c r="NVA864" s="22" t="s">
        <v>16</v>
      </c>
      <c r="NVB864" s="22" t="s">
        <v>16</v>
      </c>
      <c r="NVC864" s="22" t="s">
        <v>16</v>
      </c>
      <c r="NVD864" s="22" t="s">
        <v>16</v>
      </c>
      <c r="NVE864" s="22" t="s">
        <v>16</v>
      </c>
      <c r="NVF864" s="22" t="s">
        <v>16</v>
      </c>
      <c r="NVG864" s="22" t="s">
        <v>16</v>
      </c>
      <c r="NVH864" s="22" t="s">
        <v>16</v>
      </c>
      <c r="NVI864" s="22" t="s">
        <v>16</v>
      </c>
      <c r="NVJ864" s="22" t="s">
        <v>16</v>
      </c>
      <c r="NVK864" s="22" t="s">
        <v>16</v>
      </c>
      <c r="NVL864" s="22" t="s">
        <v>16</v>
      </c>
      <c r="NVM864" s="22" t="s">
        <v>16</v>
      </c>
      <c r="NVN864" s="22" t="s">
        <v>16</v>
      </c>
      <c r="NVO864" s="22" t="s">
        <v>16</v>
      </c>
      <c r="NVP864" s="22" t="s">
        <v>16</v>
      </c>
      <c r="NVQ864" s="22" t="s">
        <v>16</v>
      </c>
      <c r="NVR864" s="22" t="s">
        <v>16</v>
      </c>
      <c r="NVS864" s="22" t="s">
        <v>16</v>
      </c>
      <c r="NVT864" s="22" t="s">
        <v>16</v>
      </c>
      <c r="NVU864" s="22" t="s">
        <v>16</v>
      </c>
      <c r="NVV864" s="22" t="s">
        <v>16</v>
      </c>
      <c r="NVW864" s="22" t="s">
        <v>16</v>
      </c>
      <c r="NVX864" s="22" t="s">
        <v>16</v>
      </c>
      <c r="NVY864" s="22" t="s">
        <v>16</v>
      </c>
      <c r="NVZ864" s="22" t="s">
        <v>16</v>
      </c>
      <c r="NWA864" s="22" t="s">
        <v>16</v>
      </c>
      <c r="NWB864" s="22" t="s">
        <v>16</v>
      </c>
      <c r="NWC864" s="22" t="s">
        <v>16</v>
      </c>
      <c r="NWD864" s="22" t="s">
        <v>16</v>
      </c>
      <c r="NWE864" s="22" t="s">
        <v>16</v>
      </c>
      <c r="NWF864" s="22" t="s">
        <v>16</v>
      </c>
      <c r="NWG864" s="22" t="s">
        <v>16</v>
      </c>
      <c r="NWH864" s="22" t="s">
        <v>16</v>
      </c>
      <c r="NWI864" s="22" t="s">
        <v>16</v>
      </c>
      <c r="NWJ864" s="22" t="s">
        <v>16</v>
      </c>
      <c r="NWK864" s="22" t="s">
        <v>16</v>
      </c>
      <c r="NWL864" s="22" t="s">
        <v>16</v>
      </c>
      <c r="NWM864" s="22" t="s">
        <v>16</v>
      </c>
      <c r="NWN864" s="22" t="s">
        <v>16</v>
      </c>
      <c r="NWO864" s="22" t="s">
        <v>16</v>
      </c>
      <c r="NWP864" s="22" t="s">
        <v>16</v>
      </c>
      <c r="NWQ864" s="22" t="s">
        <v>16</v>
      </c>
      <c r="NWR864" s="22" t="s">
        <v>16</v>
      </c>
      <c r="NWS864" s="22" t="s">
        <v>16</v>
      </c>
      <c r="NWT864" s="22" t="s">
        <v>16</v>
      </c>
      <c r="NWU864" s="22" t="s">
        <v>16</v>
      </c>
      <c r="NWV864" s="22" t="s">
        <v>16</v>
      </c>
      <c r="NWW864" s="22" t="s">
        <v>16</v>
      </c>
      <c r="NWX864" s="22" t="s">
        <v>16</v>
      </c>
      <c r="NWY864" s="22" t="s">
        <v>16</v>
      </c>
      <c r="NWZ864" s="22" t="s">
        <v>16</v>
      </c>
      <c r="NXA864" s="22" t="s">
        <v>16</v>
      </c>
      <c r="NXB864" s="22" t="s">
        <v>16</v>
      </c>
      <c r="NXC864" s="22" t="s">
        <v>16</v>
      </c>
      <c r="NXD864" s="22" t="s">
        <v>16</v>
      </c>
      <c r="NXE864" s="22" t="s">
        <v>16</v>
      </c>
      <c r="NXF864" s="22" t="s">
        <v>16</v>
      </c>
      <c r="NXG864" s="22" t="s">
        <v>16</v>
      </c>
      <c r="NXH864" s="22" t="s">
        <v>16</v>
      </c>
      <c r="NXI864" s="22" t="s">
        <v>16</v>
      </c>
      <c r="NXJ864" s="22" t="s">
        <v>16</v>
      </c>
      <c r="NXK864" s="22" t="s">
        <v>16</v>
      </c>
      <c r="NXL864" s="22" t="s">
        <v>16</v>
      </c>
      <c r="NXM864" s="22" t="s">
        <v>16</v>
      </c>
      <c r="NXN864" s="22" t="s">
        <v>16</v>
      </c>
      <c r="NXO864" s="22" t="s">
        <v>16</v>
      </c>
      <c r="NXP864" s="22" t="s">
        <v>16</v>
      </c>
      <c r="NXQ864" s="22" t="s">
        <v>16</v>
      </c>
      <c r="NXR864" s="22" t="s">
        <v>16</v>
      </c>
      <c r="NXS864" s="22" t="s">
        <v>16</v>
      </c>
      <c r="NXT864" s="22" t="s">
        <v>16</v>
      </c>
      <c r="NXU864" s="22" t="s">
        <v>16</v>
      </c>
      <c r="NXV864" s="22" t="s">
        <v>16</v>
      </c>
      <c r="NXW864" s="22" t="s">
        <v>16</v>
      </c>
      <c r="NXX864" s="22" t="s">
        <v>16</v>
      </c>
      <c r="NXY864" s="22" t="s">
        <v>16</v>
      </c>
      <c r="NXZ864" s="22" t="s">
        <v>16</v>
      </c>
      <c r="NYA864" s="22" t="s">
        <v>16</v>
      </c>
      <c r="NYB864" s="22" t="s">
        <v>16</v>
      </c>
      <c r="NYC864" s="22" t="s">
        <v>16</v>
      </c>
      <c r="NYD864" s="22" t="s">
        <v>16</v>
      </c>
      <c r="NYE864" s="22" t="s">
        <v>16</v>
      </c>
      <c r="NYF864" s="22" t="s">
        <v>16</v>
      </c>
      <c r="NYG864" s="22" t="s">
        <v>16</v>
      </c>
      <c r="NYH864" s="22" t="s">
        <v>16</v>
      </c>
      <c r="NYI864" s="22" t="s">
        <v>16</v>
      </c>
      <c r="NYJ864" s="22" t="s">
        <v>16</v>
      </c>
      <c r="NYK864" s="22" t="s">
        <v>16</v>
      </c>
      <c r="NYL864" s="22" t="s">
        <v>16</v>
      </c>
      <c r="NYM864" s="22" t="s">
        <v>16</v>
      </c>
      <c r="NYN864" s="22" t="s">
        <v>16</v>
      </c>
      <c r="NYO864" s="22" t="s">
        <v>16</v>
      </c>
      <c r="NYP864" s="22" t="s">
        <v>16</v>
      </c>
      <c r="NYQ864" s="22" t="s">
        <v>16</v>
      </c>
      <c r="NYR864" s="22" t="s">
        <v>16</v>
      </c>
      <c r="NYS864" s="22" t="s">
        <v>16</v>
      </c>
      <c r="NYT864" s="22" t="s">
        <v>16</v>
      </c>
      <c r="NYU864" s="22" t="s">
        <v>16</v>
      </c>
      <c r="NYV864" s="22" t="s">
        <v>16</v>
      </c>
      <c r="NYW864" s="22" t="s">
        <v>16</v>
      </c>
      <c r="NYX864" s="22" t="s">
        <v>16</v>
      </c>
      <c r="NYY864" s="22" t="s">
        <v>16</v>
      </c>
      <c r="NYZ864" s="22" t="s">
        <v>16</v>
      </c>
      <c r="NZA864" s="22" t="s">
        <v>16</v>
      </c>
      <c r="NZB864" s="22" t="s">
        <v>16</v>
      </c>
      <c r="NZC864" s="22" t="s">
        <v>16</v>
      </c>
      <c r="NZD864" s="22" t="s">
        <v>16</v>
      </c>
      <c r="NZE864" s="22" t="s">
        <v>16</v>
      </c>
      <c r="NZF864" s="22" t="s">
        <v>16</v>
      </c>
      <c r="NZG864" s="22" t="s">
        <v>16</v>
      </c>
      <c r="NZH864" s="22" t="s">
        <v>16</v>
      </c>
      <c r="NZI864" s="22" t="s">
        <v>16</v>
      </c>
      <c r="NZJ864" s="22" t="s">
        <v>16</v>
      </c>
      <c r="NZK864" s="22" t="s">
        <v>16</v>
      </c>
      <c r="NZL864" s="22" t="s">
        <v>16</v>
      </c>
      <c r="NZM864" s="22" t="s">
        <v>16</v>
      </c>
      <c r="NZN864" s="22" t="s">
        <v>16</v>
      </c>
      <c r="NZO864" s="22" t="s">
        <v>16</v>
      </c>
      <c r="NZP864" s="22" t="s">
        <v>16</v>
      </c>
      <c r="NZQ864" s="22" t="s">
        <v>16</v>
      </c>
      <c r="NZR864" s="22" t="s">
        <v>16</v>
      </c>
      <c r="NZS864" s="22" t="s">
        <v>16</v>
      </c>
      <c r="NZT864" s="22" t="s">
        <v>16</v>
      </c>
      <c r="NZU864" s="22" t="s">
        <v>16</v>
      </c>
      <c r="NZV864" s="22" t="s">
        <v>16</v>
      </c>
      <c r="NZW864" s="22" t="s">
        <v>16</v>
      </c>
      <c r="NZX864" s="22" t="s">
        <v>16</v>
      </c>
      <c r="NZY864" s="22" t="s">
        <v>16</v>
      </c>
      <c r="NZZ864" s="22" t="s">
        <v>16</v>
      </c>
      <c r="OAA864" s="22" t="s">
        <v>16</v>
      </c>
      <c r="OAB864" s="22" t="s">
        <v>16</v>
      </c>
      <c r="OAC864" s="22" t="s">
        <v>16</v>
      </c>
      <c r="OAD864" s="22" t="s">
        <v>16</v>
      </c>
      <c r="OAE864" s="22" t="s">
        <v>16</v>
      </c>
      <c r="OAF864" s="22" t="s">
        <v>16</v>
      </c>
      <c r="OAG864" s="22" t="s">
        <v>16</v>
      </c>
      <c r="OAH864" s="22" t="s">
        <v>16</v>
      </c>
      <c r="OAI864" s="22" t="s">
        <v>16</v>
      </c>
      <c r="OAJ864" s="22" t="s">
        <v>16</v>
      </c>
      <c r="OAK864" s="22" t="s">
        <v>16</v>
      </c>
      <c r="OAL864" s="22" t="s">
        <v>16</v>
      </c>
      <c r="OAM864" s="22" t="s">
        <v>16</v>
      </c>
      <c r="OAN864" s="22" t="s">
        <v>16</v>
      </c>
      <c r="OAO864" s="22" t="s">
        <v>16</v>
      </c>
      <c r="OAP864" s="22" t="s">
        <v>16</v>
      </c>
      <c r="OAQ864" s="22" t="s">
        <v>16</v>
      </c>
      <c r="OAR864" s="22" t="s">
        <v>16</v>
      </c>
      <c r="OAS864" s="22" t="s">
        <v>16</v>
      </c>
      <c r="OAT864" s="22" t="s">
        <v>16</v>
      </c>
      <c r="OAU864" s="22" t="s">
        <v>16</v>
      </c>
      <c r="OAV864" s="22" t="s">
        <v>16</v>
      </c>
      <c r="OAW864" s="22" t="s">
        <v>16</v>
      </c>
      <c r="OAX864" s="22" t="s">
        <v>16</v>
      </c>
      <c r="OAY864" s="22" t="s">
        <v>16</v>
      </c>
      <c r="OAZ864" s="22" t="s">
        <v>16</v>
      </c>
      <c r="OBA864" s="22" t="s">
        <v>16</v>
      </c>
      <c r="OBB864" s="22" t="s">
        <v>16</v>
      </c>
      <c r="OBC864" s="22" t="s">
        <v>16</v>
      </c>
      <c r="OBD864" s="22" t="s">
        <v>16</v>
      </c>
      <c r="OBE864" s="22" t="s">
        <v>16</v>
      </c>
      <c r="OBF864" s="22" t="s">
        <v>16</v>
      </c>
      <c r="OBG864" s="22" t="s">
        <v>16</v>
      </c>
      <c r="OBH864" s="22" t="s">
        <v>16</v>
      </c>
      <c r="OBI864" s="22" t="s">
        <v>16</v>
      </c>
      <c r="OBJ864" s="22" t="s">
        <v>16</v>
      </c>
      <c r="OBK864" s="22" t="s">
        <v>16</v>
      </c>
      <c r="OBL864" s="22" t="s">
        <v>16</v>
      </c>
      <c r="OBM864" s="22" t="s">
        <v>16</v>
      </c>
      <c r="OBN864" s="22" t="s">
        <v>16</v>
      </c>
      <c r="OBO864" s="22" t="s">
        <v>16</v>
      </c>
      <c r="OBP864" s="22" t="s">
        <v>16</v>
      </c>
      <c r="OBQ864" s="22" t="s">
        <v>16</v>
      </c>
      <c r="OBR864" s="22" t="s">
        <v>16</v>
      </c>
      <c r="OBS864" s="22" t="s">
        <v>16</v>
      </c>
      <c r="OBT864" s="22" t="s">
        <v>16</v>
      </c>
      <c r="OBU864" s="22" t="s">
        <v>16</v>
      </c>
      <c r="OBV864" s="22" t="s">
        <v>16</v>
      </c>
      <c r="OBW864" s="22" t="s">
        <v>16</v>
      </c>
      <c r="OBX864" s="22" t="s">
        <v>16</v>
      </c>
      <c r="OBY864" s="22" t="s">
        <v>16</v>
      </c>
      <c r="OBZ864" s="22" t="s">
        <v>16</v>
      </c>
      <c r="OCA864" s="22" t="s">
        <v>16</v>
      </c>
      <c r="OCB864" s="22" t="s">
        <v>16</v>
      </c>
      <c r="OCC864" s="22" t="s">
        <v>16</v>
      </c>
      <c r="OCD864" s="22" t="s">
        <v>16</v>
      </c>
      <c r="OCE864" s="22" t="s">
        <v>16</v>
      </c>
      <c r="OCF864" s="22" t="s">
        <v>16</v>
      </c>
      <c r="OCG864" s="22" t="s">
        <v>16</v>
      </c>
      <c r="OCH864" s="22" t="s">
        <v>16</v>
      </c>
      <c r="OCI864" s="22" t="s">
        <v>16</v>
      </c>
      <c r="OCJ864" s="22" t="s">
        <v>16</v>
      </c>
      <c r="OCK864" s="22" t="s">
        <v>16</v>
      </c>
      <c r="OCL864" s="22" t="s">
        <v>16</v>
      </c>
      <c r="OCM864" s="22" t="s">
        <v>16</v>
      </c>
      <c r="OCN864" s="22" t="s">
        <v>16</v>
      </c>
      <c r="OCO864" s="22" t="s">
        <v>16</v>
      </c>
      <c r="OCP864" s="22" t="s">
        <v>16</v>
      </c>
      <c r="OCQ864" s="22" t="s">
        <v>16</v>
      </c>
      <c r="OCR864" s="22" t="s">
        <v>16</v>
      </c>
      <c r="OCS864" s="22" t="s">
        <v>16</v>
      </c>
      <c r="OCT864" s="22" t="s">
        <v>16</v>
      </c>
      <c r="OCU864" s="22" t="s">
        <v>16</v>
      </c>
      <c r="OCV864" s="22" t="s">
        <v>16</v>
      </c>
      <c r="OCW864" s="22" t="s">
        <v>16</v>
      </c>
      <c r="OCX864" s="22" t="s">
        <v>16</v>
      </c>
      <c r="OCY864" s="22" t="s">
        <v>16</v>
      </c>
      <c r="OCZ864" s="22" t="s">
        <v>16</v>
      </c>
      <c r="ODA864" s="22" t="s">
        <v>16</v>
      </c>
      <c r="ODB864" s="22" t="s">
        <v>16</v>
      </c>
      <c r="ODC864" s="22" t="s">
        <v>16</v>
      </c>
      <c r="ODD864" s="22" t="s">
        <v>16</v>
      </c>
      <c r="ODE864" s="22" t="s">
        <v>16</v>
      </c>
      <c r="ODF864" s="22" t="s">
        <v>16</v>
      </c>
      <c r="ODG864" s="22" t="s">
        <v>16</v>
      </c>
      <c r="ODH864" s="22" t="s">
        <v>16</v>
      </c>
      <c r="ODI864" s="22" t="s">
        <v>16</v>
      </c>
      <c r="ODJ864" s="22" t="s">
        <v>16</v>
      </c>
      <c r="ODK864" s="22" t="s">
        <v>16</v>
      </c>
      <c r="ODL864" s="22" t="s">
        <v>16</v>
      </c>
      <c r="ODM864" s="22" t="s">
        <v>16</v>
      </c>
      <c r="ODN864" s="22" t="s">
        <v>16</v>
      </c>
      <c r="ODO864" s="22" t="s">
        <v>16</v>
      </c>
      <c r="ODP864" s="22" t="s">
        <v>16</v>
      </c>
      <c r="ODQ864" s="22" t="s">
        <v>16</v>
      </c>
      <c r="ODR864" s="22" t="s">
        <v>16</v>
      </c>
      <c r="ODS864" s="22" t="s">
        <v>16</v>
      </c>
      <c r="ODT864" s="22" t="s">
        <v>16</v>
      </c>
      <c r="ODU864" s="22" t="s">
        <v>16</v>
      </c>
      <c r="ODV864" s="22" t="s">
        <v>16</v>
      </c>
      <c r="ODW864" s="22" t="s">
        <v>16</v>
      </c>
      <c r="ODX864" s="22" t="s">
        <v>16</v>
      </c>
      <c r="ODY864" s="22" t="s">
        <v>16</v>
      </c>
      <c r="ODZ864" s="22" t="s">
        <v>16</v>
      </c>
      <c r="OEA864" s="22" t="s">
        <v>16</v>
      </c>
      <c r="OEB864" s="22" t="s">
        <v>16</v>
      </c>
      <c r="OEC864" s="22" t="s">
        <v>16</v>
      </c>
      <c r="OED864" s="22" t="s">
        <v>16</v>
      </c>
      <c r="OEE864" s="22" t="s">
        <v>16</v>
      </c>
      <c r="OEF864" s="22" t="s">
        <v>16</v>
      </c>
      <c r="OEG864" s="22" t="s">
        <v>16</v>
      </c>
      <c r="OEH864" s="22" t="s">
        <v>16</v>
      </c>
      <c r="OEI864" s="22" t="s">
        <v>16</v>
      </c>
      <c r="OEJ864" s="22" t="s">
        <v>16</v>
      </c>
      <c r="OEK864" s="22" t="s">
        <v>16</v>
      </c>
      <c r="OEL864" s="22" t="s">
        <v>16</v>
      </c>
      <c r="OEM864" s="22" t="s">
        <v>16</v>
      </c>
      <c r="OEN864" s="22" t="s">
        <v>16</v>
      </c>
      <c r="OEO864" s="22" t="s">
        <v>16</v>
      </c>
      <c r="OEP864" s="22" t="s">
        <v>16</v>
      </c>
      <c r="OEQ864" s="22" t="s">
        <v>16</v>
      </c>
      <c r="OER864" s="22" t="s">
        <v>16</v>
      </c>
      <c r="OES864" s="22" t="s">
        <v>16</v>
      </c>
      <c r="OET864" s="22" t="s">
        <v>16</v>
      </c>
      <c r="OEU864" s="22" t="s">
        <v>16</v>
      </c>
      <c r="OEV864" s="22" t="s">
        <v>16</v>
      </c>
      <c r="OEW864" s="22" t="s">
        <v>16</v>
      </c>
      <c r="OEX864" s="22" t="s">
        <v>16</v>
      </c>
      <c r="OEY864" s="22" t="s">
        <v>16</v>
      </c>
      <c r="OEZ864" s="22" t="s">
        <v>16</v>
      </c>
      <c r="OFA864" s="22" t="s">
        <v>16</v>
      </c>
      <c r="OFB864" s="22" t="s">
        <v>16</v>
      </c>
      <c r="OFC864" s="22" t="s">
        <v>16</v>
      </c>
      <c r="OFD864" s="22" t="s">
        <v>16</v>
      </c>
      <c r="OFE864" s="22" t="s">
        <v>16</v>
      </c>
      <c r="OFF864" s="22" t="s">
        <v>16</v>
      </c>
      <c r="OFG864" s="22" t="s">
        <v>16</v>
      </c>
      <c r="OFH864" s="22" t="s">
        <v>16</v>
      </c>
      <c r="OFI864" s="22" t="s">
        <v>16</v>
      </c>
      <c r="OFJ864" s="22" t="s">
        <v>16</v>
      </c>
      <c r="OFK864" s="22" t="s">
        <v>16</v>
      </c>
      <c r="OFL864" s="22" t="s">
        <v>16</v>
      </c>
      <c r="OFM864" s="22" t="s">
        <v>16</v>
      </c>
      <c r="OFN864" s="22" t="s">
        <v>16</v>
      </c>
      <c r="OFO864" s="22" t="s">
        <v>16</v>
      </c>
      <c r="OFP864" s="22" t="s">
        <v>16</v>
      </c>
      <c r="OFQ864" s="22" t="s">
        <v>16</v>
      </c>
      <c r="OFR864" s="22" t="s">
        <v>16</v>
      </c>
      <c r="OFS864" s="22" t="s">
        <v>16</v>
      </c>
      <c r="OFT864" s="22" t="s">
        <v>16</v>
      </c>
      <c r="OFU864" s="22" t="s">
        <v>16</v>
      </c>
      <c r="OFV864" s="22" t="s">
        <v>16</v>
      </c>
      <c r="OFW864" s="22" t="s">
        <v>16</v>
      </c>
      <c r="OFX864" s="22" t="s">
        <v>16</v>
      </c>
      <c r="OFY864" s="22" t="s">
        <v>16</v>
      </c>
      <c r="OFZ864" s="22" t="s">
        <v>16</v>
      </c>
      <c r="OGA864" s="22" t="s">
        <v>16</v>
      </c>
      <c r="OGB864" s="22" t="s">
        <v>16</v>
      </c>
      <c r="OGC864" s="22" t="s">
        <v>16</v>
      </c>
      <c r="OGD864" s="22" t="s">
        <v>16</v>
      </c>
      <c r="OGE864" s="22" t="s">
        <v>16</v>
      </c>
      <c r="OGF864" s="22" t="s">
        <v>16</v>
      </c>
      <c r="OGG864" s="22" t="s">
        <v>16</v>
      </c>
      <c r="OGH864" s="22" t="s">
        <v>16</v>
      </c>
      <c r="OGI864" s="22" t="s">
        <v>16</v>
      </c>
      <c r="OGJ864" s="22" t="s">
        <v>16</v>
      </c>
      <c r="OGK864" s="22" t="s">
        <v>16</v>
      </c>
      <c r="OGL864" s="22" t="s">
        <v>16</v>
      </c>
      <c r="OGM864" s="22" t="s">
        <v>16</v>
      </c>
      <c r="OGN864" s="22" t="s">
        <v>16</v>
      </c>
      <c r="OGO864" s="22" t="s">
        <v>16</v>
      </c>
      <c r="OGP864" s="22" t="s">
        <v>16</v>
      </c>
      <c r="OGQ864" s="22" t="s">
        <v>16</v>
      </c>
      <c r="OGR864" s="22" t="s">
        <v>16</v>
      </c>
      <c r="OGS864" s="22" t="s">
        <v>16</v>
      </c>
      <c r="OGT864" s="22" t="s">
        <v>16</v>
      </c>
      <c r="OGU864" s="22" t="s">
        <v>16</v>
      </c>
      <c r="OGV864" s="22" t="s">
        <v>16</v>
      </c>
      <c r="OGW864" s="22" t="s">
        <v>16</v>
      </c>
      <c r="OGX864" s="22" t="s">
        <v>16</v>
      </c>
      <c r="OGY864" s="22" t="s">
        <v>16</v>
      </c>
      <c r="OGZ864" s="22" t="s">
        <v>16</v>
      </c>
      <c r="OHA864" s="22" t="s">
        <v>16</v>
      </c>
      <c r="OHB864" s="22" t="s">
        <v>16</v>
      </c>
      <c r="OHC864" s="22" t="s">
        <v>16</v>
      </c>
      <c r="OHD864" s="22" t="s">
        <v>16</v>
      </c>
      <c r="OHE864" s="22" t="s">
        <v>16</v>
      </c>
      <c r="OHF864" s="22" t="s">
        <v>16</v>
      </c>
      <c r="OHG864" s="22" t="s">
        <v>16</v>
      </c>
      <c r="OHH864" s="22" t="s">
        <v>16</v>
      </c>
      <c r="OHI864" s="22" t="s">
        <v>16</v>
      </c>
      <c r="OHJ864" s="22" t="s">
        <v>16</v>
      </c>
      <c r="OHK864" s="22" t="s">
        <v>16</v>
      </c>
      <c r="OHL864" s="22" t="s">
        <v>16</v>
      </c>
      <c r="OHM864" s="22" t="s">
        <v>16</v>
      </c>
      <c r="OHN864" s="22" t="s">
        <v>16</v>
      </c>
      <c r="OHO864" s="22" t="s">
        <v>16</v>
      </c>
      <c r="OHP864" s="22" t="s">
        <v>16</v>
      </c>
      <c r="OHQ864" s="22" t="s">
        <v>16</v>
      </c>
      <c r="OHR864" s="22" t="s">
        <v>16</v>
      </c>
      <c r="OHS864" s="22" t="s">
        <v>16</v>
      </c>
      <c r="OHT864" s="22" t="s">
        <v>16</v>
      </c>
      <c r="OHU864" s="22" t="s">
        <v>16</v>
      </c>
      <c r="OHV864" s="22" t="s">
        <v>16</v>
      </c>
      <c r="OHW864" s="22" t="s">
        <v>16</v>
      </c>
      <c r="OHX864" s="22" t="s">
        <v>16</v>
      </c>
      <c r="OHY864" s="22" t="s">
        <v>16</v>
      </c>
      <c r="OHZ864" s="22" t="s">
        <v>16</v>
      </c>
      <c r="OIA864" s="22" t="s">
        <v>16</v>
      </c>
      <c r="OIB864" s="22" t="s">
        <v>16</v>
      </c>
      <c r="OIC864" s="22" t="s">
        <v>16</v>
      </c>
      <c r="OID864" s="22" t="s">
        <v>16</v>
      </c>
      <c r="OIE864" s="22" t="s">
        <v>16</v>
      </c>
      <c r="OIF864" s="22" t="s">
        <v>16</v>
      </c>
      <c r="OIG864" s="22" t="s">
        <v>16</v>
      </c>
      <c r="OIH864" s="22" t="s">
        <v>16</v>
      </c>
      <c r="OII864" s="22" t="s">
        <v>16</v>
      </c>
      <c r="OIJ864" s="22" t="s">
        <v>16</v>
      </c>
      <c r="OIK864" s="22" t="s">
        <v>16</v>
      </c>
      <c r="OIL864" s="22" t="s">
        <v>16</v>
      </c>
      <c r="OIM864" s="22" t="s">
        <v>16</v>
      </c>
      <c r="OIN864" s="22" t="s">
        <v>16</v>
      </c>
      <c r="OIO864" s="22" t="s">
        <v>16</v>
      </c>
      <c r="OIP864" s="22" t="s">
        <v>16</v>
      </c>
      <c r="OIQ864" s="22" t="s">
        <v>16</v>
      </c>
      <c r="OIR864" s="22" t="s">
        <v>16</v>
      </c>
      <c r="OIS864" s="22" t="s">
        <v>16</v>
      </c>
      <c r="OIT864" s="22" t="s">
        <v>16</v>
      </c>
      <c r="OIU864" s="22" t="s">
        <v>16</v>
      </c>
      <c r="OIV864" s="22" t="s">
        <v>16</v>
      </c>
      <c r="OIW864" s="22" t="s">
        <v>16</v>
      </c>
      <c r="OIX864" s="22" t="s">
        <v>16</v>
      </c>
      <c r="OIY864" s="22" t="s">
        <v>16</v>
      </c>
      <c r="OIZ864" s="22" t="s">
        <v>16</v>
      </c>
      <c r="OJA864" s="22" t="s">
        <v>16</v>
      </c>
      <c r="OJB864" s="22" t="s">
        <v>16</v>
      </c>
      <c r="OJC864" s="22" t="s">
        <v>16</v>
      </c>
      <c r="OJD864" s="22" t="s">
        <v>16</v>
      </c>
      <c r="OJE864" s="22" t="s">
        <v>16</v>
      </c>
      <c r="OJF864" s="22" t="s">
        <v>16</v>
      </c>
      <c r="OJG864" s="22" t="s">
        <v>16</v>
      </c>
      <c r="OJH864" s="22" t="s">
        <v>16</v>
      </c>
      <c r="OJI864" s="22" t="s">
        <v>16</v>
      </c>
      <c r="OJJ864" s="22" t="s">
        <v>16</v>
      </c>
      <c r="OJK864" s="22" t="s">
        <v>16</v>
      </c>
      <c r="OJL864" s="22" t="s">
        <v>16</v>
      </c>
      <c r="OJM864" s="22" t="s">
        <v>16</v>
      </c>
      <c r="OJN864" s="22" t="s">
        <v>16</v>
      </c>
      <c r="OJO864" s="22" t="s">
        <v>16</v>
      </c>
      <c r="OJP864" s="22" t="s">
        <v>16</v>
      </c>
      <c r="OJQ864" s="22" t="s">
        <v>16</v>
      </c>
      <c r="OJR864" s="22" t="s">
        <v>16</v>
      </c>
      <c r="OJS864" s="22" t="s">
        <v>16</v>
      </c>
      <c r="OJT864" s="22" t="s">
        <v>16</v>
      </c>
      <c r="OJU864" s="22" t="s">
        <v>16</v>
      </c>
      <c r="OJV864" s="22" t="s">
        <v>16</v>
      </c>
      <c r="OJW864" s="22" t="s">
        <v>16</v>
      </c>
      <c r="OJX864" s="22" t="s">
        <v>16</v>
      </c>
      <c r="OJY864" s="22" t="s">
        <v>16</v>
      </c>
      <c r="OJZ864" s="22" t="s">
        <v>16</v>
      </c>
      <c r="OKA864" s="22" t="s">
        <v>16</v>
      </c>
      <c r="OKB864" s="22" t="s">
        <v>16</v>
      </c>
      <c r="OKC864" s="22" t="s">
        <v>16</v>
      </c>
      <c r="OKD864" s="22" t="s">
        <v>16</v>
      </c>
      <c r="OKE864" s="22" t="s">
        <v>16</v>
      </c>
      <c r="OKF864" s="22" t="s">
        <v>16</v>
      </c>
      <c r="OKG864" s="22" t="s">
        <v>16</v>
      </c>
      <c r="OKH864" s="22" t="s">
        <v>16</v>
      </c>
      <c r="OKI864" s="22" t="s">
        <v>16</v>
      </c>
      <c r="OKJ864" s="22" t="s">
        <v>16</v>
      </c>
      <c r="OKK864" s="22" t="s">
        <v>16</v>
      </c>
      <c r="OKL864" s="22" t="s">
        <v>16</v>
      </c>
      <c r="OKM864" s="22" t="s">
        <v>16</v>
      </c>
      <c r="OKN864" s="22" t="s">
        <v>16</v>
      </c>
      <c r="OKO864" s="22" t="s">
        <v>16</v>
      </c>
      <c r="OKP864" s="22" t="s">
        <v>16</v>
      </c>
      <c r="OKQ864" s="22" t="s">
        <v>16</v>
      </c>
      <c r="OKR864" s="22" t="s">
        <v>16</v>
      </c>
      <c r="OKS864" s="22" t="s">
        <v>16</v>
      </c>
      <c r="OKT864" s="22" t="s">
        <v>16</v>
      </c>
      <c r="OKU864" s="22" t="s">
        <v>16</v>
      </c>
      <c r="OKV864" s="22" t="s">
        <v>16</v>
      </c>
      <c r="OKW864" s="22" t="s">
        <v>16</v>
      </c>
      <c r="OKX864" s="22" t="s">
        <v>16</v>
      </c>
      <c r="OKY864" s="22" t="s">
        <v>16</v>
      </c>
      <c r="OKZ864" s="22" t="s">
        <v>16</v>
      </c>
      <c r="OLA864" s="22" t="s">
        <v>16</v>
      </c>
      <c r="OLB864" s="22" t="s">
        <v>16</v>
      </c>
      <c r="OLC864" s="22" t="s">
        <v>16</v>
      </c>
      <c r="OLD864" s="22" t="s">
        <v>16</v>
      </c>
      <c r="OLE864" s="22" t="s">
        <v>16</v>
      </c>
      <c r="OLF864" s="22" t="s">
        <v>16</v>
      </c>
      <c r="OLG864" s="22" t="s">
        <v>16</v>
      </c>
      <c r="OLH864" s="22" t="s">
        <v>16</v>
      </c>
      <c r="OLI864" s="22" t="s">
        <v>16</v>
      </c>
      <c r="OLJ864" s="22" t="s">
        <v>16</v>
      </c>
      <c r="OLK864" s="22" t="s">
        <v>16</v>
      </c>
      <c r="OLL864" s="22" t="s">
        <v>16</v>
      </c>
      <c r="OLM864" s="22" t="s">
        <v>16</v>
      </c>
      <c r="OLN864" s="22" t="s">
        <v>16</v>
      </c>
      <c r="OLO864" s="22" t="s">
        <v>16</v>
      </c>
      <c r="OLP864" s="22" t="s">
        <v>16</v>
      </c>
      <c r="OLQ864" s="22" t="s">
        <v>16</v>
      </c>
      <c r="OLR864" s="22" t="s">
        <v>16</v>
      </c>
      <c r="OLS864" s="22" t="s">
        <v>16</v>
      </c>
      <c r="OLT864" s="22" t="s">
        <v>16</v>
      </c>
      <c r="OLU864" s="22" t="s">
        <v>16</v>
      </c>
      <c r="OLV864" s="22" t="s">
        <v>16</v>
      </c>
      <c r="OLW864" s="22" t="s">
        <v>16</v>
      </c>
      <c r="OLX864" s="22" t="s">
        <v>16</v>
      </c>
      <c r="OLY864" s="22" t="s">
        <v>16</v>
      </c>
      <c r="OLZ864" s="22" t="s">
        <v>16</v>
      </c>
      <c r="OMA864" s="22" t="s">
        <v>16</v>
      </c>
      <c r="OMB864" s="22" t="s">
        <v>16</v>
      </c>
      <c r="OMC864" s="22" t="s">
        <v>16</v>
      </c>
      <c r="OMD864" s="22" t="s">
        <v>16</v>
      </c>
      <c r="OME864" s="22" t="s">
        <v>16</v>
      </c>
      <c r="OMF864" s="22" t="s">
        <v>16</v>
      </c>
      <c r="OMG864" s="22" t="s">
        <v>16</v>
      </c>
      <c r="OMH864" s="22" t="s">
        <v>16</v>
      </c>
      <c r="OMI864" s="22" t="s">
        <v>16</v>
      </c>
      <c r="OMJ864" s="22" t="s">
        <v>16</v>
      </c>
      <c r="OMK864" s="22" t="s">
        <v>16</v>
      </c>
      <c r="OML864" s="22" t="s">
        <v>16</v>
      </c>
      <c r="OMM864" s="22" t="s">
        <v>16</v>
      </c>
      <c r="OMN864" s="22" t="s">
        <v>16</v>
      </c>
      <c r="OMO864" s="22" t="s">
        <v>16</v>
      </c>
      <c r="OMP864" s="22" t="s">
        <v>16</v>
      </c>
      <c r="OMQ864" s="22" t="s">
        <v>16</v>
      </c>
      <c r="OMR864" s="22" t="s">
        <v>16</v>
      </c>
      <c r="OMS864" s="22" t="s">
        <v>16</v>
      </c>
      <c r="OMT864" s="22" t="s">
        <v>16</v>
      </c>
      <c r="OMU864" s="22" t="s">
        <v>16</v>
      </c>
      <c r="OMV864" s="22" t="s">
        <v>16</v>
      </c>
      <c r="OMW864" s="22" t="s">
        <v>16</v>
      </c>
      <c r="OMX864" s="22" t="s">
        <v>16</v>
      </c>
      <c r="OMY864" s="22" t="s">
        <v>16</v>
      </c>
      <c r="OMZ864" s="22" t="s">
        <v>16</v>
      </c>
      <c r="ONA864" s="22" t="s">
        <v>16</v>
      </c>
      <c r="ONB864" s="22" t="s">
        <v>16</v>
      </c>
      <c r="ONC864" s="22" t="s">
        <v>16</v>
      </c>
      <c r="OND864" s="22" t="s">
        <v>16</v>
      </c>
      <c r="ONE864" s="22" t="s">
        <v>16</v>
      </c>
      <c r="ONF864" s="22" t="s">
        <v>16</v>
      </c>
      <c r="ONG864" s="22" t="s">
        <v>16</v>
      </c>
      <c r="ONH864" s="22" t="s">
        <v>16</v>
      </c>
      <c r="ONI864" s="22" t="s">
        <v>16</v>
      </c>
      <c r="ONJ864" s="22" t="s">
        <v>16</v>
      </c>
      <c r="ONK864" s="22" t="s">
        <v>16</v>
      </c>
      <c r="ONL864" s="22" t="s">
        <v>16</v>
      </c>
      <c r="ONM864" s="22" t="s">
        <v>16</v>
      </c>
      <c r="ONN864" s="22" t="s">
        <v>16</v>
      </c>
      <c r="ONO864" s="22" t="s">
        <v>16</v>
      </c>
      <c r="ONP864" s="22" t="s">
        <v>16</v>
      </c>
      <c r="ONQ864" s="22" t="s">
        <v>16</v>
      </c>
      <c r="ONR864" s="22" t="s">
        <v>16</v>
      </c>
      <c r="ONS864" s="22" t="s">
        <v>16</v>
      </c>
      <c r="ONT864" s="22" t="s">
        <v>16</v>
      </c>
      <c r="ONU864" s="22" t="s">
        <v>16</v>
      </c>
      <c r="ONV864" s="22" t="s">
        <v>16</v>
      </c>
      <c r="ONW864" s="22" t="s">
        <v>16</v>
      </c>
      <c r="ONX864" s="22" t="s">
        <v>16</v>
      </c>
      <c r="ONY864" s="22" t="s">
        <v>16</v>
      </c>
      <c r="ONZ864" s="22" t="s">
        <v>16</v>
      </c>
      <c r="OOA864" s="22" t="s">
        <v>16</v>
      </c>
      <c r="OOB864" s="22" t="s">
        <v>16</v>
      </c>
      <c r="OOC864" s="22" t="s">
        <v>16</v>
      </c>
      <c r="OOD864" s="22" t="s">
        <v>16</v>
      </c>
      <c r="OOE864" s="22" t="s">
        <v>16</v>
      </c>
      <c r="OOF864" s="22" t="s">
        <v>16</v>
      </c>
      <c r="OOG864" s="22" t="s">
        <v>16</v>
      </c>
      <c r="OOH864" s="22" t="s">
        <v>16</v>
      </c>
      <c r="OOI864" s="22" t="s">
        <v>16</v>
      </c>
      <c r="OOJ864" s="22" t="s">
        <v>16</v>
      </c>
      <c r="OOK864" s="22" t="s">
        <v>16</v>
      </c>
      <c r="OOL864" s="22" t="s">
        <v>16</v>
      </c>
      <c r="OOM864" s="22" t="s">
        <v>16</v>
      </c>
      <c r="OON864" s="22" t="s">
        <v>16</v>
      </c>
      <c r="OOO864" s="22" t="s">
        <v>16</v>
      </c>
      <c r="OOP864" s="22" t="s">
        <v>16</v>
      </c>
      <c r="OOQ864" s="22" t="s">
        <v>16</v>
      </c>
      <c r="OOR864" s="22" t="s">
        <v>16</v>
      </c>
      <c r="OOS864" s="22" t="s">
        <v>16</v>
      </c>
      <c r="OOT864" s="22" t="s">
        <v>16</v>
      </c>
      <c r="OOU864" s="22" t="s">
        <v>16</v>
      </c>
      <c r="OOV864" s="22" t="s">
        <v>16</v>
      </c>
      <c r="OOW864" s="22" t="s">
        <v>16</v>
      </c>
      <c r="OOX864" s="22" t="s">
        <v>16</v>
      </c>
      <c r="OOY864" s="22" t="s">
        <v>16</v>
      </c>
      <c r="OOZ864" s="22" t="s">
        <v>16</v>
      </c>
      <c r="OPA864" s="22" t="s">
        <v>16</v>
      </c>
      <c r="OPB864" s="22" t="s">
        <v>16</v>
      </c>
      <c r="OPC864" s="22" t="s">
        <v>16</v>
      </c>
      <c r="OPD864" s="22" t="s">
        <v>16</v>
      </c>
      <c r="OPE864" s="22" t="s">
        <v>16</v>
      </c>
      <c r="OPF864" s="22" t="s">
        <v>16</v>
      </c>
      <c r="OPG864" s="22" t="s">
        <v>16</v>
      </c>
      <c r="OPH864" s="22" t="s">
        <v>16</v>
      </c>
      <c r="OPI864" s="22" t="s">
        <v>16</v>
      </c>
      <c r="OPJ864" s="22" t="s">
        <v>16</v>
      </c>
      <c r="OPK864" s="22" t="s">
        <v>16</v>
      </c>
      <c r="OPL864" s="22" t="s">
        <v>16</v>
      </c>
      <c r="OPM864" s="22" t="s">
        <v>16</v>
      </c>
      <c r="OPN864" s="22" t="s">
        <v>16</v>
      </c>
      <c r="OPO864" s="22" t="s">
        <v>16</v>
      </c>
      <c r="OPP864" s="22" t="s">
        <v>16</v>
      </c>
      <c r="OPQ864" s="22" t="s">
        <v>16</v>
      </c>
      <c r="OPR864" s="22" t="s">
        <v>16</v>
      </c>
      <c r="OPS864" s="22" t="s">
        <v>16</v>
      </c>
      <c r="OPT864" s="22" t="s">
        <v>16</v>
      </c>
      <c r="OPU864" s="22" t="s">
        <v>16</v>
      </c>
      <c r="OPV864" s="22" t="s">
        <v>16</v>
      </c>
      <c r="OPW864" s="22" t="s">
        <v>16</v>
      </c>
      <c r="OPX864" s="22" t="s">
        <v>16</v>
      </c>
      <c r="OPY864" s="22" t="s">
        <v>16</v>
      </c>
      <c r="OPZ864" s="22" t="s">
        <v>16</v>
      </c>
      <c r="OQA864" s="22" t="s">
        <v>16</v>
      </c>
      <c r="OQB864" s="22" t="s">
        <v>16</v>
      </c>
      <c r="OQC864" s="22" t="s">
        <v>16</v>
      </c>
      <c r="OQD864" s="22" t="s">
        <v>16</v>
      </c>
      <c r="OQE864" s="22" t="s">
        <v>16</v>
      </c>
      <c r="OQF864" s="22" t="s">
        <v>16</v>
      </c>
      <c r="OQG864" s="22" t="s">
        <v>16</v>
      </c>
      <c r="OQH864" s="22" t="s">
        <v>16</v>
      </c>
      <c r="OQI864" s="22" t="s">
        <v>16</v>
      </c>
      <c r="OQJ864" s="22" t="s">
        <v>16</v>
      </c>
      <c r="OQK864" s="22" t="s">
        <v>16</v>
      </c>
      <c r="OQL864" s="22" t="s">
        <v>16</v>
      </c>
      <c r="OQM864" s="22" t="s">
        <v>16</v>
      </c>
      <c r="OQN864" s="22" t="s">
        <v>16</v>
      </c>
      <c r="OQO864" s="22" t="s">
        <v>16</v>
      </c>
      <c r="OQP864" s="22" t="s">
        <v>16</v>
      </c>
      <c r="OQQ864" s="22" t="s">
        <v>16</v>
      </c>
      <c r="OQR864" s="22" t="s">
        <v>16</v>
      </c>
      <c r="OQS864" s="22" t="s">
        <v>16</v>
      </c>
      <c r="OQT864" s="22" t="s">
        <v>16</v>
      </c>
      <c r="OQU864" s="22" t="s">
        <v>16</v>
      </c>
      <c r="OQV864" s="22" t="s">
        <v>16</v>
      </c>
      <c r="OQW864" s="22" t="s">
        <v>16</v>
      </c>
      <c r="OQX864" s="22" t="s">
        <v>16</v>
      </c>
      <c r="OQY864" s="22" t="s">
        <v>16</v>
      </c>
      <c r="OQZ864" s="22" t="s">
        <v>16</v>
      </c>
      <c r="ORA864" s="22" t="s">
        <v>16</v>
      </c>
      <c r="ORB864" s="22" t="s">
        <v>16</v>
      </c>
      <c r="ORC864" s="22" t="s">
        <v>16</v>
      </c>
      <c r="ORD864" s="22" t="s">
        <v>16</v>
      </c>
      <c r="ORE864" s="22" t="s">
        <v>16</v>
      </c>
      <c r="ORF864" s="22" t="s">
        <v>16</v>
      </c>
      <c r="ORG864" s="22" t="s">
        <v>16</v>
      </c>
      <c r="ORH864" s="22" t="s">
        <v>16</v>
      </c>
      <c r="ORI864" s="22" t="s">
        <v>16</v>
      </c>
      <c r="ORJ864" s="22" t="s">
        <v>16</v>
      </c>
      <c r="ORK864" s="22" t="s">
        <v>16</v>
      </c>
      <c r="ORL864" s="22" t="s">
        <v>16</v>
      </c>
      <c r="ORM864" s="22" t="s">
        <v>16</v>
      </c>
      <c r="ORN864" s="22" t="s">
        <v>16</v>
      </c>
      <c r="ORO864" s="22" t="s">
        <v>16</v>
      </c>
      <c r="ORP864" s="22" t="s">
        <v>16</v>
      </c>
      <c r="ORQ864" s="22" t="s">
        <v>16</v>
      </c>
      <c r="ORR864" s="22" t="s">
        <v>16</v>
      </c>
      <c r="ORS864" s="22" t="s">
        <v>16</v>
      </c>
      <c r="ORT864" s="22" t="s">
        <v>16</v>
      </c>
      <c r="ORU864" s="22" t="s">
        <v>16</v>
      </c>
      <c r="ORV864" s="22" t="s">
        <v>16</v>
      </c>
      <c r="ORW864" s="22" t="s">
        <v>16</v>
      </c>
      <c r="ORX864" s="22" t="s">
        <v>16</v>
      </c>
      <c r="ORY864" s="22" t="s">
        <v>16</v>
      </c>
      <c r="ORZ864" s="22" t="s">
        <v>16</v>
      </c>
      <c r="OSA864" s="22" t="s">
        <v>16</v>
      </c>
      <c r="OSB864" s="22" t="s">
        <v>16</v>
      </c>
      <c r="OSC864" s="22" t="s">
        <v>16</v>
      </c>
      <c r="OSD864" s="22" t="s">
        <v>16</v>
      </c>
      <c r="OSE864" s="22" t="s">
        <v>16</v>
      </c>
      <c r="OSF864" s="22" t="s">
        <v>16</v>
      </c>
      <c r="OSG864" s="22" t="s">
        <v>16</v>
      </c>
      <c r="OSH864" s="22" t="s">
        <v>16</v>
      </c>
      <c r="OSI864" s="22" t="s">
        <v>16</v>
      </c>
      <c r="OSJ864" s="22" t="s">
        <v>16</v>
      </c>
      <c r="OSK864" s="22" t="s">
        <v>16</v>
      </c>
      <c r="OSL864" s="22" t="s">
        <v>16</v>
      </c>
      <c r="OSM864" s="22" t="s">
        <v>16</v>
      </c>
      <c r="OSN864" s="22" t="s">
        <v>16</v>
      </c>
      <c r="OSO864" s="22" t="s">
        <v>16</v>
      </c>
      <c r="OSP864" s="22" t="s">
        <v>16</v>
      </c>
      <c r="OSQ864" s="22" t="s">
        <v>16</v>
      </c>
      <c r="OSR864" s="22" t="s">
        <v>16</v>
      </c>
      <c r="OSS864" s="22" t="s">
        <v>16</v>
      </c>
      <c r="OST864" s="22" t="s">
        <v>16</v>
      </c>
      <c r="OSU864" s="22" t="s">
        <v>16</v>
      </c>
      <c r="OSV864" s="22" t="s">
        <v>16</v>
      </c>
      <c r="OSW864" s="22" t="s">
        <v>16</v>
      </c>
      <c r="OSX864" s="22" t="s">
        <v>16</v>
      </c>
      <c r="OSY864" s="22" t="s">
        <v>16</v>
      </c>
      <c r="OSZ864" s="22" t="s">
        <v>16</v>
      </c>
      <c r="OTA864" s="22" t="s">
        <v>16</v>
      </c>
      <c r="OTB864" s="22" t="s">
        <v>16</v>
      </c>
      <c r="OTC864" s="22" t="s">
        <v>16</v>
      </c>
      <c r="OTD864" s="22" t="s">
        <v>16</v>
      </c>
      <c r="OTE864" s="22" t="s">
        <v>16</v>
      </c>
      <c r="OTF864" s="22" t="s">
        <v>16</v>
      </c>
      <c r="OTG864" s="22" t="s">
        <v>16</v>
      </c>
      <c r="OTH864" s="22" t="s">
        <v>16</v>
      </c>
      <c r="OTI864" s="22" t="s">
        <v>16</v>
      </c>
      <c r="OTJ864" s="22" t="s">
        <v>16</v>
      </c>
      <c r="OTK864" s="22" t="s">
        <v>16</v>
      </c>
      <c r="OTL864" s="22" t="s">
        <v>16</v>
      </c>
      <c r="OTM864" s="22" t="s">
        <v>16</v>
      </c>
      <c r="OTN864" s="22" t="s">
        <v>16</v>
      </c>
      <c r="OTO864" s="22" t="s">
        <v>16</v>
      </c>
      <c r="OTP864" s="22" t="s">
        <v>16</v>
      </c>
      <c r="OTQ864" s="22" t="s">
        <v>16</v>
      </c>
      <c r="OTR864" s="22" t="s">
        <v>16</v>
      </c>
      <c r="OTS864" s="22" t="s">
        <v>16</v>
      </c>
      <c r="OTT864" s="22" t="s">
        <v>16</v>
      </c>
      <c r="OTU864" s="22" t="s">
        <v>16</v>
      </c>
      <c r="OTV864" s="22" t="s">
        <v>16</v>
      </c>
      <c r="OTW864" s="22" t="s">
        <v>16</v>
      </c>
      <c r="OTX864" s="22" t="s">
        <v>16</v>
      </c>
      <c r="OTY864" s="22" t="s">
        <v>16</v>
      </c>
      <c r="OTZ864" s="22" t="s">
        <v>16</v>
      </c>
      <c r="OUA864" s="22" t="s">
        <v>16</v>
      </c>
      <c r="OUB864" s="22" t="s">
        <v>16</v>
      </c>
      <c r="OUC864" s="22" t="s">
        <v>16</v>
      </c>
      <c r="OUD864" s="22" t="s">
        <v>16</v>
      </c>
      <c r="OUE864" s="22" t="s">
        <v>16</v>
      </c>
      <c r="OUF864" s="22" t="s">
        <v>16</v>
      </c>
      <c r="OUG864" s="22" t="s">
        <v>16</v>
      </c>
      <c r="OUH864" s="22" t="s">
        <v>16</v>
      </c>
      <c r="OUI864" s="22" t="s">
        <v>16</v>
      </c>
      <c r="OUJ864" s="22" t="s">
        <v>16</v>
      </c>
      <c r="OUK864" s="22" t="s">
        <v>16</v>
      </c>
      <c r="OUL864" s="22" t="s">
        <v>16</v>
      </c>
      <c r="OUM864" s="22" t="s">
        <v>16</v>
      </c>
      <c r="OUN864" s="22" t="s">
        <v>16</v>
      </c>
      <c r="OUO864" s="22" t="s">
        <v>16</v>
      </c>
      <c r="OUP864" s="22" t="s">
        <v>16</v>
      </c>
      <c r="OUQ864" s="22" t="s">
        <v>16</v>
      </c>
      <c r="OUR864" s="22" t="s">
        <v>16</v>
      </c>
      <c r="OUS864" s="22" t="s">
        <v>16</v>
      </c>
      <c r="OUT864" s="22" t="s">
        <v>16</v>
      </c>
      <c r="OUU864" s="22" t="s">
        <v>16</v>
      </c>
      <c r="OUV864" s="22" t="s">
        <v>16</v>
      </c>
      <c r="OUW864" s="22" t="s">
        <v>16</v>
      </c>
      <c r="OUX864" s="22" t="s">
        <v>16</v>
      </c>
      <c r="OUY864" s="22" t="s">
        <v>16</v>
      </c>
      <c r="OUZ864" s="22" t="s">
        <v>16</v>
      </c>
      <c r="OVA864" s="22" t="s">
        <v>16</v>
      </c>
      <c r="OVB864" s="22" t="s">
        <v>16</v>
      </c>
      <c r="OVC864" s="22" t="s">
        <v>16</v>
      </c>
      <c r="OVD864" s="22" t="s">
        <v>16</v>
      </c>
      <c r="OVE864" s="22" t="s">
        <v>16</v>
      </c>
      <c r="OVF864" s="22" t="s">
        <v>16</v>
      </c>
      <c r="OVG864" s="22" t="s">
        <v>16</v>
      </c>
      <c r="OVH864" s="22" t="s">
        <v>16</v>
      </c>
      <c r="OVI864" s="22" t="s">
        <v>16</v>
      </c>
      <c r="OVJ864" s="22" t="s">
        <v>16</v>
      </c>
      <c r="OVK864" s="22" t="s">
        <v>16</v>
      </c>
      <c r="OVL864" s="22" t="s">
        <v>16</v>
      </c>
      <c r="OVM864" s="22" t="s">
        <v>16</v>
      </c>
      <c r="OVN864" s="22" t="s">
        <v>16</v>
      </c>
      <c r="OVO864" s="22" t="s">
        <v>16</v>
      </c>
      <c r="OVP864" s="22" t="s">
        <v>16</v>
      </c>
      <c r="OVQ864" s="22" t="s">
        <v>16</v>
      </c>
      <c r="OVR864" s="22" t="s">
        <v>16</v>
      </c>
      <c r="OVS864" s="22" t="s">
        <v>16</v>
      </c>
      <c r="OVT864" s="22" t="s">
        <v>16</v>
      </c>
      <c r="OVU864" s="22" t="s">
        <v>16</v>
      </c>
      <c r="OVV864" s="22" t="s">
        <v>16</v>
      </c>
      <c r="OVW864" s="22" t="s">
        <v>16</v>
      </c>
      <c r="OVX864" s="22" t="s">
        <v>16</v>
      </c>
      <c r="OVY864" s="22" t="s">
        <v>16</v>
      </c>
      <c r="OVZ864" s="22" t="s">
        <v>16</v>
      </c>
      <c r="OWA864" s="22" t="s">
        <v>16</v>
      </c>
      <c r="OWB864" s="22" t="s">
        <v>16</v>
      </c>
      <c r="OWC864" s="22" t="s">
        <v>16</v>
      </c>
      <c r="OWD864" s="22" t="s">
        <v>16</v>
      </c>
      <c r="OWE864" s="22" t="s">
        <v>16</v>
      </c>
      <c r="OWF864" s="22" t="s">
        <v>16</v>
      </c>
      <c r="OWG864" s="22" t="s">
        <v>16</v>
      </c>
      <c r="OWH864" s="22" t="s">
        <v>16</v>
      </c>
      <c r="OWI864" s="22" t="s">
        <v>16</v>
      </c>
      <c r="OWJ864" s="22" t="s">
        <v>16</v>
      </c>
      <c r="OWK864" s="22" t="s">
        <v>16</v>
      </c>
      <c r="OWL864" s="22" t="s">
        <v>16</v>
      </c>
      <c r="OWM864" s="22" t="s">
        <v>16</v>
      </c>
      <c r="OWN864" s="22" t="s">
        <v>16</v>
      </c>
      <c r="OWO864" s="22" t="s">
        <v>16</v>
      </c>
      <c r="OWP864" s="22" t="s">
        <v>16</v>
      </c>
      <c r="OWQ864" s="22" t="s">
        <v>16</v>
      </c>
      <c r="OWR864" s="22" t="s">
        <v>16</v>
      </c>
      <c r="OWS864" s="22" t="s">
        <v>16</v>
      </c>
      <c r="OWT864" s="22" t="s">
        <v>16</v>
      </c>
      <c r="OWU864" s="22" t="s">
        <v>16</v>
      </c>
      <c r="OWV864" s="22" t="s">
        <v>16</v>
      </c>
      <c r="OWW864" s="22" t="s">
        <v>16</v>
      </c>
      <c r="OWX864" s="22" t="s">
        <v>16</v>
      </c>
      <c r="OWY864" s="22" t="s">
        <v>16</v>
      </c>
      <c r="OWZ864" s="22" t="s">
        <v>16</v>
      </c>
      <c r="OXA864" s="22" t="s">
        <v>16</v>
      </c>
      <c r="OXB864" s="22" t="s">
        <v>16</v>
      </c>
      <c r="OXC864" s="22" t="s">
        <v>16</v>
      </c>
      <c r="OXD864" s="22" t="s">
        <v>16</v>
      </c>
      <c r="OXE864" s="22" t="s">
        <v>16</v>
      </c>
      <c r="OXF864" s="22" t="s">
        <v>16</v>
      </c>
      <c r="OXG864" s="22" t="s">
        <v>16</v>
      </c>
      <c r="OXH864" s="22" t="s">
        <v>16</v>
      </c>
      <c r="OXI864" s="22" t="s">
        <v>16</v>
      </c>
      <c r="OXJ864" s="22" t="s">
        <v>16</v>
      </c>
      <c r="OXK864" s="22" t="s">
        <v>16</v>
      </c>
      <c r="OXL864" s="22" t="s">
        <v>16</v>
      </c>
      <c r="OXM864" s="22" t="s">
        <v>16</v>
      </c>
      <c r="OXN864" s="22" t="s">
        <v>16</v>
      </c>
      <c r="OXO864" s="22" t="s">
        <v>16</v>
      </c>
      <c r="OXP864" s="22" t="s">
        <v>16</v>
      </c>
      <c r="OXQ864" s="22" t="s">
        <v>16</v>
      </c>
      <c r="OXR864" s="22" t="s">
        <v>16</v>
      </c>
      <c r="OXS864" s="22" t="s">
        <v>16</v>
      </c>
      <c r="OXT864" s="22" t="s">
        <v>16</v>
      </c>
      <c r="OXU864" s="22" t="s">
        <v>16</v>
      </c>
      <c r="OXV864" s="22" t="s">
        <v>16</v>
      </c>
      <c r="OXW864" s="22" t="s">
        <v>16</v>
      </c>
      <c r="OXX864" s="22" t="s">
        <v>16</v>
      </c>
      <c r="OXY864" s="22" t="s">
        <v>16</v>
      </c>
      <c r="OXZ864" s="22" t="s">
        <v>16</v>
      </c>
      <c r="OYA864" s="22" t="s">
        <v>16</v>
      </c>
      <c r="OYB864" s="22" t="s">
        <v>16</v>
      </c>
      <c r="OYC864" s="22" t="s">
        <v>16</v>
      </c>
      <c r="OYD864" s="22" t="s">
        <v>16</v>
      </c>
      <c r="OYE864" s="22" t="s">
        <v>16</v>
      </c>
      <c r="OYF864" s="22" t="s">
        <v>16</v>
      </c>
      <c r="OYG864" s="22" t="s">
        <v>16</v>
      </c>
      <c r="OYH864" s="22" t="s">
        <v>16</v>
      </c>
      <c r="OYI864" s="22" t="s">
        <v>16</v>
      </c>
      <c r="OYJ864" s="22" t="s">
        <v>16</v>
      </c>
      <c r="OYK864" s="22" t="s">
        <v>16</v>
      </c>
      <c r="OYL864" s="22" t="s">
        <v>16</v>
      </c>
      <c r="OYM864" s="22" t="s">
        <v>16</v>
      </c>
      <c r="OYN864" s="22" t="s">
        <v>16</v>
      </c>
      <c r="OYO864" s="22" t="s">
        <v>16</v>
      </c>
      <c r="OYP864" s="22" t="s">
        <v>16</v>
      </c>
      <c r="OYQ864" s="22" t="s">
        <v>16</v>
      </c>
      <c r="OYR864" s="22" t="s">
        <v>16</v>
      </c>
      <c r="OYS864" s="22" t="s">
        <v>16</v>
      </c>
      <c r="OYT864" s="22" t="s">
        <v>16</v>
      </c>
      <c r="OYU864" s="22" t="s">
        <v>16</v>
      </c>
      <c r="OYV864" s="22" t="s">
        <v>16</v>
      </c>
      <c r="OYW864" s="22" t="s">
        <v>16</v>
      </c>
      <c r="OYX864" s="22" t="s">
        <v>16</v>
      </c>
      <c r="OYY864" s="22" t="s">
        <v>16</v>
      </c>
      <c r="OYZ864" s="22" t="s">
        <v>16</v>
      </c>
      <c r="OZA864" s="22" t="s">
        <v>16</v>
      </c>
      <c r="OZB864" s="22" t="s">
        <v>16</v>
      </c>
      <c r="OZC864" s="22" t="s">
        <v>16</v>
      </c>
      <c r="OZD864" s="22" t="s">
        <v>16</v>
      </c>
      <c r="OZE864" s="22" t="s">
        <v>16</v>
      </c>
      <c r="OZF864" s="22" t="s">
        <v>16</v>
      </c>
      <c r="OZG864" s="22" t="s">
        <v>16</v>
      </c>
      <c r="OZH864" s="22" t="s">
        <v>16</v>
      </c>
      <c r="OZI864" s="22" t="s">
        <v>16</v>
      </c>
      <c r="OZJ864" s="22" t="s">
        <v>16</v>
      </c>
      <c r="OZK864" s="22" t="s">
        <v>16</v>
      </c>
      <c r="OZL864" s="22" t="s">
        <v>16</v>
      </c>
      <c r="OZM864" s="22" t="s">
        <v>16</v>
      </c>
      <c r="OZN864" s="22" t="s">
        <v>16</v>
      </c>
      <c r="OZO864" s="22" t="s">
        <v>16</v>
      </c>
      <c r="OZP864" s="22" t="s">
        <v>16</v>
      </c>
      <c r="OZQ864" s="22" t="s">
        <v>16</v>
      </c>
      <c r="OZR864" s="22" t="s">
        <v>16</v>
      </c>
      <c r="OZS864" s="22" t="s">
        <v>16</v>
      </c>
      <c r="OZT864" s="22" t="s">
        <v>16</v>
      </c>
      <c r="OZU864" s="22" t="s">
        <v>16</v>
      </c>
      <c r="OZV864" s="22" t="s">
        <v>16</v>
      </c>
      <c r="OZW864" s="22" t="s">
        <v>16</v>
      </c>
      <c r="OZX864" s="22" t="s">
        <v>16</v>
      </c>
      <c r="OZY864" s="22" t="s">
        <v>16</v>
      </c>
      <c r="OZZ864" s="22" t="s">
        <v>16</v>
      </c>
      <c r="PAA864" s="22" t="s">
        <v>16</v>
      </c>
      <c r="PAB864" s="22" t="s">
        <v>16</v>
      </c>
      <c r="PAC864" s="22" t="s">
        <v>16</v>
      </c>
      <c r="PAD864" s="22" t="s">
        <v>16</v>
      </c>
      <c r="PAE864" s="22" t="s">
        <v>16</v>
      </c>
      <c r="PAF864" s="22" t="s">
        <v>16</v>
      </c>
      <c r="PAG864" s="22" t="s">
        <v>16</v>
      </c>
      <c r="PAH864" s="22" t="s">
        <v>16</v>
      </c>
      <c r="PAI864" s="22" t="s">
        <v>16</v>
      </c>
      <c r="PAJ864" s="22" t="s">
        <v>16</v>
      </c>
      <c r="PAK864" s="22" t="s">
        <v>16</v>
      </c>
      <c r="PAL864" s="22" t="s">
        <v>16</v>
      </c>
      <c r="PAM864" s="22" t="s">
        <v>16</v>
      </c>
      <c r="PAN864" s="22" t="s">
        <v>16</v>
      </c>
      <c r="PAO864" s="22" t="s">
        <v>16</v>
      </c>
      <c r="PAP864" s="22" t="s">
        <v>16</v>
      </c>
      <c r="PAQ864" s="22" t="s">
        <v>16</v>
      </c>
      <c r="PAR864" s="22" t="s">
        <v>16</v>
      </c>
      <c r="PAS864" s="22" t="s">
        <v>16</v>
      </c>
      <c r="PAT864" s="22" t="s">
        <v>16</v>
      </c>
      <c r="PAU864" s="22" t="s">
        <v>16</v>
      </c>
      <c r="PAV864" s="22" t="s">
        <v>16</v>
      </c>
      <c r="PAW864" s="22" t="s">
        <v>16</v>
      </c>
      <c r="PAX864" s="22" t="s">
        <v>16</v>
      </c>
      <c r="PAY864" s="22" t="s">
        <v>16</v>
      </c>
      <c r="PAZ864" s="22" t="s">
        <v>16</v>
      </c>
      <c r="PBA864" s="22" t="s">
        <v>16</v>
      </c>
      <c r="PBB864" s="22" t="s">
        <v>16</v>
      </c>
      <c r="PBC864" s="22" t="s">
        <v>16</v>
      </c>
      <c r="PBD864" s="22" t="s">
        <v>16</v>
      </c>
      <c r="PBE864" s="22" t="s">
        <v>16</v>
      </c>
      <c r="PBF864" s="22" t="s">
        <v>16</v>
      </c>
      <c r="PBG864" s="22" t="s">
        <v>16</v>
      </c>
      <c r="PBH864" s="22" t="s">
        <v>16</v>
      </c>
      <c r="PBI864" s="22" t="s">
        <v>16</v>
      </c>
      <c r="PBJ864" s="22" t="s">
        <v>16</v>
      </c>
      <c r="PBK864" s="22" t="s">
        <v>16</v>
      </c>
      <c r="PBL864" s="22" t="s">
        <v>16</v>
      </c>
      <c r="PBM864" s="22" t="s">
        <v>16</v>
      </c>
      <c r="PBN864" s="22" t="s">
        <v>16</v>
      </c>
      <c r="PBO864" s="22" t="s">
        <v>16</v>
      </c>
      <c r="PBP864" s="22" t="s">
        <v>16</v>
      </c>
      <c r="PBQ864" s="22" t="s">
        <v>16</v>
      </c>
      <c r="PBR864" s="22" t="s">
        <v>16</v>
      </c>
      <c r="PBS864" s="22" t="s">
        <v>16</v>
      </c>
      <c r="PBT864" s="22" t="s">
        <v>16</v>
      </c>
      <c r="PBU864" s="22" t="s">
        <v>16</v>
      </c>
      <c r="PBV864" s="22" t="s">
        <v>16</v>
      </c>
      <c r="PBW864" s="22" t="s">
        <v>16</v>
      </c>
      <c r="PBX864" s="22" t="s">
        <v>16</v>
      </c>
      <c r="PBY864" s="22" t="s">
        <v>16</v>
      </c>
      <c r="PBZ864" s="22" t="s">
        <v>16</v>
      </c>
      <c r="PCA864" s="22" t="s">
        <v>16</v>
      </c>
      <c r="PCB864" s="22" t="s">
        <v>16</v>
      </c>
      <c r="PCC864" s="22" t="s">
        <v>16</v>
      </c>
      <c r="PCD864" s="22" t="s">
        <v>16</v>
      </c>
      <c r="PCE864" s="22" t="s">
        <v>16</v>
      </c>
      <c r="PCF864" s="22" t="s">
        <v>16</v>
      </c>
      <c r="PCG864" s="22" t="s">
        <v>16</v>
      </c>
      <c r="PCH864" s="22" t="s">
        <v>16</v>
      </c>
      <c r="PCI864" s="22" t="s">
        <v>16</v>
      </c>
      <c r="PCJ864" s="22" t="s">
        <v>16</v>
      </c>
      <c r="PCK864" s="22" t="s">
        <v>16</v>
      </c>
      <c r="PCL864" s="22" t="s">
        <v>16</v>
      </c>
      <c r="PCM864" s="22" t="s">
        <v>16</v>
      </c>
      <c r="PCN864" s="22" t="s">
        <v>16</v>
      </c>
      <c r="PCO864" s="22" t="s">
        <v>16</v>
      </c>
      <c r="PCP864" s="22" t="s">
        <v>16</v>
      </c>
      <c r="PCQ864" s="22" t="s">
        <v>16</v>
      </c>
      <c r="PCR864" s="22" t="s">
        <v>16</v>
      </c>
      <c r="PCS864" s="22" t="s">
        <v>16</v>
      </c>
      <c r="PCT864" s="22" t="s">
        <v>16</v>
      </c>
      <c r="PCU864" s="22" t="s">
        <v>16</v>
      </c>
      <c r="PCV864" s="22" t="s">
        <v>16</v>
      </c>
      <c r="PCW864" s="22" t="s">
        <v>16</v>
      </c>
      <c r="PCX864" s="22" t="s">
        <v>16</v>
      </c>
      <c r="PCY864" s="22" t="s">
        <v>16</v>
      </c>
      <c r="PCZ864" s="22" t="s">
        <v>16</v>
      </c>
      <c r="PDA864" s="22" t="s">
        <v>16</v>
      </c>
      <c r="PDB864" s="22" t="s">
        <v>16</v>
      </c>
      <c r="PDC864" s="22" t="s">
        <v>16</v>
      </c>
      <c r="PDD864" s="22" t="s">
        <v>16</v>
      </c>
      <c r="PDE864" s="22" t="s">
        <v>16</v>
      </c>
      <c r="PDF864" s="22" t="s">
        <v>16</v>
      </c>
      <c r="PDG864" s="22" t="s">
        <v>16</v>
      </c>
      <c r="PDH864" s="22" t="s">
        <v>16</v>
      </c>
      <c r="PDI864" s="22" t="s">
        <v>16</v>
      </c>
      <c r="PDJ864" s="22" t="s">
        <v>16</v>
      </c>
      <c r="PDK864" s="22" t="s">
        <v>16</v>
      </c>
      <c r="PDL864" s="22" t="s">
        <v>16</v>
      </c>
      <c r="PDM864" s="22" t="s">
        <v>16</v>
      </c>
      <c r="PDN864" s="22" t="s">
        <v>16</v>
      </c>
      <c r="PDO864" s="22" t="s">
        <v>16</v>
      </c>
      <c r="PDP864" s="22" t="s">
        <v>16</v>
      </c>
      <c r="PDQ864" s="22" t="s">
        <v>16</v>
      </c>
      <c r="PDR864" s="22" t="s">
        <v>16</v>
      </c>
      <c r="PDS864" s="22" t="s">
        <v>16</v>
      </c>
      <c r="PDT864" s="22" t="s">
        <v>16</v>
      </c>
      <c r="PDU864" s="22" t="s">
        <v>16</v>
      </c>
      <c r="PDV864" s="22" t="s">
        <v>16</v>
      </c>
      <c r="PDW864" s="22" t="s">
        <v>16</v>
      </c>
      <c r="PDX864" s="22" t="s">
        <v>16</v>
      </c>
      <c r="PDY864" s="22" t="s">
        <v>16</v>
      </c>
      <c r="PDZ864" s="22" t="s">
        <v>16</v>
      </c>
      <c r="PEA864" s="22" t="s">
        <v>16</v>
      </c>
      <c r="PEB864" s="22" t="s">
        <v>16</v>
      </c>
      <c r="PEC864" s="22" t="s">
        <v>16</v>
      </c>
      <c r="PED864" s="22" t="s">
        <v>16</v>
      </c>
      <c r="PEE864" s="22" t="s">
        <v>16</v>
      </c>
      <c r="PEF864" s="22" t="s">
        <v>16</v>
      </c>
      <c r="PEG864" s="22" t="s">
        <v>16</v>
      </c>
      <c r="PEH864" s="22" t="s">
        <v>16</v>
      </c>
      <c r="PEI864" s="22" t="s">
        <v>16</v>
      </c>
      <c r="PEJ864" s="22" t="s">
        <v>16</v>
      </c>
      <c r="PEK864" s="22" t="s">
        <v>16</v>
      </c>
      <c r="PEL864" s="22" t="s">
        <v>16</v>
      </c>
      <c r="PEM864" s="22" t="s">
        <v>16</v>
      </c>
      <c r="PEN864" s="22" t="s">
        <v>16</v>
      </c>
      <c r="PEO864" s="22" t="s">
        <v>16</v>
      </c>
      <c r="PEP864" s="22" t="s">
        <v>16</v>
      </c>
      <c r="PEQ864" s="22" t="s">
        <v>16</v>
      </c>
      <c r="PER864" s="22" t="s">
        <v>16</v>
      </c>
      <c r="PES864" s="22" t="s">
        <v>16</v>
      </c>
      <c r="PET864" s="22" t="s">
        <v>16</v>
      </c>
      <c r="PEU864" s="22" t="s">
        <v>16</v>
      </c>
      <c r="PEV864" s="22" t="s">
        <v>16</v>
      </c>
      <c r="PEW864" s="22" t="s">
        <v>16</v>
      </c>
      <c r="PEX864" s="22" t="s">
        <v>16</v>
      </c>
      <c r="PEY864" s="22" t="s">
        <v>16</v>
      </c>
      <c r="PEZ864" s="22" t="s">
        <v>16</v>
      </c>
      <c r="PFA864" s="22" t="s">
        <v>16</v>
      </c>
      <c r="PFB864" s="22" t="s">
        <v>16</v>
      </c>
      <c r="PFC864" s="22" t="s">
        <v>16</v>
      </c>
      <c r="PFD864" s="22" t="s">
        <v>16</v>
      </c>
      <c r="PFE864" s="22" t="s">
        <v>16</v>
      </c>
      <c r="PFF864" s="22" t="s">
        <v>16</v>
      </c>
      <c r="PFG864" s="22" t="s">
        <v>16</v>
      </c>
      <c r="PFH864" s="22" t="s">
        <v>16</v>
      </c>
      <c r="PFI864" s="22" t="s">
        <v>16</v>
      </c>
      <c r="PFJ864" s="22" t="s">
        <v>16</v>
      </c>
      <c r="PFK864" s="22" t="s">
        <v>16</v>
      </c>
      <c r="PFL864" s="22" t="s">
        <v>16</v>
      </c>
      <c r="PFM864" s="22" t="s">
        <v>16</v>
      </c>
      <c r="PFN864" s="22" t="s">
        <v>16</v>
      </c>
      <c r="PFO864" s="22" t="s">
        <v>16</v>
      </c>
      <c r="PFP864" s="22" t="s">
        <v>16</v>
      </c>
      <c r="PFQ864" s="22" t="s">
        <v>16</v>
      </c>
      <c r="PFR864" s="22" t="s">
        <v>16</v>
      </c>
      <c r="PFS864" s="22" t="s">
        <v>16</v>
      </c>
      <c r="PFT864" s="22" t="s">
        <v>16</v>
      </c>
      <c r="PFU864" s="22" t="s">
        <v>16</v>
      </c>
      <c r="PFV864" s="22" t="s">
        <v>16</v>
      </c>
      <c r="PFW864" s="22" t="s">
        <v>16</v>
      </c>
      <c r="PFX864" s="22" t="s">
        <v>16</v>
      </c>
      <c r="PFY864" s="22" t="s">
        <v>16</v>
      </c>
      <c r="PFZ864" s="22" t="s">
        <v>16</v>
      </c>
      <c r="PGA864" s="22" t="s">
        <v>16</v>
      </c>
      <c r="PGB864" s="22" t="s">
        <v>16</v>
      </c>
      <c r="PGC864" s="22" t="s">
        <v>16</v>
      </c>
      <c r="PGD864" s="22" t="s">
        <v>16</v>
      </c>
      <c r="PGE864" s="22" t="s">
        <v>16</v>
      </c>
      <c r="PGF864" s="22" t="s">
        <v>16</v>
      </c>
      <c r="PGG864" s="22" t="s">
        <v>16</v>
      </c>
      <c r="PGH864" s="22" t="s">
        <v>16</v>
      </c>
      <c r="PGI864" s="22" t="s">
        <v>16</v>
      </c>
      <c r="PGJ864" s="22" t="s">
        <v>16</v>
      </c>
      <c r="PGK864" s="22" t="s">
        <v>16</v>
      </c>
      <c r="PGL864" s="22" t="s">
        <v>16</v>
      </c>
      <c r="PGM864" s="22" t="s">
        <v>16</v>
      </c>
      <c r="PGN864" s="22" t="s">
        <v>16</v>
      </c>
      <c r="PGO864" s="22" t="s">
        <v>16</v>
      </c>
      <c r="PGP864" s="22" t="s">
        <v>16</v>
      </c>
      <c r="PGQ864" s="22" t="s">
        <v>16</v>
      </c>
      <c r="PGR864" s="22" t="s">
        <v>16</v>
      </c>
      <c r="PGS864" s="22" t="s">
        <v>16</v>
      </c>
      <c r="PGT864" s="22" t="s">
        <v>16</v>
      </c>
      <c r="PGU864" s="22" t="s">
        <v>16</v>
      </c>
      <c r="PGV864" s="22" t="s">
        <v>16</v>
      </c>
      <c r="PGW864" s="22" t="s">
        <v>16</v>
      </c>
      <c r="PGX864" s="22" t="s">
        <v>16</v>
      </c>
      <c r="PGY864" s="22" t="s">
        <v>16</v>
      </c>
      <c r="PGZ864" s="22" t="s">
        <v>16</v>
      </c>
      <c r="PHA864" s="22" t="s">
        <v>16</v>
      </c>
      <c r="PHB864" s="22" t="s">
        <v>16</v>
      </c>
      <c r="PHC864" s="22" t="s">
        <v>16</v>
      </c>
      <c r="PHD864" s="22" t="s">
        <v>16</v>
      </c>
      <c r="PHE864" s="22" t="s">
        <v>16</v>
      </c>
      <c r="PHF864" s="22" t="s">
        <v>16</v>
      </c>
      <c r="PHG864" s="22" t="s">
        <v>16</v>
      </c>
      <c r="PHH864" s="22" t="s">
        <v>16</v>
      </c>
      <c r="PHI864" s="22" t="s">
        <v>16</v>
      </c>
      <c r="PHJ864" s="22" t="s">
        <v>16</v>
      </c>
      <c r="PHK864" s="22" t="s">
        <v>16</v>
      </c>
      <c r="PHL864" s="22" t="s">
        <v>16</v>
      </c>
      <c r="PHM864" s="22" t="s">
        <v>16</v>
      </c>
      <c r="PHN864" s="22" t="s">
        <v>16</v>
      </c>
      <c r="PHO864" s="22" t="s">
        <v>16</v>
      </c>
      <c r="PHP864" s="22" t="s">
        <v>16</v>
      </c>
      <c r="PHQ864" s="22" t="s">
        <v>16</v>
      </c>
      <c r="PHR864" s="22" t="s">
        <v>16</v>
      </c>
      <c r="PHS864" s="22" t="s">
        <v>16</v>
      </c>
      <c r="PHT864" s="22" t="s">
        <v>16</v>
      </c>
      <c r="PHU864" s="22" t="s">
        <v>16</v>
      </c>
      <c r="PHV864" s="22" t="s">
        <v>16</v>
      </c>
      <c r="PHW864" s="22" t="s">
        <v>16</v>
      </c>
      <c r="PHX864" s="22" t="s">
        <v>16</v>
      </c>
      <c r="PHY864" s="22" t="s">
        <v>16</v>
      </c>
      <c r="PHZ864" s="22" t="s">
        <v>16</v>
      </c>
      <c r="PIA864" s="22" t="s">
        <v>16</v>
      </c>
      <c r="PIB864" s="22" t="s">
        <v>16</v>
      </c>
      <c r="PIC864" s="22" t="s">
        <v>16</v>
      </c>
      <c r="PID864" s="22" t="s">
        <v>16</v>
      </c>
      <c r="PIE864" s="22" t="s">
        <v>16</v>
      </c>
      <c r="PIF864" s="22" t="s">
        <v>16</v>
      </c>
      <c r="PIG864" s="22" t="s">
        <v>16</v>
      </c>
      <c r="PIH864" s="22" t="s">
        <v>16</v>
      </c>
      <c r="PII864" s="22" t="s">
        <v>16</v>
      </c>
      <c r="PIJ864" s="22" t="s">
        <v>16</v>
      </c>
      <c r="PIK864" s="22" t="s">
        <v>16</v>
      </c>
      <c r="PIL864" s="22" t="s">
        <v>16</v>
      </c>
      <c r="PIM864" s="22" t="s">
        <v>16</v>
      </c>
      <c r="PIN864" s="22" t="s">
        <v>16</v>
      </c>
      <c r="PIO864" s="22" t="s">
        <v>16</v>
      </c>
      <c r="PIP864" s="22" t="s">
        <v>16</v>
      </c>
      <c r="PIQ864" s="22" t="s">
        <v>16</v>
      </c>
      <c r="PIR864" s="22" t="s">
        <v>16</v>
      </c>
      <c r="PIS864" s="22" t="s">
        <v>16</v>
      </c>
      <c r="PIT864" s="22" t="s">
        <v>16</v>
      </c>
      <c r="PIU864" s="22" t="s">
        <v>16</v>
      </c>
      <c r="PIV864" s="22" t="s">
        <v>16</v>
      </c>
      <c r="PIW864" s="22" t="s">
        <v>16</v>
      </c>
      <c r="PIX864" s="22" t="s">
        <v>16</v>
      </c>
      <c r="PIY864" s="22" t="s">
        <v>16</v>
      </c>
      <c r="PIZ864" s="22" t="s">
        <v>16</v>
      </c>
      <c r="PJA864" s="22" t="s">
        <v>16</v>
      </c>
      <c r="PJB864" s="22" t="s">
        <v>16</v>
      </c>
      <c r="PJC864" s="22" t="s">
        <v>16</v>
      </c>
      <c r="PJD864" s="22" t="s">
        <v>16</v>
      </c>
      <c r="PJE864" s="22" t="s">
        <v>16</v>
      </c>
      <c r="PJF864" s="22" t="s">
        <v>16</v>
      </c>
      <c r="PJG864" s="22" t="s">
        <v>16</v>
      </c>
      <c r="PJH864" s="22" t="s">
        <v>16</v>
      </c>
      <c r="PJI864" s="22" t="s">
        <v>16</v>
      </c>
      <c r="PJJ864" s="22" t="s">
        <v>16</v>
      </c>
      <c r="PJK864" s="22" t="s">
        <v>16</v>
      </c>
      <c r="PJL864" s="22" t="s">
        <v>16</v>
      </c>
      <c r="PJM864" s="22" t="s">
        <v>16</v>
      </c>
      <c r="PJN864" s="22" t="s">
        <v>16</v>
      </c>
      <c r="PJO864" s="22" t="s">
        <v>16</v>
      </c>
      <c r="PJP864" s="22" t="s">
        <v>16</v>
      </c>
      <c r="PJQ864" s="22" t="s">
        <v>16</v>
      </c>
      <c r="PJR864" s="22" t="s">
        <v>16</v>
      </c>
      <c r="PJS864" s="22" t="s">
        <v>16</v>
      </c>
      <c r="PJT864" s="22" t="s">
        <v>16</v>
      </c>
      <c r="PJU864" s="22" t="s">
        <v>16</v>
      </c>
      <c r="PJV864" s="22" t="s">
        <v>16</v>
      </c>
      <c r="PJW864" s="22" t="s">
        <v>16</v>
      </c>
      <c r="PJX864" s="22" t="s">
        <v>16</v>
      </c>
      <c r="PJY864" s="22" t="s">
        <v>16</v>
      </c>
      <c r="PJZ864" s="22" t="s">
        <v>16</v>
      </c>
      <c r="PKA864" s="22" t="s">
        <v>16</v>
      </c>
      <c r="PKB864" s="22" t="s">
        <v>16</v>
      </c>
      <c r="PKC864" s="22" t="s">
        <v>16</v>
      </c>
      <c r="PKD864" s="22" t="s">
        <v>16</v>
      </c>
      <c r="PKE864" s="22" t="s">
        <v>16</v>
      </c>
      <c r="PKF864" s="22" t="s">
        <v>16</v>
      </c>
      <c r="PKG864" s="22" t="s">
        <v>16</v>
      </c>
      <c r="PKH864" s="22" t="s">
        <v>16</v>
      </c>
      <c r="PKI864" s="22" t="s">
        <v>16</v>
      </c>
      <c r="PKJ864" s="22" t="s">
        <v>16</v>
      </c>
      <c r="PKK864" s="22" t="s">
        <v>16</v>
      </c>
      <c r="PKL864" s="22" t="s">
        <v>16</v>
      </c>
      <c r="PKM864" s="22" t="s">
        <v>16</v>
      </c>
      <c r="PKN864" s="22" t="s">
        <v>16</v>
      </c>
      <c r="PKO864" s="22" t="s">
        <v>16</v>
      </c>
      <c r="PKP864" s="22" t="s">
        <v>16</v>
      </c>
      <c r="PKQ864" s="22" t="s">
        <v>16</v>
      </c>
      <c r="PKR864" s="22" t="s">
        <v>16</v>
      </c>
      <c r="PKS864" s="22" t="s">
        <v>16</v>
      </c>
      <c r="PKT864" s="22" t="s">
        <v>16</v>
      </c>
      <c r="PKU864" s="22" t="s">
        <v>16</v>
      </c>
      <c r="PKV864" s="22" t="s">
        <v>16</v>
      </c>
      <c r="PKW864" s="22" t="s">
        <v>16</v>
      </c>
      <c r="PKX864" s="22" t="s">
        <v>16</v>
      </c>
      <c r="PKY864" s="22" t="s">
        <v>16</v>
      </c>
      <c r="PKZ864" s="22" t="s">
        <v>16</v>
      </c>
      <c r="PLA864" s="22" t="s">
        <v>16</v>
      </c>
      <c r="PLB864" s="22" t="s">
        <v>16</v>
      </c>
      <c r="PLC864" s="22" t="s">
        <v>16</v>
      </c>
      <c r="PLD864" s="22" t="s">
        <v>16</v>
      </c>
      <c r="PLE864" s="22" t="s">
        <v>16</v>
      </c>
      <c r="PLF864" s="22" t="s">
        <v>16</v>
      </c>
      <c r="PLG864" s="22" t="s">
        <v>16</v>
      </c>
      <c r="PLH864" s="22" t="s">
        <v>16</v>
      </c>
      <c r="PLI864" s="22" t="s">
        <v>16</v>
      </c>
      <c r="PLJ864" s="22" t="s">
        <v>16</v>
      </c>
      <c r="PLK864" s="22" t="s">
        <v>16</v>
      </c>
      <c r="PLL864" s="22" t="s">
        <v>16</v>
      </c>
      <c r="PLM864" s="22" t="s">
        <v>16</v>
      </c>
      <c r="PLN864" s="22" t="s">
        <v>16</v>
      </c>
      <c r="PLO864" s="22" t="s">
        <v>16</v>
      </c>
      <c r="PLP864" s="22" t="s">
        <v>16</v>
      </c>
      <c r="PLQ864" s="22" t="s">
        <v>16</v>
      </c>
      <c r="PLR864" s="22" t="s">
        <v>16</v>
      </c>
      <c r="PLS864" s="22" t="s">
        <v>16</v>
      </c>
      <c r="PLT864" s="22" t="s">
        <v>16</v>
      </c>
      <c r="PLU864" s="22" t="s">
        <v>16</v>
      </c>
      <c r="PLV864" s="22" t="s">
        <v>16</v>
      </c>
      <c r="PLW864" s="22" t="s">
        <v>16</v>
      </c>
      <c r="PLX864" s="22" t="s">
        <v>16</v>
      </c>
      <c r="PLY864" s="22" t="s">
        <v>16</v>
      </c>
      <c r="PLZ864" s="22" t="s">
        <v>16</v>
      </c>
      <c r="PMA864" s="22" t="s">
        <v>16</v>
      </c>
      <c r="PMB864" s="22" t="s">
        <v>16</v>
      </c>
      <c r="PMC864" s="22" t="s">
        <v>16</v>
      </c>
      <c r="PMD864" s="22" t="s">
        <v>16</v>
      </c>
      <c r="PME864" s="22" t="s">
        <v>16</v>
      </c>
      <c r="PMF864" s="22" t="s">
        <v>16</v>
      </c>
      <c r="PMG864" s="22" t="s">
        <v>16</v>
      </c>
      <c r="PMH864" s="22" t="s">
        <v>16</v>
      </c>
      <c r="PMI864" s="22" t="s">
        <v>16</v>
      </c>
      <c r="PMJ864" s="22" t="s">
        <v>16</v>
      </c>
      <c r="PMK864" s="22" t="s">
        <v>16</v>
      </c>
      <c r="PML864" s="22" t="s">
        <v>16</v>
      </c>
      <c r="PMM864" s="22" t="s">
        <v>16</v>
      </c>
      <c r="PMN864" s="22" t="s">
        <v>16</v>
      </c>
      <c r="PMO864" s="22" t="s">
        <v>16</v>
      </c>
      <c r="PMP864" s="22" t="s">
        <v>16</v>
      </c>
      <c r="PMQ864" s="22" t="s">
        <v>16</v>
      </c>
      <c r="PMR864" s="22" t="s">
        <v>16</v>
      </c>
      <c r="PMS864" s="22" t="s">
        <v>16</v>
      </c>
      <c r="PMT864" s="22" t="s">
        <v>16</v>
      </c>
      <c r="PMU864" s="22" t="s">
        <v>16</v>
      </c>
      <c r="PMV864" s="22" t="s">
        <v>16</v>
      </c>
      <c r="PMW864" s="22" t="s">
        <v>16</v>
      </c>
      <c r="PMX864" s="22" t="s">
        <v>16</v>
      </c>
      <c r="PMY864" s="22" t="s">
        <v>16</v>
      </c>
      <c r="PMZ864" s="22" t="s">
        <v>16</v>
      </c>
      <c r="PNA864" s="22" t="s">
        <v>16</v>
      </c>
      <c r="PNB864" s="22" t="s">
        <v>16</v>
      </c>
      <c r="PNC864" s="22" t="s">
        <v>16</v>
      </c>
      <c r="PND864" s="22" t="s">
        <v>16</v>
      </c>
      <c r="PNE864" s="22" t="s">
        <v>16</v>
      </c>
      <c r="PNF864" s="22" t="s">
        <v>16</v>
      </c>
      <c r="PNG864" s="22" t="s">
        <v>16</v>
      </c>
      <c r="PNH864" s="22" t="s">
        <v>16</v>
      </c>
      <c r="PNI864" s="22" t="s">
        <v>16</v>
      </c>
      <c r="PNJ864" s="22" t="s">
        <v>16</v>
      </c>
      <c r="PNK864" s="22" t="s">
        <v>16</v>
      </c>
      <c r="PNL864" s="22" t="s">
        <v>16</v>
      </c>
      <c r="PNM864" s="22" t="s">
        <v>16</v>
      </c>
      <c r="PNN864" s="22" t="s">
        <v>16</v>
      </c>
      <c r="PNO864" s="22" t="s">
        <v>16</v>
      </c>
      <c r="PNP864" s="22" t="s">
        <v>16</v>
      </c>
      <c r="PNQ864" s="22" t="s">
        <v>16</v>
      </c>
      <c r="PNR864" s="22" t="s">
        <v>16</v>
      </c>
      <c r="PNS864" s="22" t="s">
        <v>16</v>
      </c>
      <c r="PNT864" s="22" t="s">
        <v>16</v>
      </c>
      <c r="PNU864" s="22" t="s">
        <v>16</v>
      </c>
      <c r="PNV864" s="22" t="s">
        <v>16</v>
      </c>
      <c r="PNW864" s="22" t="s">
        <v>16</v>
      </c>
      <c r="PNX864" s="22" t="s">
        <v>16</v>
      </c>
      <c r="PNY864" s="22" t="s">
        <v>16</v>
      </c>
      <c r="PNZ864" s="22" t="s">
        <v>16</v>
      </c>
      <c r="POA864" s="22" t="s">
        <v>16</v>
      </c>
      <c r="POB864" s="22" t="s">
        <v>16</v>
      </c>
      <c r="POC864" s="22" t="s">
        <v>16</v>
      </c>
      <c r="POD864" s="22" t="s">
        <v>16</v>
      </c>
      <c r="POE864" s="22" t="s">
        <v>16</v>
      </c>
      <c r="POF864" s="22" t="s">
        <v>16</v>
      </c>
      <c r="POG864" s="22" t="s">
        <v>16</v>
      </c>
      <c r="POH864" s="22" t="s">
        <v>16</v>
      </c>
      <c r="POI864" s="22" t="s">
        <v>16</v>
      </c>
      <c r="POJ864" s="22" t="s">
        <v>16</v>
      </c>
      <c r="POK864" s="22" t="s">
        <v>16</v>
      </c>
      <c r="POL864" s="22" t="s">
        <v>16</v>
      </c>
      <c r="POM864" s="22" t="s">
        <v>16</v>
      </c>
      <c r="PON864" s="22" t="s">
        <v>16</v>
      </c>
      <c r="POO864" s="22" t="s">
        <v>16</v>
      </c>
      <c r="POP864" s="22" t="s">
        <v>16</v>
      </c>
      <c r="POQ864" s="22" t="s">
        <v>16</v>
      </c>
      <c r="POR864" s="22" t="s">
        <v>16</v>
      </c>
      <c r="POS864" s="22" t="s">
        <v>16</v>
      </c>
      <c r="POT864" s="22" t="s">
        <v>16</v>
      </c>
      <c r="POU864" s="22" t="s">
        <v>16</v>
      </c>
      <c r="POV864" s="22" t="s">
        <v>16</v>
      </c>
      <c r="POW864" s="22" t="s">
        <v>16</v>
      </c>
      <c r="POX864" s="22" t="s">
        <v>16</v>
      </c>
      <c r="POY864" s="22" t="s">
        <v>16</v>
      </c>
      <c r="POZ864" s="22" t="s">
        <v>16</v>
      </c>
      <c r="PPA864" s="22" t="s">
        <v>16</v>
      </c>
      <c r="PPB864" s="22" t="s">
        <v>16</v>
      </c>
      <c r="PPC864" s="22" t="s">
        <v>16</v>
      </c>
      <c r="PPD864" s="22" t="s">
        <v>16</v>
      </c>
      <c r="PPE864" s="22" t="s">
        <v>16</v>
      </c>
      <c r="PPF864" s="22" t="s">
        <v>16</v>
      </c>
      <c r="PPG864" s="22" t="s">
        <v>16</v>
      </c>
      <c r="PPH864" s="22" t="s">
        <v>16</v>
      </c>
      <c r="PPI864" s="22" t="s">
        <v>16</v>
      </c>
      <c r="PPJ864" s="22" t="s">
        <v>16</v>
      </c>
      <c r="PPK864" s="22" t="s">
        <v>16</v>
      </c>
      <c r="PPL864" s="22" t="s">
        <v>16</v>
      </c>
      <c r="PPM864" s="22" t="s">
        <v>16</v>
      </c>
      <c r="PPN864" s="22" t="s">
        <v>16</v>
      </c>
      <c r="PPO864" s="22" t="s">
        <v>16</v>
      </c>
      <c r="PPP864" s="22" t="s">
        <v>16</v>
      </c>
      <c r="PPQ864" s="22" t="s">
        <v>16</v>
      </c>
      <c r="PPR864" s="22" t="s">
        <v>16</v>
      </c>
      <c r="PPS864" s="22" t="s">
        <v>16</v>
      </c>
      <c r="PPT864" s="22" t="s">
        <v>16</v>
      </c>
      <c r="PPU864" s="22" t="s">
        <v>16</v>
      </c>
      <c r="PPV864" s="22" t="s">
        <v>16</v>
      </c>
      <c r="PPW864" s="22" t="s">
        <v>16</v>
      </c>
      <c r="PPX864" s="22" t="s">
        <v>16</v>
      </c>
      <c r="PPY864" s="22" t="s">
        <v>16</v>
      </c>
      <c r="PPZ864" s="22" t="s">
        <v>16</v>
      </c>
      <c r="PQA864" s="22" t="s">
        <v>16</v>
      </c>
      <c r="PQB864" s="22" t="s">
        <v>16</v>
      </c>
      <c r="PQC864" s="22" t="s">
        <v>16</v>
      </c>
      <c r="PQD864" s="22" t="s">
        <v>16</v>
      </c>
      <c r="PQE864" s="22" t="s">
        <v>16</v>
      </c>
      <c r="PQF864" s="22" t="s">
        <v>16</v>
      </c>
      <c r="PQG864" s="22" t="s">
        <v>16</v>
      </c>
      <c r="PQH864" s="22" t="s">
        <v>16</v>
      </c>
      <c r="PQI864" s="22" t="s">
        <v>16</v>
      </c>
      <c r="PQJ864" s="22" t="s">
        <v>16</v>
      </c>
      <c r="PQK864" s="22" t="s">
        <v>16</v>
      </c>
      <c r="PQL864" s="22" t="s">
        <v>16</v>
      </c>
      <c r="PQM864" s="22" t="s">
        <v>16</v>
      </c>
      <c r="PQN864" s="22" t="s">
        <v>16</v>
      </c>
      <c r="PQO864" s="22" t="s">
        <v>16</v>
      </c>
      <c r="PQP864" s="22" t="s">
        <v>16</v>
      </c>
      <c r="PQQ864" s="22" t="s">
        <v>16</v>
      </c>
      <c r="PQR864" s="22" t="s">
        <v>16</v>
      </c>
      <c r="PQS864" s="22" t="s">
        <v>16</v>
      </c>
      <c r="PQT864" s="22" t="s">
        <v>16</v>
      </c>
      <c r="PQU864" s="22" t="s">
        <v>16</v>
      </c>
      <c r="PQV864" s="22" t="s">
        <v>16</v>
      </c>
      <c r="PQW864" s="22" t="s">
        <v>16</v>
      </c>
      <c r="PQX864" s="22" t="s">
        <v>16</v>
      </c>
      <c r="PQY864" s="22" t="s">
        <v>16</v>
      </c>
      <c r="PQZ864" s="22" t="s">
        <v>16</v>
      </c>
      <c r="PRA864" s="22" t="s">
        <v>16</v>
      </c>
      <c r="PRB864" s="22" t="s">
        <v>16</v>
      </c>
      <c r="PRC864" s="22" t="s">
        <v>16</v>
      </c>
      <c r="PRD864" s="22" t="s">
        <v>16</v>
      </c>
      <c r="PRE864" s="22" t="s">
        <v>16</v>
      </c>
      <c r="PRF864" s="22" t="s">
        <v>16</v>
      </c>
      <c r="PRG864" s="22" t="s">
        <v>16</v>
      </c>
      <c r="PRH864" s="22" t="s">
        <v>16</v>
      </c>
      <c r="PRI864" s="22" t="s">
        <v>16</v>
      </c>
      <c r="PRJ864" s="22" t="s">
        <v>16</v>
      </c>
      <c r="PRK864" s="22" t="s">
        <v>16</v>
      </c>
      <c r="PRL864" s="22" t="s">
        <v>16</v>
      </c>
      <c r="PRM864" s="22" t="s">
        <v>16</v>
      </c>
      <c r="PRN864" s="22" t="s">
        <v>16</v>
      </c>
      <c r="PRO864" s="22" t="s">
        <v>16</v>
      </c>
      <c r="PRP864" s="22" t="s">
        <v>16</v>
      </c>
      <c r="PRQ864" s="22" t="s">
        <v>16</v>
      </c>
      <c r="PRR864" s="22" t="s">
        <v>16</v>
      </c>
      <c r="PRS864" s="22" t="s">
        <v>16</v>
      </c>
      <c r="PRT864" s="22" t="s">
        <v>16</v>
      </c>
      <c r="PRU864" s="22" t="s">
        <v>16</v>
      </c>
      <c r="PRV864" s="22" t="s">
        <v>16</v>
      </c>
      <c r="PRW864" s="22" t="s">
        <v>16</v>
      </c>
      <c r="PRX864" s="22" t="s">
        <v>16</v>
      </c>
      <c r="PRY864" s="22" t="s">
        <v>16</v>
      </c>
      <c r="PRZ864" s="22" t="s">
        <v>16</v>
      </c>
      <c r="PSA864" s="22" t="s">
        <v>16</v>
      </c>
      <c r="PSB864" s="22" t="s">
        <v>16</v>
      </c>
      <c r="PSC864" s="22" t="s">
        <v>16</v>
      </c>
      <c r="PSD864" s="22" t="s">
        <v>16</v>
      </c>
      <c r="PSE864" s="22" t="s">
        <v>16</v>
      </c>
      <c r="PSF864" s="22" t="s">
        <v>16</v>
      </c>
      <c r="PSG864" s="22" t="s">
        <v>16</v>
      </c>
      <c r="PSH864" s="22" t="s">
        <v>16</v>
      </c>
      <c r="PSI864" s="22" t="s">
        <v>16</v>
      </c>
      <c r="PSJ864" s="22" t="s">
        <v>16</v>
      </c>
      <c r="PSK864" s="22" t="s">
        <v>16</v>
      </c>
      <c r="PSL864" s="22" t="s">
        <v>16</v>
      </c>
      <c r="PSM864" s="22" t="s">
        <v>16</v>
      </c>
      <c r="PSN864" s="22" t="s">
        <v>16</v>
      </c>
      <c r="PSO864" s="22" t="s">
        <v>16</v>
      </c>
      <c r="PSP864" s="22" t="s">
        <v>16</v>
      </c>
      <c r="PSQ864" s="22" t="s">
        <v>16</v>
      </c>
      <c r="PSR864" s="22" t="s">
        <v>16</v>
      </c>
      <c r="PSS864" s="22" t="s">
        <v>16</v>
      </c>
      <c r="PST864" s="22" t="s">
        <v>16</v>
      </c>
      <c r="PSU864" s="22" t="s">
        <v>16</v>
      </c>
      <c r="PSV864" s="22" t="s">
        <v>16</v>
      </c>
      <c r="PSW864" s="22" t="s">
        <v>16</v>
      </c>
      <c r="PSX864" s="22" t="s">
        <v>16</v>
      </c>
      <c r="PSY864" s="22" t="s">
        <v>16</v>
      </c>
      <c r="PSZ864" s="22" t="s">
        <v>16</v>
      </c>
      <c r="PTA864" s="22" t="s">
        <v>16</v>
      </c>
      <c r="PTB864" s="22" t="s">
        <v>16</v>
      </c>
      <c r="PTC864" s="22" t="s">
        <v>16</v>
      </c>
      <c r="PTD864" s="22" t="s">
        <v>16</v>
      </c>
      <c r="PTE864" s="22" t="s">
        <v>16</v>
      </c>
      <c r="PTF864" s="22" t="s">
        <v>16</v>
      </c>
      <c r="PTG864" s="22" t="s">
        <v>16</v>
      </c>
      <c r="PTH864" s="22" t="s">
        <v>16</v>
      </c>
      <c r="PTI864" s="22" t="s">
        <v>16</v>
      </c>
      <c r="PTJ864" s="22" t="s">
        <v>16</v>
      </c>
      <c r="PTK864" s="22" t="s">
        <v>16</v>
      </c>
      <c r="PTL864" s="22" t="s">
        <v>16</v>
      </c>
      <c r="PTM864" s="22" t="s">
        <v>16</v>
      </c>
      <c r="PTN864" s="22" t="s">
        <v>16</v>
      </c>
      <c r="PTO864" s="22" t="s">
        <v>16</v>
      </c>
      <c r="PTP864" s="22" t="s">
        <v>16</v>
      </c>
      <c r="PTQ864" s="22" t="s">
        <v>16</v>
      </c>
      <c r="PTR864" s="22" t="s">
        <v>16</v>
      </c>
      <c r="PTS864" s="22" t="s">
        <v>16</v>
      </c>
      <c r="PTT864" s="22" t="s">
        <v>16</v>
      </c>
      <c r="PTU864" s="22" t="s">
        <v>16</v>
      </c>
      <c r="PTV864" s="22" t="s">
        <v>16</v>
      </c>
      <c r="PTW864" s="22" t="s">
        <v>16</v>
      </c>
      <c r="PTX864" s="22" t="s">
        <v>16</v>
      </c>
      <c r="PTY864" s="22" t="s">
        <v>16</v>
      </c>
      <c r="PTZ864" s="22" t="s">
        <v>16</v>
      </c>
      <c r="PUA864" s="22" t="s">
        <v>16</v>
      </c>
      <c r="PUB864" s="22" t="s">
        <v>16</v>
      </c>
      <c r="PUC864" s="22" t="s">
        <v>16</v>
      </c>
      <c r="PUD864" s="22" t="s">
        <v>16</v>
      </c>
      <c r="PUE864" s="22" t="s">
        <v>16</v>
      </c>
      <c r="PUF864" s="22" t="s">
        <v>16</v>
      </c>
      <c r="PUG864" s="22" t="s">
        <v>16</v>
      </c>
      <c r="PUH864" s="22" t="s">
        <v>16</v>
      </c>
      <c r="PUI864" s="22" t="s">
        <v>16</v>
      </c>
      <c r="PUJ864" s="22" t="s">
        <v>16</v>
      </c>
      <c r="PUK864" s="22" t="s">
        <v>16</v>
      </c>
      <c r="PUL864" s="22" t="s">
        <v>16</v>
      </c>
      <c r="PUM864" s="22" t="s">
        <v>16</v>
      </c>
      <c r="PUN864" s="22" t="s">
        <v>16</v>
      </c>
      <c r="PUO864" s="22" t="s">
        <v>16</v>
      </c>
      <c r="PUP864" s="22" t="s">
        <v>16</v>
      </c>
      <c r="PUQ864" s="22" t="s">
        <v>16</v>
      </c>
      <c r="PUR864" s="22" t="s">
        <v>16</v>
      </c>
      <c r="PUS864" s="22" t="s">
        <v>16</v>
      </c>
      <c r="PUT864" s="22" t="s">
        <v>16</v>
      </c>
      <c r="PUU864" s="22" t="s">
        <v>16</v>
      </c>
      <c r="PUV864" s="22" t="s">
        <v>16</v>
      </c>
      <c r="PUW864" s="22" t="s">
        <v>16</v>
      </c>
      <c r="PUX864" s="22" t="s">
        <v>16</v>
      </c>
      <c r="PUY864" s="22" t="s">
        <v>16</v>
      </c>
      <c r="PUZ864" s="22" t="s">
        <v>16</v>
      </c>
      <c r="PVA864" s="22" t="s">
        <v>16</v>
      </c>
      <c r="PVB864" s="22" t="s">
        <v>16</v>
      </c>
      <c r="PVC864" s="22" t="s">
        <v>16</v>
      </c>
      <c r="PVD864" s="22" t="s">
        <v>16</v>
      </c>
      <c r="PVE864" s="22" t="s">
        <v>16</v>
      </c>
      <c r="PVF864" s="22" t="s">
        <v>16</v>
      </c>
      <c r="PVG864" s="22" t="s">
        <v>16</v>
      </c>
      <c r="PVH864" s="22" t="s">
        <v>16</v>
      </c>
      <c r="PVI864" s="22" t="s">
        <v>16</v>
      </c>
      <c r="PVJ864" s="22" t="s">
        <v>16</v>
      </c>
      <c r="PVK864" s="22" t="s">
        <v>16</v>
      </c>
      <c r="PVL864" s="22" t="s">
        <v>16</v>
      </c>
      <c r="PVM864" s="22" t="s">
        <v>16</v>
      </c>
      <c r="PVN864" s="22" t="s">
        <v>16</v>
      </c>
      <c r="PVO864" s="22" t="s">
        <v>16</v>
      </c>
      <c r="PVP864" s="22" t="s">
        <v>16</v>
      </c>
      <c r="PVQ864" s="22" t="s">
        <v>16</v>
      </c>
      <c r="PVR864" s="22" t="s">
        <v>16</v>
      </c>
      <c r="PVS864" s="22" t="s">
        <v>16</v>
      </c>
      <c r="PVT864" s="22" t="s">
        <v>16</v>
      </c>
      <c r="PVU864" s="22" t="s">
        <v>16</v>
      </c>
      <c r="PVV864" s="22" t="s">
        <v>16</v>
      </c>
      <c r="PVW864" s="22" t="s">
        <v>16</v>
      </c>
      <c r="PVX864" s="22" t="s">
        <v>16</v>
      </c>
      <c r="PVY864" s="22" t="s">
        <v>16</v>
      </c>
      <c r="PVZ864" s="22" t="s">
        <v>16</v>
      </c>
      <c r="PWA864" s="22" t="s">
        <v>16</v>
      </c>
      <c r="PWB864" s="22" t="s">
        <v>16</v>
      </c>
      <c r="PWC864" s="22" t="s">
        <v>16</v>
      </c>
      <c r="PWD864" s="22" t="s">
        <v>16</v>
      </c>
      <c r="PWE864" s="22" t="s">
        <v>16</v>
      </c>
      <c r="PWF864" s="22" t="s">
        <v>16</v>
      </c>
      <c r="PWG864" s="22" t="s">
        <v>16</v>
      </c>
      <c r="PWH864" s="22" t="s">
        <v>16</v>
      </c>
      <c r="PWI864" s="22" t="s">
        <v>16</v>
      </c>
      <c r="PWJ864" s="22" t="s">
        <v>16</v>
      </c>
      <c r="PWK864" s="22" t="s">
        <v>16</v>
      </c>
      <c r="PWL864" s="22" t="s">
        <v>16</v>
      </c>
      <c r="PWM864" s="22" t="s">
        <v>16</v>
      </c>
      <c r="PWN864" s="22" t="s">
        <v>16</v>
      </c>
      <c r="PWO864" s="22" t="s">
        <v>16</v>
      </c>
      <c r="PWP864" s="22" t="s">
        <v>16</v>
      </c>
      <c r="PWQ864" s="22" t="s">
        <v>16</v>
      </c>
      <c r="PWR864" s="22" t="s">
        <v>16</v>
      </c>
      <c r="PWS864" s="22" t="s">
        <v>16</v>
      </c>
      <c r="PWT864" s="22" t="s">
        <v>16</v>
      </c>
      <c r="PWU864" s="22" t="s">
        <v>16</v>
      </c>
      <c r="PWV864" s="22" t="s">
        <v>16</v>
      </c>
      <c r="PWW864" s="22" t="s">
        <v>16</v>
      </c>
      <c r="PWX864" s="22" t="s">
        <v>16</v>
      </c>
      <c r="PWY864" s="22" t="s">
        <v>16</v>
      </c>
      <c r="PWZ864" s="22" t="s">
        <v>16</v>
      </c>
      <c r="PXA864" s="22" t="s">
        <v>16</v>
      </c>
      <c r="PXB864" s="22" t="s">
        <v>16</v>
      </c>
      <c r="PXC864" s="22" t="s">
        <v>16</v>
      </c>
      <c r="PXD864" s="22" t="s">
        <v>16</v>
      </c>
      <c r="PXE864" s="22" t="s">
        <v>16</v>
      </c>
      <c r="PXF864" s="22" t="s">
        <v>16</v>
      </c>
      <c r="PXG864" s="22" t="s">
        <v>16</v>
      </c>
      <c r="PXH864" s="22" t="s">
        <v>16</v>
      </c>
      <c r="PXI864" s="22" t="s">
        <v>16</v>
      </c>
      <c r="PXJ864" s="22" t="s">
        <v>16</v>
      </c>
      <c r="PXK864" s="22" t="s">
        <v>16</v>
      </c>
      <c r="PXL864" s="22" t="s">
        <v>16</v>
      </c>
      <c r="PXM864" s="22" t="s">
        <v>16</v>
      </c>
      <c r="PXN864" s="22" t="s">
        <v>16</v>
      </c>
      <c r="PXO864" s="22" t="s">
        <v>16</v>
      </c>
      <c r="PXP864" s="22" t="s">
        <v>16</v>
      </c>
      <c r="PXQ864" s="22" t="s">
        <v>16</v>
      </c>
      <c r="PXR864" s="22" t="s">
        <v>16</v>
      </c>
      <c r="PXS864" s="22" t="s">
        <v>16</v>
      </c>
      <c r="PXT864" s="22" t="s">
        <v>16</v>
      </c>
      <c r="PXU864" s="22" t="s">
        <v>16</v>
      </c>
      <c r="PXV864" s="22" t="s">
        <v>16</v>
      </c>
      <c r="PXW864" s="22" t="s">
        <v>16</v>
      </c>
      <c r="PXX864" s="22" t="s">
        <v>16</v>
      </c>
      <c r="PXY864" s="22" t="s">
        <v>16</v>
      </c>
      <c r="PXZ864" s="22" t="s">
        <v>16</v>
      </c>
      <c r="PYA864" s="22" t="s">
        <v>16</v>
      </c>
      <c r="PYB864" s="22" t="s">
        <v>16</v>
      </c>
      <c r="PYC864" s="22" t="s">
        <v>16</v>
      </c>
      <c r="PYD864" s="22" t="s">
        <v>16</v>
      </c>
      <c r="PYE864" s="22" t="s">
        <v>16</v>
      </c>
      <c r="PYF864" s="22" t="s">
        <v>16</v>
      </c>
      <c r="PYG864" s="22" t="s">
        <v>16</v>
      </c>
      <c r="PYH864" s="22" t="s">
        <v>16</v>
      </c>
      <c r="PYI864" s="22" t="s">
        <v>16</v>
      </c>
      <c r="PYJ864" s="22" t="s">
        <v>16</v>
      </c>
      <c r="PYK864" s="22" t="s">
        <v>16</v>
      </c>
      <c r="PYL864" s="22" t="s">
        <v>16</v>
      </c>
      <c r="PYM864" s="22" t="s">
        <v>16</v>
      </c>
      <c r="PYN864" s="22" t="s">
        <v>16</v>
      </c>
      <c r="PYO864" s="22" t="s">
        <v>16</v>
      </c>
      <c r="PYP864" s="22" t="s">
        <v>16</v>
      </c>
      <c r="PYQ864" s="22" t="s">
        <v>16</v>
      </c>
      <c r="PYR864" s="22" t="s">
        <v>16</v>
      </c>
      <c r="PYS864" s="22" t="s">
        <v>16</v>
      </c>
      <c r="PYT864" s="22" t="s">
        <v>16</v>
      </c>
      <c r="PYU864" s="22" t="s">
        <v>16</v>
      </c>
      <c r="PYV864" s="22" t="s">
        <v>16</v>
      </c>
      <c r="PYW864" s="22" t="s">
        <v>16</v>
      </c>
      <c r="PYX864" s="22" t="s">
        <v>16</v>
      </c>
      <c r="PYY864" s="22" t="s">
        <v>16</v>
      </c>
      <c r="PYZ864" s="22" t="s">
        <v>16</v>
      </c>
      <c r="PZA864" s="22" t="s">
        <v>16</v>
      </c>
      <c r="PZB864" s="22" t="s">
        <v>16</v>
      </c>
      <c r="PZC864" s="22" t="s">
        <v>16</v>
      </c>
      <c r="PZD864" s="22" t="s">
        <v>16</v>
      </c>
      <c r="PZE864" s="22" t="s">
        <v>16</v>
      </c>
      <c r="PZF864" s="22" t="s">
        <v>16</v>
      </c>
      <c r="PZG864" s="22" t="s">
        <v>16</v>
      </c>
      <c r="PZH864" s="22" t="s">
        <v>16</v>
      </c>
      <c r="PZI864" s="22" t="s">
        <v>16</v>
      </c>
      <c r="PZJ864" s="22" t="s">
        <v>16</v>
      </c>
      <c r="PZK864" s="22" t="s">
        <v>16</v>
      </c>
      <c r="PZL864" s="22" t="s">
        <v>16</v>
      </c>
      <c r="PZM864" s="22" t="s">
        <v>16</v>
      </c>
      <c r="PZN864" s="22" t="s">
        <v>16</v>
      </c>
      <c r="PZO864" s="22" t="s">
        <v>16</v>
      </c>
      <c r="PZP864" s="22" t="s">
        <v>16</v>
      </c>
      <c r="PZQ864" s="22" t="s">
        <v>16</v>
      </c>
      <c r="PZR864" s="22" t="s">
        <v>16</v>
      </c>
      <c r="PZS864" s="22" t="s">
        <v>16</v>
      </c>
      <c r="PZT864" s="22" t="s">
        <v>16</v>
      </c>
      <c r="PZU864" s="22" t="s">
        <v>16</v>
      </c>
      <c r="PZV864" s="22" t="s">
        <v>16</v>
      </c>
      <c r="PZW864" s="22" t="s">
        <v>16</v>
      </c>
      <c r="PZX864" s="22" t="s">
        <v>16</v>
      </c>
      <c r="PZY864" s="22" t="s">
        <v>16</v>
      </c>
      <c r="PZZ864" s="22" t="s">
        <v>16</v>
      </c>
      <c r="QAA864" s="22" t="s">
        <v>16</v>
      </c>
      <c r="QAB864" s="22" t="s">
        <v>16</v>
      </c>
      <c r="QAC864" s="22" t="s">
        <v>16</v>
      </c>
      <c r="QAD864" s="22" t="s">
        <v>16</v>
      </c>
      <c r="QAE864" s="22" t="s">
        <v>16</v>
      </c>
      <c r="QAF864" s="22" t="s">
        <v>16</v>
      </c>
      <c r="QAG864" s="22" t="s">
        <v>16</v>
      </c>
      <c r="QAH864" s="22" t="s">
        <v>16</v>
      </c>
      <c r="QAI864" s="22" t="s">
        <v>16</v>
      </c>
      <c r="QAJ864" s="22" t="s">
        <v>16</v>
      </c>
      <c r="QAK864" s="22" t="s">
        <v>16</v>
      </c>
      <c r="QAL864" s="22" t="s">
        <v>16</v>
      </c>
      <c r="QAM864" s="22" t="s">
        <v>16</v>
      </c>
      <c r="QAN864" s="22" t="s">
        <v>16</v>
      </c>
      <c r="QAO864" s="22" t="s">
        <v>16</v>
      </c>
      <c r="QAP864" s="22" t="s">
        <v>16</v>
      </c>
      <c r="QAQ864" s="22" t="s">
        <v>16</v>
      </c>
      <c r="QAR864" s="22" t="s">
        <v>16</v>
      </c>
      <c r="QAS864" s="22" t="s">
        <v>16</v>
      </c>
      <c r="QAT864" s="22" t="s">
        <v>16</v>
      </c>
      <c r="QAU864" s="22" t="s">
        <v>16</v>
      </c>
      <c r="QAV864" s="22" t="s">
        <v>16</v>
      </c>
      <c r="QAW864" s="22" t="s">
        <v>16</v>
      </c>
      <c r="QAX864" s="22" t="s">
        <v>16</v>
      </c>
      <c r="QAY864" s="22" t="s">
        <v>16</v>
      </c>
      <c r="QAZ864" s="22" t="s">
        <v>16</v>
      </c>
      <c r="QBA864" s="22" t="s">
        <v>16</v>
      </c>
      <c r="QBB864" s="22" t="s">
        <v>16</v>
      </c>
      <c r="QBC864" s="22" t="s">
        <v>16</v>
      </c>
      <c r="QBD864" s="22" t="s">
        <v>16</v>
      </c>
      <c r="QBE864" s="22" t="s">
        <v>16</v>
      </c>
      <c r="QBF864" s="22" t="s">
        <v>16</v>
      </c>
      <c r="QBG864" s="22" t="s">
        <v>16</v>
      </c>
      <c r="QBH864" s="22" t="s">
        <v>16</v>
      </c>
      <c r="QBI864" s="22" t="s">
        <v>16</v>
      </c>
      <c r="QBJ864" s="22" t="s">
        <v>16</v>
      </c>
      <c r="QBK864" s="22" t="s">
        <v>16</v>
      </c>
      <c r="QBL864" s="22" t="s">
        <v>16</v>
      </c>
      <c r="QBM864" s="22" t="s">
        <v>16</v>
      </c>
      <c r="QBN864" s="22" t="s">
        <v>16</v>
      </c>
      <c r="QBO864" s="22" t="s">
        <v>16</v>
      </c>
      <c r="QBP864" s="22" t="s">
        <v>16</v>
      </c>
      <c r="QBQ864" s="22" t="s">
        <v>16</v>
      </c>
      <c r="QBR864" s="22" t="s">
        <v>16</v>
      </c>
      <c r="QBS864" s="22" t="s">
        <v>16</v>
      </c>
      <c r="QBT864" s="22" t="s">
        <v>16</v>
      </c>
      <c r="QBU864" s="22" t="s">
        <v>16</v>
      </c>
      <c r="QBV864" s="22" t="s">
        <v>16</v>
      </c>
      <c r="QBW864" s="22" t="s">
        <v>16</v>
      </c>
      <c r="QBX864" s="22" t="s">
        <v>16</v>
      </c>
      <c r="QBY864" s="22" t="s">
        <v>16</v>
      </c>
      <c r="QBZ864" s="22" t="s">
        <v>16</v>
      </c>
      <c r="QCA864" s="22" t="s">
        <v>16</v>
      </c>
      <c r="QCB864" s="22" t="s">
        <v>16</v>
      </c>
      <c r="QCC864" s="22" t="s">
        <v>16</v>
      </c>
      <c r="QCD864" s="22" t="s">
        <v>16</v>
      </c>
      <c r="QCE864" s="22" t="s">
        <v>16</v>
      </c>
      <c r="QCF864" s="22" t="s">
        <v>16</v>
      </c>
      <c r="QCG864" s="22" t="s">
        <v>16</v>
      </c>
      <c r="QCH864" s="22" t="s">
        <v>16</v>
      </c>
      <c r="QCI864" s="22" t="s">
        <v>16</v>
      </c>
      <c r="QCJ864" s="22" t="s">
        <v>16</v>
      </c>
      <c r="QCK864" s="22" t="s">
        <v>16</v>
      </c>
      <c r="QCL864" s="22" t="s">
        <v>16</v>
      </c>
      <c r="QCM864" s="22" t="s">
        <v>16</v>
      </c>
      <c r="QCN864" s="22" t="s">
        <v>16</v>
      </c>
      <c r="QCO864" s="22" t="s">
        <v>16</v>
      </c>
      <c r="QCP864" s="22" t="s">
        <v>16</v>
      </c>
      <c r="QCQ864" s="22" t="s">
        <v>16</v>
      </c>
      <c r="QCR864" s="22" t="s">
        <v>16</v>
      </c>
      <c r="QCS864" s="22" t="s">
        <v>16</v>
      </c>
      <c r="QCT864" s="22" t="s">
        <v>16</v>
      </c>
      <c r="QCU864" s="22" t="s">
        <v>16</v>
      </c>
      <c r="QCV864" s="22" t="s">
        <v>16</v>
      </c>
      <c r="QCW864" s="22" t="s">
        <v>16</v>
      </c>
      <c r="QCX864" s="22" t="s">
        <v>16</v>
      </c>
      <c r="QCY864" s="22" t="s">
        <v>16</v>
      </c>
      <c r="QCZ864" s="22" t="s">
        <v>16</v>
      </c>
      <c r="QDA864" s="22" t="s">
        <v>16</v>
      </c>
      <c r="QDB864" s="22" t="s">
        <v>16</v>
      </c>
      <c r="QDC864" s="22" t="s">
        <v>16</v>
      </c>
      <c r="QDD864" s="22" t="s">
        <v>16</v>
      </c>
      <c r="QDE864" s="22" t="s">
        <v>16</v>
      </c>
      <c r="QDF864" s="22" t="s">
        <v>16</v>
      </c>
      <c r="QDG864" s="22" t="s">
        <v>16</v>
      </c>
      <c r="QDH864" s="22" t="s">
        <v>16</v>
      </c>
      <c r="QDI864" s="22" t="s">
        <v>16</v>
      </c>
      <c r="QDJ864" s="22" t="s">
        <v>16</v>
      </c>
      <c r="QDK864" s="22" t="s">
        <v>16</v>
      </c>
      <c r="QDL864" s="22" t="s">
        <v>16</v>
      </c>
      <c r="QDM864" s="22" t="s">
        <v>16</v>
      </c>
      <c r="QDN864" s="22" t="s">
        <v>16</v>
      </c>
      <c r="QDO864" s="22" t="s">
        <v>16</v>
      </c>
      <c r="QDP864" s="22" t="s">
        <v>16</v>
      </c>
      <c r="QDQ864" s="22" t="s">
        <v>16</v>
      </c>
      <c r="QDR864" s="22" t="s">
        <v>16</v>
      </c>
      <c r="QDS864" s="22" t="s">
        <v>16</v>
      </c>
      <c r="QDT864" s="22" t="s">
        <v>16</v>
      </c>
      <c r="QDU864" s="22" t="s">
        <v>16</v>
      </c>
      <c r="QDV864" s="22" t="s">
        <v>16</v>
      </c>
      <c r="QDW864" s="22" t="s">
        <v>16</v>
      </c>
      <c r="QDX864" s="22" t="s">
        <v>16</v>
      </c>
      <c r="QDY864" s="22" t="s">
        <v>16</v>
      </c>
      <c r="QDZ864" s="22" t="s">
        <v>16</v>
      </c>
      <c r="QEA864" s="22" t="s">
        <v>16</v>
      </c>
      <c r="QEB864" s="22" t="s">
        <v>16</v>
      </c>
      <c r="QEC864" s="22" t="s">
        <v>16</v>
      </c>
      <c r="QED864" s="22" t="s">
        <v>16</v>
      </c>
      <c r="QEE864" s="22" t="s">
        <v>16</v>
      </c>
      <c r="QEF864" s="22" t="s">
        <v>16</v>
      </c>
      <c r="QEG864" s="22" t="s">
        <v>16</v>
      </c>
      <c r="QEH864" s="22" t="s">
        <v>16</v>
      </c>
      <c r="QEI864" s="22" t="s">
        <v>16</v>
      </c>
      <c r="QEJ864" s="22" t="s">
        <v>16</v>
      </c>
      <c r="QEK864" s="22" t="s">
        <v>16</v>
      </c>
      <c r="QEL864" s="22" t="s">
        <v>16</v>
      </c>
      <c r="QEM864" s="22" t="s">
        <v>16</v>
      </c>
      <c r="QEN864" s="22" t="s">
        <v>16</v>
      </c>
      <c r="QEO864" s="22" t="s">
        <v>16</v>
      </c>
      <c r="QEP864" s="22" t="s">
        <v>16</v>
      </c>
      <c r="QEQ864" s="22" t="s">
        <v>16</v>
      </c>
      <c r="QER864" s="22" t="s">
        <v>16</v>
      </c>
      <c r="QES864" s="22" t="s">
        <v>16</v>
      </c>
      <c r="QET864" s="22" t="s">
        <v>16</v>
      </c>
      <c r="QEU864" s="22" t="s">
        <v>16</v>
      </c>
      <c r="QEV864" s="22" t="s">
        <v>16</v>
      </c>
      <c r="QEW864" s="22" t="s">
        <v>16</v>
      </c>
      <c r="QEX864" s="22" t="s">
        <v>16</v>
      </c>
      <c r="QEY864" s="22" t="s">
        <v>16</v>
      </c>
      <c r="QEZ864" s="22" t="s">
        <v>16</v>
      </c>
      <c r="QFA864" s="22" t="s">
        <v>16</v>
      </c>
      <c r="QFB864" s="22" t="s">
        <v>16</v>
      </c>
      <c r="QFC864" s="22" t="s">
        <v>16</v>
      </c>
      <c r="QFD864" s="22" t="s">
        <v>16</v>
      </c>
      <c r="QFE864" s="22" t="s">
        <v>16</v>
      </c>
      <c r="QFF864" s="22" t="s">
        <v>16</v>
      </c>
      <c r="QFG864" s="22" t="s">
        <v>16</v>
      </c>
      <c r="QFH864" s="22" t="s">
        <v>16</v>
      </c>
      <c r="QFI864" s="22" t="s">
        <v>16</v>
      </c>
      <c r="QFJ864" s="22" t="s">
        <v>16</v>
      </c>
      <c r="QFK864" s="22" t="s">
        <v>16</v>
      </c>
      <c r="QFL864" s="22" t="s">
        <v>16</v>
      </c>
      <c r="QFM864" s="22" t="s">
        <v>16</v>
      </c>
      <c r="QFN864" s="22" t="s">
        <v>16</v>
      </c>
      <c r="QFO864" s="22" t="s">
        <v>16</v>
      </c>
      <c r="QFP864" s="22" t="s">
        <v>16</v>
      </c>
      <c r="QFQ864" s="22" t="s">
        <v>16</v>
      </c>
      <c r="QFR864" s="22" t="s">
        <v>16</v>
      </c>
      <c r="QFS864" s="22" t="s">
        <v>16</v>
      </c>
      <c r="QFT864" s="22" t="s">
        <v>16</v>
      </c>
      <c r="QFU864" s="22" t="s">
        <v>16</v>
      </c>
      <c r="QFV864" s="22" t="s">
        <v>16</v>
      </c>
      <c r="QFW864" s="22" t="s">
        <v>16</v>
      </c>
      <c r="QFX864" s="22" t="s">
        <v>16</v>
      </c>
      <c r="QFY864" s="22" t="s">
        <v>16</v>
      </c>
      <c r="QFZ864" s="22" t="s">
        <v>16</v>
      </c>
      <c r="QGA864" s="22" t="s">
        <v>16</v>
      </c>
      <c r="QGB864" s="22" t="s">
        <v>16</v>
      </c>
      <c r="QGC864" s="22" t="s">
        <v>16</v>
      </c>
      <c r="QGD864" s="22" t="s">
        <v>16</v>
      </c>
      <c r="QGE864" s="22" t="s">
        <v>16</v>
      </c>
      <c r="QGF864" s="22" t="s">
        <v>16</v>
      </c>
      <c r="QGG864" s="22" t="s">
        <v>16</v>
      </c>
      <c r="QGH864" s="22" t="s">
        <v>16</v>
      </c>
      <c r="QGI864" s="22" t="s">
        <v>16</v>
      </c>
      <c r="QGJ864" s="22" t="s">
        <v>16</v>
      </c>
      <c r="QGK864" s="22" t="s">
        <v>16</v>
      </c>
      <c r="QGL864" s="22" t="s">
        <v>16</v>
      </c>
      <c r="QGM864" s="22" t="s">
        <v>16</v>
      </c>
      <c r="QGN864" s="22" t="s">
        <v>16</v>
      </c>
      <c r="QGO864" s="22" t="s">
        <v>16</v>
      </c>
      <c r="QGP864" s="22" t="s">
        <v>16</v>
      </c>
      <c r="QGQ864" s="22" t="s">
        <v>16</v>
      </c>
      <c r="QGR864" s="22" t="s">
        <v>16</v>
      </c>
      <c r="QGS864" s="22" t="s">
        <v>16</v>
      </c>
      <c r="QGT864" s="22" t="s">
        <v>16</v>
      </c>
      <c r="QGU864" s="22" t="s">
        <v>16</v>
      </c>
      <c r="QGV864" s="22" t="s">
        <v>16</v>
      </c>
      <c r="QGW864" s="22" t="s">
        <v>16</v>
      </c>
      <c r="QGX864" s="22" t="s">
        <v>16</v>
      </c>
      <c r="QGY864" s="22" t="s">
        <v>16</v>
      </c>
      <c r="QGZ864" s="22" t="s">
        <v>16</v>
      </c>
      <c r="QHA864" s="22" t="s">
        <v>16</v>
      </c>
      <c r="QHB864" s="22" t="s">
        <v>16</v>
      </c>
      <c r="QHC864" s="22" t="s">
        <v>16</v>
      </c>
      <c r="QHD864" s="22" t="s">
        <v>16</v>
      </c>
      <c r="QHE864" s="22" t="s">
        <v>16</v>
      </c>
      <c r="QHF864" s="22" t="s">
        <v>16</v>
      </c>
      <c r="QHG864" s="22" t="s">
        <v>16</v>
      </c>
      <c r="QHH864" s="22" t="s">
        <v>16</v>
      </c>
      <c r="QHI864" s="22" t="s">
        <v>16</v>
      </c>
      <c r="QHJ864" s="22" t="s">
        <v>16</v>
      </c>
      <c r="QHK864" s="22" t="s">
        <v>16</v>
      </c>
      <c r="QHL864" s="22" t="s">
        <v>16</v>
      </c>
      <c r="QHM864" s="22" t="s">
        <v>16</v>
      </c>
      <c r="QHN864" s="22" t="s">
        <v>16</v>
      </c>
      <c r="QHO864" s="22" t="s">
        <v>16</v>
      </c>
      <c r="QHP864" s="22" t="s">
        <v>16</v>
      </c>
      <c r="QHQ864" s="22" t="s">
        <v>16</v>
      </c>
      <c r="QHR864" s="22" t="s">
        <v>16</v>
      </c>
      <c r="QHS864" s="22" t="s">
        <v>16</v>
      </c>
      <c r="QHT864" s="22" t="s">
        <v>16</v>
      </c>
      <c r="QHU864" s="22" t="s">
        <v>16</v>
      </c>
      <c r="QHV864" s="22" t="s">
        <v>16</v>
      </c>
      <c r="QHW864" s="22" t="s">
        <v>16</v>
      </c>
      <c r="QHX864" s="22" t="s">
        <v>16</v>
      </c>
      <c r="QHY864" s="22" t="s">
        <v>16</v>
      </c>
      <c r="QHZ864" s="22" t="s">
        <v>16</v>
      </c>
      <c r="QIA864" s="22" t="s">
        <v>16</v>
      </c>
      <c r="QIB864" s="22" t="s">
        <v>16</v>
      </c>
      <c r="QIC864" s="22" t="s">
        <v>16</v>
      </c>
      <c r="QID864" s="22" t="s">
        <v>16</v>
      </c>
      <c r="QIE864" s="22" t="s">
        <v>16</v>
      </c>
      <c r="QIF864" s="22" t="s">
        <v>16</v>
      </c>
      <c r="QIG864" s="22" t="s">
        <v>16</v>
      </c>
      <c r="QIH864" s="22" t="s">
        <v>16</v>
      </c>
      <c r="QII864" s="22" t="s">
        <v>16</v>
      </c>
      <c r="QIJ864" s="22" t="s">
        <v>16</v>
      </c>
      <c r="QIK864" s="22" t="s">
        <v>16</v>
      </c>
      <c r="QIL864" s="22" t="s">
        <v>16</v>
      </c>
      <c r="QIM864" s="22" t="s">
        <v>16</v>
      </c>
      <c r="QIN864" s="22" t="s">
        <v>16</v>
      </c>
      <c r="QIO864" s="22" t="s">
        <v>16</v>
      </c>
      <c r="QIP864" s="22" t="s">
        <v>16</v>
      </c>
      <c r="QIQ864" s="22" t="s">
        <v>16</v>
      </c>
      <c r="QIR864" s="22" t="s">
        <v>16</v>
      </c>
      <c r="QIS864" s="22" t="s">
        <v>16</v>
      </c>
      <c r="QIT864" s="22" t="s">
        <v>16</v>
      </c>
      <c r="QIU864" s="22" t="s">
        <v>16</v>
      </c>
      <c r="QIV864" s="22" t="s">
        <v>16</v>
      </c>
      <c r="QIW864" s="22" t="s">
        <v>16</v>
      </c>
      <c r="QIX864" s="22" t="s">
        <v>16</v>
      </c>
      <c r="QIY864" s="22" t="s">
        <v>16</v>
      </c>
      <c r="QIZ864" s="22" t="s">
        <v>16</v>
      </c>
      <c r="QJA864" s="22" t="s">
        <v>16</v>
      </c>
      <c r="QJB864" s="22" t="s">
        <v>16</v>
      </c>
      <c r="QJC864" s="22" t="s">
        <v>16</v>
      </c>
      <c r="QJD864" s="22" t="s">
        <v>16</v>
      </c>
      <c r="QJE864" s="22" t="s">
        <v>16</v>
      </c>
      <c r="QJF864" s="22" t="s">
        <v>16</v>
      </c>
      <c r="QJG864" s="22" t="s">
        <v>16</v>
      </c>
      <c r="QJH864" s="22" t="s">
        <v>16</v>
      </c>
      <c r="QJI864" s="22" t="s">
        <v>16</v>
      </c>
      <c r="QJJ864" s="22" t="s">
        <v>16</v>
      </c>
      <c r="QJK864" s="22" t="s">
        <v>16</v>
      </c>
      <c r="QJL864" s="22" t="s">
        <v>16</v>
      </c>
      <c r="QJM864" s="22" t="s">
        <v>16</v>
      </c>
      <c r="QJN864" s="22" t="s">
        <v>16</v>
      </c>
      <c r="QJO864" s="22" t="s">
        <v>16</v>
      </c>
      <c r="QJP864" s="22" t="s">
        <v>16</v>
      </c>
      <c r="QJQ864" s="22" t="s">
        <v>16</v>
      </c>
      <c r="QJR864" s="22" t="s">
        <v>16</v>
      </c>
      <c r="QJS864" s="22" t="s">
        <v>16</v>
      </c>
      <c r="QJT864" s="22" t="s">
        <v>16</v>
      </c>
      <c r="QJU864" s="22" t="s">
        <v>16</v>
      </c>
      <c r="QJV864" s="22" t="s">
        <v>16</v>
      </c>
      <c r="QJW864" s="22" t="s">
        <v>16</v>
      </c>
      <c r="QJX864" s="22" t="s">
        <v>16</v>
      </c>
      <c r="QJY864" s="22" t="s">
        <v>16</v>
      </c>
      <c r="QJZ864" s="22" t="s">
        <v>16</v>
      </c>
      <c r="QKA864" s="22" t="s">
        <v>16</v>
      </c>
      <c r="QKB864" s="22" t="s">
        <v>16</v>
      </c>
      <c r="QKC864" s="22" t="s">
        <v>16</v>
      </c>
      <c r="QKD864" s="22" t="s">
        <v>16</v>
      </c>
      <c r="QKE864" s="22" t="s">
        <v>16</v>
      </c>
      <c r="QKF864" s="22" t="s">
        <v>16</v>
      </c>
      <c r="QKG864" s="22" t="s">
        <v>16</v>
      </c>
      <c r="QKH864" s="22" t="s">
        <v>16</v>
      </c>
      <c r="QKI864" s="22" t="s">
        <v>16</v>
      </c>
      <c r="QKJ864" s="22" t="s">
        <v>16</v>
      </c>
      <c r="QKK864" s="22" t="s">
        <v>16</v>
      </c>
      <c r="QKL864" s="22" t="s">
        <v>16</v>
      </c>
      <c r="QKM864" s="22" t="s">
        <v>16</v>
      </c>
      <c r="QKN864" s="22" t="s">
        <v>16</v>
      </c>
      <c r="QKO864" s="22" t="s">
        <v>16</v>
      </c>
      <c r="QKP864" s="22" t="s">
        <v>16</v>
      </c>
      <c r="QKQ864" s="22" t="s">
        <v>16</v>
      </c>
      <c r="QKR864" s="22" t="s">
        <v>16</v>
      </c>
      <c r="QKS864" s="22" t="s">
        <v>16</v>
      </c>
      <c r="QKT864" s="22" t="s">
        <v>16</v>
      </c>
      <c r="QKU864" s="22" t="s">
        <v>16</v>
      </c>
      <c r="QKV864" s="22" t="s">
        <v>16</v>
      </c>
      <c r="QKW864" s="22" t="s">
        <v>16</v>
      </c>
      <c r="QKX864" s="22" t="s">
        <v>16</v>
      </c>
      <c r="QKY864" s="22" t="s">
        <v>16</v>
      </c>
      <c r="QKZ864" s="22" t="s">
        <v>16</v>
      </c>
      <c r="QLA864" s="22" t="s">
        <v>16</v>
      </c>
      <c r="QLB864" s="22" t="s">
        <v>16</v>
      </c>
      <c r="QLC864" s="22" t="s">
        <v>16</v>
      </c>
      <c r="QLD864" s="22" t="s">
        <v>16</v>
      </c>
      <c r="QLE864" s="22" t="s">
        <v>16</v>
      </c>
      <c r="QLF864" s="22" t="s">
        <v>16</v>
      </c>
      <c r="QLG864" s="22" t="s">
        <v>16</v>
      </c>
      <c r="QLH864" s="22" t="s">
        <v>16</v>
      </c>
      <c r="QLI864" s="22" t="s">
        <v>16</v>
      </c>
      <c r="QLJ864" s="22" t="s">
        <v>16</v>
      </c>
      <c r="QLK864" s="22" t="s">
        <v>16</v>
      </c>
      <c r="QLL864" s="22" t="s">
        <v>16</v>
      </c>
      <c r="QLM864" s="22" t="s">
        <v>16</v>
      </c>
      <c r="QLN864" s="22" t="s">
        <v>16</v>
      </c>
      <c r="QLO864" s="22" t="s">
        <v>16</v>
      </c>
      <c r="QLP864" s="22" t="s">
        <v>16</v>
      </c>
      <c r="QLQ864" s="22" t="s">
        <v>16</v>
      </c>
      <c r="QLR864" s="22" t="s">
        <v>16</v>
      </c>
      <c r="QLS864" s="22" t="s">
        <v>16</v>
      </c>
      <c r="QLT864" s="22" t="s">
        <v>16</v>
      </c>
      <c r="QLU864" s="22" t="s">
        <v>16</v>
      </c>
      <c r="QLV864" s="22" t="s">
        <v>16</v>
      </c>
      <c r="QLW864" s="22" t="s">
        <v>16</v>
      </c>
      <c r="QLX864" s="22" t="s">
        <v>16</v>
      </c>
      <c r="QLY864" s="22" t="s">
        <v>16</v>
      </c>
      <c r="QLZ864" s="22" t="s">
        <v>16</v>
      </c>
      <c r="QMA864" s="22" t="s">
        <v>16</v>
      </c>
      <c r="QMB864" s="22" t="s">
        <v>16</v>
      </c>
      <c r="QMC864" s="22" t="s">
        <v>16</v>
      </c>
      <c r="QMD864" s="22" t="s">
        <v>16</v>
      </c>
      <c r="QME864" s="22" t="s">
        <v>16</v>
      </c>
      <c r="QMF864" s="22" t="s">
        <v>16</v>
      </c>
      <c r="QMG864" s="22" t="s">
        <v>16</v>
      </c>
      <c r="QMH864" s="22" t="s">
        <v>16</v>
      </c>
      <c r="QMI864" s="22" t="s">
        <v>16</v>
      </c>
      <c r="QMJ864" s="22" t="s">
        <v>16</v>
      </c>
      <c r="QMK864" s="22" t="s">
        <v>16</v>
      </c>
      <c r="QML864" s="22" t="s">
        <v>16</v>
      </c>
      <c r="QMM864" s="22" t="s">
        <v>16</v>
      </c>
      <c r="QMN864" s="22" t="s">
        <v>16</v>
      </c>
      <c r="QMO864" s="22" t="s">
        <v>16</v>
      </c>
      <c r="QMP864" s="22" t="s">
        <v>16</v>
      </c>
      <c r="QMQ864" s="22" t="s">
        <v>16</v>
      </c>
      <c r="QMR864" s="22" t="s">
        <v>16</v>
      </c>
      <c r="QMS864" s="22" t="s">
        <v>16</v>
      </c>
      <c r="QMT864" s="22" t="s">
        <v>16</v>
      </c>
      <c r="QMU864" s="22" t="s">
        <v>16</v>
      </c>
      <c r="QMV864" s="22" t="s">
        <v>16</v>
      </c>
      <c r="QMW864" s="22" t="s">
        <v>16</v>
      </c>
      <c r="QMX864" s="22" t="s">
        <v>16</v>
      </c>
      <c r="QMY864" s="22" t="s">
        <v>16</v>
      </c>
      <c r="QMZ864" s="22" t="s">
        <v>16</v>
      </c>
      <c r="QNA864" s="22" t="s">
        <v>16</v>
      </c>
      <c r="QNB864" s="22" t="s">
        <v>16</v>
      </c>
      <c r="QNC864" s="22" t="s">
        <v>16</v>
      </c>
      <c r="QND864" s="22" t="s">
        <v>16</v>
      </c>
      <c r="QNE864" s="22" t="s">
        <v>16</v>
      </c>
      <c r="QNF864" s="22" t="s">
        <v>16</v>
      </c>
      <c r="QNG864" s="22" t="s">
        <v>16</v>
      </c>
      <c r="QNH864" s="22" t="s">
        <v>16</v>
      </c>
      <c r="QNI864" s="22" t="s">
        <v>16</v>
      </c>
      <c r="QNJ864" s="22" t="s">
        <v>16</v>
      </c>
      <c r="QNK864" s="22" t="s">
        <v>16</v>
      </c>
      <c r="QNL864" s="22" t="s">
        <v>16</v>
      </c>
      <c r="QNM864" s="22" t="s">
        <v>16</v>
      </c>
      <c r="QNN864" s="22" t="s">
        <v>16</v>
      </c>
      <c r="QNO864" s="22" t="s">
        <v>16</v>
      </c>
      <c r="QNP864" s="22" t="s">
        <v>16</v>
      </c>
      <c r="QNQ864" s="22" t="s">
        <v>16</v>
      </c>
      <c r="QNR864" s="22" t="s">
        <v>16</v>
      </c>
      <c r="QNS864" s="22" t="s">
        <v>16</v>
      </c>
      <c r="QNT864" s="22" t="s">
        <v>16</v>
      </c>
      <c r="QNU864" s="22" t="s">
        <v>16</v>
      </c>
      <c r="QNV864" s="22" t="s">
        <v>16</v>
      </c>
      <c r="QNW864" s="22" t="s">
        <v>16</v>
      </c>
      <c r="QNX864" s="22" t="s">
        <v>16</v>
      </c>
      <c r="QNY864" s="22" t="s">
        <v>16</v>
      </c>
      <c r="QNZ864" s="22" t="s">
        <v>16</v>
      </c>
      <c r="QOA864" s="22" t="s">
        <v>16</v>
      </c>
      <c r="QOB864" s="22" t="s">
        <v>16</v>
      </c>
      <c r="QOC864" s="22" t="s">
        <v>16</v>
      </c>
      <c r="QOD864" s="22" t="s">
        <v>16</v>
      </c>
      <c r="QOE864" s="22" t="s">
        <v>16</v>
      </c>
      <c r="QOF864" s="22" t="s">
        <v>16</v>
      </c>
      <c r="QOG864" s="22" t="s">
        <v>16</v>
      </c>
      <c r="QOH864" s="22" t="s">
        <v>16</v>
      </c>
      <c r="QOI864" s="22" t="s">
        <v>16</v>
      </c>
      <c r="QOJ864" s="22" t="s">
        <v>16</v>
      </c>
      <c r="QOK864" s="22" t="s">
        <v>16</v>
      </c>
      <c r="QOL864" s="22" t="s">
        <v>16</v>
      </c>
      <c r="QOM864" s="22" t="s">
        <v>16</v>
      </c>
      <c r="QON864" s="22" t="s">
        <v>16</v>
      </c>
      <c r="QOO864" s="22" t="s">
        <v>16</v>
      </c>
      <c r="QOP864" s="22" t="s">
        <v>16</v>
      </c>
      <c r="QOQ864" s="22" t="s">
        <v>16</v>
      </c>
      <c r="QOR864" s="22" t="s">
        <v>16</v>
      </c>
      <c r="QOS864" s="22" t="s">
        <v>16</v>
      </c>
      <c r="QOT864" s="22" t="s">
        <v>16</v>
      </c>
      <c r="QOU864" s="22" t="s">
        <v>16</v>
      </c>
      <c r="QOV864" s="22" t="s">
        <v>16</v>
      </c>
      <c r="QOW864" s="22" t="s">
        <v>16</v>
      </c>
      <c r="QOX864" s="22" t="s">
        <v>16</v>
      </c>
      <c r="QOY864" s="22" t="s">
        <v>16</v>
      </c>
      <c r="QOZ864" s="22" t="s">
        <v>16</v>
      </c>
      <c r="QPA864" s="22" t="s">
        <v>16</v>
      </c>
      <c r="QPB864" s="22" t="s">
        <v>16</v>
      </c>
      <c r="QPC864" s="22" t="s">
        <v>16</v>
      </c>
      <c r="QPD864" s="22" t="s">
        <v>16</v>
      </c>
      <c r="QPE864" s="22" t="s">
        <v>16</v>
      </c>
      <c r="QPF864" s="22" t="s">
        <v>16</v>
      </c>
      <c r="QPG864" s="22" t="s">
        <v>16</v>
      </c>
      <c r="QPH864" s="22" t="s">
        <v>16</v>
      </c>
      <c r="QPI864" s="22" t="s">
        <v>16</v>
      </c>
      <c r="QPJ864" s="22" t="s">
        <v>16</v>
      </c>
      <c r="QPK864" s="22" t="s">
        <v>16</v>
      </c>
      <c r="QPL864" s="22" t="s">
        <v>16</v>
      </c>
      <c r="QPM864" s="22" t="s">
        <v>16</v>
      </c>
      <c r="QPN864" s="22" t="s">
        <v>16</v>
      </c>
      <c r="QPO864" s="22" t="s">
        <v>16</v>
      </c>
      <c r="QPP864" s="22" t="s">
        <v>16</v>
      </c>
      <c r="QPQ864" s="22" t="s">
        <v>16</v>
      </c>
      <c r="QPR864" s="22" t="s">
        <v>16</v>
      </c>
      <c r="QPS864" s="22" t="s">
        <v>16</v>
      </c>
      <c r="QPT864" s="22" t="s">
        <v>16</v>
      </c>
      <c r="QPU864" s="22" t="s">
        <v>16</v>
      </c>
      <c r="QPV864" s="22" t="s">
        <v>16</v>
      </c>
      <c r="QPW864" s="22" t="s">
        <v>16</v>
      </c>
      <c r="QPX864" s="22" t="s">
        <v>16</v>
      </c>
      <c r="QPY864" s="22" t="s">
        <v>16</v>
      </c>
      <c r="QPZ864" s="22" t="s">
        <v>16</v>
      </c>
      <c r="QQA864" s="22" t="s">
        <v>16</v>
      </c>
      <c r="QQB864" s="22" t="s">
        <v>16</v>
      </c>
      <c r="QQC864" s="22" t="s">
        <v>16</v>
      </c>
      <c r="QQD864" s="22" t="s">
        <v>16</v>
      </c>
      <c r="QQE864" s="22" t="s">
        <v>16</v>
      </c>
      <c r="QQF864" s="22" t="s">
        <v>16</v>
      </c>
      <c r="QQG864" s="22" t="s">
        <v>16</v>
      </c>
      <c r="QQH864" s="22" t="s">
        <v>16</v>
      </c>
      <c r="QQI864" s="22" t="s">
        <v>16</v>
      </c>
      <c r="QQJ864" s="22" t="s">
        <v>16</v>
      </c>
      <c r="QQK864" s="22" t="s">
        <v>16</v>
      </c>
      <c r="QQL864" s="22" t="s">
        <v>16</v>
      </c>
      <c r="QQM864" s="22" t="s">
        <v>16</v>
      </c>
      <c r="QQN864" s="22" t="s">
        <v>16</v>
      </c>
      <c r="QQO864" s="22" t="s">
        <v>16</v>
      </c>
      <c r="QQP864" s="22" t="s">
        <v>16</v>
      </c>
      <c r="QQQ864" s="22" t="s">
        <v>16</v>
      </c>
      <c r="QQR864" s="22" t="s">
        <v>16</v>
      </c>
      <c r="QQS864" s="22" t="s">
        <v>16</v>
      </c>
      <c r="QQT864" s="22" t="s">
        <v>16</v>
      </c>
      <c r="QQU864" s="22" t="s">
        <v>16</v>
      </c>
      <c r="QQV864" s="22" t="s">
        <v>16</v>
      </c>
      <c r="QQW864" s="22" t="s">
        <v>16</v>
      </c>
      <c r="QQX864" s="22" t="s">
        <v>16</v>
      </c>
      <c r="QQY864" s="22" t="s">
        <v>16</v>
      </c>
      <c r="QQZ864" s="22" t="s">
        <v>16</v>
      </c>
      <c r="QRA864" s="22" t="s">
        <v>16</v>
      </c>
      <c r="QRB864" s="22" t="s">
        <v>16</v>
      </c>
      <c r="QRC864" s="22" t="s">
        <v>16</v>
      </c>
      <c r="QRD864" s="22" t="s">
        <v>16</v>
      </c>
      <c r="QRE864" s="22" t="s">
        <v>16</v>
      </c>
      <c r="QRF864" s="22" t="s">
        <v>16</v>
      </c>
      <c r="QRG864" s="22" t="s">
        <v>16</v>
      </c>
      <c r="QRH864" s="22" t="s">
        <v>16</v>
      </c>
      <c r="QRI864" s="22" t="s">
        <v>16</v>
      </c>
      <c r="QRJ864" s="22" t="s">
        <v>16</v>
      </c>
      <c r="QRK864" s="22" t="s">
        <v>16</v>
      </c>
      <c r="QRL864" s="22" t="s">
        <v>16</v>
      </c>
      <c r="QRM864" s="22" t="s">
        <v>16</v>
      </c>
      <c r="QRN864" s="22" t="s">
        <v>16</v>
      </c>
      <c r="QRO864" s="22" t="s">
        <v>16</v>
      </c>
      <c r="QRP864" s="22" t="s">
        <v>16</v>
      </c>
      <c r="QRQ864" s="22" t="s">
        <v>16</v>
      </c>
      <c r="QRR864" s="22" t="s">
        <v>16</v>
      </c>
      <c r="QRS864" s="22" t="s">
        <v>16</v>
      </c>
      <c r="QRT864" s="22" t="s">
        <v>16</v>
      </c>
      <c r="QRU864" s="22" t="s">
        <v>16</v>
      </c>
      <c r="QRV864" s="22" t="s">
        <v>16</v>
      </c>
      <c r="QRW864" s="22" t="s">
        <v>16</v>
      </c>
      <c r="QRX864" s="22" t="s">
        <v>16</v>
      </c>
      <c r="QRY864" s="22" t="s">
        <v>16</v>
      </c>
      <c r="QRZ864" s="22" t="s">
        <v>16</v>
      </c>
      <c r="QSA864" s="22" t="s">
        <v>16</v>
      </c>
      <c r="QSB864" s="22" t="s">
        <v>16</v>
      </c>
      <c r="QSC864" s="22" t="s">
        <v>16</v>
      </c>
      <c r="QSD864" s="22" t="s">
        <v>16</v>
      </c>
      <c r="QSE864" s="22" t="s">
        <v>16</v>
      </c>
      <c r="QSF864" s="22" t="s">
        <v>16</v>
      </c>
      <c r="QSG864" s="22" t="s">
        <v>16</v>
      </c>
      <c r="QSH864" s="22" t="s">
        <v>16</v>
      </c>
      <c r="QSI864" s="22" t="s">
        <v>16</v>
      </c>
      <c r="QSJ864" s="22" t="s">
        <v>16</v>
      </c>
      <c r="QSK864" s="22" t="s">
        <v>16</v>
      </c>
      <c r="QSL864" s="22" t="s">
        <v>16</v>
      </c>
      <c r="QSM864" s="22" t="s">
        <v>16</v>
      </c>
      <c r="QSN864" s="22" t="s">
        <v>16</v>
      </c>
      <c r="QSO864" s="22" t="s">
        <v>16</v>
      </c>
      <c r="QSP864" s="22" t="s">
        <v>16</v>
      </c>
      <c r="QSQ864" s="22" t="s">
        <v>16</v>
      </c>
      <c r="QSR864" s="22" t="s">
        <v>16</v>
      </c>
      <c r="QSS864" s="22" t="s">
        <v>16</v>
      </c>
      <c r="QST864" s="22" t="s">
        <v>16</v>
      </c>
      <c r="QSU864" s="22" t="s">
        <v>16</v>
      </c>
      <c r="QSV864" s="22" t="s">
        <v>16</v>
      </c>
      <c r="QSW864" s="22" t="s">
        <v>16</v>
      </c>
      <c r="QSX864" s="22" t="s">
        <v>16</v>
      </c>
      <c r="QSY864" s="22" t="s">
        <v>16</v>
      </c>
      <c r="QSZ864" s="22" t="s">
        <v>16</v>
      </c>
      <c r="QTA864" s="22" t="s">
        <v>16</v>
      </c>
      <c r="QTB864" s="22" t="s">
        <v>16</v>
      </c>
      <c r="QTC864" s="22" t="s">
        <v>16</v>
      </c>
      <c r="QTD864" s="22" t="s">
        <v>16</v>
      </c>
      <c r="QTE864" s="22" t="s">
        <v>16</v>
      </c>
      <c r="QTF864" s="22" t="s">
        <v>16</v>
      </c>
      <c r="QTG864" s="22" t="s">
        <v>16</v>
      </c>
      <c r="QTH864" s="22" t="s">
        <v>16</v>
      </c>
      <c r="QTI864" s="22" t="s">
        <v>16</v>
      </c>
      <c r="QTJ864" s="22" t="s">
        <v>16</v>
      </c>
      <c r="QTK864" s="22" t="s">
        <v>16</v>
      </c>
      <c r="QTL864" s="22" t="s">
        <v>16</v>
      </c>
      <c r="QTM864" s="22" t="s">
        <v>16</v>
      </c>
      <c r="QTN864" s="22" t="s">
        <v>16</v>
      </c>
      <c r="QTO864" s="22" t="s">
        <v>16</v>
      </c>
      <c r="QTP864" s="22" t="s">
        <v>16</v>
      </c>
      <c r="QTQ864" s="22" t="s">
        <v>16</v>
      </c>
      <c r="QTR864" s="22" t="s">
        <v>16</v>
      </c>
      <c r="QTS864" s="22" t="s">
        <v>16</v>
      </c>
      <c r="QTT864" s="22" t="s">
        <v>16</v>
      </c>
      <c r="QTU864" s="22" t="s">
        <v>16</v>
      </c>
      <c r="QTV864" s="22" t="s">
        <v>16</v>
      </c>
      <c r="QTW864" s="22" t="s">
        <v>16</v>
      </c>
      <c r="QTX864" s="22" t="s">
        <v>16</v>
      </c>
      <c r="QTY864" s="22" t="s">
        <v>16</v>
      </c>
      <c r="QTZ864" s="22" t="s">
        <v>16</v>
      </c>
      <c r="QUA864" s="22" t="s">
        <v>16</v>
      </c>
      <c r="QUB864" s="22" t="s">
        <v>16</v>
      </c>
      <c r="QUC864" s="22" t="s">
        <v>16</v>
      </c>
      <c r="QUD864" s="22" t="s">
        <v>16</v>
      </c>
      <c r="QUE864" s="22" t="s">
        <v>16</v>
      </c>
      <c r="QUF864" s="22" t="s">
        <v>16</v>
      </c>
      <c r="QUG864" s="22" t="s">
        <v>16</v>
      </c>
      <c r="QUH864" s="22" t="s">
        <v>16</v>
      </c>
      <c r="QUI864" s="22" t="s">
        <v>16</v>
      </c>
      <c r="QUJ864" s="22" t="s">
        <v>16</v>
      </c>
      <c r="QUK864" s="22" t="s">
        <v>16</v>
      </c>
      <c r="QUL864" s="22" t="s">
        <v>16</v>
      </c>
      <c r="QUM864" s="22" t="s">
        <v>16</v>
      </c>
      <c r="QUN864" s="22" t="s">
        <v>16</v>
      </c>
      <c r="QUO864" s="22" t="s">
        <v>16</v>
      </c>
      <c r="QUP864" s="22" t="s">
        <v>16</v>
      </c>
      <c r="QUQ864" s="22" t="s">
        <v>16</v>
      </c>
      <c r="QUR864" s="22" t="s">
        <v>16</v>
      </c>
      <c r="QUS864" s="22" t="s">
        <v>16</v>
      </c>
      <c r="QUT864" s="22" t="s">
        <v>16</v>
      </c>
      <c r="QUU864" s="22" t="s">
        <v>16</v>
      </c>
      <c r="QUV864" s="22" t="s">
        <v>16</v>
      </c>
      <c r="QUW864" s="22" t="s">
        <v>16</v>
      </c>
      <c r="QUX864" s="22" t="s">
        <v>16</v>
      </c>
      <c r="QUY864" s="22" t="s">
        <v>16</v>
      </c>
      <c r="QUZ864" s="22" t="s">
        <v>16</v>
      </c>
      <c r="QVA864" s="22" t="s">
        <v>16</v>
      </c>
      <c r="QVB864" s="22" t="s">
        <v>16</v>
      </c>
      <c r="QVC864" s="22" t="s">
        <v>16</v>
      </c>
      <c r="QVD864" s="22" t="s">
        <v>16</v>
      </c>
      <c r="QVE864" s="22" t="s">
        <v>16</v>
      </c>
      <c r="QVF864" s="22" t="s">
        <v>16</v>
      </c>
      <c r="QVG864" s="22" t="s">
        <v>16</v>
      </c>
      <c r="QVH864" s="22" t="s">
        <v>16</v>
      </c>
      <c r="QVI864" s="22" t="s">
        <v>16</v>
      </c>
      <c r="QVJ864" s="22" t="s">
        <v>16</v>
      </c>
      <c r="QVK864" s="22" t="s">
        <v>16</v>
      </c>
      <c r="QVL864" s="22" t="s">
        <v>16</v>
      </c>
      <c r="QVM864" s="22" t="s">
        <v>16</v>
      </c>
      <c r="QVN864" s="22" t="s">
        <v>16</v>
      </c>
      <c r="QVO864" s="22" t="s">
        <v>16</v>
      </c>
      <c r="QVP864" s="22" t="s">
        <v>16</v>
      </c>
      <c r="QVQ864" s="22" t="s">
        <v>16</v>
      </c>
      <c r="QVR864" s="22" t="s">
        <v>16</v>
      </c>
      <c r="QVS864" s="22" t="s">
        <v>16</v>
      </c>
      <c r="QVT864" s="22" t="s">
        <v>16</v>
      </c>
      <c r="QVU864" s="22" t="s">
        <v>16</v>
      </c>
      <c r="QVV864" s="22" t="s">
        <v>16</v>
      </c>
      <c r="QVW864" s="22" t="s">
        <v>16</v>
      </c>
      <c r="QVX864" s="22" t="s">
        <v>16</v>
      </c>
      <c r="QVY864" s="22" t="s">
        <v>16</v>
      </c>
      <c r="QVZ864" s="22" t="s">
        <v>16</v>
      </c>
      <c r="QWA864" s="22" t="s">
        <v>16</v>
      </c>
      <c r="QWB864" s="22" t="s">
        <v>16</v>
      </c>
      <c r="QWC864" s="22" t="s">
        <v>16</v>
      </c>
      <c r="QWD864" s="22" t="s">
        <v>16</v>
      </c>
      <c r="QWE864" s="22" t="s">
        <v>16</v>
      </c>
      <c r="QWF864" s="22" t="s">
        <v>16</v>
      </c>
      <c r="QWG864" s="22" t="s">
        <v>16</v>
      </c>
      <c r="QWH864" s="22" t="s">
        <v>16</v>
      </c>
      <c r="QWI864" s="22" t="s">
        <v>16</v>
      </c>
      <c r="QWJ864" s="22" t="s">
        <v>16</v>
      </c>
      <c r="QWK864" s="22" t="s">
        <v>16</v>
      </c>
      <c r="QWL864" s="22" t="s">
        <v>16</v>
      </c>
      <c r="QWM864" s="22" t="s">
        <v>16</v>
      </c>
      <c r="QWN864" s="22" t="s">
        <v>16</v>
      </c>
      <c r="QWO864" s="22" t="s">
        <v>16</v>
      </c>
      <c r="QWP864" s="22" t="s">
        <v>16</v>
      </c>
      <c r="QWQ864" s="22" t="s">
        <v>16</v>
      </c>
      <c r="QWR864" s="22" t="s">
        <v>16</v>
      </c>
      <c r="QWS864" s="22" t="s">
        <v>16</v>
      </c>
      <c r="QWT864" s="22" t="s">
        <v>16</v>
      </c>
      <c r="QWU864" s="22" t="s">
        <v>16</v>
      </c>
      <c r="QWV864" s="22" t="s">
        <v>16</v>
      </c>
      <c r="QWW864" s="22" t="s">
        <v>16</v>
      </c>
      <c r="QWX864" s="22" t="s">
        <v>16</v>
      </c>
      <c r="QWY864" s="22" t="s">
        <v>16</v>
      </c>
      <c r="QWZ864" s="22" t="s">
        <v>16</v>
      </c>
      <c r="QXA864" s="22" t="s">
        <v>16</v>
      </c>
      <c r="QXB864" s="22" t="s">
        <v>16</v>
      </c>
      <c r="QXC864" s="22" t="s">
        <v>16</v>
      </c>
      <c r="QXD864" s="22" t="s">
        <v>16</v>
      </c>
      <c r="QXE864" s="22" t="s">
        <v>16</v>
      </c>
      <c r="QXF864" s="22" t="s">
        <v>16</v>
      </c>
      <c r="QXG864" s="22" t="s">
        <v>16</v>
      </c>
      <c r="QXH864" s="22" t="s">
        <v>16</v>
      </c>
      <c r="QXI864" s="22" t="s">
        <v>16</v>
      </c>
      <c r="QXJ864" s="22" t="s">
        <v>16</v>
      </c>
      <c r="QXK864" s="22" t="s">
        <v>16</v>
      </c>
      <c r="QXL864" s="22" t="s">
        <v>16</v>
      </c>
      <c r="QXM864" s="22" t="s">
        <v>16</v>
      </c>
      <c r="QXN864" s="22" t="s">
        <v>16</v>
      </c>
      <c r="QXO864" s="22" t="s">
        <v>16</v>
      </c>
      <c r="QXP864" s="22" t="s">
        <v>16</v>
      </c>
      <c r="QXQ864" s="22" t="s">
        <v>16</v>
      </c>
      <c r="QXR864" s="22" t="s">
        <v>16</v>
      </c>
      <c r="QXS864" s="22" t="s">
        <v>16</v>
      </c>
      <c r="QXT864" s="22" t="s">
        <v>16</v>
      </c>
      <c r="QXU864" s="22" t="s">
        <v>16</v>
      </c>
      <c r="QXV864" s="22" t="s">
        <v>16</v>
      </c>
      <c r="QXW864" s="22" t="s">
        <v>16</v>
      </c>
      <c r="QXX864" s="22" t="s">
        <v>16</v>
      </c>
      <c r="QXY864" s="22" t="s">
        <v>16</v>
      </c>
      <c r="QXZ864" s="22" t="s">
        <v>16</v>
      </c>
      <c r="QYA864" s="22" t="s">
        <v>16</v>
      </c>
      <c r="QYB864" s="22" t="s">
        <v>16</v>
      </c>
      <c r="QYC864" s="22" t="s">
        <v>16</v>
      </c>
      <c r="QYD864" s="22" t="s">
        <v>16</v>
      </c>
      <c r="QYE864" s="22" t="s">
        <v>16</v>
      </c>
      <c r="QYF864" s="22" t="s">
        <v>16</v>
      </c>
      <c r="QYG864" s="22" t="s">
        <v>16</v>
      </c>
      <c r="QYH864" s="22" t="s">
        <v>16</v>
      </c>
      <c r="QYI864" s="22" t="s">
        <v>16</v>
      </c>
      <c r="QYJ864" s="22" t="s">
        <v>16</v>
      </c>
      <c r="QYK864" s="22" t="s">
        <v>16</v>
      </c>
      <c r="QYL864" s="22" t="s">
        <v>16</v>
      </c>
      <c r="QYM864" s="22" t="s">
        <v>16</v>
      </c>
      <c r="QYN864" s="22" t="s">
        <v>16</v>
      </c>
      <c r="QYO864" s="22" t="s">
        <v>16</v>
      </c>
      <c r="QYP864" s="22" t="s">
        <v>16</v>
      </c>
      <c r="QYQ864" s="22" t="s">
        <v>16</v>
      </c>
      <c r="QYR864" s="22" t="s">
        <v>16</v>
      </c>
      <c r="QYS864" s="22" t="s">
        <v>16</v>
      </c>
      <c r="QYT864" s="22" t="s">
        <v>16</v>
      </c>
      <c r="QYU864" s="22" t="s">
        <v>16</v>
      </c>
      <c r="QYV864" s="22" t="s">
        <v>16</v>
      </c>
      <c r="QYW864" s="22" t="s">
        <v>16</v>
      </c>
      <c r="QYX864" s="22" t="s">
        <v>16</v>
      </c>
      <c r="QYY864" s="22" t="s">
        <v>16</v>
      </c>
      <c r="QYZ864" s="22" t="s">
        <v>16</v>
      </c>
      <c r="QZA864" s="22" t="s">
        <v>16</v>
      </c>
      <c r="QZB864" s="22" t="s">
        <v>16</v>
      </c>
      <c r="QZC864" s="22" t="s">
        <v>16</v>
      </c>
      <c r="QZD864" s="22" t="s">
        <v>16</v>
      </c>
      <c r="QZE864" s="22" t="s">
        <v>16</v>
      </c>
      <c r="QZF864" s="22" t="s">
        <v>16</v>
      </c>
      <c r="QZG864" s="22" t="s">
        <v>16</v>
      </c>
      <c r="QZH864" s="22" t="s">
        <v>16</v>
      </c>
      <c r="QZI864" s="22" t="s">
        <v>16</v>
      </c>
      <c r="QZJ864" s="22" t="s">
        <v>16</v>
      </c>
      <c r="QZK864" s="22" t="s">
        <v>16</v>
      </c>
      <c r="QZL864" s="22" t="s">
        <v>16</v>
      </c>
      <c r="QZM864" s="22" t="s">
        <v>16</v>
      </c>
      <c r="QZN864" s="22" t="s">
        <v>16</v>
      </c>
      <c r="QZO864" s="22" t="s">
        <v>16</v>
      </c>
      <c r="QZP864" s="22" t="s">
        <v>16</v>
      </c>
      <c r="QZQ864" s="22" t="s">
        <v>16</v>
      </c>
      <c r="QZR864" s="22" t="s">
        <v>16</v>
      </c>
      <c r="QZS864" s="22" t="s">
        <v>16</v>
      </c>
      <c r="QZT864" s="22" t="s">
        <v>16</v>
      </c>
      <c r="QZU864" s="22" t="s">
        <v>16</v>
      </c>
      <c r="QZV864" s="22" t="s">
        <v>16</v>
      </c>
      <c r="QZW864" s="22" t="s">
        <v>16</v>
      </c>
      <c r="QZX864" s="22" t="s">
        <v>16</v>
      </c>
      <c r="QZY864" s="22" t="s">
        <v>16</v>
      </c>
      <c r="QZZ864" s="22" t="s">
        <v>16</v>
      </c>
      <c r="RAA864" s="22" t="s">
        <v>16</v>
      </c>
      <c r="RAB864" s="22" t="s">
        <v>16</v>
      </c>
      <c r="RAC864" s="22" t="s">
        <v>16</v>
      </c>
      <c r="RAD864" s="22" t="s">
        <v>16</v>
      </c>
      <c r="RAE864" s="22" t="s">
        <v>16</v>
      </c>
      <c r="RAF864" s="22" t="s">
        <v>16</v>
      </c>
      <c r="RAG864" s="22" t="s">
        <v>16</v>
      </c>
      <c r="RAH864" s="22" t="s">
        <v>16</v>
      </c>
      <c r="RAI864" s="22" t="s">
        <v>16</v>
      </c>
      <c r="RAJ864" s="22" t="s">
        <v>16</v>
      </c>
      <c r="RAK864" s="22" t="s">
        <v>16</v>
      </c>
      <c r="RAL864" s="22" t="s">
        <v>16</v>
      </c>
      <c r="RAM864" s="22" t="s">
        <v>16</v>
      </c>
      <c r="RAN864" s="22" t="s">
        <v>16</v>
      </c>
      <c r="RAO864" s="22" t="s">
        <v>16</v>
      </c>
      <c r="RAP864" s="22" t="s">
        <v>16</v>
      </c>
      <c r="RAQ864" s="22" t="s">
        <v>16</v>
      </c>
      <c r="RAR864" s="22" t="s">
        <v>16</v>
      </c>
      <c r="RAS864" s="22" t="s">
        <v>16</v>
      </c>
      <c r="RAT864" s="22" t="s">
        <v>16</v>
      </c>
      <c r="RAU864" s="22" t="s">
        <v>16</v>
      </c>
      <c r="RAV864" s="22" t="s">
        <v>16</v>
      </c>
      <c r="RAW864" s="22" t="s">
        <v>16</v>
      </c>
      <c r="RAX864" s="22" t="s">
        <v>16</v>
      </c>
      <c r="RAY864" s="22" t="s">
        <v>16</v>
      </c>
      <c r="RAZ864" s="22" t="s">
        <v>16</v>
      </c>
      <c r="RBA864" s="22" t="s">
        <v>16</v>
      </c>
      <c r="RBB864" s="22" t="s">
        <v>16</v>
      </c>
      <c r="RBC864" s="22" t="s">
        <v>16</v>
      </c>
      <c r="RBD864" s="22" t="s">
        <v>16</v>
      </c>
      <c r="RBE864" s="22" t="s">
        <v>16</v>
      </c>
      <c r="RBF864" s="22" t="s">
        <v>16</v>
      </c>
      <c r="RBG864" s="22" t="s">
        <v>16</v>
      </c>
      <c r="RBH864" s="22" t="s">
        <v>16</v>
      </c>
      <c r="RBI864" s="22" t="s">
        <v>16</v>
      </c>
      <c r="RBJ864" s="22" t="s">
        <v>16</v>
      </c>
      <c r="RBK864" s="22" t="s">
        <v>16</v>
      </c>
      <c r="RBL864" s="22" t="s">
        <v>16</v>
      </c>
      <c r="RBM864" s="22" t="s">
        <v>16</v>
      </c>
      <c r="RBN864" s="22" t="s">
        <v>16</v>
      </c>
      <c r="RBO864" s="22" t="s">
        <v>16</v>
      </c>
      <c r="RBP864" s="22" t="s">
        <v>16</v>
      </c>
      <c r="RBQ864" s="22" t="s">
        <v>16</v>
      </c>
      <c r="RBR864" s="22" t="s">
        <v>16</v>
      </c>
      <c r="RBS864" s="22" t="s">
        <v>16</v>
      </c>
      <c r="RBT864" s="22" t="s">
        <v>16</v>
      </c>
      <c r="RBU864" s="22" t="s">
        <v>16</v>
      </c>
      <c r="RBV864" s="22" t="s">
        <v>16</v>
      </c>
      <c r="RBW864" s="22" t="s">
        <v>16</v>
      </c>
      <c r="RBX864" s="22" t="s">
        <v>16</v>
      </c>
      <c r="RBY864" s="22" t="s">
        <v>16</v>
      </c>
      <c r="RBZ864" s="22" t="s">
        <v>16</v>
      </c>
      <c r="RCA864" s="22" t="s">
        <v>16</v>
      </c>
      <c r="RCB864" s="22" t="s">
        <v>16</v>
      </c>
      <c r="RCC864" s="22" t="s">
        <v>16</v>
      </c>
      <c r="RCD864" s="22" t="s">
        <v>16</v>
      </c>
      <c r="RCE864" s="22" t="s">
        <v>16</v>
      </c>
      <c r="RCF864" s="22" t="s">
        <v>16</v>
      </c>
      <c r="RCG864" s="22" t="s">
        <v>16</v>
      </c>
      <c r="RCH864" s="22" t="s">
        <v>16</v>
      </c>
      <c r="RCI864" s="22" t="s">
        <v>16</v>
      </c>
      <c r="RCJ864" s="22" t="s">
        <v>16</v>
      </c>
      <c r="RCK864" s="22" t="s">
        <v>16</v>
      </c>
      <c r="RCL864" s="22" t="s">
        <v>16</v>
      </c>
      <c r="RCM864" s="22" t="s">
        <v>16</v>
      </c>
      <c r="RCN864" s="22" t="s">
        <v>16</v>
      </c>
      <c r="RCO864" s="22" t="s">
        <v>16</v>
      </c>
      <c r="RCP864" s="22" t="s">
        <v>16</v>
      </c>
      <c r="RCQ864" s="22" t="s">
        <v>16</v>
      </c>
      <c r="RCR864" s="22" t="s">
        <v>16</v>
      </c>
      <c r="RCS864" s="22" t="s">
        <v>16</v>
      </c>
      <c r="RCT864" s="22" t="s">
        <v>16</v>
      </c>
      <c r="RCU864" s="22" t="s">
        <v>16</v>
      </c>
      <c r="RCV864" s="22" t="s">
        <v>16</v>
      </c>
      <c r="RCW864" s="22" t="s">
        <v>16</v>
      </c>
      <c r="RCX864" s="22" t="s">
        <v>16</v>
      </c>
      <c r="RCY864" s="22" t="s">
        <v>16</v>
      </c>
      <c r="RCZ864" s="22" t="s">
        <v>16</v>
      </c>
      <c r="RDA864" s="22" t="s">
        <v>16</v>
      </c>
      <c r="RDB864" s="22" t="s">
        <v>16</v>
      </c>
      <c r="RDC864" s="22" t="s">
        <v>16</v>
      </c>
      <c r="RDD864" s="22" t="s">
        <v>16</v>
      </c>
      <c r="RDE864" s="22" t="s">
        <v>16</v>
      </c>
      <c r="RDF864" s="22" t="s">
        <v>16</v>
      </c>
      <c r="RDG864" s="22" t="s">
        <v>16</v>
      </c>
      <c r="RDH864" s="22" t="s">
        <v>16</v>
      </c>
      <c r="RDI864" s="22" t="s">
        <v>16</v>
      </c>
      <c r="RDJ864" s="22" t="s">
        <v>16</v>
      </c>
      <c r="RDK864" s="22" t="s">
        <v>16</v>
      </c>
      <c r="RDL864" s="22" t="s">
        <v>16</v>
      </c>
      <c r="RDM864" s="22" t="s">
        <v>16</v>
      </c>
      <c r="RDN864" s="22" t="s">
        <v>16</v>
      </c>
      <c r="RDO864" s="22" t="s">
        <v>16</v>
      </c>
      <c r="RDP864" s="22" t="s">
        <v>16</v>
      </c>
      <c r="RDQ864" s="22" t="s">
        <v>16</v>
      </c>
      <c r="RDR864" s="22" t="s">
        <v>16</v>
      </c>
      <c r="RDS864" s="22" t="s">
        <v>16</v>
      </c>
      <c r="RDT864" s="22" t="s">
        <v>16</v>
      </c>
      <c r="RDU864" s="22" t="s">
        <v>16</v>
      </c>
      <c r="RDV864" s="22" t="s">
        <v>16</v>
      </c>
      <c r="RDW864" s="22" t="s">
        <v>16</v>
      </c>
      <c r="RDX864" s="22" t="s">
        <v>16</v>
      </c>
      <c r="RDY864" s="22" t="s">
        <v>16</v>
      </c>
      <c r="RDZ864" s="22" t="s">
        <v>16</v>
      </c>
      <c r="REA864" s="22" t="s">
        <v>16</v>
      </c>
      <c r="REB864" s="22" t="s">
        <v>16</v>
      </c>
      <c r="REC864" s="22" t="s">
        <v>16</v>
      </c>
      <c r="RED864" s="22" t="s">
        <v>16</v>
      </c>
      <c r="REE864" s="22" t="s">
        <v>16</v>
      </c>
      <c r="REF864" s="22" t="s">
        <v>16</v>
      </c>
      <c r="REG864" s="22" t="s">
        <v>16</v>
      </c>
      <c r="REH864" s="22" t="s">
        <v>16</v>
      </c>
      <c r="REI864" s="22" t="s">
        <v>16</v>
      </c>
      <c r="REJ864" s="22" t="s">
        <v>16</v>
      </c>
      <c r="REK864" s="22" t="s">
        <v>16</v>
      </c>
      <c r="REL864" s="22" t="s">
        <v>16</v>
      </c>
      <c r="REM864" s="22" t="s">
        <v>16</v>
      </c>
      <c r="REN864" s="22" t="s">
        <v>16</v>
      </c>
      <c r="REO864" s="22" t="s">
        <v>16</v>
      </c>
      <c r="REP864" s="22" t="s">
        <v>16</v>
      </c>
      <c r="REQ864" s="22" t="s">
        <v>16</v>
      </c>
      <c r="RER864" s="22" t="s">
        <v>16</v>
      </c>
      <c r="RES864" s="22" t="s">
        <v>16</v>
      </c>
      <c r="RET864" s="22" t="s">
        <v>16</v>
      </c>
      <c r="REU864" s="22" t="s">
        <v>16</v>
      </c>
      <c r="REV864" s="22" t="s">
        <v>16</v>
      </c>
      <c r="REW864" s="22" t="s">
        <v>16</v>
      </c>
      <c r="REX864" s="22" t="s">
        <v>16</v>
      </c>
      <c r="REY864" s="22" t="s">
        <v>16</v>
      </c>
      <c r="REZ864" s="22" t="s">
        <v>16</v>
      </c>
      <c r="RFA864" s="22" t="s">
        <v>16</v>
      </c>
      <c r="RFB864" s="22" t="s">
        <v>16</v>
      </c>
      <c r="RFC864" s="22" t="s">
        <v>16</v>
      </c>
      <c r="RFD864" s="22" t="s">
        <v>16</v>
      </c>
      <c r="RFE864" s="22" t="s">
        <v>16</v>
      </c>
      <c r="RFF864" s="22" t="s">
        <v>16</v>
      </c>
      <c r="RFG864" s="22" t="s">
        <v>16</v>
      </c>
      <c r="RFH864" s="22" t="s">
        <v>16</v>
      </c>
      <c r="RFI864" s="22" t="s">
        <v>16</v>
      </c>
      <c r="RFJ864" s="22" t="s">
        <v>16</v>
      </c>
      <c r="RFK864" s="22" t="s">
        <v>16</v>
      </c>
      <c r="RFL864" s="22" t="s">
        <v>16</v>
      </c>
      <c r="RFM864" s="22" t="s">
        <v>16</v>
      </c>
      <c r="RFN864" s="22" t="s">
        <v>16</v>
      </c>
      <c r="RFO864" s="22" t="s">
        <v>16</v>
      </c>
      <c r="RFP864" s="22" t="s">
        <v>16</v>
      </c>
      <c r="RFQ864" s="22" t="s">
        <v>16</v>
      </c>
      <c r="RFR864" s="22" t="s">
        <v>16</v>
      </c>
      <c r="RFS864" s="22" t="s">
        <v>16</v>
      </c>
      <c r="RFT864" s="22" t="s">
        <v>16</v>
      </c>
      <c r="RFU864" s="22" t="s">
        <v>16</v>
      </c>
      <c r="RFV864" s="22" t="s">
        <v>16</v>
      </c>
      <c r="RFW864" s="22" t="s">
        <v>16</v>
      </c>
      <c r="RFX864" s="22" t="s">
        <v>16</v>
      </c>
      <c r="RFY864" s="22" t="s">
        <v>16</v>
      </c>
      <c r="RFZ864" s="22" t="s">
        <v>16</v>
      </c>
      <c r="RGA864" s="22" t="s">
        <v>16</v>
      </c>
      <c r="RGB864" s="22" t="s">
        <v>16</v>
      </c>
      <c r="RGC864" s="22" t="s">
        <v>16</v>
      </c>
      <c r="RGD864" s="22" t="s">
        <v>16</v>
      </c>
      <c r="RGE864" s="22" t="s">
        <v>16</v>
      </c>
      <c r="RGF864" s="22" t="s">
        <v>16</v>
      </c>
      <c r="RGG864" s="22" t="s">
        <v>16</v>
      </c>
      <c r="RGH864" s="22" t="s">
        <v>16</v>
      </c>
      <c r="RGI864" s="22" t="s">
        <v>16</v>
      </c>
      <c r="RGJ864" s="22" t="s">
        <v>16</v>
      </c>
      <c r="RGK864" s="22" t="s">
        <v>16</v>
      </c>
      <c r="RGL864" s="22" t="s">
        <v>16</v>
      </c>
      <c r="RGM864" s="22" t="s">
        <v>16</v>
      </c>
      <c r="RGN864" s="22" t="s">
        <v>16</v>
      </c>
      <c r="RGO864" s="22" t="s">
        <v>16</v>
      </c>
      <c r="RGP864" s="22" t="s">
        <v>16</v>
      </c>
      <c r="RGQ864" s="22" t="s">
        <v>16</v>
      </c>
      <c r="RGR864" s="22" t="s">
        <v>16</v>
      </c>
      <c r="RGS864" s="22" t="s">
        <v>16</v>
      </c>
      <c r="RGT864" s="22" t="s">
        <v>16</v>
      </c>
      <c r="RGU864" s="22" t="s">
        <v>16</v>
      </c>
      <c r="RGV864" s="22" t="s">
        <v>16</v>
      </c>
      <c r="RGW864" s="22" t="s">
        <v>16</v>
      </c>
      <c r="RGX864" s="22" t="s">
        <v>16</v>
      </c>
      <c r="RGY864" s="22" t="s">
        <v>16</v>
      </c>
      <c r="RGZ864" s="22" t="s">
        <v>16</v>
      </c>
      <c r="RHA864" s="22" t="s">
        <v>16</v>
      </c>
      <c r="RHB864" s="22" t="s">
        <v>16</v>
      </c>
      <c r="RHC864" s="22" t="s">
        <v>16</v>
      </c>
      <c r="RHD864" s="22" t="s">
        <v>16</v>
      </c>
      <c r="RHE864" s="22" t="s">
        <v>16</v>
      </c>
      <c r="RHF864" s="22" t="s">
        <v>16</v>
      </c>
      <c r="RHG864" s="22" t="s">
        <v>16</v>
      </c>
      <c r="RHH864" s="22" t="s">
        <v>16</v>
      </c>
      <c r="RHI864" s="22" t="s">
        <v>16</v>
      </c>
      <c r="RHJ864" s="22" t="s">
        <v>16</v>
      </c>
      <c r="RHK864" s="22" t="s">
        <v>16</v>
      </c>
      <c r="RHL864" s="22" t="s">
        <v>16</v>
      </c>
      <c r="RHM864" s="22" t="s">
        <v>16</v>
      </c>
      <c r="RHN864" s="22" t="s">
        <v>16</v>
      </c>
      <c r="RHO864" s="22" t="s">
        <v>16</v>
      </c>
      <c r="RHP864" s="22" t="s">
        <v>16</v>
      </c>
      <c r="RHQ864" s="22" t="s">
        <v>16</v>
      </c>
      <c r="RHR864" s="22" t="s">
        <v>16</v>
      </c>
      <c r="RHS864" s="22" t="s">
        <v>16</v>
      </c>
      <c r="RHT864" s="22" t="s">
        <v>16</v>
      </c>
      <c r="RHU864" s="22" t="s">
        <v>16</v>
      </c>
      <c r="RHV864" s="22" t="s">
        <v>16</v>
      </c>
      <c r="RHW864" s="22" t="s">
        <v>16</v>
      </c>
      <c r="RHX864" s="22" t="s">
        <v>16</v>
      </c>
      <c r="RHY864" s="22" t="s">
        <v>16</v>
      </c>
      <c r="RHZ864" s="22" t="s">
        <v>16</v>
      </c>
      <c r="RIA864" s="22" t="s">
        <v>16</v>
      </c>
      <c r="RIB864" s="22" t="s">
        <v>16</v>
      </c>
      <c r="RIC864" s="22" t="s">
        <v>16</v>
      </c>
      <c r="RID864" s="22" t="s">
        <v>16</v>
      </c>
      <c r="RIE864" s="22" t="s">
        <v>16</v>
      </c>
      <c r="RIF864" s="22" t="s">
        <v>16</v>
      </c>
      <c r="RIG864" s="22" t="s">
        <v>16</v>
      </c>
      <c r="RIH864" s="22" t="s">
        <v>16</v>
      </c>
      <c r="RII864" s="22" t="s">
        <v>16</v>
      </c>
      <c r="RIJ864" s="22" t="s">
        <v>16</v>
      </c>
      <c r="RIK864" s="22" t="s">
        <v>16</v>
      </c>
      <c r="RIL864" s="22" t="s">
        <v>16</v>
      </c>
      <c r="RIM864" s="22" t="s">
        <v>16</v>
      </c>
      <c r="RIN864" s="22" t="s">
        <v>16</v>
      </c>
      <c r="RIO864" s="22" t="s">
        <v>16</v>
      </c>
      <c r="RIP864" s="22" t="s">
        <v>16</v>
      </c>
      <c r="RIQ864" s="22" t="s">
        <v>16</v>
      </c>
      <c r="RIR864" s="22" t="s">
        <v>16</v>
      </c>
      <c r="RIS864" s="22" t="s">
        <v>16</v>
      </c>
      <c r="RIT864" s="22" t="s">
        <v>16</v>
      </c>
      <c r="RIU864" s="22" t="s">
        <v>16</v>
      </c>
      <c r="RIV864" s="22" t="s">
        <v>16</v>
      </c>
      <c r="RIW864" s="22" t="s">
        <v>16</v>
      </c>
      <c r="RIX864" s="22" t="s">
        <v>16</v>
      </c>
      <c r="RIY864" s="22" t="s">
        <v>16</v>
      </c>
      <c r="RIZ864" s="22" t="s">
        <v>16</v>
      </c>
      <c r="RJA864" s="22" t="s">
        <v>16</v>
      </c>
      <c r="RJB864" s="22" t="s">
        <v>16</v>
      </c>
      <c r="RJC864" s="22" t="s">
        <v>16</v>
      </c>
      <c r="RJD864" s="22" t="s">
        <v>16</v>
      </c>
      <c r="RJE864" s="22" t="s">
        <v>16</v>
      </c>
      <c r="RJF864" s="22" t="s">
        <v>16</v>
      </c>
      <c r="RJG864" s="22" t="s">
        <v>16</v>
      </c>
      <c r="RJH864" s="22" t="s">
        <v>16</v>
      </c>
      <c r="RJI864" s="22" t="s">
        <v>16</v>
      </c>
      <c r="RJJ864" s="22" t="s">
        <v>16</v>
      </c>
      <c r="RJK864" s="22" t="s">
        <v>16</v>
      </c>
      <c r="RJL864" s="22" t="s">
        <v>16</v>
      </c>
      <c r="RJM864" s="22" t="s">
        <v>16</v>
      </c>
      <c r="RJN864" s="22" t="s">
        <v>16</v>
      </c>
      <c r="RJO864" s="22" t="s">
        <v>16</v>
      </c>
      <c r="RJP864" s="22" t="s">
        <v>16</v>
      </c>
      <c r="RJQ864" s="22" t="s">
        <v>16</v>
      </c>
      <c r="RJR864" s="22" t="s">
        <v>16</v>
      </c>
      <c r="RJS864" s="22" t="s">
        <v>16</v>
      </c>
      <c r="RJT864" s="22" t="s">
        <v>16</v>
      </c>
      <c r="RJU864" s="22" t="s">
        <v>16</v>
      </c>
      <c r="RJV864" s="22" t="s">
        <v>16</v>
      </c>
      <c r="RJW864" s="22" t="s">
        <v>16</v>
      </c>
      <c r="RJX864" s="22" t="s">
        <v>16</v>
      </c>
      <c r="RJY864" s="22" t="s">
        <v>16</v>
      </c>
      <c r="RJZ864" s="22" t="s">
        <v>16</v>
      </c>
      <c r="RKA864" s="22" t="s">
        <v>16</v>
      </c>
      <c r="RKB864" s="22" t="s">
        <v>16</v>
      </c>
      <c r="RKC864" s="22" t="s">
        <v>16</v>
      </c>
      <c r="RKD864" s="22" t="s">
        <v>16</v>
      </c>
      <c r="RKE864" s="22" t="s">
        <v>16</v>
      </c>
      <c r="RKF864" s="22" t="s">
        <v>16</v>
      </c>
      <c r="RKG864" s="22" t="s">
        <v>16</v>
      </c>
      <c r="RKH864" s="22" t="s">
        <v>16</v>
      </c>
      <c r="RKI864" s="22" t="s">
        <v>16</v>
      </c>
      <c r="RKJ864" s="22" t="s">
        <v>16</v>
      </c>
      <c r="RKK864" s="22" t="s">
        <v>16</v>
      </c>
      <c r="RKL864" s="22" t="s">
        <v>16</v>
      </c>
      <c r="RKM864" s="22" t="s">
        <v>16</v>
      </c>
      <c r="RKN864" s="22" t="s">
        <v>16</v>
      </c>
      <c r="RKO864" s="22" t="s">
        <v>16</v>
      </c>
      <c r="RKP864" s="22" t="s">
        <v>16</v>
      </c>
      <c r="RKQ864" s="22" t="s">
        <v>16</v>
      </c>
      <c r="RKR864" s="22" t="s">
        <v>16</v>
      </c>
      <c r="RKS864" s="22" t="s">
        <v>16</v>
      </c>
      <c r="RKT864" s="22" t="s">
        <v>16</v>
      </c>
      <c r="RKU864" s="22" t="s">
        <v>16</v>
      </c>
      <c r="RKV864" s="22" t="s">
        <v>16</v>
      </c>
      <c r="RKW864" s="22" t="s">
        <v>16</v>
      </c>
      <c r="RKX864" s="22" t="s">
        <v>16</v>
      </c>
      <c r="RKY864" s="22" t="s">
        <v>16</v>
      </c>
      <c r="RKZ864" s="22" t="s">
        <v>16</v>
      </c>
      <c r="RLA864" s="22" t="s">
        <v>16</v>
      </c>
      <c r="RLB864" s="22" t="s">
        <v>16</v>
      </c>
      <c r="RLC864" s="22" t="s">
        <v>16</v>
      </c>
      <c r="RLD864" s="22" t="s">
        <v>16</v>
      </c>
      <c r="RLE864" s="22" t="s">
        <v>16</v>
      </c>
      <c r="RLF864" s="22" t="s">
        <v>16</v>
      </c>
      <c r="RLG864" s="22" t="s">
        <v>16</v>
      </c>
      <c r="RLH864" s="22" t="s">
        <v>16</v>
      </c>
      <c r="RLI864" s="22" t="s">
        <v>16</v>
      </c>
      <c r="RLJ864" s="22" t="s">
        <v>16</v>
      </c>
      <c r="RLK864" s="22" t="s">
        <v>16</v>
      </c>
      <c r="RLL864" s="22" t="s">
        <v>16</v>
      </c>
      <c r="RLM864" s="22" t="s">
        <v>16</v>
      </c>
      <c r="RLN864" s="22" t="s">
        <v>16</v>
      </c>
      <c r="RLO864" s="22" t="s">
        <v>16</v>
      </c>
      <c r="RLP864" s="22" t="s">
        <v>16</v>
      </c>
      <c r="RLQ864" s="22" t="s">
        <v>16</v>
      </c>
      <c r="RLR864" s="22" t="s">
        <v>16</v>
      </c>
      <c r="RLS864" s="22" t="s">
        <v>16</v>
      </c>
      <c r="RLT864" s="22" t="s">
        <v>16</v>
      </c>
      <c r="RLU864" s="22" t="s">
        <v>16</v>
      </c>
      <c r="RLV864" s="22" t="s">
        <v>16</v>
      </c>
      <c r="RLW864" s="22" t="s">
        <v>16</v>
      </c>
      <c r="RLX864" s="22" t="s">
        <v>16</v>
      </c>
      <c r="RLY864" s="22" t="s">
        <v>16</v>
      </c>
      <c r="RLZ864" s="22" t="s">
        <v>16</v>
      </c>
      <c r="RMA864" s="22" t="s">
        <v>16</v>
      </c>
      <c r="RMB864" s="22" t="s">
        <v>16</v>
      </c>
      <c r="RMC864" s="22" t="s">
        <v>16</v>
      </c>
      <c r="RMD864" s="22" t="s">
        <v>16</v>
      </c>
      <c r="RME864" s="22" t="s">
        <v>16</v>
      </c>
      <c r="RMF864" s="22" t="s">
        <v>16</v>
      </c>
      <c r="RMG864" s="22" t="s">
        <v>16</v>
      </c>
      <c r="RMH864" s="22" t="s">
        <v>16</v>
      </c>
      <c r="RMI864" s="22" t="s">
        <v>16</v>
      </c>
      <c r="RMJ864" s="22" t="s">
        <v>16</v>
      </c>
      <c r="RMK864" s="22" t="s">
        <v>16</v>
      </c>
      <c r="RML864" s="22" t="s">
        <v>16</v>
      </c>
      <c r="RMM864" s="22" t="s">
        <v>16</v>
      </c>
      <c r="RMN864" s="22" t="s">
        <v>16</v>
      </c>
      <c r="RMO864" s="22" t="s">
        <v>16</v>
      </c>
      <c r="RMP864" s="22" t="s">
        <v>16</v>
      </c>
      <c r="RMQ864" s="22" t="s">
        <v>16</v>
      </c>
      <c r="RMR864" s="22" t="s">
        <v>16</v>
      </c>
      <c r="RMS864" s="22" t="s">
        <v>16</v>
      </c>
      <c r="RMT864" s="22" t="s">
        <v>16</v>
      </c>
      <c r="RMU864" s="22" t="s">
        <v>16</v>
      </c>
      <c r="RMV864" s="22" t="s">
        <v>16</v>
      </c>
      <c r="RMW864" s="22" t="s">
        <v>16</v>
      </c>
      <c r="RMX864" s="22" t="s">
        <v>16</v>
      </c>
      <c r="RMY864" s="22" t="s">
        <v>16</v>
      </c>
      <c r="RMZ864" s="22" t="s">
        <v>16</v>
      </c>
      <c r="RNA864" s="22" t="s">
        <v>16</v>
      </c>
      <c r="RNB864" s="22" t="s">
        <v>16</v>
      </c>
      <c r="RNC864" s="22" t="s">
        <v>16</v>
      </c>
      <c r="RND864" s="22" t="s">
        <v>16</v>
      </c>
      <c r="RNE864" s="22" t="s">
        <v>16</v>
      </c>
      <c r="RNF864" s="22" t="s">
        <v>16</v>
      </c>
      <c r="RNG864" s="22" t="s">
        <v>16</v>
      </c>
      <c r="RNH864" s="22" t="s">
        <v>16</v>
      </c>
      <c r="RNI864" s="22" t="s">
        <v>16</v>
      </c>
      <c r="RNJ864" s="22" t="s">
        <v>16</v>
      </c>
      <c r="RNK864" s="22" t="s">
        <v>16</v>
      </c>
      <c r="RNL864" s="22" t="s">
        <v>16</v>
      </c>
      <c r="RNM864" s="22" t="s">
        <v>16</v>
      </c>
      <c r="RNN864" s="22" t="s">
        <v>16</v>
      </c>
      <c r="RNO864" s="22" t="s">
        <v>16</v>
      </c>
      <c r="RNP864" s="22" t="s">
        <v>16</v>
      </c>
      <c r="RNQ864" s="22" t="s">
        <v>16</v>
      </c>
      <c r="RNR864" s="22" t="s">
        <v>16</v>
      </c>
      <c r="RNS864" s="22" t="s">
        <v>16</v>
      </c>
      <c r="RNT864" s="22" t="s">
        <v>16</v>
      </c>
      <c r="RNU864" s="22" t="s">
        <v>16</v>
      </c>
      <c r="RNV864" s="22" t="s">
        <v>16</v>
      </c>
      <c r="RNW864" s="22" t="s">
        <v>16</v>
      </c>
      <c r="RNX864" s="22" t="s">
        <v>16</v>
      </c>
      <c r="RNY864" s="22" t="s">
        <v>16</v>
      </c>
      <c r="RNZ864" s="22" t="s">
        <v>16</v>
      </c>
      <c r="ROA864" s="22" t="s">
        <v>16</v>
      </c>
      <c r="ROB864" s="22" t="s">
        <v>16</v>
      </c>
      <c r="ROC864" s="22" t="s">
        <v>16</v>
      </c>
      <c r="ROD864" s="22" t="s">
        <v>16</v>
      </c>
      <c r="ROE864" s="22" t="s">
        <v>16</v>
      </c>
      <c r="ROF864" s="22" t="s">
        <v>16</v>
      </c>
      <c r="ROG864" s="22" t="s">
        <v>16</v>
      </c>
      <c r="ROH864" s="22" t="s">
        <v>16</v>
      </c>
      <c r="ROI864" s="22" t="s">
        <v>16</v>
      </c>
      <c r="ROJ864" s="22" t="s">
        <v>16</v>
      </c>
      <c r="ROK864" s="22" t="s">
        <v>16</v>
      </c>
      <c r="ROL864" s="22" t="s">
        <v>16</v>
      </c>
      <c r="ROM864" s="22" t="s">
        <v>16</v>
      </c>
      <c r="RON864" s="22" t="s">
        <v>16</v>
      </c>
      <c r="ROO864" s="22" t="s">
        <v>16</v>
      </c>
      <c r="ROP864" s="22" t="s">
        <v>16</v>
      </c>
      <c r="ROQ864" s="22" t="s">
        <v>16</v>
      </c>
      <c r="ROR864" s="22" t="s">
        <v>16</v>
      </c>
      <c r="ROS864" s="22" t="s">
        <v>16</v>
      </c>
      <c r="ROT864" s="22" t="s">
        <v>16</v>
      </c>
      <c r="ROU864" s="22" t="s">
        <v>16</v>
      </c>
      <c r="ROV864" s="22" t="s">
        <v>16</v>
      </c>
      <c r="ROW864" s="22" t="s">
        <v>16</v>
      </c>
      <c r="ROX864" s="22" t="s">
        <v>16</v>
      </c>
      <c r="ROY864" s="22" t="s">
        <v>16</v>
      </c>
      <c r="ROZ864" s="22" t="s">
        <v>16</v>
      </c>
      <c r="RPA864" s="22" t="s">
        <v>16</v>
      </c>
      <c r="RPB864" s="22" t="s">
        <v>16</v>
      </c>
      <c r="RPC864" s="22" t="s">
        <v>16</v>
      </c>
      <c r="RPD864" s="22" t="s">
        <v>16</v>
      </c>
      <c r="RPE864" s="22" t="s">
        <v>16</v>
      </c>
      <c r="RPF864" s="22" t="s">
        <v>16</v>
      </c>
      <c r="RPG864" s="22" t="s">
        <v>16</v>
      </c>
      <c r="RPH864" s="22" t="s">
        <v>16</v>
      </c>
      <c r="RPI864" s="22" t="s">
        <v>16</v>
      </c>
      <c r="RPJ864" s="22" t="s">
        <v>16</v>
      </c>
      <c r="RPK864" s="22" t="s">
        <v>16</v>
      </c>
      <c r="RPL864" s="22" t="s">
        <v>16</v>
      </c>
      <c r="RPM864" s="22" t="s">
        <v>16</v>
      </c>
      <c r="RPN864" s="22" t="s">
        <v>16</v>
      </c>
      <c r="RPO864" s="22" t="s">
        <v>16</v>
      </c>
      <c r="RPP864" s="22" t="s">
        <v>16</v>
      </c>
      <c r="RPQ864" s="22" t="s">
        <v>16</v>
      </c>
      <c r="RPR864" s="22" t="s">
        <v>16</v>
      </c>
      <c r="RPS864" s="22" t="s">
        <v>16</v>
      </c>
      <c r="RPT864" s="22" t="s">
        <v>16</v>
      </c>
      <c r="RPU864" s="22" t="s">
        <v>16</v>
      </c>
      <c r="RPV864" s="22" t="s">
        <v>16</v>
      </c>
      <c r="RPW864" s="22" t="s">
        <v>16</v>
      </c>
      <c r="RPX864" s="22" t="s">
        <v>16</v>
      </c>
      <c r="RPY864" s="22" t="s">
        <v>16</v>
      </c>
      <c r="RPZ864" s="22" t="s">
        <v>16</v>
      </c>
      <c r="RQA864" s="22" t="s">
        <v>16</v>
      </c>
      <c r="RQB864" s="22" t="s">
        <v>16</v>
      </c>
      <c r="RQC864" s="22" t="s">
        <v>16</v>
      </c>
      <c r="RQD864" s="22" t="s">
        <v>16</v>
      </c>
      <c r="RQE864" s="22" t="s">
        <v>16</v>
      </c>
      <c r="RQF864" s="22" t="s">
        <v>16</v>
      </c>
      <c r="RQG864" s="22" t="s">
        <v>16</v>
      </c>
      <c r="RQH864" s="22" t="s">
        <v>16</v>
      </c>
      <c r="RQI864" s="22" t="s">
        <v>16</v>
      </c>
      <c r="RQJ864" s="22" t="s">
        <v>16</v>
      </c>
      <c r="RQK864" s="22" t="s">
        <v>16</v>
      </c>
      <c r="RQL864" s="22" t="s">
        <v>16</v>
      </c>
      <c r="RQM864" s="22" t="s">
        <v>16</v>
      </c>
      <c r="RQN864" s="22" t="s">
        <v>16</v>
      </c>
      <c r="RQO864" s="22" t="s">
        <v>16</v>
      </c>
      <c r="RQP864" s="22" t="s">
        <v>16</v>
      </c>
      <c r="RQQ864" s="22" t="s">
        <v>16</v>
      </c>
      <c r="RQR864" s="22" t="s">
        <v>16</v>
      </c>
      <c r="RQS864" s="22" t="s">
        <v>16</v>
      </c>
      <c r="RQT864" s="22" t="s">
        <v>16</v>
      </c>
      <c r="RQU864" s="22" t="s">
        <v>16</v>
      </c>
      <c r="RQV864" s="22" t="s">
        <v>16</v>
      </c>
      <c r="RQW864" s="22" t="s">
        <v>16</v>
      </c>
      <c r="RQX864" s="22" t="s">
        <v>16</v>
      </c>
      <c r="RQY864" s="22" t="s">
        <v>16</v>
      </c>
      <c r="RQZ864" s="22" t="s">
        <v>16</v>
      </c>
      <c r="RRA864" s="22" t="s">
        <v>16</v>
      </c>
      <c r="RRB864" s="22" t="s">
        <v>16</v>
      </c>
      <c r="RRC864" s="22" t="s">
        <v>16</v>
      </c>
      <c r="RRD864" s="22" t="s">
        <v>16</v>
      </c>
      <c r="RRE864" s="22" t="s">
        <v>16</v>
      </c>
      <c r="RRF864" s="22" t="s">
        <v>16</v>
      </c>
      <c r="RRG864" s="22" t="s">
        <v>16</v>
      </c>
      <c r="RRH864" s="22" t="s">
        <v>16</v>
      </c>
      <c r="RRI864" s="22" t="s">
        <v>16</v>
      </c>
      <c r="RRJ864" s="22" t="s">
        <v>16</v>
      </c>
      <c r="RRK864" s="22" t="s">
        <v>16</v>
      </c>
      <c r="RRL864" s="22" t="s">
        <v>16</v>
      </c>
      <c r="RRM864" s="22" t="s">
        <v>16</v>
      </c>
      <c r="RRN864" s="22" t="s">
        <v>16</v>
      </c>
      <c r="RRO864" s="22" t="s">
        <v>16</v>
      </c>
      <c r="RRP864" s="22" t="s">
        <v>16</v>
      </c>
      <c r="RRQ864" s="22" t="s">
        <v>16</v>
      </c>
      <c r="RRR864" s="22" t="s">
        <v>16</v>
      </c>
      <c r="RRS864" s="22" t="s">
        <v>16</v>
      </c>
      <c r="RRT864" s="22" t="s">
        <v>16</v>
      </c>
      <c r="RRU864" s="22" t="s">
        <v>16</v>
      </c>
      <c r="RRV864" s="22" t="s">
        <v>16</v>
      </c>
      <c r="RRW864" s="22" t="s">
        <v>16</v>
      </c>
      <c r="RRX864" s="22" t="s">
        <v>16</v>
      </c>
      <c r="RRY864" s="22" t="s">
        <v>16</v>
      </c>
      <c r="RRZ864" s="22" t="s">
        <v>16</v>
      </c>
      <c r="RSA864" s="22" t="s">
        <v>16</v>
      </c>
      <c r="RSB864" s="22" t="s">
        <v>16</v>
      </c>
      <c r="RSC864" s="22" t="s">
        <v>16</v>
      </c>
      <c r="RSD864" s="22" t="s">
        <v>16</v>
      </c>
      <c r="RSE864" s="22" t="s">
        <v>16</v>
      </c>
      <c r="RSF864" s="22" t="s">
        <v>16</v>
      </c>
      <c r="RSG864" s="22" t="s">
        <v>16</v>
      </c>
      <c r="RSH864" s="22" t="s">
        <v>16</v>
      </c>
      <c r="RSI864" s="22" t="s">
        <v>16</v>
      </c>
      <c r="RSJ864" s="22" t="s">
        <v>16</v>
      </c>
      <c r="RSK864" s="22" t="s">
        <v>16</v>
      </c>
      <c r="RSL864" s="22" t="s">
        <v>16</v>
      </c>
      <c r="RSM864" s="22" t="s">
        <v>16</v>
      </c>
      <c r="RSN864" s="22" t="s">
        <v>16</v>
      </c>
      <c r="RSO864" s="22" t="s">
        <v>16</v>
      </c>
      <c r="RSP864" s="22" t="s">
        <v>16</v>
      </c>
      <c r="RSQ864" s="22" t="s">
        <v>16</v>
      </c>
      <c r="RSR864" s="22" t="s">
        <v>16</v>
      </c>
      <c r="RSS864" s="22" t="s">
        <v>16</v>
      </c>
      <c r="RST864" s="22" t="s">
        <v>16</v>
      </c>
      <c r="RSU864" s="22" t="s">
        <v>16</v>
      </c>
      <c r="RSV864" s="22" t="s">
        <v>16</v>
      </c>
      <c r="RSW864" s="22" t="s">
        <v>16</v>
      </c>
      <c r="RSX864" s="22" t="s">
        <v>16</v>
      </c>
      <c r="RSY864" s="22" t="s">
        <v>16</v>
      </c>
      <c r="RSZ864" s="22" t="s">
        <v>16</v>
      </c>
      <c r="RTA864" s="22" t="s">
        <v>16</v>
      </c>
      <c r="RTB864" s="22" t="s">
        <v>16</v>
      </c>
      <c r="RTC864" s="22" t="s">
        <v>16</v>
      </c>
      <c r="RTD864" s="22" t="s">
        <v>16</v>
      </c>
      <c r="RTE864" s="22" t="s">
        <v>16</v>
      </c>
      <c r="RTF864" s="22" t="s">
        <v>16</v>
      </c>
      <c r="RTG864" s="22" t="s">
        <v>16</v>
      </c>
      <c r="RTH864" s="22" t="s">
        <v>16</v>
      </c>
      <c r="RTI864" s="22" t="s">
        <v>16</v>
      </c>
      <c r="RTJ864" s="22" t="s">
        <v>16</v>
      </c>
      <c r="RTK864" s="22" t="s">
        <v>16</v>
      </c>
      <c r="RTL864" s="22" t="s">
        <v>16</v>
      </c>
      <c r="RTM864" s="22" t="s">
        <v>16</v>
      </c>
      <c r="RTN864" s="22" t="s">
        <v>16</v>
      </c>
      <c r="RTO864" s="22" t="s">
        <v>16</v>
      </c>
      <c r="RTP864" s="22" t="s">
        <v>16</v>
      </c>
      <c r="RTQ864" s="22" t="s">
        <v>16</v>
      </c>
      <c r="RTR864" s="22" t="s">
        <v>16</v>
      </c>
      <c r="RTS864" s="22" t="s">
        <v>16</v>
      </c>
      <c r="RTT864" s="22" t="s">
        <v>16</v>
      </c>
      <c r="RTU864" s="22" t="s">
        <v>16</v>
      </c>
      <c r="RTV864" s="22" t="s">
        <v>16</v>
      </c>
      <c r="RTW864" s="22" t="s">
        <v>16</v>
      </c>
      <c r="RTX864" s="22" t="s">
        <v>16</v>
      </c>
      <c r="RTY864" s="22" t="s">
        <v>16</v>
      </c>
      <c r="RTZ864" s="22" t="s">
        <v>16</v>
      </c>
      <c r="RUA864" s="22" t="s">
        <v>16</v>
      </c>
      <c r="RUB864" s="22" t="s">
        <v>16</v>
      </c>
      <c r="RUC864" s="22" t="s">
        <v>16</v>
      </c>
      <c r="RUD864" s="22" t="s">
        <v>16</v>
      </c>
      <c r="RUE864" s="22" t="s">
        <v>16</v>
      </c>
      <c r="RUF864" s="22" t="s">
        <v>16</v>
      </c>
      <c r="RUG864" s="22" t="s">
        <v>16</v>
      </c>
      <c r="RUH864" s="22" t="s">
        <v>16</v>
      </c>
      <c r="RUI864" s="22" t="s">
        <v>16</v>
      </c>
      <c r="RUJ864" s="22" t="s">
        <v>16</v>
      </c>
      <c r="RUK864" s="22" t="s">
        <v>16</v>
      </c>
      <c r="RUL864" s="22" t="s">
        <v>16</v>
      </c>
      <c r="RUM864" s="22" t="s">
        <v>16</v>
      </c>
      <c r="RUN864" s="22" t="s">
        <v>16</v>
      </c>
      <c r="RUO864" s="22" t="s">
        <v>16</v>
      </c>
      <c r="RUP864" s="22" t="s">
        <v>16</v>
      </c>
      <c r="RUQ864" s="22" t="s">
        <v>16</v>
      </c>
      <c r="RUR864" s="22" t="s">
        <v>16</v>
      </c>
      <c r="RUS864" s="22" t="s">
        <v>16</v>
      </c>
      <c r="RUT864" s="22" t="s">
        <v>16</v>
      </c>
      <c r="RUU864" s="22" t="s">
        <v>16</v>
      </c>
      <c r="RUV864" s="22" t="s">
        <v>16</v>
      </c>
      <c r="RUW864" s="22" t="s">
        <v>16</v>
      </c>
      <c r="RUX864" s="22" t="s">
        <v>16</v>
      </c>
      <c r="RUY864" s="22" t="s">
        <v>16</v>
      </c>
      <c r="RUZ864" s="22" t="s">
        <v>16</v>
      </c>
      <c r="RVA864" s="22" t="s">
        <v>16</v>
      </c>
      <c r="RVB864" s="22" t="s">
        <v>16</v>
      </c>
      <c r="RVC864" s="22" t="s">
        <v>16</v>
      </c>
      <c r="RVD864" s="22" t="s">
        <v>16</v>
      </c>
      <c r="RVE864" s="22" t="s">
        <v>16</v>
      </c>
      <c r="RVF864" s="22" t="s">
        <v>16</v>
      </c>
      <c r="RVG864" s="22" t="s">
        <v>16</v>
      </c>
      <c r="RVH864" s="22" t="s">
        <v>16</v>
      </c>
      <c r="RVI864" s="22" t="s">
        <v>16</v>
      </c>
      <c r="RVJ864" s="22" t="s">
        <v>16</v>
      </c>
      <c r="RVK864" s="22" t="s">
        <v>16</v>
      </c>
      <c r="RVL864" s="22" t="s">
        <v>16</v>
      </c>
      <c r="RVM864" s="22" t="s">
        <v>16</v>
      </c>
      <c r="RVN864" s="22" t="s">
        <v>16</v>
      </c>
      <c r="RVO864" s="22" t="s">
        <v>16</v>
      </c>
      <c r="RVP864" s="22" t="s">
        <v>16</v>
      </c>
      <c r="RVQ864" s="22" t="s">
        <v>16</v>
      </c>
      <c r="RVR864" s="22" t="s">
        <v>16</v>
      </c>
      <c r="RVS864" s="22" t="s">
        <v>16</v>
      </c>
      <c r="RVT864" s="22" t="s">
        <v>16</v>
      </c>
      <c r="RVU864" s="22" t="s">
        <v>16</v>
      </c>
      <c r="RVV864" s="22" t="s">
        <v>16</v>
      </c>
      <c r="RVW864" s="22" t="s">
        <v>16</v>
      </c>
      <c r="RVX864" s="22" t="s">
        <v>16</v>
      </c>
      <c r="RVY864" s="22" t="s">
        <v>16</v>
      </c>
      <c r="RVZ864" s="22" t="s">
        <v>16</v>
      </c>
      <c r="RWA864" s="22" t="s">
        <v>16</v>
      </c>
      <c r="RWB864" s="22" t="s">
        <v>16</v>
      </c>
      <c r="RWC864" s="22" t="s">
        <v>16</v>
      </c>
      <c r="RWD864" s="22" t="s">
        <v>16</v>
      </c>
      <c r="RWE864" s="22" t="s">
        <v>16</v>
      </c>
      <c r="RWF864" s="22" t="s">
        <v>16</v>
      </c>
      <c r="RWG864" s="22" t="s">
        <v>16</v>
      </c>
      <c r="RWH864" s="22" t="s">
        <v>16</v>
      </c>
      <c r="RWI864" s="22" t="s">
        <v>16</v>
      </c>
      <c r="RWJ864" s="22" t="s">
        <v>16</v>
      </c>
      <c r="RWK864" s="22" t="s">
        <v>16</v>
      </c>
      <c r="RWL864" s="22" t="s">
        <v>16</v>
      </c>
      <c r="RWM864" s="22" t="s">
        <v>16</v>
      </c>
      <c r="RWN864" s="22" t="s">
        <v>16</v>
      </c>
      <c r="RWO864" s="22" t="s">
        <v>16</v>
      </c>
      <c r="RWP864" s="22" t="s">
        <v>16</v>
      </c>
      <c r="RWQ864" s="22" t="s">
        <v>16</v>
      </c>
      <c r="RWR864" s="22" t="s">
        <v>16</v>
      </c>
      <c r="RWS864" s="22" t="s">
        <v>16</v>
      </c>
      <c r="RWT864" s="22" t="s">
        <v>16</v>
      </c>
      <c r="RWU864" s="22" t="s">
        <v>16</v>
      </c>
      <c r="RWV864" s="22" t="s">
        <v>16</v>
      </c>
      <c r="RWW864" s="22" t="s">
        <v>16</v>
      </c>
      <c r="RWX864" s="22" t="s">
        <v>16</v>
      </c>
      <c r="RWY864" s="22" t="s">
        <v>16</v>
      </c>
      <c r="RWZ864" s="22" t="s">
        <v>16</v>
      </c>
      <c r="RXA864" s="22" t="s">
        <v>16</v>
      </c>
      <c r="RXB864" s="22" t="s">
        <v>16</v>
      </c>
      <c r="RXC864" s="22" t="s">
        <v>16</v>
      </c>
      <c r="RXD864" s="22" t="s">
        <v>16</v>
      </c>
      <c r="RXE864" s="22" t="s">
        <v>16</v>
      </c>
      <c r="RXF864" s="22" t="s">
        <v>16</v>
      </c>
      <c r="RXG864" s="22" t="s">
        <v>16</v>
      </c>
      <c r="RXH864" s="22" t="s">
        <v>16</v>
      </c>
      <c r="RXI864" s="22" t="s">
        <v>16</v>
      </c>
      <c r="RXJ864" s="22" t="s">
        <v>16</v>
      </c>
      <c r="RXK864" s="22" t="s">
        <v>16</v>
      </c>
      <c r="RXL864" s="22" t="s">
        <v>16</v>
      </c>
      <c r="RXM864" s="22" t="s">
        <v>16</v>
      </c>
      <c r="RXN864" s="22" t="s">
        <v>16</v>
      </c>
      <c r="RXO864" s="22" t="s">
        <v>16</v>
      </c>
      <c r="RXP864" s="22" t="s">
        <v>16</v>
      </c>
      <c r="RXQ864" s="22" t="s">
        <v>16</v>
      </c>
      <c r="RXR864" s="22" t="s">
        <v>16</v>
      </c>
      <c r="RXS864" s="22" t="s">
        <v>16</v>
      </c>
      <c r="RXT864" s="22" t="s">
        <v>16</v>
      </c>
      <c r="RXU864" s="22" t="s">
        <v>16</v>
      </c>
      <c r="RXV864" s="22" t="s">
        <v>16</v>
      </c>
      <c r="RXW864" s="22" t="s">
        <v>16</v>
      </c>
      <c r="RXX864" s="22" t="s">
        <v>16</v>
      </c>
      <c r="RXY864" s="22" t="s">
        <v>16</v>
      </c>
      <c r="RXZ864" s="22" t="s">
        <v>16</v>
      </c>
      <c r="RYA864" s="22" t="s">
        <v>16</v>
      </c>
      <c r="RYB864" s="22" t="s">
        <v>16</v>
      </c>
      <c r="RYC864" s="22" t="s">
        <v>16</v>
      </c>
      <c r="RYD864" s="22" t="s">
        <v>16</v>
      </c>
      <c r="RYE864" s="22" t="s">
        <v>16</v>
      </c>
      <c r="RYF864" s="22" t="s">
        <v>16</v>
      </c>
      <c r="RYG864" s="22" t="s">
        <v>16</v>
      </c>
      <c r="RYH864" s="22" t="s">
        <v>16</v>
      </c>
      <c r="RYI864" s="22" t="s">
        <v>16</v>
      </c>
      <c r="RYJ864" s="22" t="s">
        <v>16</v>
      </c>
      <c r="RYK864" s="22" t="s">
        <v>16</v>
      </c>
      <c r="RYL864" s="22" t="s">
        <v>16</v>
      </c>
      <c r="RYM864" s="22" t="s">
        <v>16</v>
      </c>
      <c r="RYN864" s="22" t="s">
        <v>16</v>
      </c>
      <c r="RYO864" s="22" t="s">
        <v>16</v>
      </c>
      <c r="RYP864" s="22" t="s">
        <v>16</v>
      </c>
      <c r="RYQ864" s="22" t="s">
        <v>16</v>
      </c>
      <c r="RYR864" s="22" t="s">
        <v>16</v>
      </c>
      <c r="RYS864" s="22" t="s">
        <v>16</v>
      </c>
      <c r="RYT864" s="22" t="s">
        <v>16</v>
      </c>
      <c r="RYU864" s="22" t="s">
        <v>16</v>
      </c>
      <c r="RYV864" s="22" t="s">
        <v>16</v>
      </c>
      <c r="RYW864" s="22" t="s">
        <v>16</v>
      </c>
      <c r="RYX864" s="22" t="s">
        <v>16</v>
      </c>
      <c r="RYY864" s="22" t="s">
        <v>16</v>
      </c>
      <c r="RYZ864" s="22" t="s">
        <v>16</v>
      </c>
      <c r="RZA864" s="22" t="s">
        <v>16</v>
      </c>
      <c r="RZB864" s="22" t="s">
        <v>16</v>
      </c>
      <c r="RZC864" s="22" t="s">
        <v>16</v>
      </c>
      <c r="RZD864" s="22" t="s">
        <v>16</v>
      </c>
      <c r="RZE864" s="22" t="s">
        <v>16</v>
      </c>
      <c r="RZF864" s="22" t="s">
        <v>16</v>
      </c>
      <c r="RZG864" s="22" t="s">
        <v>16</v>
      </c>
      <c r="RZH864" s="22" t="s">
        <v>16</v>
      </c>
      <c r="RZI864" s="22" t="s">
        <v>16</v>
      </c>
      <c r="RZJ864" s="22" t="s">
        <v>16</v>
      </c>
      <c r="RZK864" s="22" t="s">
        <v>16</v>
      </c>
      <c r="RZL864" s="22" t="s">
        <v>16</v>
      </c>
      <c r="RZM864" s="22" t="s">
        <v>16</v>
      </c>
      <c r="RZN864" s="22" t="s">
        <v>16</v>
      </c>
      <c r="RZO864" s="22" t="s">
        <v>16</v>
      </c>
      <c r="RZP864" s="22" t="s">
        <v>16</v>
      </c>
      <c r="RZQ864" s="22" t="s">
        <v>16</v>
      </c>
      <c r="RZR864" s="22" t="s">
        <v>16</v>
      </c>
      <c r="RZS864" s="22" t="s">
        <v>16</v>
      </c>
      <c r="RZT864" s="22" t="s">
        <v>16</v>
      </c>
      <c r="RZU864" s="22" t="s">
        <v>16</v>
      </c>
      <c r="RZV864" s="22" t="s">
        <v>16</v>
      </c>
      <c r="RZW864" s="22" t="s">
        <v>16</v>
      </c>
      <c r="RZX864" s="22" t="s">
        <v>16</v>
      </c>
      <c r="RZY864" s="22" t="s">
        <v>16</v>
      </c>
      <c r="RZZ864" s="22" t="s">
        <v>16</v>
      </c>
      <c r="SAA864" s="22" t="s">
        <v>16</v>
      </c>
      <c r="SAB864" s="22" t="s">
        <v>16</v>
      </c>
      <c r="SAC864" s="22" t="s">
        <v>16</v>
      </c>
      <c r="SAD864" s="22" t="s">
        <v>16</v>
      </c>
      <c r="SAE864" s="22" t="s">
        <v>16</v>
      </c>
      <c r="SAF864" s="22" t="s">
        <v>16</v>
      </c>
      <c r="SAG864" s="22" t="s">
        <v>16</v>
      </c>
      <c r="SAH864" s="22" t="s">
        <v>16</v>
      </c>
      <c r="SAI864" s="22" t="s">
        <v>16</v>
      </c>
      <c r="SAJ864" s="22" t="s">
        <v>16</v>
      </c>
      <c r="SAK864" s="22" t="s">
        <v>16</v>
      </c>
      <c r="SAL864" s="22" t="s">
        <v>16</v>
      </c>
      <c r="SAM864" s="22" t="s">
        <v>16</v>
      </c>
      <c r="SAN864" s="22" t="s">
        <v>16</v>
      </c>
      <c r="SAO864" s="22" t="s">
        <v>16</v>
      </c>
      <c r="SAP864" s="22" t="s">
        <v>16</v>
      </c>
      <c r="SAQ864" s="22" t="s">
        <v>16</v>
      </c>
      <c r="SAR864" s="22" t="s">
        <v>16</v>
      </c>
      <c r="SAS864" s="22" t="s">
        <v>16</v>
      </c>
      <c r="SAT864" s="22" t="s">
        <v>16</v>
      </c>
      <c r="SAU864" s="22" t="s">
        <v>16</v>
      </c>
      <c r="SAV864" s="22" t="s">
        <v>16</v>
      </c>
      <c r="SAW864" s="22" t="s">
        <v>16</v>
      </c>
      <c r="SAX864" s="22" t="s">
        <v>16</v>
      </c>
      <c r="SAY864" s="22" t="s">
        <v>16</v>
      </c>
      <c r="SAZ864" s="22" t="s">
        <v>16</v>
      </c>
      <c r="SBA864" s="22" t="s">
        <v>16</v>
      </c>
      <c r="SBB864" s="22" t="s">
        <v>16</v>
      </c>
      <c r="SBC864" s="22" t="s">
        <v>16</v>
      </c>
      <c r="SBD864" s="22" t="s">
        <v>16</v>
      </c>
      <c r="SBE864" s="22" t="s">
        <v>16</v>
      </c>
      <c r="SBF864" s="22" t="s">
        <v>16</v>
      </c>
      <c r="SBG864" s="22" t="s">
        <v>16</v>
      </c>
      <c r="SBH864" s="22" t="s">
        <v>16</v>
      </c>
      <c r="SBI864" s="22" t="s">
        <v>16</v>
      </c>
      <c r="SBJ864" s="22" t="s">
        <v>16</v>
      </c>
      <c r="SBK864" s="22" t="s">
        <v>16</v>
      </c>
      <c r="SBL864" s="22" t="s">
        <v>16</v>
      </c>
      <c r="SBM864" s="22" t="s">
        <v>16</v>
      </c>
      <c r="SBN864" s="22" t="s">
        <v>16</v>
      </c>
      <c r="SBO864" s="22" t="s">
        <v>16</v>
      </c>
      <c r="SBP864" s="22" t="s">
        <v>16</v>
      </c>
      <c r="SBQ864" s="22" t="s">
        <v>16</v>
      </c>
      <c r="SBR864" s="22" t="s">
        <v>16</v>
      </c>
      <c r="SBS864" s="22" t="s">
        <v>16</v>
      </c>
      <c r="SBT864" s="22" t="s">
        <v>16</v>
      </c>
      <c r="SBU864" s="22" t="s">
        <v>16</v>
      </c>
      <c r="SBV864" s="22" t="s">
        <v>16</v>
      </c>
      <c r="SBW864" s="22" t="s">
        <v>16</v>
      </c>
      <c r="SBX864" s="22" t="s">
        <v>16</v>
      </c>
      <c r="SBY864" s="22" t="s">
        <v>16</v>
      </c>
      <c r="SBZ864" s="22" t="s">
        <v>16</v>
      </c>
      <c r="SCA864" s="22" t="s">
        <v>16</v>
      </c>
      <c r="SCB864" s="22" t="s">
        <v>16</v>
      </c>
      <c r="SCC864" s="22" t="s">
        <v>16</v>
      </c>
      <c r="SCD864" s="22" t="s">
        <v>16</v>
      </c>
      <c r="SCE864" s="22" t="s">
        <v>16</v>
      </c>
      <c r="SCF864" s="22" t="s">
        <v>16</v>
      </c>
      <c r="SCG864" s="22" t="s">
        <v>16</v>
      </c>
      <c r="SCH864" s="22" t="s">
        <v>16</v>
      </c>
      <c r="SCI864" s="22" t="s">
        <v>16</v>
      </c>
      <c r="SCJ864" s="22" t="s">
        <v>16</v>
      </c>
      <c r="SCK864" s="22" t="s">
        <v>16</v>
      </c>
      <c r="SCL864" s="22" t="s">
        <v>16</v>
      </c>
      <c r="SCM864" s="22" t="s">
        <v>16</v>
      </c>
      <c r="SCN864" s="22" t="s">
        <v>16</v>
      </c>
      <c r="SCO864" s="22" t="s">
        <v>16</v>
      </c>
      <c r="SCP864" s="22" t="s">
        <v>16</v>
      </c>
      <c r="SCQ864" s="22" t="s">
        <v>16</v>
      </c>
      <c r="SCR864" s="22" t="s">
        <v>16</v>
      </c>
      <c r="SCS864" s="22" t="s">
        <v>16</v>
      </c>
      <c r="SCT864" s="22" t="s">
        <v>16</v>
      </c>
      <c r="SCU864" s="22" t="s">
        <v>16</v>
      </c>
      <c r="SCV864" s="22" t="s">
        <v>16</v>
      </c>
      <c r="SCW864" s="22" t="s">
        <v>16</v>
      </c>
      <c r="SCX864" s="22" t="s">
        <v>16</v>
      </c>
      <c r="SCY864" s="22" t="s">
        <v>16</v>
      </c>
      <c r="SCZ864" s="22" t="s">
        <v>16</v>
      </c>
      <c r="SDA864" s="22" t="s">
        <v>16</v>
      </c>
      <c r="SDB864" s="22" t="s">
        <v>16</v>
      </c>
      <c r="SDC864" s="22" t="s">
        <v>16</v>
      </c>
      <c r="SDD864" s="22" t="s">
        <v>16</v>
      </c>
      <c r="SDE864" s="22" t="s">
        <v>16</v>
      </c>
      <c r="SDF864" s="22" t="s">
        <v>16</v>
      </c>
      <c r="SDG864" s="22" t="s">
        <v>16</v>
      </c>
      <c r="SDH864" s="22" t="s">
        <v>16</v>
      </c>
      <c r="SDI864" s="22" t="s">
        <v>16</v>
      </c>
      <c r="SDJ864" s="22" t="s">
        <v>16</v>
      </c>
      <c r="SDK864" s="22" t="s">
        <v>16</v>
      </c>
      <c r="SDL864" s="22" t="s">
        <v>16</v>
      </c>
      <c r="SDM864" s="22" t="s">
        <v>16</v>
      </c>
      <c r="SDN864" s="22" t="s">
        <v>16</v>
      </c>
      <c r="SDO864" s="22" t="s">
        <v>16</v>
      </c>
      <c r="SDP864" s="22" t="s">
        <v>16</v>
      </c>
      <c r="SDQ864" s="22" t="s">
        <v>16</v>
      </c>
      <c r="SDR864" s="22" t="s">
        <v>16</v>
      </c>
      <c r="SDS864" s="22" t="s">
        <v>16</v>
      </c>
      <c r="SDT864" s="22" t="s">
        <v>16</v>
      </c>
      <c r="SDU864" s="22" t="s">
        <v>16</v>
      </c>
      <c r="SDV864" s="22" t="s">
        <v>16</v>
      </c>
      <c r="SDW864" s="22" t="s">
        <v>16</v>
      </c>
      <c r="SDX864" s="22" t="s">
        <v>16</v>
      </c>
      <c r="SDY864" s="22" t="s">
        <v>16</v>
      </c>
      <c r="SDZ864" s="22" t="s">
        <v>16</v>
      </c>
      <c r="SEA864" s="22" t="s">
        <v>16</v>
      </c>
      <c r="SEB864" s="22" t="s">
        <v>16</v>
      </c>
      <c r="SEC864" s="22" t="s">
        <v>16</v>
      </c>
      <c r="SED864" s="22" t="s">
        <v>16</v>
      </c>
      <c r="SEE864" s="22" t="s">
        <v>16</v>
      </c>
      <c r="SEF864" s="22" t="s">
        <v>16</v>
      </c>
      <c r="SEG864" s="22" t="s">
        <v>16</v>
      </c>
      <c r="SEH864" s="22" t="s">
        <v>16</v>
      </c>
      <c r="SEI864" s="22" t="s">
        <v>16</v>
      </c>
      <c r="SEJ864" s="22" t="s">
        <v>16</v>
      </c>
      <c r="SEK864" s="22" t="s">
        <v>16</v>
      </c>
      <c r="SEL864" s="22" t="s">
        <v>16</v>
      </c>
      <c r="SEM864" s="22" t="s">
        <v>16</v>
      </c>
      <c r="SEN864" s="22" t="s">
        <v>16</v>
      </c>
      <c r="SEO864" s="22" t="s">
        <v>16</v>
      </c>
      <c r="SEP864" s="22" t="s">
        <v>16</v>
      </c>
      <c r="SEQ864" s="22" t="s">
        <v>16</v>
      </c>
      <c r="SER864" s="22" t="s">
        <v>16</v>
      </c>
      <c r="SES864" s="22" t="s">
        <v>16</v>
      </c>
      <c r="SET864" s="22" t="s">
        <v>16</v>
      </c>
      <c r="SEU864" s="22" t="s">
        <v>16</v>
      </c>
      <c r="SEV864" s="22" t="s">
        <v>16</v>
      </c>
      <c r="SEW864" s="22" t="s">
        <v>16</v>
      </c>
      <c r="SEX864" s="22" t="s">
        <v>16</v>
      </c>
      <c r="SEY864" s="22" t="s">
        <v>16</v>
      </c>
      <c r="SEZ864" s="22" t="s">
        <v>16</v>
      </c>
      <c r="SFA864" s="22" t="s">
        <v>16</v>
      </c>
      <c r="SFB864" s="22" t="s">
        <v>16</v>
      </c>
      <c r="SFC864" s="22" t="s">
        <v>16</v>
      </c>
      <c r="SFD864" s="22" t="s">
        <v>16</v>
      </c>
      <c r="SFE864" s="22" t="s">
        <v>16</v>
      </c>
      <c r="SFF864" s="22" t="s">
        <v>16</v>
      </c>
      <c r="SFG864" s="22" t="s">
        <v>16</v>
      </c>
      <c r="SFH864" s="22" t="s">
        <v>16</v>
      </c>
      <c r="SFI864" s="22" t="s">
        <v>16</v>
      </c>
      <c r="SFJ864" s="22" t="s">
        <v>16</v>
      </c>
      <c r="SFK864" s="22" t="s">
        <v>16</v>
      </c>
      <c r="SFL864" s="22" t="s">
        <v>16</v>
      </c>
      <c r="SFM864" s="22" t="s">
        <v>16</v>
      </c>
      <c r="SFN864" s="22" t="s">
        <v>16</v>
      </c>
      <c r="SFO864" s="22" t="s">
        <v>16</v>
      </c>
      <c r="SFP864" s="22" t="s">
        <v>16</v>
      </c>
      <c r="SFQ864" s="22" t="s">
        <v>16</v>
      </c>
      <c r="SFR864" s="22" t="s">
        <v>16</v>
      </c>
      <c r="SFS864" s="22" t="s">
        <v>16</v>
      </c>
      <c r="SFT864" s="22" t="s">
        <v>16</v>
      </c>
      <c r="SFU864" s="22" t="s">
        <v>16</v>
      </c>
      <c r="SFV864" s="22" t="s">
        <v>16</v>
      </c>
      <c r="SFW864" s="22" t="s">
        <v>16</v>
      </c>
      <c r="SFX864" s="22" t="s">
        <v>16</v>
      </c>
      <c r="SFY864" s="22" t="s">
        <v>16</v>
      </c>
      <c r="SFZ864" s="22" t="s">
        <v>16</v>
      </c>
      <c r="SGA864" s="22" t="s">
        <v>16</v>
      </c>
      <c r="SGB864" s="22" t="s">
        <v>16</v>
      </c>
      <c r="SGC864" s="22" t="s">
        <v>16</v>
      </c>
      <c r="SGD864" s="22" t="s">
        <v>16</v>
      </c>
      <c r="SGE864" s="22" t="s">
        <v>16</v>
      </c>
      <c r="SGF864" s="22" t="s">
        <v>16</v>
      </c>
      <c r="SGG864" s="22" t="s">
        <v>16</v>
      </c>
      <c r="SGH864" s="22" t="s">
        <v>16</v>
      </c>
      <c r="SGI864" s="22" t="s">
        <v>16</v>
      </c>
      <c r="SGJ864" s="22" t="s">
        <v>16</v>
      </c>
      <c r="SGK864" s="22" t="s">
        <v>16</v>
      </c>
      <c r="SGL864" s="22" t="s">
        <v>16</v>
      </c>
      <c r="SGM864" s="22" t="s">
        <v>16</v>
      </c>
      <c r="SGN864" s="22" t="s">
        <v>16</v>
      </c>
      <c r="SGO864" s="22" t="s">
        <v>16</v>
      </c>
      <c r="SGP864" s="22" t="s">
        <v>16</v>
      </c>
      <c r="SGQ864" s="22" t="s">
        <v>16</v>
      </c>
      <c r="SGR864" s="22" t="s">
        <v>16</v>
      </c>
      <c r="SGS864" s="22" t="s">
        <v>16</v>
      </c>
      <c r="SGT864" s="22" t="s">
        <v>16</v>
      </c>
      <c r="SGU864" s="22" t="s">
        <v>16</v>
      </c>
      <c r="SGV864" s="22" t="s">
        <v>16</v>
      </c>
      <c r="SGW864" s="22" t="s">
        <v>16</v>
      </c>
      <c r="SGX864" s="22" t="s">
        <v>16</v>
      </c>
      <c r="SGY864" s="22" t="s">
        <v>16</v>
      </c>
      <c r="SGZ864" s="22" t="s">
        <v>16</v>
      </c>
      <c r="SHA864" s="22" t="s">
        <v>16</v>
      </c>
      <c r="SHB864" s="22" t="s">
        <v>16</v>
      </c>
      <c r="SHC864" s="22" t="s">
        <v>16</v>
      </c>
      <c r="SHD864" s="22" t="s">
        <v>16</v>
      </c>
      <c r="SHE864" s="22" t="s">
        <v>16</v>
      </c>
      <c r="SHF864" s="22" t="s">
        <v>16</v>
      </c>
      <c r="SHG864" s="22" t="s">
        <v>16</v>
      </c>
      <c r="SHH864" s="22" t="s">
        <v>16</v>
      </c>
      <c r="SHI864" s="22" t="s">
        <v>16</v>
      </c>
      <c r="SHJ864" s="22" t="s">
        <v>16</v>
      </c>
      <c r="SHK864" s="22" t="s">
        <v>16</v>
      </c>
      <c r="SHL864" s="22" t="s">
        <v>16</v>
      </c>
      <c r="SHM864" s="22" t="s">
        <v>16</v>
      </c>
      <c r="SHN864" s="22" t="s">
        <v>16</v>
      </c>
      <c r="SHO864" s="22" t="s">
        <v>16</v>
      </c>
      <c r="SHP864" s="22" t="s">
        <v>16</v>
      </c>
      <c r="SHQ864" s="22" t="s">
        <v>16</v>
      </c>
      <c r="SHR864" s="22" t="s">
        <v>16</v>
      </c>
      <c r="SHS864" s="22" t="s">
        <v>16</v>
      </c>
      <c r="SHT864" s="22" t="s">
        <v>16</v>
      </c>
      <c r="SHU864" s="22" t="s">
        <v>16</v>
      </c>
      <c r="SHV864" s="22" t="s">
        <v>16</v>
      </c>
      <c r="SHW864" s="22" t="s">
        <v>16</v>
      </c>
      <c r="SHX864" s="22" t="s">
        <v>16</v>
      </c>
      <c r="SHY864" s="22" t="s">
        <v>16</v>
      </c>
      <c r="SHZ864" s="22" t="s">
        <v>16</v>
      </c>
      <c r="SIA864" s="22" t="s">
        <v>16</v>
      </c>
      <c r="SIB864" s="22" t="s">
        <v>16</v>
      </c>
      <c r="SIC864" s="22" t="s">
        <v>16</v>
      </c>
      <c r="SID864" s="22" t="s">
        <v>16</v>
      </c>
      <c r="SIE864" s="22" t="s">
        <v>16</v>
      </c>
      <c r="SIF864" s="22" t="s">
        <v>16</v>
      </c>
      <c r="SIG864" s="22" t="s">
        <v>16</v>
      </c>
      <c r="SIH864" s="22" t="s">
        <v>16</v>
      </c>
      <c r="SII864" s="22" t="s">
        <v>16</v>
      </c>
      <c r="SIJ864" s="22" t="s">
        <v>16</v>
      </c>
      <c r="SIK864" s="22" t="s">
        <v>16</v>
      </c>
      <c r="SIL864" s="22" t="s">
        <v>16</v>
      </c>
      <c r="SIM864" s="22" t="s">
        <v>16</v>
      </c>
      <c r="SIN864" s="22" t="s">
        <v>16</v>
      </c>
      <c r="SIO864" s="22" t="s">
        <v>16</v>
      </c>
      <c r="SIP864" s="22" t="s">
        <v>16</v>
      </c>
      <c r="SIQ864" s="22" t="s">
        <v>16</v>
      </c>
      <c r="SIR864" s="22" t="s">
        <v>16</v>
      </c>
      <c r="SIS864" s="22" t="s">
        <v>16</v>
      </c>
      <c r="SIT864" s="22" t="s">
        <v>16</v>
      </c>
      <c r="SIU864" s="22" t="s">
        <v>16</v>
      </c>
      <c r="SIV864" s="22" t="s">
        <v>16</v>
      </c>
      <c r="SIW864" s="22" t="s">
        <v>16</v>
      </c>
      <c r="SIX864" s="22" t="s">
        <v>16</v>
      </c>
      <c r="SIY864" s="22" t="s">
        <v>16</v>
      </c>
      <c r="SIZ864" s="22" t="s">
        <v>16</v>
      </c>
      <c r="SJA864" s="22" t="s">
        <v>16</v>
      </c>
      <c r="SJB864" s="22" t="s">
        <v>16</v>
      </c>
      <c r="SJC864" s="22" t="s">
        <v>16</v>
      </c>
      <c r="SJD864" s="22" t="s">
        <v>16</v>
      </c>
      <c r="SJE864" s="22" t="s">
        <v>16</v>
      </c>
      <c r="SJF864" s="22" t="s">
        <v>16</v>
      </c>
      <c r="SJG864" s="22" t="s">
        <v>16</v>
      </c>
      <c r="SJH864" s="22" t="s">
        <v>16</v>
      </c>
      <c r="SJI864" s="22" t="s">
        <v>16</v>
      </c>
      <c r="SJJ864" s="22" t="s">
        <v>16</v>
      </c>
      <c r="SJK864" s="22" t="s">
        <v>16</v>
      </c>
      <c r="SJL864" s="22" t="s">
        <v>16</v>
      </c>
      <c r="SJM864" s="22" t="s">
        <v>16</v>
      </c>
      <c r="SJN864" s="22" t="s">
        <v>16</v>
      </c>
      <c r="SJO864" s="22" t="s">
        <v>16</v>
      </c>
      <c r="SJP864" s="22" t="s">
        <v>16</v>
      </c>
      <c r="SJQ864" s="22" t="s">
        <v>16</v>
      </c>
      <c r="SJR864" s="22" t="s">
        <v>16</v>
      </c>
      <c r="SJS864" s="22" t="s">
        <v>16</v>
      </c>
      <c r="SJT864" s="22" t="s">
        <v>16</v>
      </c>
      <c r="SJU864" s="22" t="s">
        <v>16</v>
      </c>
      <c r="SJV864" s="22" t="s">
        <v>16</v>
      </c>
      <c r="SJW864" s="22" t="s">
        <v>16</v>
      </c>
      <c r="SJX864" s="22" t="s">
        <v>16</v>
      </c>
      <c r="SJY864" s="22" t="s">
        <v>16</v>
      </c>
      <c r="SJZ864" s="22" t="s">
        <v>16</v>
      </c>
      <c r="SKA864" s="22" t="s">
        <v>16</v>
      </c>
      <c r="SKB864" s="22" t="s">
        <v>16</v>
      </c>
      <c r="SKC864" s="22" t="s">
        <v>16</v>
      </c>
      <c r="SKD864" s="22" t="s">
        <v>16</v>
      </c>
      <c r="SKE864" s="22" t="s">
        <v>16</v>
      </c>
      <c r="SKF864" s="22" t="s">
        <v>16</v>
      </c>
      <c r="SKG864" s="22" t="s">
        <v>16</v>
      </c>
      <c r="SKH864" s="22" t="s">
        <v>16</v>
      </c>
      <c r="SKI864" s="22" t="s">
        <v>16</v>
      </c>
      <c r="SKJ864" s="22" t="s">
        <v>16</v>
      </c>
      <c r="SKK864" s="22" t="s">
        <v>16</v>
      </c>
      <c r="SKL864" s="22" t="s">
        <v>16</v>
      </c>
      <c r="SKM864" s="22" t="s">
        <v>16</v>
      </c>
      <c r="SKN864" s="22" t="s">
        <v>16</v>
      </c>
      <c r="SKO864" s="22" t="s">
        <v>16</v>
      </c>
      <c r="SKP864" s="22" t="s">
        <v>16</v>
      </c>
      <c r="SKQ864" s="22" t="s">
        <v>16</v>
      </c>
      <c r="SKR864" s="22" t="s">
        <v>16</v>
      </c>
      <c r="SKS864" s="22" t="s">
        <v>16</v>
      </c>
      <c r="SKT864" s="22" t="s">
        <v>16</v>
      </c>
      <c r="SKU864" s="22" t="s">
        <v>16</v>
      </c>
      <c r="SKV864" s="22" t="s">
        <v>16</v>
      </c>
      <c r="SKW864" s="22" t="s">
        <v>16</v>
      </c>
      <c r="SKX864" s="22" t="s">
        <v>16</v>
      </c>
      <c r="SKY864" s="22" t="s">
        <v>16</v>
      </c>
      <c r="SKZ864" s="22" t="s">
        <v>16</v>
      </c>
      <c r="SLA864" s="22" t="s">
        <v>16</v>
      </c>
      <c r="SLB864" s="22" t="s">
        <v>16</v>
      </c>
      <c r="SLC864" s="22" t="s">
        <v>16</v>
      </c>
      <c r="SLD864" s="22" t="s">
        <v>16</v>
      </c>
      <c r="SLE864" s="22" t="s">
        <v>16</v>
      </c>
      <c r="SLF864" s="22" t="s">
        <v>16</v>
      </c>
      <c r="SLG864" s="22" t="s">
        <v>16</v>
      </c>
      <c r="SLH864" s="22" t="s">
        <v>16</v>
      </c>
      <c r="SLI864" s="22" t="s">
        <v>16</v>
      </c>
      <c r="SLJ864" s="22" t="s">
        <v>16</v>
      </c>
      <c r="SLK864" s="22" t="s">
        <v>16</v>
      </c>
      <c r="SLL864" s="22" t="s">
        <v>16</v>
      </c>
      <c r="SLM864" s="22" t="s">
        <v>16</v>
      </c>
      <c r="SLN864" s="22" t="s">
        <v>16</v>
      </c>
      <c r="SLO864" s="22" t="s">
        <v>16</v>
      </c>
      <c r="SLP864" s="22" t="s">
        <v>16</v>
      </c>
      <c r="SLQ864" s="22" t="s">
        <v>16</v>
      </c>
      <c r="SLR864" s="22" t="s">
        <v>16</v>
      </c>
      <c r="SLS864" s="22" t="s">
        <v>16</v>
      </c>
      <c r="SLT864" s="22" t="s">
        <v>16</v>
      </c>
      <c r="SLU864" s="22" t="s">
        <v>16</v>
      </c>
      <c r="SLV864" s="22" t="s">
        <v>16</v>
      </c>
      <c r="SLW864" s="22" t="s">
        <v>16</v>
      </c>
      <c r="SLX864" s="22" t="s">
        <v>16</v>
      </c>
      <c r="SLY864" s="22" t="s">
        <v>16</v>
      </c>
      <c r="SLZ864" s="22" t="s">
        <v>16</v>
      </c>
      <c r="SMA864" s="22" t="s">
        <v>16</v>
      </c>
      <c r="SMB864" s="22" t="s">
        <v>16</v>
      </c>
      <c r="SMC864" s="22" t="s">
        <v>16</v>
      </c>
      <c r="SMD864" s="22" t="s">
        <v>16</v>
      </c>
      <c r="SME864" s="22" t="s">
        <v>16</v>
      </c>
      <c r="SMF864" s="22" t="s">
        <v>16</v>
      </c>
      <c r="SMG864" s="22" t="s">
        <v>16</v>
      </c>
      <c r="SMH864" s="22" t="s">
        <v>16</v>
      </c>
      <c r="SMI864" s="22" t="s">
        <v>16</v>
      </c>
      <c r="SMJ864" s="22" t="s">
        <v>16</v>
      </c>
      <c r="SMK864" s="22" t="s">
        <v>16</v>
      </c>
      <c r="SML864" s="22" t="s">
        <v>16</v>
      </c>
      <c r="SMM864" s="22" t="s">
        <v>16</v>
      </c>
      <c r="SMN864" s="22" t="s">
        <v>16</v>
      </c>
      <c r="SMO864" s="22" t="s">
        <v>16</v>
      </c>
      <c r="SMP864" s="22" t="s">
        <v>16</v>
      </c>
      <c r="SMQ864" s="22" t="s">
        <v>16</v>
      </c>
      <c r="SMR864" s="22" t="s">
        <v>16</v>
      </c>
      <c r="SMS864" s="22" t="s">
        <v>16</v>
      </c>
      <c r="SMT864" s="22" t="s">
        <v>16</v>
      </c>
      <c r="SMU864" s="22" t="s">
        <v>16</v>
      </c>
      <c r="SMV864" s="22" t="s">
        <v>16</v>
      </c>
      <c r="SMW864" s="22" t="s">
        <v>16</v>
      </c>
      <c r="SMX864" s="22" t="s">
        <v>16</v>
      </c>
      <c r="SMY864" s="22" t="s">
        <v>16</v>
      </c>
      <c r="SMZ864" s="22" t="s">
        <v>16</v>
      </c>
      <c r="SNA864" s="22" t="s">
        <v>16</v>
      </c>
      <c r="SNB864" s="22" t="s">
        <v>16</v>
      </c>
      <c r="SNC864" s="22" t="s">
        <v>16</v>
      </c>
      <c r="SND864" s="22" t="s">
        <v>16</v>
      </c>
      <c r="SNE864" s="22" t="s">
        <v>16</v>
      </c>
      <c r="SNF864" s="22" t="s">
        <v>16</v>
      </c>
      <c r="SNG864" s="22" t="s">
        <v>16</v>
      </c>
      <c r="SNH864" s="22" t="s">
        <v>16</v>
      </c>
      <c r="SNI864" s="22" t="s">
        <v>16</v>
      </c>
      <c r="SNJ864" s="22" t="s">
        <v>16</v>
      </c>
      <c r="SNK864" s="22" t="s">
        <v>16</v>
      </c>
      <c r="SNL864" s="22" t="s">
        <v>16</v>
      </c>
      <c r="SNM864" s="22" t="s">
        <v>16</v>
      </c>
      <c r="SNN864" s="22" t="s">
        <v>16</v>
      </c>
      <c r="SNO864" s="22" t="s">
        <v>16</v>
      </c>
      <c r="SNP864" s="22" t="s">
        <v>16</v>
      </c>
      <c r="SNQ864" s="22" t="s">
        <v>16</v>
      </c>
      <c r="SNR864" s="22" t="s">
        <v>16</v>
      </c>
      <c r="SNS864" s="22" t="s">
        <v>16</v>
      </c>
      <c r="SNT864" s="22" t="s">
        <v>16</v>
      </c>
      <c r="SNU864" s="22" t="s">
        <v>16</v>
      </c>
      <c r="SNV864" s="22" t="s">
        <v>16</v>
      </c>
      <c r="SNW864" s="22" t="s">
        <v>16</v>
      </c>
      <c r="SNX864" s="22" t="s">
        <v>16</v>
      </c>
      <c r="SNY864" s="22" t="s">
        <v>16</v>
      </c>
      <c r="SNZ864" s="22" t="s">
        <v>16</v>
      </c>
      <c r="SOA864" s="22" t="s">
        <v>16</v>
      </c>
      <c r="SOB864" s="22" t="s">
        <v>16</v>
      </c>
      <c r="SOC864" s="22" t="s">
        <v>16</v>
      </c>
      <c r="SOD864" s="22" t="s">
        <v>16</v>
      </c>
      <c r="SOE864" s="22" t="s">
        <v>16</v>
      </c>
      <c r="SOF864" s="22" t="s">
        <v>16</v>
      </c>
      <c r="SOG864" s="22" t="s">
        <v>16</v>
      </c>
      <c r="SOH864" s="22" t="s">
        <v>16</v>
      </c>
      <c r="SOI864" s="22" t="s">
        <v>16</v>
      </c>
      <c r="SOJ864" s="22" t="s">
        <v>16</v>
      </c>
      <c r="SOK864" s="22" t="s">
        <v>16</v>
      </c>
      <c r="SOL864" s="22" t="s">
        <v>16</v>
      </c>
      <c r="SOM864" s="22" t="s">
        <v>16</v>
      </c>
      <c r="SON864" s="22" t="s">
        <v>16</v>
      </c>
      <c r="SOO864" s="22" t="s">
        <v>16</v>
      </c>
      <c r="SOP864" s="22" t="s">
        <v>16</v>
      </c>
      <c r="SOQ864" s="22" t="s">
        <v>16</v>
      </c>
      <c r="SOR864" s="22" t="s">
        <v>16</v>
      </c>
      <c r="SOS864" s="22" t="s">
        <v>16</v>
      </c>
      <c r="SOT864" s="22" t="s">
        <v>16</v>
      </c>
      <c r="SOU864" s="22" t="s">
        <v>16</v>
      </c>
      <c r="SOV864" s="22" t="s">
        <v>16</v>
      </c>
      <c r="SOW864" s="22" t="s">
        <v>16</v>
      </c>
      <c r="SOX864" s="22" t="s">
        <v>16</v>
      </c>
      <c r="SOY864" s="22" t="s">
        <v>16</v>
      </c>
      <c r="SOZ864" s="22" t="s">
        <v>16</v>
      </c>
      <c r="SPA864" s="22" t="s">
        <v>16</v>
      </c>
      <c r="SPB864" s="22" t="s">
        <v>16</v>
      </c>
      <c r="SPC864" s="22" t="s">
        <v>16</v>
      </c>
      <c r="SPD864" s="22" t="s">
        <v>16</v>
      </c>
      <c r="SPE864" s="22" t="s">
        <v>16</v>
      </c>
      <c r="SPF864" s="22" t="s">
        <v>16</v>
      </c>
      <c r="SPG864" s="22" t="s">
        <v>16</v>
      </c>
      <c r="SPH864" s="22" t="s">
        <v>16</v>
      </c>
      <c r="SPI864" s="22" t="s">
        <v>16</v>
      </c>
      <c r="SPJ864" s="22" t="s">
        <v>16</v>
      </c>
      <c r="SPK864" s="22" t="s">
        <v>16</v>
      </c>
      <c r="SPL864" s="22" t="s">
        <v>16</v>
      </c>
      <c r="SPM864" s="22" t="s">
        <v>16</v>
      </c>
      <c r="SPN864" s="22" t="s">
        <v>16</v>
      </c>
      <c r="SPO864" s="22" t="s">
        <v>16</v>
      </c>
      <c r="SPP864" s="22" t="s">
        <v>16</v>
      </c>
      <c r="SPQ864" s="22" t="s">
        <v>16</v>
      </c>
      <c r="SPR864" s="22" t="s">
        <v>16</v>
      </c>
      <c r="SPS864" s="22" t="s">
        <v>16</v>
      </c>
      <c r="SPT864" s="22" t="s">
        <v>16</v>
      </c>
      <c r="SPU864" s="22" t="s">
        <v>16</v>
      </c>
      <c r="SPV864" s="22" t="s">
        <v>16</v>
      </c>
      <c r="SPW864" s="22" t="s">
        <v>16</v>
      </c>
      <c r="SPX864" s="22" t="s">
        <v>16</v>
      </c>
      <c r="SPY864" s="22" t="s">
        <v>16</v>
      </c>
      <c r="SPZ864" s="22" t="s">
        <v>16</v>
      </c>
      <c r="SQA864" s="22" t="s">
        <v>16</v>
      </c>
      <c r="SQB864" s="22" t="s">
        <v>16</v>
      </c>
      <c r="SQC864" s="22" t="s">
        <v>16</v>
      </c>
      <c r="SQD864" s="22" t="s">
        <v>16</v>
      </c>
      <c r="SQE864" s="22" t="s">
        <v>16</v>
      </c>
      <c r="SQF864" s="22" t="s">
        <v>16</v>
      </c>
      <c r="SQG864" s="22" t="s">
        <v>16</v>
      </c>
      <c r="SQH864" s="22" t="s">
        <v>16</v>
      </c>
      <c r="SQI864" s="22" t="s">
        <v>16</v>
      </c>
      <c r="SQJ864" s="22" t="s">
        <v>16</v>
      </c>
      <c r="SQK864" s="22" t="s">
        <v>16</v>
      </c>
      <c r="SQL864" s="22" t="s">
        <v>16</v>
      </c>
      <c r="SQM864" s="22" t="s">
        <v>16</v>
      </c>
      <c r="SQN864" s="22" t="s">
        <v>16</v>
      </c>
      <c r="SQO864" s="22" t="s">
        <v>16</v>
      </c>
      <c r="SQP864" s="22" t="s">
        <v>16</v>
      </c>
      <c r="SQQ864" s="22" t="s">
        <v>16</v>
      </c>
      <c r="SQR864" s="22" t="s">
        <v>16</v>
      </c>
      <c r="SQS864" s="22" t="s">
        <v>16</v>
      </c>
      <c r="SQT864" s="22" t="s">
        <v>16</v>
      </c>
      <c r="SQU864" s="22" t="s">
        <v>16</v>
      </c>
      <c r="SQV864" s="22" t="s">
        <v>16</v>
      </c>
      <c r="SQW864" s="22" t="s">
        <v>16</v>
      </c>
      <c r="SQX864" s="22" t="s">
        <v>16</v>
      </c>
      <c r="SQY864" s="22" t="s">
        <v>16</v>
      </c>
      <c r="SQZ864" s="22" t="s">
        <v>16</v>
      </c>
      <c r="SRA864" s="22" t="s">
        <v>16</v>
      </c>
      <c r="SRB864" s="22" t="s">
        <v>16</v>
      </c>
      <c r="SRC864" s="22" t="s">
        <v>16</v>
      </c>
      <c r="SRD864" s="22" t="s">
        <v>16</v>
      </c>
      <c r="SRE864" s="22" t="s">
        <v>16</v>
      </c>
      <c r="SRF864" s="22" t="s">
        <v>16</v>
      </c>
      <c r="SRG864" s="22" t="s">
        <v>16</v>
      </c>
      <c r="SRH864" s="22" t="s">
        <v>16</v>
      </c>
      <c r="SRI864" s="22" t="s">
        <v>16</v>
      </c>
      <c r="SRJ864" s="22" t="s">
        <v>16</v>
      </c>
      <c r="SRK864" s="22" t="s">
        <v>16</v>
      </c>
      <c r="SRL864" s="22" t="s">
        <v>16</v>
      </c>
      <c r="SRM864" s="22" t="s">
        <v>16</v>
      </c>
      <c r="SRN864" s="22" t="s">
        <v>16</v>
      </c>
      <c r="SRO864" s="22" t="s">
        <v>16</v>
      </c>
      <c r="SRP864" s="22" t="s">
        <v>16</v>
      </c>
      <c r="SRQ864" s="22" t="s">
        <v>16</v>
      </c>
      <c r="SRR864" s="22" t="s">
        <v>16</v>
      </c>
      <c r="SRS864" s="22" t="s">
        <v>16</v>
      </c>
      <c r="SRT864" s="22" t="s">
        <v>16</v>
      </c>
      <c r="SRU864" s="22" t="s">
        <v>16</v>
      </c>
      <c r="SRV864" s="22" t="s">
        <v>16</v>
      </c>
      <c r="SRW864" s="22" t="s">
        <v>16</v>
      </c>
      <c r="SRX864" s="22" t="s">
        <v>16</v>
      </c>
      <c r="SRY864" s="22" t="s">
        <v>16</v>
      </c>
      <c r="SRZ864" s="22" t="s">
        <v>16</v>
      </c>
      <c r="SSA864" s="22" t="s">
        <v>16</v>
      </c>
      <c r="SSB864" s="22" t="s">
        <v>16</v>
      </c>
      <c r="SSC864" s="22" t="s">
        <v>16</v>
      </c>
      <c r="SSD864" s="22" t="s">
        <v>16</v>
      </c>
      <c r="SSE864" s="22" t="s">
        <v>16</v>
      </c>
      <c r="SSF864" s="22" t="s">
        <v>16</v>
      </c>
      <c r="SSG864" s="22" t="s">
        <v>16</v>
      </c>
      <c r="SSH864" s="22" t="s">
        <v>16</v>
      </c>
      <c r="SSI864" s="22" t="s">
        <v>16</v>
      </c>
      <c r="SSJ864" s="22" t="s">
        <v>16</v>
      </c>
      <c r="SSK864" s="22" t="s">
        <v>16</v>
      </c>
      <c r="SSL864" s="22" t="s">
        <v>16</v>
      </c>
      <c r="SSM864" s="22" t="s">
        <v>16</v>
      </c>
      <c r="SSN864" s="22" t="s">
        <v>16</v>
      </c>
      <c r="SSO864" s="22" t="s">
        <v>16</v>
      </c>
      <c r="SSP864" s="22" t="s">
        <v>16</v>
      </c>
      <c r="SSQ864" s="22" t="s">
        <v>16</v>
      </c>
      <c r="SSR864" s="22" t="s">
        <v>16</v>
      </c>
      <c r="SSS864" s="22" t="s">
        <v>16</v>
      </c>
      <c r="SST864" s="22" t="s">
        <v>16</v>
      </c>
      <c r="SSU864" s="22" t="s">
        <v>16</v>
      </c>
      <c r="SSV864" s="22" t="s">
        <v>16</v>
      </c>
      <c r="SSW864" s="22" t="s">
        <v>16</v>
      </c>
      <c r="SSX864" s="22" t="s">
        <v>16</v>
      </c>
      <c r="SSY864" s="22" t="s">
        <v>16</v>
      </c>
      <c r="SSZ864" s="22" t="s">
        <v>16</v>
      </c>
      <c r="STA864" s="22" t="s">
        <v>16</v>
      </c>
      <c r="STB864" s="22" t="s">
        <v>16</v>
      </c>
      <c r="STC864" s="22" t="s">
        <v>16</v>
      </c>
      <c r="STD864" s="22" t="s">
        <v>16</v>
      </c>
      <c r="STE864" s="22" t="s">
        <v>16</v>
      </c>
      <c r="STF864" s="22" t="s">
        <v>16</v>
      </c>
      <c r="STG864" s="22" t="s">
        <v>16</v>
      </c>
      <c r="STH864" s="22" t="s">
        <v>16</v>
      </c>
      <c r="STI864" s="22" t="s">
        <v>16</v>
      </c>
      <c r="STJ864" s="22" t="s">
        <v>16</v>
      </c>
      <c r="STK864" s="22" t="s">
        <v>16</v>
      </c>
      <c r="STL864" s="22" t="s">
        <v>16</v>
      </c>
      <c r="STM864" s="22" t="s">
        <v>16</v>
      </c>
      <c r="STN864" s="22" t="s">
        <v>16</v>
      </c>
      <c r="STO864" s="22" t="s">
        <v>16</v>
      </c>
      <c r="STP864" s="22" t="s">
        <v>16</v>
      </c>
      <c r="STQ864" s="22" t="s">
        <v>16</v>
      </c>
      <c r="STR864" s="22" t="s">
        <v>16</v>
      </c>
      <c r="STS864" s="22" t="s">
        <v>16</v>
      </c>
      <c r="STT864" s="22" t="s">
        <v>16</v>
      </c>
      <c r="STU864" s="22" t="s">
        <v>16</v>
      </c>
      <c r="STV864" s="22" t="s">
        <v>16</v>
      </c>
      <c r="STW864" s="22" t="s">
        <v>16</v>
      </c>
      <c r="STX864" s="22" t="s">
        <v>16</v>
      </c>
      <c r="STY864" s="22" t="s">
        <v>16</v>
      </c>
      <c r="STZ864" s="22" t="s">
        <v>16</v>
      </c>
      <c r="SUA864" s="22" t="s">
        <v>16</v>
      </c>
      <c r="SUB864" s="22" t="s">
        <v>16</v>
      </c>
      <c r="SUC864" s="22" t="s">
        <v>16</v>
      </c>
      <c r="SUD864" s="22" t="s">
        <v>16</v>
      </c>
      <c r="SUE864" s="22" t="s">
        <v>16</v>
      </c>
      <c r="SUF864" s="22" t="s">
        <v>16</v>
      </c>
      <c r="SUG864" s="22" t="s">
        <v>16</v>
      </c>
      <c r="SUH864" s="22" t="s">
        <v>16</v>
      </c>
      <c r="SUI864" s="22" t="s">
        <v>16</v>
      </c>
      <c r="SUJ864" s="22" t="s">
        <v>16</v>
      </c>
      <c r="SUK864" s="22" t="s">
        <v>16</v>
      </c>
      <c r="SUL864" s="22" t="s">
        <v>16</v>
      </c>
      <c r="SUM864" s="22" t="s">
        <v>16</v>
      </c>
      <c r="SUN864" s="22" t="s">
        <v>16</v>
      </c>
      <c r="SUO864" s="22" t="s">
        <v>16</v>
      </c>
      <c r="SUP864" s="22" t="s">
        <v>16</v>
      </c>
      <c r="SUQ864" s="22" t="s">
        <v>16</v>
      </c>
      <c r="SUR864" s="22" t="s">
        <v>16</v>
      </c>
      <c r="SUS864" s="22" t="s">
        <v>16</v>
      </c>
      <c r="SUT864" s="22" t="s">
        <v>16</v>
      </c>
      <c r="SUU864" s="22" t="s">
        <v>16</v>
      </c>
      <c r="SUV864" s="22" t="s">
        <v>16</v>
      </c>
      <c r="SUW864" s="22" t="s">
        <v>16</v>
      </c>
      <c r="SUX864" s="22" t="s">
        <v>16</v>
      </c>
      <c r="SUY864" s="22" t="s">
        <v>16</v>
      </c>
      <c r="SUZ864" s="22" t="s">
        <v>16</v>
      </c>
      <c r="SVA864" s="22" t="s">
        <v>16</v>
      </c>
      <c r="SVB864" s="22" t="s">
        <v>16</v>
      </c>
      <c r="SVC864" s="22" t="s">
        <v>16</v>
      </c>
      <c r="SVD864" s="22" t="s">
        <v>16</v>
      </c>
      <c r="SVE864" s="22" t="s">
        <v>16</v>
      </c>
      <c r="SVF864" s="22" t="s">
        <v>16</v>
      </c>
      <c r="SVG864" s="22" t="s">
        <v>16</v>
      </c>
      <c r="SVH864" s="22" t="s">
        <v>16</v>
      </c>
      <c r="SVI864" s="22" t="s">
        <v>16</v>
      </c>
      <c r="SVJ864" s="22" t="s">
        <v>16</v>
      </c>
      <c r="SVK864" s="22" t="s">
        <v>16</v>
      </c>
      <c r="SVL864" s="22" t="s">
        <v>16</v>
      </c>
      <c r="SVM864" s="22" t="s">
        <v>16</v>
      </c>
      <c r="SVN864" s="22" t="s">
        <v>16</v>
      </c>
      <c r="SVO864" s="22" t="s">
        <v>16</v>
      </c>
      <c r="SVP864" s="22" t="s">
        <v>16</v>
      </c>
      <c r="SVQ864" s="22" t="s">
        <v>16</v>
      </c>
      <c r="SVR864" s="22" t="s">
        <v>16</v>
      </c>
      <c r="SVS864" s="22" t="s">
        <v>16</v>
      </c>
      <c r="SVT864" s="22" t="s">
        <v>16</v>
      </c>
      <c r="SVU864" s="22" t="s">
        <v>16</v>
      </c>
      <c r="SVV864" s="22" t="s">
        <v>16</v>
      </c>
      <c r="SVW864" s="22" t="s">
        <v>16</v>
      </c>
      <c r="SVX864" s="22" t="s">
        <v>16</v>
      </c>
      <c r="SVY864" s="22" t="s">
        <v>16</v>
      </c>
      <c r="SVZ864" s="22" t="s">
        <v>16</v>
      </c>
      <c r="SWA864" s="22" t="s">
        <v>16</v>
      </c>
      <c r="SWB864" s="22" t="s">
        <v>16</v>
      </c>
      <c r="SWC864" s="22" t="s">
        <v>16</v>
      </c>
      <c r="SWD864" s="22" t="s">
        <v>16</v>
      </c>
      <c r="SWE864" s="22" t="s">
        <v>16</v>
      </c>
      <c r="SWF864" s="22" t="s">
        <v>16</v>
      </c>
      <c r="SWG864" s="22" t="s">
        <v>16</v>
      </c>
      <c r="SWH864" s="22" t="s">
        <v>16</v>
      </c>
      <c r="SWI864" s="22" t="s">
        <v>16</v>
      </c>
      <c r="SWJ864" s="22" t="s">
        <v>16</v>
      </c>
      <c r="SWK864" s="22" t="s">
        <v>16</v>
      </c>
      <c r="SWL864" s="22" t="s">
        <v>16</v>
      </c>
      <c r="SWM864" s="22" t="s">
        <v>16</v>
      </c>
      <c r="SWN864" s="22" t="s">
        <v>16</v>
      </c>
      <c r="SWO864" s="22" t="s">
        <v>16</v>
      </c>
      <c r="SWP864" s="22" t="s">
        <v>16</v>
      </c>
      <c r="SWQ864" s="22" t="s">
        <v>16</v>
      </c>
      <c r="SWR864" s="22" t="s">
        <v>16</v>
      </c>
      <c r="SWS864" s="22" t="s">
        <v>16</v>
      </c>
      <c r="SWT864" s="22" t="s">
        <v>16</v>
      </c>
      <c r="SWU864" s="22" t="s">
        <v>16</v>
      </c>
      <c r="SWV864" s="22" t="s">
        <v>16</v>
      </c>
      <c r="SWW864" s="22" t="s">
        <v>16</v>
      </c>
      <c r="SWX864" s="22" t="s">
        <v>16</v>
      </c>
      <c r="SWY864" s="22" t="s">
        <v>16</v>
      </c>
      <c r="SWZ864" s="22" t="s">
        <v>16</v>
      </c>
      <c r="SXA864" s="22" t="s">
        <v>16</v>
      </c>
      <c r="SXB864" s="22" t="s">
        <v>16</v>
      </c>
      <c r="SXC864" s="22" t="s">
        <v>16</v>
      </c>
      <c r="SXD864" s="22" t="s">
        <v>16</v>
      </c>
      <c r="SXE864" s="22" t="s">
        <v>16</v>
      </c>
      <c r="SXF864" s="22" t="s">
        <v>16</v>
      </c>
      <c r="SXG864" s="22" t="s">
        <v>16</v>
      </c>
      <c r="SXH864" s="22" t="s">
        <v>16</v>
      </c>
      <c r="SXI864" s="22" t="s">
        <v>16</v>
      </c>
      <c r="SXJ864" s="22" t="s">
        <v>16</v>
      </c>
      <c r="SXK864" s="22" t="s">
        <v>16</v>
      </c>
      <c r="SXL864" s="22" t="s">
        <v>16</v>
      </c>
      <c r="SXM864" s="22" t="s">
        <v>16</v>
      </c>
      <c r="SXN864" s="22" t="s">
        <v>16</v>
      </c>
      <c r="SXO864" s="22" t="s">
        <v>16</v>
      </c>
      <c r="SXP864" s="22" t="s">
        <v>16</v>
      </c>
      <c r="SXQ864" s="22" t="s">
        <v>16</v>
      </c>
      <c r="SXR864" s="22" t="s">
        <v>16</v>
      </c>
      <c r="SXS864" s="22" t="s">
        <v>16</v>
      </c>
      <c r="SXT864" s="22" t="s">
        <v>16</v>
      </c>
      <c r="SXU864" s="22" t="s">
        <v>16</v>
      </c>
      <c r="SXV864" s="22" t="s">
        <v>16</v>
      </c>
      <c r="SXW864" s="22" t="s">
        <v>16</v>
      </c>
      <c r="SXX864" s="22" t="s">
        <v>16</v>
      </c>
      <c r="SXY864" s="22" t="s">
        <v>16</v>
      </c>
      <c r="SXZ864" s="22" t="s">
        <v>16</v>
      </c>
      <c r="SYA864" s="22" t="s">
        <v>16</v>
      </c>
      <c r="SYB864" s="22" t="s">
        <v>16</v>
      </c>
      <c r="SYC864" s="22" t="s">
        <v>16</v>
      </c>
      <c r="SYD864" s="22" t="s">
        <v>16</v>
      </c>
      <c r="SYE864" s="22" t="s">
        <v>16</v>
      </c>
      <c r="SYF864" s="22" t="s">
        <v>16</v>
      </c>
      <c r="SYG864" s="22" t="s">
        <v>16</v>
      </c>
      <c r="SYH864" s="22" t="s">
        <v>16</v>
      </c>
      <c r="SYI864" s="22" t="s">
        <v>16</v>
      </c>
      <c r="SYJ864" s="22" t="s">
        <v>16</v>
      </c>
      <c r="SYK864" s="22" t="s">
        <v>16</v>
      </c>
      <c r="SYL864" s="22" t="s">
        <v>16</v>
      </c>
      <c r="SYM864" s="22" t="s">
        <v>16</v>
      </c>
      <c r="SYN864" s="22" t="s">
        <v>16</v>
      </c>
      <c r="SYO864" s="22" t="s">
        <v>16</v>
      </c>
      <c r="SYP864" s="22" t="s">
        <v>16</v>
      </c>
      <c r="SYQ864" s="22" t="s">
        <v>16</v>
      </c>
      <c r="SYR864" s="22" t="s">
        <v>16</v>
      </c>
      <c r="SYS864" s="22" t="s">
        <v>16</v>
      </c>
      <c r="SYT864" s="22" t="s">
        <v>16</v>
      </c>
      <c r="SYU864" s="22" t="s">
        <v>16</v>
      </c>
      <c r="SYV864" s="22" t="s">
        <v>16</v>
      </c>
      <c r="SYW864" s="22" t="s">
        <v>16</v>
      </c>
      <c r="SYX864" s="22" t="s">
        <v>16</v>
      </c>
      <c r="SYY864" s="22" t="s">
        <v>16</v>
      </c>
      <c r="SYZ864" s="22" t="s">
        <v>16</v>
      </c>
      <c r="SZA864" s="22" t="s">
        <v>16</v>
      </c>
      <c r="SZB864" s="22" t="s">
        <v>16</v>
      </c>
      <c r="SZC864" s="22" t="s">
        <v>16</v>
      </c>
      <c r="SZD864" s="22" t="s">
        <v>16</v>
      </c>
      <c r="SZE864" s="22" t="s">
        <v>16</v>
      </c>
      <c r="SZF864" s="22" t="s">
        <v>16</v>
      </c>
      <c r="SZG864" s="22" t="s">
        <v>16</v>
      </c>
      <c r="SZH864" s="22" t="s">
        <v>16</v>
      </c>
      <c r="SZI864" s="22" t="s">
        <v>16</v>
      </c>
      <c r="SZJ864" s="22" t="s">
        <v>16</v>
      </c>
      <c r="SZK864" s="22" t="s">
        <v>16</v>
      </c>
      <c r="SZL864" s="22" t="s">
        <v>16</v>
      </c>
      <c r="SZM864" s="22" t="s">
        <v>16</v>
      </c>
      <c r="SZN864" s="22" t="s">
        <v>16</v>
      </c>
      <c r="SZO864" s="22" t="s">
        <v>16</v>
      </c>
      <c r="SZP864" s="22" t="s">
        <v>16</v>
      </c>
      <c r="SZQ864" s="22" t="s">
        <v>16</v>
      </c>
      <c r="SZR864" s="22" t="s">
        <v>16</v>
      </c>
      <c r="SZS864" s="22" t="s">
        <v>16</v>
      </c>
      <c r="SZT864" s="22" t="s">
        <v>16</v>
      </c>
      <c r="SZU864" s="22" t="s">
        <v>16</v>
      </c>
      <c r="SZV864" s="22" t="s">
        <v>16</v>
      </c>
      <c r="SZW864" s="22" t="s">
        <v>16</v>
      </c>
      <c r="SZX864" s="22" t="s">
        <v>16</v>
      </c>
      <c r="SZY864" s="22" t="s">
        <v>16</v>
      </c>
      <c r="SZZ864" s="22" t="s">
        <v>16</v>
      </c>
      <c r="TAA864" s="22" t="s">
        <v>16</v>
      </c>
      <c r="TAB864" s="22" t="s">
        <v>16</v>
      </c>
      <c r="TAC864" s="22" t="s">
        <v>16</v>
      </c>
      <c r="TAD864" s="22" t="s">
        <v>16</v>
      </c>
      <c r="TAE864" s="22" t="s">
        <v>16</v>
      </c>
      <c r="TAF864" s="22" t="s">
        <v>16</v>
      </c>
      <c r="TAG864" s="22" t="s">
        <v>16</v>
      </c>
      <c r="TAH864" s="22" t="s">
        <v>16</v>
      </c>
      <c r="TAI864" s="22" t="s">
        <v>16</v>
      </c>
      <c r="TAJ864" s="22" t="s">
        <v>16</v>
      </c>
      <c r="TAK864" s="22" t="s">
        <v>16</v>
      </c>
      <c r="TAL864" s="22" t="s">
        <v>16</v>
      </c>
      <c r="TAM864" s="22" t="s">
        <v>16</v>
      </c>
      <c r="TAN864" s="22" t="s">
        <v>16</v>
      </c>
      <c r="TAO864" s="22" t="s">
        <v>16</v>
      </c>
      <c r="TAP864" s="22" t="s">
        <v>16</v>
      </c>
      <c r="TAQ864" s="22" t="s">
        <v>16</v>
      </c>
      <c r="TAR864" s="22" t="s">
        <v>16</v>
      </c>
      <c r="TAS864" s="22" t="s">
        <v>16</v>
      </c>
      <c r="TAT864" s="22" t="s">
        <v>16</v>
      </c>
      <c r="TAU864" s="22" t="s">
        <v>16</v>
      </c>
      <c r="TAV864" s="22" t="s">
        <v>16</v>
      </c>
      <c r="TAW864" s="22" t="s">
        <v>16</v>
      </c>
      <c r="TAX864" s="22" t="s">
        <v>16</v>
      </c>
      <c r="TAY864" s="22" t="s">
        <v>16</v>
      </c>
      <c r="TAZ864" s="22" t="s">
        <v>16</v>
      </c>
      <c r="TBA864" s="22" t="s">
        <v>16</v>
      </c>
      <c r="TBB864" s="22" t="s">
        <v>16</v>
      </c>
      <c r="TBC864" s="22" t="s">
        <v>16</v>
      </c>
      <c r="TBD864" s="22" t="s">
        <v>16</v>
      </c>
      <c r="TBE864" s="22" t="s">
        <v>16</v>
      </c>
      <c r="TBF864" s="22" t="s">
        <v>16</v>
      </c>
      <c r="TBG864" s="22" t="s">
        <v>16</v>
      </c>
      <c r="TBH864" s="22" t="s">
        <v>16</v>
      </c>
      <c r="TBI864" s="22" t="s">
        <v>16</v>
      </c>
      <c r="TBJ864" s="22" t="s">
        <v>16</v>
      </c>
      <c r="TBK864" s="22" t="s">
        <v>16</v>
      </c>
      <c r="TBL864" s="22" t="s">
        <v>16</v>
      </c>
      <c r="TBM864" s="22" t="s">
        <v>16</v>
      </c>
      <c r="TBN864" s="22" t="s">
        <v>16</v>
      </c>
      <c r="TBO864" s="22" t="s">
        <v>16</v>
      </c>
      <c r="TBP864" s="22" t="s">
        <v>16</v>
      </c>
      <c r="TBQ864" s="22" t="s">
        <v>16</v>
      </c>
      <c r="TBR864" s="22" t="s">
        <v>16</v>
      </c>
      <c r="TBS864" s="22" t="s">
        <v>16</v>
      </c>
      <c r="TBT864" s="22" t="s">
        <v>16</v>
      </c>
      <c r="TBU864" s="22" t="s">
        <v>16</v>
      </c>
      <c r="TBV864" s="22" t="s">
        <v>16</v>
      </c>
      <c r="TBW864" s="22" t="s">
        <v>16</v>
      </c>
      <c r="TBX864" s="22" t="s">
        <v>16</v>
      </c>
      <c r="TBY864" s="22" t="s">
        <v>16</v>
      </c>
      <c r="TBZ864" s="22" t="s">
        <v>16</v>
      </c>
      <c r="TCA864" s="22" t="s">
        <v>16</v>
      </c>
      <c r="TCB864" s="22" t="s">
        <v>16</v>
      </c>
      <c r="TCC864" s="22" t="s">
        <v>16</v>
      </c>
      <c r="TCD864" s="22" t="s">
        <v>16</v>
      </c>
      <c r="TCE864" s="22" t="s">
        <v>16</v>
      </c>
      <c r="TCF864" s="22" t="s">
        <v>16</v>
      </c>
      <c r="TCG864" s="22" t="s">
        <v>16</v>
      </c>
      <c r="TCH864" s="22" t="s">
        <v>16</v>
      </c>
      <c r="TCI864" s="22" t="s">
        <v>16</v>
      </c>
      <c r="TCJ864" s="22" t="s">
        <v>16</v>
      </c>
      <c r="TCK864" s="22" t="s">
        <v>16</v>
      </c>
      <c r="TCL864" s="22" t="s">
        <v>16</v>
      </c>
      <c r="TCM864" s="22" t="s">
        <v>16</v>
      </c>
      <c r="TCN864" s="22" t="s">
        <v>16</v>
      </c>
      <c r="TCO864" s="22" t="s">
        <v>16</v>
      </c>
      <c r="TCP864" s="22" t="s">
        <v>16</v>
      </c>
      <c r="TCQ864" s="22" t="s">
        <v>16</v>
      </c>
      <c r="TCR864" s="22" t="s">
        <v>16</v>
      </c>
      <c r="TCS864" s="22" t="s">
        <v>16</v>
      </c>
      <c r="TCT864" s="22" t="s">
        <v>16</v>
      </c>
      <c r="TCU864" s="22" t="s">
        <v>16</v>
      </c>
      <c r="TCV864" s="22" t="s">
        <v>16</v>
      </c>
      <c r="TCW864" s="22" t="s">
        <v>16</v>
      </c>
      <c r="TCX864" s="22" t="s">
        <v>16</v>
      </c>
      <c r="TCY864" s="22" t="s">
        <v>16</v>
      </c>
      <c r="TCZ864" s="22" t="s">
        <v>16</v>
      </c>
      <c r="TDA864" s="22" t="s">
        <v>16</v>
      </c>
      <c r="TDB864" s="22" t="s">
        <v>16</v>
      </c>
      <c r="TDC864" s="22" t="s">
        <v>16</v>
      </c>
      <c r="TDD864" s="22" t="s">
        <v>16</v>
      </c>
      <c r="TDE864" s="22" t="s">
        <v>16</v>
      </c>
      <c r="TDF864" s="22" t="s">
        <v>16</v>
      </c>
      <c r="TDG864" s="22" t="s">
        <v>16</v>
      </c>
      <c r="TDH864" s="22" t="s">
        <v>16</v>
      </c>
      <c r="TDI864" s="22" t="s">
        <v>16</v>
      </c>
      <c r="TDJ864" s="22" t="s">
        <v>16</v>
      </c>
      <c r="TDK864" s="22" t="s">
        <v>16</v>
      </c>
      <c r="TDL864" s="22" t="s">
        <v>16</v>
      </c>
      <c r="TDM864" s="22" t="s">
        <v>16</v>
      </c>
      <c r="TDN864" s="22" t="s">
        <v>16</v>
      </c>
      <c r="TDO864" s="22" t="s">
        <v>16</v>
      </c>
      <c r="TDP864" s="22" t="s">
        <v>16</v>
      </c>
      <c r="TDQ864" s="22" t="s">
        <v>16</v>
      </c>
      <c r="TDR864" s="22" t="s">
        <v>16</v>
      </c>
      <c r="TDS864" s="22" t="s">
        <v>16</v>
      </c>
      <c r="TDT864" s="22" t="s">
        <v>16</v>
      </c>
      <c r="TDU864" s="22" t="s">
        <v>16</v>
      </c>
      <c r="TDV864" s="22" t="s">
        <v>16</v>
      </c>
      <c r="TDW864" s="22" t="s">
        <v>16</v>
      </c>
      <c r="TDX864" s="22" t="s">
        <v>16</v>
      </c>
      <c r="TDY864" s="22" t="s">
        <v>16</v>
      </c>
      <c r="TDZ864" s="22" t="s">
        <v>16</v>
      </c>
      <c r="TEA864" s="22" t="s">
        <v>16</v>
      </c>
      <c r="TEB864" s="22" t="s">
        <v>16</v>
      </c>
      <c r="TEC864" s="22" t="s">
        <v>16</v>
      </c>
      <c r="TED864" s="22" t="s">
        <v>16</v>
      </c>
      <c r="TEE864" s="22" t="s">
        <v>16</v>
      </c>
      <c r="TEF864" s="22" t="s">
        <v>16</v>
      </c>
      <c r="TEG864" s="22" t="s">
        <v>16</v>
      </c>
      <c r="TEH864" s="22" t="s">
        <v>16</v>
      </c>
      <c r="TEI864" s="22" t="s">
        <v>16</v>
      </c>
      <c r="TEJ864" s="22" t="s">
        <v>16</v>
      </c>
      <c r="TEK864" s="22" t="s">
        <v>16</v>
      </c>
      <c r="TEL864" s="22" t="s">
        <v>16</v>
      </c>
      <c r="TEM864" s="22" t="s">
        <v>16</v>
      </c>
      <c r="TEN864" s="22" t="s">
        <v>16</v>
      </c>
      <c r="TEO864" s="22" t="s">
        <v>16</v>
      </c>
      <c r="TEP864" s="22" t="s">
        <v>16</v>
      </c>
      <c r="TEQ864" s="22" t="s">
        <v>16</v>
      </c>
      <c r="TER864" s="22" t="s">
        <v>16</v>
      </c>
      <c r="TES864" s="22" t="s">
        <v>16</v>
      </c>
      <c r="TET864" s="22" t="s">
        <v>16</v>
      </c>
      <c r="TEU864" s="22" t="s">
        <v>16</v>
      </c>
      <c r="TEV864" s="22" t="s">
        <v>16</v>
      </c>
      <c r="TEW864" s="22" t="s">
        <v>16</v>
      </c>
      <c r="TEX864" s="22" t="s">
        <v>16</v>
      </c>
      <c r="TEY864" s="22" t="s">
        <v>16</v>
      </c>
      <c r="TEZ864" s="22" t="s">
        <v>16</v>
      </c>
      <c r="TFA864" s="22" t="s">
        <v>16</v>
      </c>
      <c r="TFB864" s="22" t="s">
        <v>16</v>
      </c>
      <c r="TFC864" s="22" t="s">
        <v>16</v>
      </c>
      <c r="TFD864" s="22" t="s">
        <v>16</v>
      </c>
      <c r="TFE864" s="22" t="s">
        <v>16</v>
      </c>
      <c r="TFF864" s="22" t="s">
        <v>16</v>
      </c>
      <c r="TFG864" s="22" t="s">
        <v>16</v>
      </c>
      <c r="TFH864" s="22" t="s">
        <v>16</v>
      </c>
      <c r="TFI864" s="22" t="s">
        <v>16</v>
      </c>
      <c r="TFJ864" s="22" t="s">
        <v>16</v>
      </c>
      <c r="TFK864" s="22" t="s">
        <v>16</v>
      </c>
      <c r="TFL864" s="22" t="s">
        <v>16</v>
      </c>
      <c r="TFM864" s="22" t="s">
        <v>16</v>
      </c>
      <c r="TFN864" s="22" t="s">
        <v>16</v>
      </c>
      <c r="TFO864" s="22" t="s">
        <v>16</v>
      </c>
      <c r="TFP864" s="22" t="s">
        <v>16</v>
      </c>
      <c r="TFQ864" s="22" t="s">
        <v>16</v>
      </c>
      <c r="TFR864" s="22" t="s">
        <v>16</v>
      </c>
      <c r="TFS864" s="22" t="s">
        <v>16</v>
      </c>
      <c r="TFT864" s="22" t="s">
        <v>16</v>
      </c>
      <c r="TFU864" s="22" t="s">
        <v>16</v>
      </c>
      <c r="TFV864" s="22" t="s">
        <v>16</v>
      </c>
      <c r="TFW864" s="22" t="s">
        <v>16</v>
      </c>
      <c r="TFX864" s="22" t="s">
        <v>16</v>
      </c>
      <c r="TFY864" s="22" t="s">
        <v>16</v>
      </c>
      <c r="TFZ864" s="22" t="s">
        <v>16</v>
      </c>
      <c r="TGA864" s="22" t="s">
        <v>16</v>
      </c>
      <c r="TGB864" s="22" t="s">
        <v>16</v>
      </c>
      <c r="TGC864" s="22" t="s">
        <v>16</v>
      </c>
      <c r="TGD864" s="22" t="s">
        <v>16</v>
      </c>
      <c r="TGE864" s="22" t="s">
        <v>16</v>
      </c>
      <c r="TGF864" s="22" t="s">
        <v>16</v>
      </c>
      <c r="TGG864" s="22" t="s">
        <v>16</v>
      </c>
      <c r="TGH864" s="22" t="s">
        <v>16</v>
      </c>
      <c r="TGI864" s="22" t="s">
        <v>16</v>
      </c>
      <c r="TGJ864" s="22" t="s">
        <v>16</v>
      </c>
      <c r="TGK864" s="22" t="s">
        <v>16</v>
      </c>
      <c r="TGL864" s="22" t="s">
        <v>16</v>
      </c>
      <c r="TGM864" s="22" t="s">
        <v>16</v>
      </c>
      <c r="TGN864" s="22" t="s">
        <v>16</v>
      </c>
      <c r="TGO864" s="22" t="s">
        <v>16</v>
      </c>
      <c r="TGP864" s="22" t="s">
        <v>16</v>
      </c>
      <c r="TGQ864" s="22" t="s">
        <v>16</v>
      </c>
      <c r="TGR864" s="22" t="s">
        <v>16</v>
      </c>
      <c r="TGS864" s="22" t="s">
        <v>16</v>
      </c>
      <c r="TGT864" s="22" t="s">
        <v>16</v>
      </c>
      <c r="TGU864" s="22" t="s">
        <v>16</v>
      </c>
      <c r="TGV864" s="22" t="s">
        <v>16</v>
      </c>
      <c r="TGW864" s="22" t="s">
        <v>16</v>
      </c>
      <c r="TGX864" s="22" t="s">
        <v>16</v>
      </c>
      <c r="TGY864" s="22" t="s">
        <v>16</v>
      </c>
      <c r="TGZ864" s="22" t="s">
        <v>16</v>
      </c>
      <c r="THA864" s="22" t="s">
        <v>16</v>
      </c>
      <c r="THB864" s="22" t="s">
        <v>16</v>
      </c>
      <c r="THC864" s="22" t="s">
        <v>16</v>
      </c>
      <c r="THD864" s="22" t="s">
        <v>16</v>
      </c>
      <c r="THE864" s="22" t="s">
        <v>16</v>
      </c>
      <c r="THF864" s="22" t="s">
        <v>16</v>
      </c>
      <c r="THG864" s="22" t="s">
        <v>16</v>
      </c>
      <c r="THH864" s="22" t="s">
        <v>16</v>
      </c>
      <c r="THI864" s="22" t="s">
        <v>16</v>
      </c>
      <c r="THJ864" s="22" t="s">
        <v>16</v>
      </c>
      <c r="THK864" s="22" t="s">
        <v>16</v>
      </c>
      <c r="THL864" s="22" t="s">
        <v>16</v>
      </c>
      <c r="THM864" s="22" t="s">
        <v>16</v>
      </c>
      <c r="THN864" s="22" t="s">
        <v>16</v>
      </c>
      <c r="THO864" s="22" t="s">
        <v>16</v>
      </c>
      <c r="THP864" s="22" t="s">
        <v>16</v>
      </c>
      <c r="THQ864" s="22" t="s">
        <v>16</v>
      </c>
      <c r="THR864" s="22" t="s">
        <v>16</v>
      </c>
      <c r="THS864" s="22" t="s">
        <v>16</v>
      </c>
      <c r="THT864" s="22" t="s">
        <v>16</v>
      </c>
      <c r="THU864" s="22" t="s">
        <v>16</v>
      </c>
      <c r="THV864" s="22" t="s">
        <v>16</v>
      </c>
      <c r="THW864" s="22" t="s">
        <v>16</v>
      </c>
      <c r="THX864" s="22" t="s">
        <v>16</v>
      </c>
      <c r="THY864" s="22" t="s">
        <v>16</v>
      </c>
      <c r="THZ864" s="22" t="s">
        <v>16</v>
      </c>
      <c r="TIA864" s="22" t="s">
        <v>16</v>
      </c>
      <c r="TIB864" s="22" t="s">
        <v>16</v>
      </c>
      <c r="TIC864" s="22" t="s">
        <v>16</v>
      </c>
      <c r="TID864" s="22" t="s">
        <v>16</v>
      </c>
      <c r="TIE864" s="22" t="s">
        <v>16</v>
      </c>
      <c r="TIF864" s="22" t="s">
        <v>16</v>
      </c>
      <c r="TIG864" s="22" t="s">
        <v>16</v>
      </c>
      <c r="TIH864" s="22" t="s">
        <v>16</v>
      </c>
      <c r="TII864" s="22" t="s">
        <v>16</v>
      </c>
      <c r="TIJ864" s="22" t="s">
        <v>16</v>
      </c>
      <c r="TIK864" s="22" t="s">
        <v>16</v>
      </c>
      <c r="TIL864" s="22" t="s">
        <v>16</v>
      </c>
      <c r="TIM864" s="22" t="s">
        <v>16</v>
      </c>
      <c r="TIN864" s="22" t="s">
        <v>16</v>
      </c>
      <c r="TIO864" s="22" t="s">
        <v>16</v>
      </c>
      <c r="TIP864" s="22" t="s">
        <v>16</v>
      </c>
      <c r="TIQ864" s="22" t="s">
        <v>16</v>
      </c>
      <c r="TIR864" s="22" t="s">
        <v>16</v>
      </c>
      <c r="TIS864" s="22" t="s">
        <v>16</v>
      </c>
      <c r="TIT864" s="22" t="s">
        <v>16</v>
      </c>
      <c r="TIU864" s="22" t="s">
        <v>16</v>
      </c>
      <c r="TIV864" s="22" t="s">
        <v>16</v>
      </c>
      <c r="TIW864" s="22" t="s">
        <v>16</v>
      </c>
      <c r="TIX864" s="22" t="s">
        <v>16</v>
      </c>
      <c r="TIY864" s="22" t="s">
        <v>16</v>
      </c>
      <c r="TIZ864" s="22" t="s">
        <v>16</v>
      </c>
      <c r="TJA864" s="22" t="s">
        <v>16</v>
      </c>
      <c r="TJB864" s="22" t="s">
        <v>16</v>
      </c>
      <c r="TJC864" s="22" t="s">
        <v>16</v>
      </c>
      <c r="TJD864" s="22" t="s">
        <v>16</v>
      </c>
      <c r="TJE864" s="22" t="s">
        <v>16</v>
      </c>
      <c r="TJF864" s="22" t="s">
        <v>16</v>
      </c>
      <c r="TJG864" s="22" t="s">
        <v>16</v>
      </c>
      <c r="TJH864" s="22" t="s">
        <v>16</v>
      </c>
      <c r="TJI864" s="22" t="s">
        <v>16</v>
      </c>
      <c r="TJJ864" s="22" t="s">
        <v>16</v>
      </c>
      <c r="TJK864" s="22" t="s">
        <v>16</v>
      </c>
      <c r="TJL864" s="22" t="s">
        <v>16</v>
      </c>
      <c r="TJM864" s="22" t="s">
        <v>16</v>
      </c>
      <c r="TJN864" s="22" t="s">
        <v>16</v>
      </c>
      <c r="TJO864" s="22" t="s">
        <v>16</v>
      </c>
      <c r="TJP864" s="22" t="s">
        <v>16</v>
      </c>
      <c r="TJQ864" s="22" t="s">
        <v>16</v>
      </c>
      <c r="TJR864" s="22" t="s">
        <v>16</v>
      </c>
      <c r="TJS864" s="22" t="s">
        <v>16</v>
      </c>
      <c r="TJT864" s="22" t="s">
        <v>16</v>
      </c>
      <c r="TJU864" s="22" t="s">
        <v>16</v>
      </c>
      <c r="TJV864" s="22" t="s">
        <v>16</v>
      </c>
      <c r="TJW864" s="22" t="s">
        <v>16</v>
      </c>
      <c r="TJX864" s="22" t="s">
        <v>16</v>
      </c>
      <c r="TJY864" s="22" t="s">
        <v>16</v>
      </c>
      <c r="TJZ864" s="22" t="s">
        <v>16</v>
      </c>
      <c r="TKA864" s="22" t="s">
        <v>16</v>
      </c>
      <c r="TKB864" s="22" t="s">
        <v>16</v>
      </c>
      <c r="TKC864" s="22" t="s">
        <v>16</v>
      </c>
      <c r="TKD864" s="22" t="s">
        <v>16</v>
      </c>
      <c r="TKE864" s="22" t="s">
        <v>16</v>
      </c>
      <c r="TKF864" s="22" t="s">
        <v>16</v>
      </c>
      <c r="TKG864" s="22" t="s">
        <v>16</v>
      </c>
      <c r="TKH864" s="22" t="s">
        <v>16</v>
      </c>
      <c r="TKI864" s="22" t="s">
        <v>16</v>
      </c>
      <c r="TKJ864" s="22" t="s">
        <v>16</v>
      </c>
      <c r="TKK864" s="22" t="s">
        <v>16</v>
      </c>
      <c r="TKL864" s="22" t="s">
        <v>16</v>
      </c>
      <c r="TKM864" s="22" t="s">
        <v>16</v>
      </c>
      <c r="TKN864" s="22" t="s">
        <v>16</v>
      </c>
      <c r="TKO864" s="22" t="s">
        <v>16</v>
      </c>
      <c r="TKP864" s="22" t="s">
        <v>16</v>
      </c>
      <c r="TKQ864" s="22" t="s">
        <v>16</v>
      </c>
      <c r="TKR864" s="22" t="s">
        <v>16</v>
      </c>
      <c r="TKS864" s="22" t="s">
        <v>16</v>
      </c>
      <c r="TKT864" s="22" t="s">
        <v>16</v>
      </c>
      <c r="TKU864" s="22" t="s">
        <v>16</v>
      </c>
      <c r="TKV864" s="22" t="s">
        <v>16</v>
      </c>
      <c r="TKW864" s="22" t="s">
        <v>16</v>
      </c>
      <c r="TKX864" s="22" t="s">
        <v>16</v>
      </c>
      <c r="TKY864" s="22" t="s">
        <v>16</v>
      </c>
      <c r="TKZ864" s="22" t="s">
        <v>16</v>
      </c>
      <c r="TLA864" s="22" t="s">
        <v>16</v>
      </c>
      <c r="TLB864" s="22" t="s">
        <v>16</v>
      </c>
      <c r="TLC864" s="22" t="s">
        <v>16</v>
      </c>
      <c r="TLD864" s="22" t="s">
        <v>16</v>
      </c>
      <c r="TLE864" s="22" t="s">
        <v>16</v>
      </c>
      <c r="TLF864" s="22" t="s">
        <v>16</v>
      </c>
      <c r="TLG864" s="22" t="s">
        <v>16</v>
      </c>
      <c r="TLH864" s="22" t="s">
        <v>16</v>
      </c>
      <c r="TLI864" s="22" t="s">
        <v>16</v>
      </c>
      <c r="TLJ864" s="22" t="s">
        <v>16</v>
      </c>
      <c r="TLK864" s="22" t="s">
        <v>16</v>
      </c>
      <c r="TLL864" s="22" t="s">
        <v>16</v>
      </c>
      <c r="TLM864" s="22" t="s">
        <v>16</v>
      </c>
      <c r="TLN864" s="22" t="s">
        <v>16</v>
      </c>
      <c r="TLO864" s="22" t="s">
        <v>16</v>
      </c>
      <c r="TLP864" s="22" t="s">
        <v>16</v>
      </c>
      <c r="TLQ864" s="22" t="s">
        <v>16</v>
      </c>
      <c r="TLR864" s="22" t="s">
        <v>16</v>
      </c>
      <c r="TLS864" s="22" t="s">
        <v>16</v>
      </c>
      <c r="TLT864" s="22" t="s">
        <v>16</v>
      </c>
      <c r="TLU864" s="22" t="s">
        <v>16</v>
      </c>
      <c r="TLV864" s="22" t="s">
        <v>16</v>
      </c>
      <c r="TLW864" s="22" t="s">
        <v>16</v>
      </c>
      <c r="TLX864" s="22" t="s">
        <v>16</v>
      </c>
      <c r="TLY864" s="22" t="s">
        <v>16</v>
      </c>
      <c r="TLZ864" s="22" t="s">
        <v>16</v>
      </c>
      <c r="TMA864" s="22" t="s">
        <v>16</v>
      </c>
      <c r="TMB864" s="22" t="s">
        <v>16</v>
      </c>
      <c r="TMC864" s="22" t="s">
        <v>16</v>
      </c>
      <c r="TMD864" s="22" t="s">
        <v>16</v>
      </c>
      <c r="TME864" s="22" t="s">
        <v>16</v>
      </c>
      <c r="TMF864" s="22" t="s">
        <v>16</v>
      </c>
      <c r="TMG864" s="22" t="s">
        <v>16</v>
      </c>
      <c r="TMH864" s="22" t="s">
        <v>16</v>
      </c>
      <c r="TMI864" s="22" t="s">
        <v>16</v>
      </c>
      <c r="TMJ864" s="22" t="s">
        <v>16</v>
      </c>
      <c r="TMK864" s="22" t="s">
        <v>16</v>
      </c>
      <c r="TML864" s="22" t="s">
        <v>16</v>
      </c>
      <c r="TMM864" s="22" t="s">
        <v>16</v>
      </c>
      <c r="TMN864" s="22" t="s">
        <v>16</v>
      </c>
      <c r="TMO864" s="22" t="s">
        <v>16</v>
      </c>
      <c r="TMP864" s="22" t="s">
        <v>16</v>
      </c>
      <c r="TMQ864" s="22" t="s">
        <v>16</v>
      </c>
      <c r="TMR864" s="22" t="s">
        <v>16</v>
      </c>
      <c r="TMS864" s="22" t="s">
        <v>16</v>
      </c>
      <c r="TMT864" s="22" t="s">
        <v>16</v>
      </c>
      <c r="TMU864" s="22" t="s">
        <v>16</v>
      </c>
      <c r="TMV864" s="22" t="s">
        <v>16</v>
      </c>
      <c r="TMW864" s="22" t="s">
        <v>16</v>
      </c>
      <c r="TMX864" s="22" t="s">
        <v>16</v>
      </c>
      <c r="TMY864" s="22" t="s">
        <v>16</v>
      </c>
      <c r="TMZ864" s="22" t="s">
        <v>16</v>
      </c>
      <c r="TNA864" s="22" t="s">
        <v>16</v>
      </c>
      <c r="TNB864" s="22" t="s">
        <v>16</v>
      </c>
      <c r="TNC864" s="22" t="s">
        <v>16</v>
      </c>
      <c r="TND864" s="22" t="s">
        <v>16</v>
      </c>
      <c r="TNE864" s="22" t="s">
        <v>16</v>
      </c>
      <c r="TNF864" s="22" t="s">
        <v>16</v>
      </c>
      <c r="TNG864" s="22" t="s">
        <v>16</v>
      </c>
      <c r="TNH864" s="22" t="s">
        <v>16</v>
      </c>
      <c r="TNI864" s="22" t="s">
        <v>16</v>
      </c>
      <c r="TNJ864" s="22" t="s">
        <v>16</v>
      </c>
      <c r="TNK864" s="22" t="s">
        <v>16</v>
      </c>
      <c r="TNL864" s="22" t="s">
        <v>16</v>
      </c>
      <c r="TNM864" s="22" t="s">
        <v>16</v>
      </c>
      <c r="TNN864" s="22" t="s">
        <v>16</v>
      </c>
      <c r="TNO864" s="22" t="s">
        <v>16</v>
      </c>
      <c r="TNP864" s="22" t="s">
        <v>16</v>
      </c>
      <c r="TNQ864" s="22" t="s">
        <v>16</v>
      </c>
      <c r="TNR864" s="22" t="s">
        <v>16</v>
      </c>
      <c r="TNS864" s="22" t="s">
        <v>16</v>
      </c>
      <c r="TNT864" s="22" t="s">
        <v>16</v>
      </c>
      <c r="TNU864" s="22" t="s">
        <v>16</v>
      </c>
      <c r="TNV864" s="22" t="s">
        <v>16</v>
      </c>
      <c r="TNW864" s="22" t="s">
        <v>16</v>
      </c>
      <c r="TNX864" s="22" t="s">
        <v>16</v>
      </c>
      <c r="TNY864" s="22" t="s">
        <v>16</v>
      </c>
      <c r="TNZ864" s="22" t="s">
        <v>16</v>
      </c>
      <c r="TOA864" s="22" t="s">
        <v>16</v>
      </c>
      <c r="TOB864" s="22" t="s">
        <v>16</v>
      </c>
      <c r="TOC864" s="22" t="s">
        <v>16</v>
      </c>
      <c r="TOD864" s="22" t="s">
        <v>16</v>
      </c>
      <c r="TOE864" s="22" t="s">
        <v>16</v>
      </c>
      <c r="TOF864" s="22" t="s">
        <v>16</v>
      </c>
      <c r="TOG864" s="22" t="s">
        <v>16</v>
      </c>
      <c r="TOH864" s="22" t="s">
        <v>16</v>
      </c>
      <c r="TOI864" s="22" t="s">
        <v>16</v>
      </c>
      <c r="TOJ864" s="22" t="s">
        <v>16</v>
      </c>
      <c r="TOK864" s="22" t="s">
        <v>16</v>
      </c>
      <c r="TOL864" s="22" t="s">
        <v>16</v>
      </c>
      <c r="TOM864" s="22" t="s">
        <v>16</v>
      </c>
      <c r="TON864" s="22" t="s">
        <v>16</v>
      </c>
      <c r="TOO864" s="22" t="s">
        <v>16</v>
      </c>
      <c r="TOP864" s="22" t="s">
        <v>16</v>
      </c>
      <c r="TOQ864" s="22" t="s">
        <v>16</v>
      </c>
      <c r="TOR864" s="22" t="s">
        <v>16</v>
      </c>
      <c r="TOS864" s="22" t="s">
        <v>16</v>
      </c>
      <c r="TOT864" s="22" t="s">
        <v>16</v>
      </c>
      <c r="TOU864" s="22" t="s">
        <v>16</v>
      </c>
      <c r="TOV864" s="22" t="s">
        <v>16</v>
      </c>
      <c r="TOW864" s="22" t="s">
        <v>16</v>
      </c>
      <c r="TOX864" s="22" t="s">
        <v>16</v>
      </c>
      <c r="TOY864" s="22" t="s">
        <v>16</v>
      </c>
      <c r="TOZ864" s="22" t="s">
        <v>16</v>
      </c>
      <c r="TPA864" s="22" t="s">
        <v>16</v>
      </c>
      <c r="TPB864" s="22" t="s">
        <v>16</v>
      </c>
      <c r="TPC864" s="22" t="s">
        <v>16</v>
      </c>
      <c r="TPD864" s="22" t="s">
        <v>16</v>
      </c>
      <c r="TPE864" s="22" t="s">
        <v>16</v>
      </c>
      <c r="TPF864" s="22" t="s">
        <v>16</v>
      </c>
      <c r="TPG864" s="22" t="s">
        <v>16</v>
      </c>
      <c r="TPH864" s="22" t="s">
        <v>16</v>
      </c>
      <c r="TPI864" s="22" t="s">
        <v>16</v>
      </c>
      <c r="TPJ864" s="22" t="s">
        <v>16</v>
      </c>
      <c r="TPK864" s="22" t="s">
        <v>16</v>
      </c>
      <c r="TPL864" s="22" t="s">
        <v>16</v>
      </c>
      <c r="TPM864" s="22" t="s">
        <v>16</v>
      </c>
      <c r="TPN864" s="22" t="s">
        <v>16</v>
      </c>
      <c r="TPO864" s="22" t="s">
        <v>16</v>
      </c>
      <c r="TPP864" s="22" t="s">
        <v>16</v>
      </c>
      <c r="TPQ864" s="22" t="s">
        <v>16</v>
      </c>
      <c r="TPR864" s="22" t="s">
        <v>16</v>
      </c>
      <c r="TPS864" s="22" t="s">
        <v>16</v>
      </c>
      <c r="TPT864" s="22" t="s">
        <v>16</v>
      </c>
      <c r="TPU864" s="22" t="s">
        <v>16</v>
      </c>
      <c r="TPV864" s="22" t="s">
        <v>16</v>
      </c>
      <c r="TPW864" s="22" t="s">
        <v>16</v>
      </c>
      <c r="TPX864" s="22" t="s">
        <v>16</v>
      </c>
      <c r="TPY864" s="22" t="s">
        <v>16</v>
      </c>
      <c r="TPZ864" s="22" t="s">
        <v>16</v>
      </c>
      <c r="TQA864" s="22" t="s">
        <v>16</v>
      </c>
      <c r="TQB864" s="22" t="s">
        <v>16</v>
      </c>
      <c r="TQC864" s="22" t="s">
        <v>16</v>
      </c>
      <c r="TQD864" s="22" t="s">
        <v>16</v>
      </c>
      <c r="TQE864" s="22" t="s">
        <v>16</v>
      </c>
      <c r="TQF864" s="22" t="s">
        <v>16</v>
      </c>
      <c r="TQG864" s="22" t="s">
        <v>16</v>
      </c>
      <c r="TQH864" s="22" t="s">
        <v>16</v>
      </c>
      <c r="TQI864" s="22" t="s">
        <v>16</v>
      </c>
      <c r="TQJ864" s="22" t="s">
        <v>16</v>
      </c>
      <c r="TQK864" s="22" t="s">
        <v>16</v>
      </c>
      <c r="TQL864" s="22" t="s">
        <v>16</v>
      </c>
      <c r="TQM864" s="22" t="s">
        <v>16</v>
      </c>
      <c r="TQN864" s="22" t="s">
        <v>16</v>
      </c>
      <c r="TQO864" s="22" t="s">
        <v>16</v>
      </c>
      <c r="TQP864" s="22" t="s">
        <v>16</v>
      </c>
      <c r="TQQ864" s="22" t="s">
        <v>16</v>
      </c>
      <c r="TQR864" s="22" t="s">
        <v>16</v>
      </c>
      <c r="TQS864" s="22" t="s">
        <v>16</v>
      </c>
      <c r="TQT864" s="22" t="s">
        <v>16</v>
      </c>
      <c r="TQU864" s="22" t="s">
        <v>16</v>
      </c>
      <c r="TQV864" s="22" t="s">
        <v>16</v>
      </c>
      <c r="TQW864" s="22" t="s">
        <v>16</v>
      </c>
      <c r="TQX864" s="22" t="s">
        <v>16</v>
      </c>
      <c r="TQY864" s="22" t="s">
        <v>16</v>
      </c>
      <c r="TQZ864" s="22" t="s">
        <v>16</v>
      </c>
      <c r="TRA864" s="22" t="s">
        <v>16</v>
      </c>
      <c r="TRB864" s="22" t="s">
        <v>16</v>
      </c>
      <c r="TRC864" s="22" t="s">
        <v>16</v>
      </c>
      <c r="TRD864" s="22" t="s">
        <v>16</v>
      </c>
      <c r="TRE864" s="22" t="s">
        <v>16</v>
      </c>
      <c r="TRF864" s="22" t="s">
        <v>16</v>
      </c>
      <c r="TRG864" s="22" t="s">
        <v>16</v>
      </c>
      <c r="TRH864" s="22" t="s">
        <v>16</v>
      </c>
      <c r="TRI864" s="22" t="s">
        <v>16</v>
      </c>
      <c r="TRJ864" s="22" t="s">
        <v>16</v>
      </c>
      <c r="TRK864" s="22" t="s">
        <v>16</v>
      </c>
      <c r="TRL864" s="22" t="s">
        <v>16</v>
      </c>
      <c r="TRM864" s="22" t="s">
        <v>16</v>
      </c>
      <c r="TRN864" s="22" t="s">
        <v>16</v>
      </c>
      <c r="TRO864" s="22" t="s">
        <v>16</v>
      </c>
      <c r="TRP864" s="22" t="s">
        <v>16</v>
      </c>
      <c r="TRQ864" s="22" t="s">
        <v>16</v>
      </c>
      <c r="TRR864" s="22" t="s">
        <v>16</v>
      </c>
      <c r="TRS864" s="22" t="s">
        <v>16</v>
      </c>
      <c r="TRT864" s="22" t="s">
        <v>16</v>
      </c>
      <c r="TRU864" s="22" t="s">
        <v>16</v>
      </c>
      <c r="TRV864" s="22" t="s">
        <v>16</v>
      </c>
      <c r="TRW864" s="22" t="s">
        <v>16</v>
      </c>
      <c r="TRX864" s="22" t="s">
        <v>16</v>
      </c>
      <c r="TRY864" s="22" t="s">
        <v>16</v>
      </c>
      <c r="TRZ864" s="22" t="s">
        <v>16</v>
      </c>
      <c r="TSA864" s="22" t="s">
        <v>16</v>
      </c>
      <c r="TSB864" s="22" t="s">
        <v>16</v>
      </c>
      <c r="TSC864" s="22" t="s">
        <v>16</v>
      </c>
      <c r="TSD864" s="22" t="s">
        <v>16</v>
      </c>
      <c r="TSE864" s="22" t="s">
        <v>16</v>
      </c>
      <c r="TSF864" s="22" t="s">
        <v>16</v>
      </c>
      <c r="TSG864" s="22" t="s">
        <v>16</v>
      </c>
      <c r="TSH864" s="22" t="s">
        <v>16</v>
      </c>
      <c r="TSI864" s="22" t="s">
        <v>16</v>
      </c>
      <c r="TSJ864" s="22" t="s">
        <v>16</v>
      </c>
      <c r="TSK864" s="22" t="s">
        <v>16</v>
      </c>
      <c r="TSL864" s="22" t="s">
        <v>16</v>
      </c>
      <c r="TSM864" s="22" t="s">
        <v>16</v>
      </c>
      <c r="TSN864" s="22" t="s">
        <v>16</v>
      </c>
      <c r="TSO864" s="22" t="s">
        <v>16</v>
      </c>
      <c r="TSP864" s="22" t="s">
        <v>16</v>
      </c>
      <c r="TSQ864" s="22" t="s">
        <v>16</v>
      </c>
      <c r="TSR864" s="22" t="s">
        <v>16</v>
      </c>
      <c r="TSS864" s="22" t="s">
        <v>16</v>
      </c>
      <c r="TST864" s="22" t="s">
        <v>16</v>
      </c>
      <c r="TSU864" s="22" t="s">
        <v>16</v>
      </c>
      <c r="TSV864" s="22" t="s">
        <v>16</v>
      </c>
      <c r="TSW864" s="22" t="s">
        <v>16</v>
      </c>
      <c r="TSX864" s="22" t="s">
        <v>16</v>
      </c>
      <c r="TSY864" s="22" t="s">
        <v>16</v>
      </c>
      <c r="TSZ864" s="22" t="s">
        <v>16</v>
      </c>
      <c r="TTA864" s="22" t="s">
        <v>16</v>
      </c>
      <c r="TTB864" s="22" t="s">
        <v>16</v>
      </c>
      <c r="TTC864" s="22" t="s">
        <v>16</v>
      </c>
      <c r="TTD864" s="22" t="s">
        <v>16</v>
      </c>
      <c r="TTE864" s="22" t="s">
        <v>16</v>
      </c>
      <c r="TTF864" s="22" t="s">
        <v>16</v>
      </c>
      <c r="TTG864" s="22" t="s">
        <v>16</v>
      </c>
      <c r="TTH864" s="22" t="s">
        <v>16</v>
      </c>
      <c r="TTI864" s="22" t="s">
        <v>16</v>
      </c>
      <c r="TTJ864" s="22" t="s">
        <v>16</v>
      </c>
      <c r="TTK864" s="22" t="s">
        <v>16</v>
      </c>
      <c r="TTL864" s="22" t="s">
        <v>16</v>
      </c>
      <c r="TTM864" s="22" t="s">
        <v>16</v>
      </c>
      <c r="TTN864" s="22" t="s">
        <v>16</v>
      </c>
      <c r="TTO864" s="22" t="s">
        <v>16</v>
      </c>
      <c r="TTP864" s="22" t="s">
        <v>16</v>
      </c>
      <c r="TTQ864" s="22" t="s">
        <v>16</v>
      </c>
      <c r="TTR864" s="22" t="s">
        <v>16</v>
      </c>
      <c r="TTS864" s="22" t="s">
        <v>16</v>
      </c>
      <c r="TTT864" s="22" t="s">
        <v>16</v>
      </c>
      <c r="TTU864" s="22" t="s">
        <v>16</v>
      </c>
      <c r="TTV864" s="22" t="s">
        <v>16</v>
      </c>
      <c r="TTW864" s="22" t="s">
        <v>16</v>
      </c>
      <c r="TTX864" s="22" t="s">
        <v>16</v>
      </c>
      <c r="TTY864" s="22" t="s">
        <v>16</v>
      </c>
      <c r="TTZ864" s="22" t="s">
        <v>16</v>
      </c>
      <c r="TUA864" s="22" t="s">
        <v>16</v>
      </c>
      <c r="TUB864" s="22" t="s">
        <v>16</v>
      </c>
      <c r="TUC864" s="22" t="s">
        <v>16</v>
      </c>
      <c r="TUD864" s="22" t="s">
        <v>16</v>
      </c>
      <c r="TUE864" s="22" t="s">
        <v>16</v>
      </c>
      <c r="TUF864" s="22" t="s">
        <v>16</v>
      </c>
      <c r="TUG864" s="22" t="s">
        <v>16</v>
      </c>
      <c r="TUH864" s="22" t="s">
        <v>16</v>
      </c>
      <c r="TUI864" s="22" t="s">
        <v>16</v>
      </c>
      <c r="TUJ864" s="22" t="s">
        <v>16</v>
      </c>
      <c r="TUK864" s="22" t="s">
        <v>16</v>
      </c>
      <c r="TUL864" s="22" t="s">
        <v>16</v>
      </c>
      <c r="TUM864" s="22" t="s">
        <v>16</v>
      </c>
      <c r="TUN864" s="22" t="s">
        <v>16</v>
      </c>
      <c r="TUO864" s="22" t="s">
        <v>16</v>
      </c>
      <c r="TUP864" s="22" t="s">
        <v>16</v>
      </c>
      <c r="TUQ864" s="22" t="s">
        <v>16</v>
      </c>
      <c r="TUR864" s="22" t="s">
        <v>16</v>
      </c>
      <c r="TUS864" s="22" t="s">
        <v>16</v>
      </c>
      <c r="TUT864" s="22" t="s">
        <v>16</v>
      </c>
      <c r="TUU864" s="22" t="s">
        <v>16</v>
      </c>
      <c r="TUV864" s="22" t="s">
        <v>16</v>
      </c>
      <c r="TUW864" s="22" t="s">
        <v>16</v>
      </c>
      <c r="TUX864" s="22" t="s">
        <v>16</v>
      </c>
      <c r="TUY864" s="22" t="s">
        <v>16</v>
      </c>
      <c r="TUZ864" s="22" t="s">
        <v>16</v>
      </c>
      <c r="TVA864" s="22" t="s">
        <v>16</v>
      </c>
      <c r="TVB864" s="22" t="s">
        <v>16</v>
      </c>
      <c r="TVC864" s="22" t="s">
        <v>16</v>
      </c>
      <c r="TVD864" s="22" t="s">
        <v>16</v>
      </c>
      <c r="TVE864" s="22" t="s">
        <v>16</v>
      </c>
      <c r="TVF864" s="22" t="s">
        <v>16</v>
      </c>
      <c r="TVG864" s="22" t="s">
        <v>16</v>
      </c>
      <c r="TVH864" s="22" t="s">
        <v>16</v>
      </c>
      <c r="TVI864" s="22" t="s">
        <v>16</v>
      </c>
      <c r="TVJ864" s="22" t="s">
        <v>16</v>
      </c>
      <c r="TVK864" s="22" t="s">
        <v>16</v>
      </c>
      <c r="TVL864" s="22" t="s">
        <v>16</v>
      </c>
      <c r="TVM864" s="22" t="s">
        <v>16</v>
      </c>
      <c r="TVN864" s="22" t="s">
        <v>16</v>
      </c>
      <c r="TVO864" s="22" t="s">
        <v>16</v>
      </c>
      <c r="TVP864" s="22" t="s">
        <v>16</v>
      </c>
      <c r="TVQ864" s="22" t="s">
        <v>16</v>
      </c>
      <c r="TVR864" s="22" t="s">
        <v>16</v>
      </c>
      <c r="TVS864" s="22" t="s">
        <v>16</v>
      </c>
      <c r="TVT864" s="22" t="s">
        <v>16</v>
      </c>
      <c r="TVU864" s="22" t="s">
        <v>16</v>
      </c>
      <c r="TVV864" s="22" t="s">
        <v>16</v>
      </c>
      <c r="TVW864" s="22" t="s">
        <v>16</v>
      </c>
      <c r="TVX864" s="22" t="s">
        <v>16</v>
      </c>
      <c r="TVY864" s="22" t="s">
        <v>16</v>
      </c>
      <c r="TVZ864" s="22" t="s">
        <v>16</v>
      </c>
      <c r="TWA864" s="22" t="s">
        <v>16</v>
      </c>
      <c r="TWB864" s="22" t="s">
        <v>16</v>
      </c>
      <c r="TWC864" s="22" t="s">
        <v>16</v>
      </c>
      <c r="TWD864" s="22" t="s">
        <v>16</v>
      </c>
      <c r="TWE864" s="22" t="s">
        <v>16</v>
      </c>
      <c r="TWF864" s="22" t="s">
        <v>16</v>
      </c>
      <c r="TWG864" s="22" t="s">
        <v>16</v>
      </c>
      <c r="TWH864" s="22" t="s">
        <v>16</v>
      </c>
      <c r="TWI864" s="22" t="s">
        <v>16</v>
      </c>
      <c r="TWJ864" s="22" t="s">
        <v>16</v>
      </c>
      <c r="TWK864" s="22" t="s">
        <v>16</v>
      </c>
      <c r="TWL864" s="22" t="s">
        <v>16</v>
      </c>
      <c r="TWM864" s="22" t="s">
        <v>16</v>
      </c>
      <c r="TWN864" s="22" t="s">
        <v>16</v>
      </c>
      <c r="TWO864" s="22" t="s">
        <v>16</v>
      </c>
      <c r="TWP864" s="22" t="s">
        <v>16</v>
      </c>
      <c r="TWQ864" s="22" t="s">
        <v>16</v>
      </c>
      <c r="TWR864" s="22" t="s">
        <v>16</v>
      </c>
      <c r="TWS864" s="22" t="s">
        <v>16</v>
      </c>
      <c r="TWT864" s="22" t="s">
        <v>16</v>
      </c>
      <c r="TWU864" s="22" t="s">
        <v>16</v>
      </c>
      <c r="TWV864" s="22" t="s">
        <v>16</v>
      </c>
      <c r="TWW864" s="22" t="s">
        <v>16</v>
      </c>
      <c r="TWX864" s="22" t="s">
        <v>16</v>
      </c>
      <c r="TWY864" s="22" t="s">
        <v>16</v>
      </c>
      <c r="TWZ864" s="22" t="s">
        <v>16</v>
      </c>
      <c r="TXA864" s="22" t="s">
        <v>16</v>
      </c>
      <c r="TXB864" s="22" t="s">
        <v>16</v>
      </c>
      <c r="TXC864" s="22" t="s">
        <v>16</v>
      </c>
      <c r="TXD864" s="22" t="s">
        <v>16</v>
      </c>
      <c r="TXE864" s="22" t="s">
        <v>16</v>
      </c>
      <c r="TXF864" s="22" t="s">
        <v>16</v>
      </c>
      <c r="TXG864" s="22" t="s">
        <v>16</v>
      </c>
      <c r="TXH864" s="22" t="s">
        <v>16</v>
      </c>
      <c r="TXI864" s="22" t="s">
        <v>16</v>
      </c>
      <c r="TXJ864" s="22" t="s">
        <v>16</v>
      </c>
      <c r="TXK864" s="22" t="s">
        <v>16</v>
      </c>
      <c r="TXL864" s="22" t="s">
        <v>16</v>
      </c>
      <c r="TXM864" s="22" t="s">
        <v>16</v>
      </c>
      <c r="TXN864" s="22" t="s">
        <v>16</v>
      </c>
      <c r="TXO864" s="22" t="s">
        <v>16</v>
      </c>
      <c r="TXP864" s="22" t="s">
        <v>16</v>
      </c>
      <c r="TXQ864" s="22" t="s">
        <v>16</v>
      </c>
      <c r="TXR864" s="22" t="s">
        <v>16</v>
      </c>
      <c r="TXS864" s="22" t="s">
        <v>16</v>
      </c>
      <c r="TXT864" s="22" t="s">
        <v>16</v>
      </c>
      <c r="TXU864" s="22" t="s">
        <v>16</v>
      </c>
      <c r="TXV864" s="22" t="s">
        <v>16</v>
      </c>
      <c r="TXW864" s="22" t="s">
        <v>16</v>
      </c>
      <c r="TXX864" s="22" t="s">
        <v>16</v>
      </c>
      <c r="TXY864" s="22" t="s">
        <v>16</v>
      </c>
      <c r="TXZ864" s="22" t="s">
        <v>16</v>
      </c>
      <c r="TYA864" s="22" t="s">
        <v>16</v>
      </c>
      <c r="TYB864" s="22" t="s">
        <v>16</v>
      </c>
      <c r="TYC864" s="22" t="s">
        <v>16</v>
      </c>
      <c r="TYD864" s="22" t="s">
        <v>16</v>
      </c>
      <c r="TYE864" s="22" t="s">
        <v>16</v>
      </c>
      <c r="TYF864" s="22" t="s">
        <v>16</v>
      </c>
      <c r="TYG864" s="22" t="s">
        <v>16</v>
      </c>
      <c r="TYH864" s="22" t="s">
        <v>16</v>
      </c>
      <c r="TYI864" s="22" t="s">
        <v>16</v>
      </c>
      <c r="TYJ864" s="22" t="s">
        <v>16</v>
      </c>
      <c r="TYK864" s="22" t="s">
        <v>16</v>
      </c>
      <c r="TYL864" s="22" t="s">
        <v>16</v>
      </c>
      <c r="TYM864" s="22" t="s">
        <v>16</v>
      </c>
      <c r="TYN864" s="22" t="s">
        <v>16</v>
      </c>
      <c r="TYO864" s="22" t="s">
        <v>16</v>
      </c>
      <c r="TYP864" s="22" t="s">
        <v>16</v>
      </c>
      <c r="TYQ864" s="22" t="s">
        <v>16</v>
      </c>
      <c r="TYR864" s="22" t="s">
        <v>16</v>
      </c>
      <c r="TYS864" s="22" t="s">
        <v>16</v>
      </c>
      <c r="TYT864" s="22" t="s">
        <v>16</v>
      </c>
      <c r="TYU864" s="22" t="s">
        <v>16</v>
      </c>
      <c r="TYV864" s="22" t="s">
        <v>16</v>
      </c>
      <c r="TYW864" s="22" t="s">
        <v>16</v>
      </c>
      <c r="TYX864" s="22" t="s">
        <v>16</v>
      </c>
      <c r="TYY864" s="22" t="s">
        <v>16</v>
      </c>
      <c r="TYZ864" s="22" t="s">
        <v>16</v>
      </c>
      <c r="TZA864" s="22" t="s">
        <v>16</v>
      </c>
      <c r="TZB864" s="22" t="s">
        <v>16</v>
      </c>
      <c r="TZC864" s="22" t="s">
        <v>16</v>
      </c>
      <c r="TZD864" s="22" t="s">
        <v>16</v>
      </c>
      <c r="TZE864" s="22" t="s">
        <v>16</v>
      </c>
      <c r="TZF864" s="22" t="s">
        <v>16</v>
      </c>
      <c r="TZG864" s="22" t="s">
        <v>16</v>
      </c>
      <c r="TZH864" s="22" t="s">
        <v>16</v>
      </c>
      <c r="TZI864" s="22" t="s">
        <v>16</v>
      </c>
      <c r="TZJ864" s="22" t="s">
        <v>16</v>
      </c>
      <c r="TZK864" s="22" t="s">
        <v>16</v>
      </c>
      <c r="TZL864" s="22" t="s">
        <v>16</v>
      </c>
      <c r="TZM864" s="22" t="s">
        <v>16</v>
      </c>
      <c r="TZN864" s="22" t="s">
        <v>16</v>
      </c>
      <c r="TZO864" s="22" t="s">
        <v>16</v>
      </c>
      <c r="TZP864" s="22" t="s">
        <v>16</v>
      </c>
      <c r="TZQ864" s="22" t="s">
        <v>16</v>
      </c>
      <c r="TZR864" s="22" t="s">
        <v>16</v>
      </c>
      <c r="TZS864" s="22" t="s">
        <v>16</v>
      </c>
      <c r="TZT864" s="22" t="s">
        <v>16</v>
      </c>
      <c r="TZU864" s="22" t="s">
        <v>16</v>
      </c>
      <c r="TZV864" s="22" t="s">
        <v>16</v>
      </c>
      <c r="TZW864" s="22" t="s">
        <v>16</v>
      </c>
      <c r="TZX864" s="22" t="s">
        <v>16</v>
      </c>
      <c r="TZY864" s="22" t="s">
        <v>16</v>
      </c>
      <c r="TZZ864" s="22" t="s">
        <v>16</v>
      </c>
      <c r="UAA864" s="22" t="s">
        <v>16</v>
      </c>
      <c r="UAB864" s="22" t="s">
        <v>16</v>
      </c>
      <c r="UAC864" s="22" t="s">
        <v>16</v>
      </c>
      <c r="UAD864" s="22" t="s">
        <v>16</v>
      </c>
      <c r="UAE864" s="22" t="s">
        <v>16</v>
      </c>
      <c r="UAF864" s="22" t="s">
        <v>16</v>
      </c>
      <c r="UAG864" s="22" t="s">
        <v>16</v>
      </c>
      <c r="UAH864" s="22" t="s">
        <v>16</v>
      </c>
      <c r="UAI864" s="22" t="s">
        <v>16</v>
      </c>
      <c r="UAJ864" s="22" t="s">
        <v>16</v>
      </c>
      <c r="UAK864" s="22" t="s">
        <v>16</v>
      </c>
      <c r="UAL864" s="22" t="s">
        <v>16</v>
      </c>
      <c r="UAM864" s="22" t="s">
        <v>16</v>
      </c>
      <c r="UAN864" s="22" t="s">
        <v>16</v>
      </c>
      <c r="UAO864" s="22" t="s">
        <v>16</v>
      </c>
      <c r="UAP864" s="22" t="s">
        <v>16</v>
      </c>
      <c r="UAQ864" s="22" t="s">
        <v>16</v>
      </c>
      <c r="UAR864" s="22" t="s">
        <v>16</v>
      </c>
      <c r="UAS864" s="22" t="s">
        <v>16</v>
      </c>
      <c r="UAT864" s="22" t="s">
        <v>16</v>
      </c>
      <c r="UAU864" s="22" t="s">
        <v>16</v>
      </c>
      <c r="UAV864" s="22" t="s">
        <v>16</v>
      </c>
      <c r="UAW864" s="22" t="s">
        <v>16</v>
      </c>
      <c r="UAX864" s="22" t="s">
        <v>16</v>
      </c>
      <c r="UAY864" s="22" t="s">
        <v>16</v>
      </c>
      <c r="UAZ864" s="22" t="s">
        <v>16</v>
      </c>
      <c r="UBA864" s="22" t="s">
        <v>16</v>
      </c>
      <c r="UBB864" s="22" t="s">
        <v>16</v>
      </c>
      <c r="UBC864" s="22" t="s">
        <v>16</v>
      </c>
      <c r="UBD864" s="22" t="s">
        <v>16</v>
      </c>
      <c r="UBE864" s="22" t="s">
        <v>16</v>
      </c>
      <c r="UBF864" s="22" t="s">
        <v>16</v>
      </c>
      <c r="UBG864" s="22" t="s">
        <v>16</v>
      </c>
      <c r="UBH864" s="22" t="s">
        <v>16</v>
      </c>
      <c r="UBI864" s="22" t="s">
        <v>16</v>
      </c>
      <c r="UBJ864" s="22" t="s">
        <v>16</v>
      </c>
      <c r="UBK864" s="22" t="s">
        <v>16</v>
      </c>
      <c r="UBL864" s="22" t="s">
        <v>16</v>
      </c>
      <c r="UBM864" s="22" t="s">
        <v>16</v>
      </c>
      <c r="UBN864" s="22" t="s">
        <v>16</v>
      </c>
      <c r="UBO864" s="22" t="s">
        <v>16</v>
      </c>
      <c r="UBP864" s="22" t="s">
        <v>16</v>
      </c>
      <c r="UBQ864" s="22" t="s">
        <v>16</v>
      </c>
      <c r="UBR864" s="22" t="s">
        <v>16</v>
      </c>
      <c r="UBS864" s="22" t="s">
        <v>16</v>
      </c>
      <c r="UBT864" s="22" t="s">
        <v>16</v>
      </c>
      <c r="UBU864" s="22" t="s">
        <v>16</v>
      </c>
      <c r="UBV864" s="22" t="s">
        <v>16</v>
      </c>
      <c r="UBW864" s="22" t="s">
        <v>16</v>
      </c>
      <c r="UBX864" s="22" t="s">
        <v>16</v>
      </c>
      <c r="UBY864" s="22" t="s">
        <v>16</v>
      </c>
      <c r="UBZ864" s="22" t="s">
        <v>16</v>
      </c>
      <c r="UCA864" s="22" t="s">
        <v>16</v>
      </c>
      <c r="UCB864" s="22" t="s">
        <v>16</v>
      </c>
      <c r="UCC864" s="22" t="s">
        <v>16</v>
      </c>
      <c r="UCD864" s="22" t="s">
        <v>16</v>
      </c>
      <c r="UCE864" s="22" t="s">
        <v>16</v>
      </c>
      <c r="UCF864" s="22" t="s">
        <v>16</v>
      </c>
      <c r="UCG864" s="22" t="s">
        <v>16</v>
      </c>
      <c r="UCH864" s="22" t="s">
        <v>16</v>
      </c>
      <c r="UCI864" s="22" t="s">
        <v>16</v>
      </c>
      <c r="UCJ864" s="22" t="s">
        <v>16</v>
      </c>
      <c r="UCK864" s="22" t="s">
        <v>16</v>
      </c>
      <c r="UCL864" s="22" t="s">
        <v>16</v>
      </c>
      <c r="UCM864" s="22" t="s">
        <v>16</v>
      </c>
      <c r="UCN864" s="22" t="s">
        <v>16</v>
      </c>
      <c r="UCO864" s="22" t="s">
        <v>16</v>
      </c>
      <c r="UCP864" s="22" t="s">
        <v>16</v>
      </c>
      <c r="UCQ864" s="22" t="s">
        <v>16</v>
      </c>
      <c r="UCR864" s="22" t="s">
        <v>16</v>
      </c>
      <c r="UCS864" s="22" t="s">
        <v>16</v>
      </c>
      <c r="UCT864" s="22" t="s">
        <v>16</v>
      </c>
      <c r="UCU864" s="22" t="s">
        <v>16</v>
      </c>
      <c r="UCV864" s="22" t="s">
        <v>16</v>
      </c>
      <c r="UCW864" s="22" t="s">
        <v>16</v>
      </c>
      <c r="UCX864" s="22" t="s">
        <v>16</v>
      </c>
      <c r="UCY864" s="22" t="s">
        <v>16</v>
      </c>
      <c r="UCZ864" s="22" t="s">
        <v>16</v>
      </c>
      <c r="UDA864" s="22" t="s">
        <v>16</v>
      </c>
      <c r="UDB864" s="22" t="s">
        <v>16</v>
      </c>
      <c r="UDC864" s="22" t="s">
        <v>16</v>
      </c>
      <c r="UDD864" s="22" t="s">
        <v>16</v>
      </c>
      <c r="UDE864" s="22" t="s">
        <v>16</v>
      </c>
      <c r="UDF864" s="22" t="s">
        <v>16</v>
      </c>
      <c r="UDG864" s="22" t="s">
        <v>16</v>
      </c>
      <c r="UDH864" s="22" t="s">
        <v>16</v>
      </c>
      <c r="UDI864" s="22" t="s">
        <v>16</v>
      </c>
      <c r="UDJ864" s="22" t="s">
        <v>16</v>
      </c>
      <c r="UDK864" s="22" t="s">
        <v>16</v>
      </c>
      <c r="UDL864" s="22" t="s">
        <v>16</v>
      </c>
      <c r="UDM864" s="22" t="s">
        <v>16</v>
      </c>
      <c r="UDN864" s="22" t="s">
        <v>16</v>
      </c>
      <c r="UDO864" s="22" t="s">
        <v>16</v>
      </c>
      <c r="UDP864" s="22" t="s">
        <v>16</v>
      </c>
      <c r="UDQ864" s="22" t="s">
        <v>16</v>
      </c>
      <c r="UDR864" s="22" t="s">
        <v>16</v>
      </c>
      <c r="UDS864" s="22" t="s">
        <v>16</v>
      </c>
      <c r="UDT864" s="22" t="s">
        <v>16</v>
      </c>
      <c r="UDU864" s="22" t="s">
        <v>16</v>
      </c>
      <c r="UDV864" s="22" t="s">
        <v>16</v>
      </c>
      <c r="UDW864" s="22" t="s">
        <v>16</v>
      </c>
      <c r="UDX864" s="22" t="s">
        <v>16</v>
      </c>
      <c r="UDY864" s="22" t="s">
        <v>16</v>
      </c>
      <c r="UDZ864" s="22" t="s">
        <v>16</v>
      </c>
      <c r="UEA864" s="22" t="s">
        <v>16</v>
      </c>
      <c r="UEB864" s="22" t="s">
        <v>16</v>
      </c>
      <c r="UEC864" s="22" t="s">
        <v>16</v>
      </c>
      <c r="UED864" s="22" t="s">
        <v>16</v>
      </c>
      <c r="UEE864" s="22" t="s">
        <v>16</v>
      </c>
      <c r="UEF864" s="22" t="s">
        <v>16</v>
      </c>
      <c r="UEG864" s="22" t="s">
        <v>16</v>
      </c>
      <c r="UEH864" s="22" t="s">
        <v>16</v>
      </c>
      <c r="UEI864" s="22" t="s">
        <v>16</v>
      </c>
      <c r="UEJ864" s="22" t="s">
        <v>16</v>
      </c>
      <c r="UEK864" s="22" t="s">
        <v>16</v>
      </c>
      <c r="UEL864" s="22" t="s">
        <v>16</v>
      </c>
      <c r="UEM864" s="22" t="s">
        <v>16</v>
      </c>
      <c r="UEN864" s="22" t="s">
        <v>16</v>
      </c>
      <c r="UEO864" s="22" t="s">
        <v>16</v>
      </c>
      <c r="UEP864" s="22" t="s">
        <v>16</v>
      </c>
      <c r="UEQ864" s="22" t="s">
        <v>16</v>
      </c>
      <c r="UER864" s="22" t="s">
        <v>16</v>
      </c>
      <c r="UES864" s="22" t="s">
        <v>16</v>
      </c>
      <c r="UET864" s="22" t="s">
        <v>16</v>
      </c>
      <c r="UEU864" s="22" t="s">
        <v>16</v>
      </c>
      <c r="UEV864" s="22" t="s">
        <v>16</v>
      </c>
      <c r="UEW864" s="22" t="s">
        <v>16</v>
      </c>
      <c r="UEX864" s="22" t="s">
        <v>16</v>
      </c>
      <c r="UEY864" s="22" t="s">
        <v>16</v>
      </c>
      <c r="UEZ864" s="22" t="s">
        <v>16</v>
      </c>
      <c r="UFA864" s="22" t="s">
        <v>16</v>
      </c>
      <c r="UFB864" s="22" t="s">
        <v>16</v>
      </c>
      <c r="UFC864" s="22" t="s">
        <v>16</v>
      </c>
      <c r="UFD864" s="22" t="s">
        <v>16</v>
      </c>
      <c r="UFE864" s="22" t="s">
        <v>16</v>
      </c>
      <c r="UFF864" s="22" t="s">
        <v>16</v>
      </c>
      <c r="UFG864" s="22" t="s">
        <v>16</v>
      </c>
      <c r="UFH864" s="22" t="s">
        <v>16</v>
      </c>
      <c r="UFI864" s="22" t="s">
        <v>16</v>
      </c>
      <c r="UFJ864" s="22" t="s">
        <v>16</v>
      </c>
      <c r="UFK864" s="22" t="s">
        <v>16</v>
      </c>
      <c r="UFL864" s="22" t="s">
        <v>16</v>
      </c>
      <c r="UFM864" s="22" t="s">
        <v>16</v>
      </c>
      <c r="UFN864" s="22" t="s">
        <v>16</v>
      </c>
      <c r="UFO864" s="22" t="s">
        <v>16</v>
      </c>
      <c r="UFP864" s="22" t="s">
        <v>16</v>
      </c>
      <c r="UFQ864" s="22" t="s">
        <v>16</v>
      </c>
      <c r="UFR864" s="22" t="s">
        <v>16</v>
      </c>
      <c r="UFS864" s="22" t="s">
        <v>16</v>
      </c>
      <c r="UFT864" s="22" t="s">
        <v>16</v>
      </c>
      <c r="UFU864" s="22" t="s">
        <v>16</v>
      </c>
      <c r="UFV864" s="22" t="s">
        <v>16</v>
      </c>
      <c r="UFW864" s="22" t="s">
        <v>16</v>
      </c>
      <c r="UFX864" s="22" t="s">
        <v>16</v>
      </c>
      <c r="UFY864" s="22" t="s">
        <v>16</v>
      </c>
      <c r="UFZ864" s="22" t="s">
        <v>16</v>
      </c>
      <c r="UGA864" s="22" t="s">
        <v>16</v>
      </c>
      <c r="UGB864" s="22" t="s">
        <v>16</v>
      </c>
      <c r="UGC864" s="22" t="s">
        <v>16</v>
      </c>
      <c r="UGD864" s="22" t="s">
        <v>16</v>
      </c>
      <c r="UGE864" s="22" t="s">
        <v>16</v>
      </c>
      <c r="UGF864" s="22" t="s">
        <v>16</v>
      </c>
      <c r="UGG864" s="22" t="s">
        <v>16</v>
      </c>
      <c r="UGH864" s="22" t="s">
        <v>16</v>
      </c>
      <c r="UGI864" s="22" t="s">
        <v>16</v>
      </c>
      <c r="UGJ864" s="22" t="s">
        <v>16</v>
      </c>
      <c r="UGK864" s="22" t="s">
        <v>16</v>
      </c>
      <c r="UGL864" s="22" t="s">
        <v>16</v>
      </c>
      <c r="UGM864" s="22" t="s">
        <v>16</v>
      </c>
      <c r="UGN864" s="22" t="s">
        <v>16</v>
      </c>
      <c r="UGO864" s="22" t="s">
        <v>16</v>
      </c>
      <c r="UGP864" s="22" t="s">
        <v>16</v>
      </c>
      <c r="UGQ864" s="22" t="s">
        <v>16</v>
      </c>
      <c r="UGR864" s="22" t="s">
        <v>16</v>
      </c>
      <c r="UGS864" s="22" t="s">
        <v>16</v>
      </c>
      <c r="UGT864" s="22" t="s">
        <v>16</v>
      </c>
      <c r="UGU864" s="22" t="s">
        <v>16</v>
      </c>
      <c r="UGV864" s="22" t="s">
        <v>16</v>
      </c>
      <c r="UGW864" s="22" t="s">
        <v>16</v>
      </c>
      <c r="UGX864" s="22" t="s">
        <v>16</v>
      </c>
      <c r="UGY864" s="22" t="s">
        <v>16</v>
      </c>
      <c r="UGZ864" s="22" t="s">
        <v>16</v>
      </c>
      <c r="UHA864" s="22" t="s">
        <v>16</v>
      </c>
      <c r="UHB864" s="22" t="s">
        <v>16</v>
      </c>
      <c r="UHC864" s="22" t="s">
        <v>16</v>
      </c>
      <c r="UHD864" s="22" t="s">
        <v>16</v>
      </c>
      <c r="UHE864" s="22" t="s">
        <v>16</v>
      </c>
      <c r="UHF864" s="22" t="s">
        <v>16</v>
      </c>
      <c r="UHG864" s="22" t="s">
        <v>16</v>
      </c>
      <c r="UHH864" s="22" t="s">
        <v>16</v>
      </c>
      <c r="UHI864" s="22" t="s">
        <v>16</v>
      </c>
      <c r="UHJ864" s="22" t="s">
        <v>16</v>
      </c>
      <c r="UHK864" s="22" t="s">
        <v>16</v>
      </c>
      <c r="UHL864" s="22" t="s">
        <v>16</v>
      </c>
      <c r="UHM864" s="22" t="s">
        <v>16</v>
      </c>
      <c r="UHN864" s="22" t="s">
        <v>16</v>
      </c>
      <c r="UHO864" s="22" t="s">
        <v>16</v>
      </c>
      <c r="UHP864" s="22" t="s">
        <v>16</v>
      </c>
      <c r="UHQ864" s="22" t="s">
        <v>16</v>
      </c>
      <c r="UHR864" s="22" t="s">
        <v>16</v>
      </c>
      <c r="UHS864" s="22" t="s">
        <v>16</v>
      </c>
      <c r="UHT864" s="22" t="s">
        <v>16</v>
      </c>
      <c r="UHU864" s="22" t="s">
        <v>16</v>
      </c>
      <c r="UHV864" s="22" t="s">
        <v>16</v>
      </c>
      <c r="UHW864" s="22" t="s">
        <v>16</v>
      </c>
      <c r="UHX864" s="22" t="s">
        <v>16</v>
      </c>
      <c r="UHY864" s="22" t="s">
        <v>16</v>
      </c>
      <c r="UHZ864" s="22" t="s">
        <v>16</v>
      </c>
      <c r="UIA864" s="22" t="s">
        <v>16</v>
      </c>
      <c r="UIB864" s="22" t="s">
        <v>16</v>
      </c>
      <c r="UIC864" s="22" t="s">
        <v>16</v>
      </c>
      <c r="UID864" s="22" t="s">
        <v>16</v>
      </c>
      <c r="UIE864" s="22" t="s">
        <v>16</v>
      </c>
      <c r="UIF864" s="22" t="s">
        <v>16</v>
      </c>
      <c r="UIG864" s="22" t="s">
        <v>16</v>
      </c>
      <c r="UIH864" s="22" t="s">
        <v>16</v>
      </c>
      <c r="UII864" s="22" t="s">
        <v>16</v>
      </c>
      <c r="UIJ864" s="22" t="s">
        <v>16</v>
      </c>
      <c r="UIK864" s="22" t="s">
        <v>16</v>
      </c>
      <c r="UIL864" s="22" t="s">
        <v>16</v>
      </c>
      <c r="UIM864" s="22" t="s">
        <v>16</v>
      </c>
      <c r="UIN864" s="22" t="s">
        <v>16</v>
      </c>
      <c r="UIO864" s="22" t="s">
        <v>16</v>
      </c>
      <c r="UIP864" s="22" t="s">
        <v>16</v>
      </c>
      <c r="UIQ864" s="22" t="s">
        <v>16</v>
      </c>
      <c r="UIR864" s="22" t="s">
        <v>16</v>
      </c>
      <c r="UIS864" s="22" t="s">
        <v>16</v>
      </c>
      <c r="UIT864" s="22" t="s">
        <v>16</v>
      </c>
      <c r="UIU864" s="22" t="s">
        <v>16</v>
      </c>
      <c r="UIV864" s="22" t="s">
        <v>16</v>
      </c>
      <c r="UIW864" s="22" t="s">
        <v>16</v>
      </c>
      <c r="UIX864" s="22" t="s">
        <v>16</v>
      </c>
      <c r="UIY864" s="22" t="s">
        <v>16</v>
      </c>
      <c r="UIZ864" s="22" t="s">
        <v>16</v>
      </c>
      <c r="UJA864" s="22" t="s">
        <v>16</v>
      </c>
      <c r="UJB864" s="22" t="s">
        <v>16</v>
      </c>
      <c r="UJC864" s="22" t="s">
        <v>16</v>
      </c>
      <c r="UJD864" s="22" t="s">
        <v>16</v>
      </c>
      <c r="UJE864" s="22" t="s">
        <v>16</v>
      </c>
      <c r="UJF864" s="22" t="s">
        <v>16</v>
      </c>
      <c r="UJG864" s="22" t="s">
        <v>16</v>
      </c>
      <c r="UJH864" s="22" t="s">
        <v>16</v>
      </c>
      <c r="UJI864" s="22" t="s">
        <v>16</v>
      </c>
      <c r="UJJ864" s="22" t="s">
        <v>16</v>
      </c>
      <c r="UJK864" s="22" t="s">
        <v>16</v>
      </c>
      <c r="UJL864" s="22" t="s">
        <v>16</v>
      </c>
      <c r="UJM864" s="22" t="s">
        <v>16</v>
      </c>
      <c r="UJN864" s="22" t="s">
        <v>16</v>
      </c>
      <c r="UJO864" s="22" t="s">
        <v>16</v>
      </c>
      <c r="UJP864" s="22" t="s">
        <v>16</v>
      </c>
      <c r="UJQ864" s="22" t="s">
        <v>16</v>
      </c>
      <c r="UJR864" s="22" t="s">
        <v>16</v>
      </c>
      <c r="UJS864" s="22" t="s">
        <v>16</v>
      </c>
      <c r="UJT864" s="22" t="s">
        <v>16</v>
      </c>
      <c r="UJU864" s="22" t="s">
        <v>16</v>
      </c>
      <c r="UJV864" s="22" t="s">
        <v>16</v>
      </c>
      <c r="UJW864" s="22" t="s">
        <v>16</v>
      </c>
      <c r="UJX864" s="22" t="s">
        <v>16</v>
      </c>
      <c r="UJY864" s="22" t="s">
        <v>16</v>
      </c>
      <c r="UJZ864" s="22" t="s">
        <v>16</v>
      </c>
      <c r="UKA864" s="22" t="s">
        <v>16</v>
      </c>
      <c r="UKB864" s="22" t="s">
        <v>16</v>
      </c>
      <c r="UKC864" s="22" t="s">
        <v>16</v>
      </c>
      <c r="UKD864" s="22" t="s">
        <v>16</v>
      </c>
      <c r="UKE864" s="22" t="s">
        <v>16</v>
      </c>
      <c r="UKF864" s="22" t="s">
        <v>16</v>
      </c>
      <c r="UKG864" s="22" t="s">
        <v>16</v>
      </c>
      <c r="UKH864" s="22" t="s">
        <v>16</v>
      </c>
      <c r="UKI864" s="22" t="s">
        <v>16</v>
      </c>
      <c r="UKJ864" s="22" t="s">
        <v>16</v>
      </c>
      <c r="UKK864" s="22" t="s">
        <v>16</v>
      </c>
      <c r="UKL864" s="22" t="s">
        <v>16</v>
      </c>
      <c r="UKM864" s="22" t="s">
        <v>16</v>
      </c>
      <c r="UKN864" s="22" t="s">
        <v>16</v>
      </c>
      <c r="UKO864" s="22" t="s">
        <v>16</v>
      </c>
      <c r="UKP864" s="22" t="s">
        <v>16</v>
      </c>
      <c r="UKQ864" s="22" t="s">
        <v>16</v>
      </c>
      <c r="UKR864" s="22" t="s">
        <v>16</v>
      </c>
      <c r="UKS864" s="22" t="s">
        <v>16</v>
      </c>
      <c r="UKT864" s="22" t="s">
        <v>16</v>
      </c>
      <c r="UKU864" s="22" t="s">
        <v>16</v>
      </c>
      <c r="UKV864" s="22" t="s">
        <v>16</v>
      </c>
      <c r="UKW864" s="22" t="s">
        <v>16</v>
      </c>
      <c r="UKX864" s="22" t="s">
        <v>16</v>
      </c>
      <c r="UKY864" s="22" t="s">
        <v>16</v>
      </c>
      <c r="UKZ864" s="22" t="s">
        <v>16</v>
      </c>
      <c r="ULA864" s="22" t="s">
        <v>16</v>
      </c>
      <c r="ULB864" s="22" t="s">
        <v>16</v>
      </c>
      <c r="ULC864" s="22" t="s">
        <v>16</v>
      </c>
      <c r="ULD864" s="22" t="s">
        <v>16</v>
      </c>
      <c r="ULE864" s="22" t="s">
        <v>16</v>
      </c>
      <c r="ULF864" s="22" t="s">
        <v>16</v>
      </c>
      <c r="ULG864" s="22" t="s">
        <v>16</v>
      </c>
      <c r="ULH864" s="22" t="s">
        <v>16</v>
      </c>
      <c r="ULI864" s="22" t="s">
        <v>16</v>
      </c>
      <c r="ULJ864" s="22" t="s">
        <v>16</v>
      </c>
      <c r="ULK864" s="22" t="s">
        <v>16</v>
      </c>
      <c r="ULL864" s="22" t="s">
        <v>16</v>
      </c>
      <c r="ULM864" s="22" t="s">
        <v>16</v>
      </c>
      <c r="ULN864" s="22" t="s">
        <v>16</v>
      </c>
      <c r="ULO864" s="22" t="s">
        <v>16</v>
      </c>
      <c r="ULP864" s="22" t="s">
        <v>16</v>
      </c>
      <c r="ULQ864" s="22" t="s">
        <v>16</v>
      </c>
      <c r="ULR864" s="22" t="s">
        <v>16</v>
      </c>
      <c r="ULS864" s="22" t="s">
        <v>16</v>
      </c>
      <c r="ULT864" s="22" t="s">
        <v>16</v>
      </c>
      <c r="ULU864" s="22" t="s">
        <v>16</v>
      </c>
      <c r="ULV864" s="22" t="s">
        <v>16</v>
      </c>
      <c r="ULW864" s="22" t="s">
        <v>16</v>
      </c>
      <c r="ULX864" s="22" t="s">
        <v>16</v>
      </c>
      <c r="ULY864" s="22" t="s">
        <v>16</v>
      </c>
      <c r="ULZ864" s="22" t="s">
        <v>16</v>
      </c>
      <c r="UMA864" s="22" t="s">
        <v>16</v>
      </c>
      <c r="UMB864" s="22" t="s">
        <v>16</v>
      </c>
      <c r="UMC864" s="22" t="s">
        <v>16</v>
      </c>
      <c r="UMD864" s="22" t="s">
        <v>16</v>
      </c>
      <c r="UME864" s="22" t="s">
        <v>16</v>
      </c>
      <c r="UMF864" s="22" t="s">
        <v>16</v>
      </c>
      <c r="UMG864" s="22" t="s">
        <v>16</v>
      </c>
      <c r="UMH864" s="22" t="s">
        <v>16</v>
      </c>
      <c r="UMI864" s="22" t="s">
        <v>16</v>
      </c>
      <c r="UMJ864" s="22" t="s">
        <v>16</v>
      </c>
      <c r="UMK864" s="22" t="s">
        <v>16</v>
      </c>
      <c r="UML864" s="22" t="s">
        <v>16</v>
      </c>
      <c r="UMM864" s="22" t="s">
        <v>16</v>
      </c>
      <c r="UMN864" s="22" t="s">
        <v>16</v>
      </c>
      <c r="UMO864" s="22" t="s">
        <v>16</v>
      </c>
      <c r="UMP864" s="22" t="s">
        <v>16</v>
      </c>
      <c r="UMQ864" s="22" t="s">
        <v>16</v>
      </c>
      <c r="UMR864" s="22" t="s">
        <v>16</v>
      </c>
      <c r="UMS864" s="22" t="s">
        <v>16</v>
      </c>
      <c r="UMT864" s="22" t="s">
        <v>16</v>
      </c>
      <c r="UMU864" s="22" t="s">
        <v>16</v>
      </c>
      <c r="UMV864" s="22" t="s">
        <v>16</v>
      </c>
      <c r="UMW864" s="22" t="s">
        <v>16</v>
      </c>
      <c r="UMX864" s="22" t="s">
        <v>16</v>
      </c>
      <c r="UMY864" s="22" t="s">
        <v>16</v>
      </c>
      <c r="UMZ864" s="22" t="s">
        <v>16</v>
      </c>
      <c r="UNA864" s="22" t="s">
        <v>16</v>
      </c>
      <c r="UNB864" s="22" t="s">
        <v>16</v>
      </c>
      <c r="UNC864" s="22" t="s">
        <v>16</v>
      </c>
      <c r="UND864" s="22" t="s">
        <v>16</v>
      </c>
      <c r="UNE864" s="22" t="s">
        <v>16</v>
      </c>
      <c r="UNF864" s="22" t="s">
        <v>16</v>
      </c>
      <c r="UNG864" s="22" t="s">
        <v>16</v>
      </c>
      <c r="UNH864" s="22" t="s">
        <v>16</v>
      </c>
      <c r="UNI864" s="22" t="s">
        <v>16</v>
      </c>
      <c r="UNJ864" s="22" t="s">
        <v>16</v>
      </c>
      <c r="UNK864" s="22" t="s">
        <v>16</v>
      </c>
      <c r="UNL864" s="22" t="s">
        <v>16</v>
      </c>
      <c r="UNM864" s="22" t="s">
        <v>16</v>
      </c>
      <c r="UNN864" s="22" t="s">
        <v>16</v>
      </c>
      <c r="UNO864" s="22" t="s">
        <v>16</v>
      </c>
      <c r="UNP864" s="22" t="s">
        <v>16</v>
      </c>
      <c r="UNQ864" s="22" t="s">
        <v>16</v>
      </c>
      <c r="UNR864" s="22" t="s">
        <v>16</v>
      </c>
      <c r="UNS864" s="22" t="s">
        <v>16</v>
      </c>
      <c r="UNT864" s="22" t="s">
        <v>16</v>
      </c>
      <c r="UNU864" s="22" t="s">
        <v>16</v>
      </c>
      <c r="UNV864" s="22" t="s">
        <v>16</v>
      </c>
      <c r="UNW864" s="22" t="s">
        <v>16</v>
      </c>
      <c r="UNX864" s="22" t="s">
        <v>16</v>
      </c>
      <c r="UNY864" s="22" t="s">
        <v>16</v>
      </c>
      <c r="UNZ864" s="22" t="s">
        <v>16</v>
      </c>
      <c r="UOA864" s="22" t="s">
        <v>16</v>
      </c>
      <c r="UOB864" s="22" t="s">
        <v>16</v>
      </c>
      <c r="UOC864" s="22" t="s">
        <v>16</v>
      </c>
      <c r="UOD864" s="22" t="s">
        <v>16</v>
      </c>
      <c r="UOE864" s="22" t="s">
        <v>16</v>
      </c>
      <c r="UOF864" s="22" t="s">
        <v>16</v>
      </c>
      <c r="UOG864" s="22" t="s">
        <v>16</v>
      </c>
      <c r="UOH864" s="22" t="s">
        <v>16</v>
      </c>
      <c r="UOI864" s="22" t="s">
        <v>16</v>
      </c>
      <c r="UOJ864" s="22" t="s">
        <v>16</v>
      </c>
      <c r="UOK864" s="22" t="s">
        <v>16</v>
      </c>
      <c r="UOL864" s="22" t="s">
        <v>16</v>
      </c>
      <c r="UOM864" s="22" t="s">
        <v>16</v>
      </c>
      <c r="UON864" s="22" t="s">
        <v>16</v>
      </c>
      <c r="UOO864" s="22" t="s">
        <v>16</v>
      </c>
      <c r="UOP864" s="22" t="s">
        <v>16</v>
      </c>
      <c r="UOQ864" s="22" t="s">
        <v>16</v>
      </c>
      <c r="UOR864" s="22" t="s">
        <v>16</v>
      </c>
      <c r="UOS864" s="22" t="s">
        <v>16</v>
      </c>
      <c r="UOT864" s="22" t="s">
        <v>16</v>
      </c>
      <c r="UOU864" s="22" t="s">
        <v>16</v>
      </c>
      <c r="UOV864" s="22" t="s">
        <v>16</v>
      </c>
      <c r="UOW864" s="22" t="s">
        <v>16</v>
      </c>
      <c r="UOX864" s="22" t="s">
        <v>16</v>
      </c>
      <c r="UOY864" s="22" t="s">
        <v>16</v>
      </c>
      <c r="UOZ864" s="22" t="s">
        <v>16</v>
      </c>
      <c r="UPA864" s="22" t="s">
        <v>16</v>
      </c>
      <c r="UPB864" s="22" t="s">
        <v>16</v>
      </c>
      <c r="UPC864" s="22" t="s">
        <v>16</v>
      </c>
      <c r="UPD864" s="22" t="s">
        <v>16</v>
      </c>
      <c r="UPE864" s="22" t="s">
        <v>16</v>
      </c>
      <c r="UPF864" s="22" t="s">
        <v>16</v>
      </c>
      <c r="UPG864" s="22" t="s">
        <v>16</v>
      </c>
      <c r="UPH864" s="22" t="s">
        <v>16</v>
      </c>
      <c r="UPI864" s="22" t="s">
        <v>16</v>
      </c>
      <c r="UPJ864" s="22" t="s">
        <v>16</v>
      </c>
      <c r="UPK864" s="22" t="s">
        <v>16</v>
      </c>
      <c r="UPL864" s="22" t="s">
        <v>16</v>
      </c>
      <c r="UPM864" s="22" t="s">
        <v>16</v>
      </c>
      <c r="UPN864" s="22" t="s">
        <v>16</v>
      </c>
      <c r="UPO864" s="22" t="s">
        <v>16</v>
      </c>
      <c r="UPP864" s="22" t="s">
        <v>16</v>
      </c>
      <c r="UPQ864" s="22" t="s">
        <v>16</v>
      </c>
      <c r="UPR864" s="22" t="s">
        <v>16</v>
      </c>
      <c r="UPS864" s="22" t="s">
        <v>16</v>
      </c>
      <c r="UPT864" s="22" t="s">
        <v>16</v>
      </c>
      <c r="UPU864" s="22" t="s">
        <v>16</v>
      </c>
      <c r="UPV864" s="22" t="s">
        <v>16</v>
      </c>
      <c r="UPW864" s="22" t="s">
        <v>16</v>
      </c>
      <c r="UPX864" s="22" t="s">
        <v>16</v>
      </c>
      <c r="UPY864" s="22" t="s">
        <v>16</v>
      </c>
      <c r="UPZ864" s="22" t="s">
        <v>16</v>
      </c>
      <c r="UQA864" s="22" t="s">
        <v>16</v>
      </c>
      <c r="UQB864" s="22" t="s">
        <v>16</v>
      </c>
      <c r="UQC864" s="22" t="s">
        <v>16</v>
      </c>
      <c r="UQD864" s="22" t="s">
        <v>16</v>
      </c>
      <c r="UQE864" s="22" t="s">
        <v>16</v>
      </c>
      <c r="UQF864" s="22" t="s">
        <v>16</v>
      </c>
      <c r="UQG864" s="22" t="s">
        <v>16</v>
      </c>
      <c r="UQH864" s="22" t="s">
        <v>16</v>
      </c>
      <c r="UQI864" s="22" t="s">
        <v>16</v>
      </c>
      <c r="UQJ864" s="22" t="s">
        <v>16</v>
      </c>
      <c r="UQK864" s="22" t="s">
        <v>16</v>
      </c>
      <c r="UQL864" s="22" t="s">
        <v>16</v>
      </c>
      <c r="UQM864" s="22" t="s">
        <v>16</v>
      </c>
      <c r="UQN864" s="22" t="s">
        <v>16</v>
      </c>
      <c r="UQO864" s="22" t="s">
        <v>16</v>
      </c>
      <c r="UQP864" s="22" t="s">
        <v>16</v>
      </c>
      <c r="UQQ864" s="22" t="s">
        <v>16</v>
      </c>
      <c r="UQR864" s="22" t="s">
        <v>16</v>
      </c>
      <c r="UQS864" s="22" t="s">
        <v>16</v>
      </c>
      <c r="UQT864" s="22" t="s">
        <v>16</v>
      </c>
      <c r="UQU864" s="22" t="s">
        <v>16</v>
      </c>
      <c r="UQV864" s="22" t="s">
        <v>16</v>
      </c>
      <c r="UQW864" s="22" t="s">
        <v>16</v>
      </c>
      <c r="UQX864" s="22" t="s">
        <v>16</v>
      </c>
      <c r="UQY864" s="22" t="s">
        <v>16</v>
      </c>
      <c r="UQZ864" s="22" t="s">
        <v>16</v>
      </c>
      <c r="URA864" s="22" t="s">
        <v>16</v>
      </c>
      <c r="URB864" s="22" t="s">
        <v>16</v>
      </c>
      <c r="URC864" s="22" t="s">
        <v>16</v>
      </c>
      <c r="URD864" s="22" t="s">
        <v>16</v>
      </c>
      <c r="URE864" s="22" t="s">
        <v>16</v>
      </c>
      <c r="URF864" s="22" t="s">
        <v>16</v>
      </c>
      <c r="URG864" s="22" t="s">
        <v>16</v>
      </c>
      <c r="URH864" s="22" t="s">
        <v>16</v>
      </c>
      <c r="URI864" s="22" t="s">
        <v>16</v>
      </c>
      <c r="URJ864" s="22" t="s">
        <v>16</v>
      </c>
      <c r="URK864" s="22" t="s">
        <v>16</v>
      </c>
      <c r="URL864" s="22" t="s">
        <v>16</v>
      </c>
      <c r="URM864" s="22" t="s">
        <v>16</v>
      </c>
      <c r="URN864" s="22" t="s">
        <v>16</v>
      </c>
      <c r="URO864" s="22" t="s">
        <v>16</v>
      </c>
      <c r="URP864" s="22" t="s">
        <v>16</v>
      </c>
      <c r="URQ864" s="22" t="s">
        <v>16</v>
      </c>
      <c r="URR864" s="22" t="s">
        <v>16</v>
      </c>
      <c r="URS864" s="22" t="s">
        <v>16</v>
      </c>
      <c r="URT864" s="22" t="s">
        <v>16</v>
      </c>
      <c r="URU864" s="22" t="s">
        <v>16</v>
      </c>
      <c r="URV864" s="22" t="s">
        <v>16</v>
      </c>
      <c r="URW864" s="22" t="s">
        <v>16</v>
      </c>
      <c r="URX864" s="22" t="s">
        <v>16</v>
      </c>
      <c r="URY864" s="22" t="s">
        <v>16</v>
      </c>
      <c r="URZ864" s="22" t="s">
        <v>16</v>
      </c>
      <c r="USA864" s="22" t="s">
        <v>16</v>
      </c>
      <c r="USB864" s="22" t="s">
        <v>16</v>
      </c>
      <c r="USC864" s="22" t="s">
        <v>16</v>
      </c>
      <c r="USD864" s="22" t="s">
        <v>16</v>
      </c>
      <c r="USE864" s="22" t="s">
        <v>16</v>
      </c>
      <c r="USF864" s="22" t="s">
        <v>16</v>
      </c>
      <c r="USG864" s="22" t="s">
        <v>16</v>
      </c>
      <c r="USH864" s="22" t="s">
        <v>16</v>
      </c>
      <c r="USI864" s="22" t="s">
        <v>16</v>
      </c>
      <c r="USJ864" s="22" t="s">
        <v>16</v>
      </c>
      <c r="USK864" s="22" t="s">
        <v>16</v>
      </c>
      <c r="USL864" s="22" t="s">
        <v>16</v>
      </c>
      <c r="USM864" s="22" t="s">
        <v>16</v>
      </c>
      <c r="USN864" s="22" t="s">
        <v>16</v>
      </c>
      <c r="USO864" s="22" t="s">
        <v>16</v>
      </c>
      <c r="USP864" s="22" t="s">
        <v>16</v>
      </c>
      <c r="USQ864" s="22" t="s">
        <v>16</v>
      </c>
      <c r="USR864" s="22" t="s">
        <v>16</v>
      </c>
      <c r="USS864" s="22" t="s">
        <v>16</v>
      </c>
      <c r="UST864" s="22" t="s">
        <v>16</v>
      </c>
      <c r="USU864" s="22" t="s">
        <v>16</v>
      </c>
      <c r="USV864" s="22" t="s">
        <v>16</v>
      </c>
      <c r="USW864" s="22" t="s">
        <v>16</v>
      </c>
      <c r="USX864" s="22" t="s">
        <v>16</v>
      </c>
      <c r="USY864" s="22" t="s">
        <v>16</v>
      </c>
      <c r="USZ864" s="22" t="s">
        <v>16</v>
      </c>
      <c r="UTA864" s="22" t="s">
        <v>16</v>
      </c>
      <c r="UTB864" s="22" t="s">
        <v>16</v>
      </c>
      <c r="UTC864" s="22" t="s">
        <v>16</v>
      </c>
      <c r="UTD864" s="22" t="s">
        <v>16</v>
      </c>
      <c r="UTE864" s="22" t="s">
        <v>16</v>
      </c>
      <c r="UTF864" s="22" t="s">
        <v>16</v>
      </c>
      <c r="UTG864" s="22" t="s">
        <v>16</v>
      </c>
      <c r="UTH864" s="22" t="s">
        <v>16</v>
      </c>
      <c r="UTI864" s="22" t="s">
        <v>16</v>
      </c>
      <c r="UTJ864" s="22" t="s">
        <v>16</v>
      </c>
      <c r="UTK864" s="22" t="s">
        <v>16</v>
      </c>
      <c r="UTL864" s="22" t="s">
        <v>16</v>
      </c>
      <c r="UTM864" s="22" t="s">
        <v>16</v>
      </c>
      <c r="UTN864" s="22" t="s">
        <v>16</v>
      </c>
      <c r="UTO864" s="22" t="s">
        <v>16</v>
      </c>
      <c r="UTP864" s="22" t="s">
        <v>16</v>
      </c>
      <c r="UTQ864" s="22" t="s">
        <v>16</v>
      </c>
      <c r="UTR864" s="22" t="s">
        <v>16</v>
      </c>
      <c r="UTS864" s="22" t="s">
        <v>16</v>
      </c>
      <c r="UTT864" s="22" t="s">
        <v>16</v>
      </c>
      <c r="UTU864" s="22" t="s">
        <v>16</v>
      </c>
      <c r="UTV864" s="22" t="s">
        <v>16</v>
      </c>
      <c r="UTW864" s="22" t="s">
        <v>16</v>
      </c>
      <c r="UTX864" s="22" t="s">
        <v>16</v>
      </c>
      <c r="UTY864" s="22" t="s">
        <v>16</v>
      </c>
      <c r="UTZ864" s="22" t="s">
        <v>16</v>
      </c>
      <c r="UUA864" s="22" t="s">
        <v>16</v>
      </c>
      <c r="UUB864" s="22" t="s">
        <v>16</v>
      </c>
      <c r="UUC864" s="22" t="s">
        <v>16</v>
      </c>
      <c r="UUD864" s="22" t="s">
        <v>16</v>
      </c>
      <c r="UUE864" s="22" t="s">
        <v>16</v>
      </c>
      <c r="UUF864" s="22" t="s">
        <v>16</v>
      </c>
      <c r="UUG864" s="22" t="s">
        <v>16</v>
      </c>
      <c r="UUH864" s="22" t="s">
        <v>16</v>
      </c>
      <c r="UUI864" s="22" t="s">
        <v>16</v>
      </c>
      <c r="UUJ864" s="22" t="s">
        <v>16</v>
      </c>
      <c r="UUK864" s="22" t="s">
        <v>16</v>
      </c>
      <c r="UUL864" s="22" t="s">
        <v>16</v>
      </c>
      <c r="UUM864" s="22" t="s">
        <v>16</v>
      </c>
      <c r="UUN864" s="22" t="s">
        <v>16</v>
      </c>
      <c r="UUO864" s="22" t="s">
        <v>16</v>
      </c>
      <c r="UUP864" s="22" t="s">
        <v>16</v>
      </c>
      <c r="UUQ864" s="22" t="s">
        <v>16</v>
      </c>
      <c r="UUR864" s="22" t="s">
        <v>16</v>
      </c>
      <c r="UUS864" s="22" t="s">
        <v>16</v>
      </c>
      <c r="UUT864" s="22" t="s">
        <v>16</v>
      </c>
      <c r="UUU864" s="22" t="s">
        <v>16</v>
      </c>
      <c r="UUV864" s="22" t="s">
        <v>16</v>
      </c>
      <c r="UUW864" s="22" t="s">
        <v>16</v>
      </c>
      <c r="UUX864" s="22" t="s">
        <v>16</v>
      </c>
      <c r="UUY864" s="22" t="s">
        <v>16</v>
      </c>
      <c r="UUZ864" s="22" t="s">
        <v>16</v>
      </c>
      <c r="UVA864" s="22" t="s">
        <v>16</v>
      </c>
      <c r="UVB864" s="22" t="s">
        <v>16</v>
      </c>
      <c r="UVC864" s="22" t="s">
        <v>16</v>
      </c>
      <c r="UVD864" s="22" t="s">
        <v>16</v>
      </c>
      <c r="UVE864" s="22" t="s">
        <v>16</v>
      </c>
      <c r="UVF864" s="22" t="s">
        <v>16</v>
      </c>
      <c r="UVG864" s="22" t="s">
        <v>16</v>
      </c>
      <c r="UVH864" s="22" t="s">
        <v>16</v>
      </c>
      <c r="UVI864" s="22" t="s">
        <v>16</v>
      </c>
      <c r="UVJ864" s="22" t="s">
        <v>16</v>
      </c>
      <c r="UVK864" s="22" t="s">
        <v>16</v>
      </c>
      <c r="UVL864" s="22" t="s">
        <v>16</v>
      </c>
      <c r="UVM864" s="22" t="s">
        <v>16</v>
      </c>
      <c r="UVN864" s="22" t="s">
        <v>16</v>
      </c>
      <c r="UVO864" s="22" t="s">
        <v>16</v>
      </c>
      <c r="UVP864" s="22" t="s">
        <v>16</v>
      </c>
      <c r="UVQ864" s="22" t="s">
        <v>16</v>
      </c>
      <c r="UVR864" s="22" t="s">
        <v>16</v>
      </c>
      <c r="UVS864" s="22" t="s">
        <v>16</v>
      </c>
      <c r="UVT864" s="22" t="s">
        <v>16</v>
      </c>
      <c r="UVU864" s="22" t="s">
        <v>16</v>
      </c>
      <c r="UVV864" s="22" t="s">
        <v>16</v>
      </c>
      <c r="UVW864" s="22" t="s">
        <v>16</v>
      </c>
      <c r="UVX864" s="22" t="s">
        <v>16</v>
      </c>
      <c r="UVY864" s="22" t="s">
        <v>16</v>
      </c>
      <c r="UVZ864" s="22" t="s">
        <v>16</v>
      </c>
      <c r="UWA864" s="22" t="s">
        <v>16</v>
      </c>
      <c r="UWB864" s="22" t="s">
        <v>16</v>
      </c>
      <c r="UWC864" s="22" t="s">
        <v>16</v>
      </c>
      <c r="UWD864" s="22" t="s">
        <v>16</v>
      </c>
      <c r="UWE864" s="22" t="s">
        <v>16</v>
      </c>
      <c r="UWF864" s="22" t="s">
        <v>16</v>
      </c>
      <c r="UWG864" s="22" t="s">
        <v>16</v>
      </c>
      <c r="UWH864" s="22" t="s">
        <v>16</v>
      </c>
      <c r="UWI864" s="22" t="s">
        <v>16</v>
      </c>
      <c r="UWJ864" s="22" t="s">
        <v>16</v>
      </c>
      <c r="UWK864" s="22" t="s">
        <v>16</v>
      </c>
      <c r="UWL864" s="22" t="s">
        <v>16</v>
      </c>
      <c r="UWM864" s="22" t="s">
        <v>16</v>
      </c>
      <c r="UWN864" s="22" t="s">
        <v>16</v>
      </c>
      <c r="UWO864" s="22" t="s">
        <v>16</v>
      </c>
      <c r="UWP864" s="22" t="s">
        <v>16</v>
      </c>
      <c r="UWQ864" s="22" t="s">
        <v>16</v>
      </c>
      <c r="UWR864" s="22" t="s">
        <v>16</v>
      </c>
      <c r="UWS864" s="22" t="s">
        <v>16</v>
      </c>
      <c r="UWT864" s="22" t="s">
        <v>16</v>
      </c>
      <c r="UWU864" s="22" t="s">
        <v>16</v>
      </c>
      <c r="UWV864" s="22" t="s">
        <v>16</v>
      </c>
      <c r="UWW864" s="22" t="s">
        <v>16</v>
      </c>
      <c r="UWX864" s="22" t="s">
        <v>16</v>
      </c>
      <c r="UWY864" s="22" t="s">
        <v>16</v>
      </c>
      <c r="UWZ864" s="22" t="s">
        <v>16</v>
      </c>
      <c r="UXA864" s="22" t="s">
        <v>16</v>
      </c>
      <c r="UXB864" s="22" t="s">
        <v>16</v>
      </c>
      <c r="UXC864" s="22" t="s">
        <v>16</v>
      </c>
      <c r="UXD864" s="22" t="s">
        <v>16</v>
      </c>
      <c r="UXE864" s="22" t="s">
        <v>16</v>
      </c>
      <c r="UXF864" s="22" t="s">
        <v>16</v>
      </c>
      <c r="UXG864" s="22" t="s">
        <v>16</v>
      </c>
      <c r="UXH864" s="22" t="s">
        <v>16</v>
      </c>
      <c r="UXI864" s="22" t="s">
        <v>16</v>
      </c>
      <c r="UXJ864" s="22" t="s">
        <v>16</v>
      </c>
      <c r="UXK864" s="22" t="s">
        <v>16</v>
      </c>
      <c r="UXL864" s="22" t="s">
        <v>16</v>
      </c>
      <c r="UXM864" s="22" t="s">
        <v>16</v>
      </c>
      <c r="UXN864" s="22" t="s">
        <v>16</v>
      </c>
      <c r="UXO864" s="22" t="s">
        <v>16</v>
      </c>
      <c r="UXP864" s="22" t="s">
        <v>16</v>
      </c>
      <c r="UXQ864" s="22" t="s">
        <v>16</v>
      </c>
      <c r="UXR864" s="22" t="s">
        <v>16</v>
      </c>
      <c r="UXS864" s="22" t="s">
        <v>16</v>
      </c>
      <c r="UXT864" s="22" t="s">
        <v>16</v>
      </c>
      <c r="UXU864" s="22" t="s">
        <v>16</v>
      </c>
      <c r="UXV864" s="22" t="s">
        <v>16</v>
      </c>
      <c r="UXW864" s="22" t="s">
        <v>16</v>
      </c>
      <c r="UXX864" s="22" t="s">
        <v>16</v>
      </c>
      <c r="UXY864" s="22" t="s">
        <v>16</v>
      </c>
      <c r="UXZ864" s="22" t="s">
        <v>16</v>
      </c>
      <c r="UYA864" s="22" t="s">
        <v>16</v>
      </c>
      <c r="UYB864" s="22" t="s">
        <v>16</v>
      </c>
      <c r="UYC864" s="22" t="s">
        <v>16</v>
      </c>
      <c r="UYD864" s="22" t="s">
        <v>16</v>
      </c>
      <c r="UYE864" s="22" t="s">
        <v>16</v>
      </c>
      <c r="UYF864" s="22" t="s">
        <v>16</v>
      </c>
      <c r="UYG864" s="22" t="s">
        <v>16</v>
      </c>
      <c r="UYH864" s="22" t="s">
        <v>16</v>
      </c>
      <c r="UYI864" s="22" t="s">
        <v>16</v>
      </c>
      <c r="UYJ864" s="22" t="s">
        <v>16</v>
      </c>
      <c r="UYK864" s="22" t="s">
        <v>16</v>
      </c>
      <c r="UYL864" s="22" t="s">
        <v>16</v>
      </c>
      <c r="UYM864" s="22" t="s">
        <v>16</v>
      </c>
      <c r="UYN864" s="22" t="s">
        <v>16</v>
      </c>
      <c r="UYO864" s="22" t="s">
        <v>16</v>
      </c>
      <c r="UYP864" s="22" t="s">
        <v>16</v>
      </c>
      <c r="UYQ864" s="22" t="s">
        <v>16</v>
      </c>
      <c r="UYR864" s="22" t="s">
        <v>16</v>
      </c>
      <c r="UYS864" s="22" t="s">
        <v>16</v>
      </c>
      <c r="UYT864" s="22" t="s">
        <v>16</v>
      </c>
      <c r="UYU864" s="22" t="s">
        <v>16</v>
      </c>
      <c r="UYV864" s="22" t="s">
        <v>16</v>
      </c>
      <c r="UYW864" s="22" t="s">
        <v>16</v>
      </c>
      <c r="UYX864" s="22" t="s">
        <v>16</v>
      </c>
      <c r="UYY864" s="22" t="s">
        <v>16</v>
      </c>
      <c r="UYZ864" s="22" t="s">
        <v>16</v>
      </c>
      <c r="UZA864" s="22" t="s">
        <v>16</v>
      </c>
      <c r="UZB864" s="22" t="s">
        <v>16</v>
      </c>
      <c r="UZC864" s="22" t="s">
        <v>16</v>
      </c>
      <c r="UZD864" s="22" t="s">
        <v>16</v>
      </c>
      <c r="UZE864" s="22" t="s">
        <v>16</v>
      </c>
      <c r="UZF864" s="22" t="s">
        <v>16</v>
      </c>
      <c r="UZG864" s="22" t="s">
        <v>16</v>
      </c>
      <c r="UZH864" s="22" t="s">
        <v>16</v>
      </c>
      <c r="UZI864" s="22" t="s">
        <v>16</v>
      </c>
      <c r="UZJ864" s="22" t="s">
        <v>16</v>
      </c>
      <c r="UZK864" s="22" t="s">
        <v>16</v>
      </c>
      <c r="UZL864" s="22" t="s">
        <v>16</v>
      </c>
      <c r="UZM864" s="22" t="s">
        <v>16</v>
      </c>
      <c r="UZN864" s="22" t="s">
        <v>16</v>
      </c>
      <c r="UZO864" s="22" t="s">
        <v>16</v>
      </c>
      <c r="UZP864" s="22" t="s">
        <v>16</v>
      </c>
      <c r="UZQ864" s="22" t="s">
        <v>16</v>
      </c>
      <c r="UZR864" s="22" t="s">
        <v>16</v>
      </c>
      <c r="UZS864" s="22" t="s">
        <v>16</v>
      </c>
      <c r="UZT864" s="22" t="s">
        <v>16</v>
      </c>
      <c r="UZU864" s="22" t="s">
        <v>16</v>
      </c>
      <c r="UZV864" s="22" t="s">
        <v>16</v>
      </c>
      <c r="UZW864" s="22" t="s">
        <v>16</v>
      </c>
      <c r="UZX864" s="22" t="s">
        <v>16</v>
      </c>
      <c r="UZY864" s="22" t="s">
        <v>16</v>
      </c>
      <c r="UZZ864" s="22" t="s">
        <v>16</v>
      </c>
      <c r="VAA864" s="22" t="s">
        <v>16</v>
      </c>
      <c r="VAB864" s="22" t="s">
        <v>16</v>
      </c>
      <c r="VAC864" s="22" t="s">
        <v>16</v>
      </c>
      <c r="VAD864" s="22" t="s">
        <v>16</v>
      </c>
      <c r="VAE864" s="22" t="s">
        <v>16</v>
      </c>
      <c r="VAF864" s="22" t="s">
        <v>16</v>
      </c>
      <c r="VAG864" s="22" t="s">
        <v>16</v>
      </c>
      <c r="VAH864" s="22" t="s">
        <v>16</v>
      </c>
      <c r="VAI864" s="22" t="s">
        <v>16</v>
      </c>
      <c r="VAJ864" s="22" t="s">
        <v>16</v>
      </c>
      <c r="VAK864" s="22" t="s">
        <v>16</v>
      </c>
      <c r="VAL864" s="22" t="s">
        <v>16</v>
      </c>
      <c r="VAM864" s="22" t="s">
        <v>16</v>
      </c>
      <c r="VAN864" s="22" t="s">
        <v>16</v>
      </c>
      <c r="VAO864" s="22" t="s">
        <v>16</v>
      </c>
      <c r="VAP864" s="22" t="s">
        <v>16</v>
      </c>
      <c r="VAQ864" s="22" t="s">
        <v>16</v>
      </c>
      <c r="VAR864" s="22" t="s">
        <v>16</v>
      </c>
      <c r="VAS864" s="22" t="s">
        <v>16</v>
      </c>
      <c r="VAT864" s="22" t="s">
        <v>16</v>
      </c>
      <c r="VAU864" s="22" t="s">
        <v>16</v>
      </c>
      <c r="VAV864" s="22" t="s">
        <v>16</v>
      </c>
      <c r="VAW864" s="22" t="s">
        <v>16</v>
      </c>
      <c r="VAX864" s="22" t="s">
        <v>16</v>
      </c>
      <c r="VAY864" s="22" t="s">
        <v>16</v>
      </c>
      <c r="VAZ864" s="22" t="s">
        <v>16</v>
      </c>
      <c r="VBA864" s="22" t="s">
        <v>16</v>
      </c>
      <c r="VBB864" s="22" t="s">
        <v>16</v>
      </c>
      <c r="VBC864" s="22" t="s">
        <v>16</v>
      </c>
      <c r="VBD864" s="22" t="s">
        <v>16</v>
      </c>
      <c r="VBE864" s="22" t="s">
        <v>16</v>
      </c>
      <c r="VBF864" s="22" t="s">
        <v>16</v>
      </c>
      <c r="VBG864" s="22" t="s">
        <v>16</v>
      </c>
      <c r="VBH864" s="22" t="s">
        <v>16</v>
      </c>
      <c r="VBI864" s="22" t="s">
        <v>16</v>
      </c>
      <c r="VBJ864" s="22" t="s">
        <v>16</v>
      </c>
      <c r="VBK864" s="22" t="s">
        <v>16</v>
      </c>
      <c r="VBL864" s="22" t="s">
        <v>16</v>
      </c>
      <c r="VBM864" s="22" t="s">
        <v>16</v>
      </c>
      <c r="VBN864" s="22" t="s">
        <v>16</v>
      </c>
      <c r="VBO864" s="22" t="s">
        <v>16</v>
      </c>
      <c r="VBP864" s="22" t="s">
        <v>16</v>
      </c>
      <c r="VBQ864" s="22" t="s">
        <v>16</v>
      </c>
      <c r="VBR864" s="22" t="s">
        <v>16</v>
      </c>
      <c r="VBS864" s="22" t="s">
        <v>16</v>
      </c>
      <c r="VBT864" s="22" t="s">
        <v>16</v>
      </c>
      <c r="VBU864" s="22" t="s">
        <v>16</v>
      </c>
      <c r="VBV864" s="22" t="s">
        <v>16</v>
      </c>
      <c r="VBW864" s="22" t="s">
        <v>16</v>
      </c>
      <c r="VBX864" s="22" t="s">
        <v>16</v>
      </c>
      <c r="VBY864" s="22" t="s">
        <v>16</v>
      </c>
      <c r="VBZ864" s="22" t="s">
        <v>16</v>
      </c>
      <c r="VCA864" s="22" t="s">
        <v>16</v>
      </c>
      <c r="VCB864" s="22" t="s">
        <v>16</v>
      </c>
      <c r="VCC864" s="22" t="s">
        <v>16</v>
      </c>
      <c r="VCD864" s="22" t="s">
        <v>16</v>
      </c>
      <c r="VCE864" s="22" t="s">
        <v>16</v>
      </c>
      <c r="VCF864" s="22" t="s">
        <v>16</v>
      </c>
      <c r="VCG864" s="22" t="s">
        <v>16</v>
      </c>
      <c r="VCH864" s="22" t="s">
        <v>16</v>
      </c>
      <c r="VCI864" s="22" t="s">
        <v>16</v>
      </c>
      <c r="VCJ864" s="22" t="s">
        <v>16</v>
      </c>
      <c r="VCK864" s="22" t="s">
        <v>16</v>
      </c>
      <c r="VCL864" s="22" t="s">
        <v>16</v>
      </c>
      <c r="VCM864" s="22" t="s">
        <v>16</v>
      </c>
      <c r="VCN864" s="22" t="s">
        <v>16</v>
      </c>
      <c r="VCO864" s="22" t="s">
        <v>16</v>
      </c>
      <c r="VCP864" s="22" t="s">
        <v>16</v>
      </c>
      <c r="VCQ864" s="22" t="s">
        <v>16</v>
      </c>
      <c r="VCR864" s="22" t="s">
        <v>16</v>
      </c>
      <c r="VCS864" s="22" t="s">
        <v>16</v>
      </c>
      <c r="VCT864" s="22" t="s">
        <v>16</v>
      </c>
      <c r="VCU864" s="22" t="s">
        <v>16</v>
      </c>
      <c r="VCV864" s="22" t="s">
        <v>16</v>
      </c>
      <c r="VCW864" s="22" t="s">
        <v>16</v>
      </c>
      <c r="VCX864" s="22" t="s">
        <v>16</v>
      </c>
      <c r="VCY864" s="22" t="s">
        <v>16</v>
      </c>
      <c r="VCZ864" s="22" t="s">
        <v>16</v>
      </c>
      <c r="VDA864" s="22" t="s">
        <v>16</v>
      </c>
      <c r="VDB864" s="22" t="s">
        <v>16</v>
      </c>
      <c r="VDC864" s="22" t="s">
        <v>16</v>
      </c>
      <c r="VDD864" s="22" t="s">
        <v>16</v>
      </c>
      <c r="VDE864" s="22" t="s">
        <v>16</v>
      </c>
      <c r="VDF864" s="22" t="s">
        <v>16</v>
      </c>
      <c r="VDG864" s="22" t="s">
        <v>16</v>
      </c>
      <c r="VDH864" s="22" t="s">
        <v>16</v>
      </c>
      <c r="VDI864" s="22" t="s">
        <v>16</v>
      </c>
      <c r="VDJ864" s="22" t="s">
        <v>16</v>
      </c>
      <c r="VDK864" s="22" t="s">
        <v>16</v>
      </c>
      <c r="VDL864" s="22" t="s">
        <v>16</v>
      </c>
      <c r="VDM864" s="22" t="s">
        <v>16</v>
      </c>
      <c r="VDN864" s="22" t="s">
        <v>16</v>
      </c>
      <c r="VDO864" s="22" t="s">
        <v>16</v>
      </c>
      <c r="VDP864" s="22" t="s">
        <v>16</v>
      </c>
      <c r="VDQ864" s="22" t="s">
        <v>16</v>
      </c>
      <c r="VDR864" s="22" t="s">
        <v>16</v>
      </c>
      <c r="VDS864" s="22" t="s">
        <v>16</v>
      </c>
      <c r="VDT864" s="22" t="s">
        <v>16</v>
      </c>
      <c r="VDU864" s="22" t="s">
        <v>16</v>
      </c>
      <c r="VDV864" s="22" t="s">
        <v>16</v>
      </c>
      <c r="VDW864" s="22" t="s">
        <v>16</v>
      </c>
      <c r="VDX864" s="22" t="s">
        <v>16</v>
      </c>
      <c r="VDY864" s="22" t="s">
        <v>16</v>
      </c>
      <c r="VDZ864" s="22" t="s">
        <v>16</v>
      </c>
      <c r="VEA864" s="22" t="s">
        <v>16</v>
      </c>
      <c r="VEB864" s="22" t="s">
        <v>16</v>
      </c>
      <c r="VEC864" s="22" t="s">
        <v>16</v>
      </c>
      <c r="VED864" s="22" t="s">
        <v>16</v>
      </c>
      <c r="VEE864" s="22" t="s">
        <v>16</v>
      </c>
      <c r="VEF864" s="22" t="s">
        <v>16</v>
      </c>
      <c r="VEG864" s="22" t="s">
        <v>16</v>
      </c>
      <c r="VEH864" s="22" t="s">
        <v>16</v>
      </c>
      <c r="VEI864" s="22" t="s">
        <v>16</v>
      </c>
      <c r="VEJ864" s="22" t="s">
        <v>16</v>
      </c>
      <c r="VEK864" s="22" t="s">
        <v>16</v>
      </c>
      <c r="VEL864" s="22" t="s">
        <v>16</v>
      </c>
      <c r="VEM864" s="22" t="s">
        <v>16</v>
      </c>
      <c r="VEN864" s="22" t="s">
        <v>16</v>
      </c>
      <c r="VEO864" s="22" t="s">
        <v>16</v>
      </c>
      <c r="VEP864" s="22" t="s">
        <v>16</v>
      </c>
      <c r="VEQ864" s="22" t="s">
        <v>16</v>
      </c>
      <c r="VER864" s="22" t="s">
        <v>16</v>
      </c>
      <c r="VES864" s="22" t="s">
        <v>16</v>
      </c>
      <c r="VET864" s="22" t="s">
        <v>16</v>
      </c>
      <c r="VEU864" s="22" t="s">
        <v>16</v>
      </c>
      <c r="VEV864" s="22" t="s">
        <v>16</v>
      </c>
      <c r="VEW864" s="22" t="s">
        <v>16</v>
      </c>
      <c r="VEX864" s="22" t="s">
        <v>16</v>
      </c>
      <c r="VEY864" s="22" t="s">
        <v>16</v>
      </c>
      <c r="VEZ864" s="22" t="s">
        <v>16</v>
      </c>
      <c r="VFA864" s="22" t="s">
        <v>16</v>
      </c>
      <c r="VFB864" s="22" t="s">
        <v>16</v>
      </c>
      <c r="VFC864" s="22" t="s">
        <v>16</v>
      </c>
      <c r="VFD864" s="22" t="s">
        <v>16</v>
      </c>
      <c r="VFE864" s="22" t="s">
        <v>16</v>
      </c>
      <c r="VFF864" s="22" t="s">
        <v>16</v>
      </c>
      <c r="VFG864" s="22" t="s">
        <v>16</v>
      </c>
      <c r="VFH864" s="22" t="s">
        <v>16</v>
      </c>
      <c r="VFI864" s="22" t="s">
        <v>16</v>
      </c>
      <c r="VFJ864" s="22" t="s">
        <v>16</v>
      </c>
      <c r="VFK864" s="22" t="s">
        <v>16</v>
      </c>
      <c r="VFL864" s="22" t="s">
        <v>16</v>
      </c>
      <c r="VFM864" s="22" t="s">
        <v>16</v>
      </c>
      <c r="VFN864" s="22" t="s">
        <v>16</v>
      </c>
      <c r="VFO864" s="22" t="s">
        <v>16</v>
      </c>
      <c r="VFP864" s="22" t="s">
        <v>16</v>
      </c>
      <c r="VFQ864" s="22" t="s">
        <v>16</v>
      </c>
      <c r="VFR864" s="22" t="s">
        <v>16</v>
      </c>
      <c r="VFS864" s="22" t="s">
        <v>16</v>
      </c>
      <c r="VFT864" s="22" t="s">
        <v>16</v>
      </c>
      <c r="VFU864" s="22" t="s">
        <v>16</v>
      </c>
      <c r="VFV864" s="22" t="s">
        <v>16</v>
      </c>
      <c r="VFW864" s="22" t="s">
        <v>16</v>
      </c>
      <c r="VFX864" s="22" t="s">
        <v>16</v>
      </c>
      <c r="VFY864" s="22" t="s">
        <v>16</v>
      </c>
      <c r="VFZ864" s="22" t="s">
        <v>16</v>
      </c>
      <c r="VGA864" s="22" t="s">
        <v>16</v>
      </c>
      <c r="VGB864" s="22" t="s">
        <v>16</v>
      </c>
      <c r="VGC864" s="22" t="s">
        <v>16</v>
      </c>
      <c r="VGD864" s="22" t="s">
        <v>16</v>
      </c>
      <c r="VGE864" s="22" t="s">
        <v>16</v>
      </c>
      <c r="VGF864" s="22" t="s">
        <v>16</v>
      </c>
      <c r="VGG864" s="22" t="s">
        <v>16</v>
      </c>
      <c r="VGH864" s="22" t="s">
        <v>16</v>
      </c>
      <c r="VGI864" s="22" t="s">
        <v>16</v>
      </c>
      <c r="VGJ864" s="22" t="s">
        <v>16</v>
      </c>
      <c r="VGK864" s="22" t="s">
        <v>16</v>
      </c>
      <c r="VGL864" s="22" t="s">
        <v>16</v>
      </c>
      <c r="VGM864" s="22" t="s">
        <v>16</v>
      </c>
      <c r="VGN864" s="22" t="s">
        <v>16</v>
      </c>
      <c r="VGO864" s="22" t="s">
        <v>16</v>
      </c>
      <c r="VGP864" s="22" t="s">
        <v>16</v>
      </c>
      <c r="VGQ864" s="22" t="s">
        <v>16</v>
      </c>
      <c r="VGR864" s="22" t="s">
        <v>16</v>
      </c>
      <c r="VGS864" s="22" t="s">
        <v>16</v>
      </c>
      <c r="VGT864" s="22" t="s">
        <v>16</v>
      </c>
      <c r="VGU864" s="22" t="s">
        <v>16</v>
      </c>
      <c r="VGV864" s="22" t="s">
        <v>16</v>
      </c>
      <c r="VGW864" s="22" t="s">
        <v>16</v>
      </c>
      <c r="VGX864" s="22" t="s">
        <v>16</v>
      </c>
      <c r="VGY864" s="22" t="s">
        <v>16</v>
      </c>
      <c r="VGZ864" s="22" t="s">
        <v>16</v>
      </c>
      <c r="VHA864" s="22" t="s">
        <v>16</v>
      </c>
      <c r="VHB864" s="22" t="s">
        <v>16</v>
      </c>
      <c r="VHC864" s="22" t="s">
        <v>16</v>
      </c>
      <c r="VHD864" s="22" t="s">
        <v>16</v>
      </c>
      <c r="VHE864" s="22" t="s">
        <v>16</v>
      </c>
      <c r="VHF864" s="22" t="s">
        <v>16</v>
      </c>
      <c r="VHG864" s="22" t="s">
        <v>16</v>
      </c>
      <c r="VHH864" s="22" t="s">
        <v>16</v>
      </c>
      <c r="VHI864" s="22" t="s">
        <v>16</v>
      </c>
      <c r="VHJ864" s="22" t="s">
        <v>16</v>
      </c>
      <c r="VHK864" s="22" t="s">
        <v>16</v>
      </c>
      <c r="VHL864" s="22" t="s">
        <v>16</v>
      </c>
      <c r="VHM864" s="22" t="s">
        <v>16</v>
      </c>
      <c r="VHN864" s="22" t="s">
        <v>16</v>
      </c>
      <c r="VHO864" s="22" t="s">
        <v>16</v>
      </c>
      <c r="VHP864" s="22" t="s">
        <v>16</v>
      </c>
      <c r="VHQ864" s="22" t="s">
        <v>16</v>
      </c>
      <c r="VHR864" s="22" t="s">
        <v>16</v>
      </c>
      <c r="VHS864" s="22" t="s">
        <v>16</v>
      </c>
      <c r="VHT864" s="22" t="s">
        <v>16</v>
      </c>
      <c r="VHU864" s="22" t="s">
        <v>16</v>
      </c>
      <c r="VHV864" s="22" t="s">
        <v>16</v>
      </c>
      <c r="VHW864" s="22" t="s">
        <v>16</v>
      </c>
      <c r="VHX864" s="22" t="s">
        <v>16</v>
      </c>
      <c r="VHY864" s="22" t="s">
        <v>16</v>
      </c>
      <c r="VHZ864" s="22" t="s">
        <v>16</v>
      </c>
      <c r="VIA864" s="22" t="s">
        <v>16</v>
      </c>
      <c r="VIB864" s="22" t="s">
        <v>16</v>
      </c>
      <c r="VIC864" s="22" t="s">
        <v>16</v>
      </c>
      <c r="VID864" s="22" t="s">
        <v>16</v>
      </c>
      <c r="VIE864" s="22" t="s">
        <v>16</v>
      </c>
      <c r="VIF864" s="22" t="s">
        <v>16</v>
      </c>
      <c r="VIG864" s="22" t="s">
        <v>16</v>
      </c>
      <c r="VIH864" s="22" t="s">
        <v>16</v>
      </c>
      <c r="VII864" s="22" t="s">
        <v>16</v>
      </c>
      <c r="VIJ864" s="22" t="s">
        <v>16</v>
      </c>
      <c r="VIK864" s="22" t="s">
        <v>16</v>
      </c>
      <c r="VIL864" s="22" t="s">
        <v>16</v>
      </c>
      <c r="VIM864" s="22" t="s">
        <v>16</v>
      </c>
      <c r="VIN864" s="22" t="s">
        <v>16</v>
      </c>
      <c r="VIO864" s="22" t="s">
        <v>16</v>
      </c>
      <c r="VIP864" s="22" t="s">
        <v>16</v>
      </c>
      <c r="VIQ864" s="22" t="s">
        <v>16</v>
      </c>
      <c r="VIR864" s="22" t="s">
        <v>16</v>
      </c>
      <c r="VIS864" s="22" t="s">
        <v>16</v>
      </c>
      <c r="VIT864" s="22" t="s">
        <v>16</v>
      </c>
      <c r="VIU864" s="22" t="s">
        <v>16</v>
      </c>
      <c r="VIV864" s="22" t="s">
        <v>16</v>
      </c>
      <c r="VIW864" s="22" t="s">
        <v>16</v>
      </c>
      <c r="VIX864" s="22" t="s">
        <v>16</v>
      </c>
      <c r="VIY864" s="22" t="s">
        <v>16</v>
      </c>
      <c r="VIZ864" s="22" t="s">
        <v>16</v>
      </c>
      <c r="VJA864" s="22" t="s">
        <v>16</v>
      </c>
      <c r="VJB864" s="22" t="s">
        <v>16</v>
      </c>
      <c r="VJC864" s="22" t="s">
        <v>16</v>
      </c>
      <c r="VJD864" s="22" t="s">
        <v>16</v>
      </c>
      <c r="VJE864" s="22" t="s">
        <v>16</v>
      </c>
      <c r="VJF864" s="22" t="s">
        <v>16</v>
      </c>
      <c r="VJG864" s="22" t="s">
        <v>16</v>
      </c>
      <c r="VJH864" s="22" t="s">
        <v>16</v>
      </c>
      <c r="VJI864" s="22" t="s">
        <v>16</v>
      </c>
      <c r="VJJ864" s="22" t="s">
        <v>16</v>
      </c>
      <c r="VJK864" s="22" t="s">
        <v>16</v>
      </c>
      <c r="VJL864" s="22" t="s">
        <v>16</v>
      </c>
      <c r="VJM864" s="22" t="s">
        <v>16</v>
      </c>
      <c r="VJN864" s="22" t="s">
        <v>16</v>
      </c>
      <c r="VJO864" s="22" t="s">
        <v>16</v>
      </c>
      <c r="VJP864" s="22" t="s">
        <v>16</v>
      </c>
      <c r="VJQ864" s="22" t="s">
        <v>16</v>
      </c>
      <c r="VJR864" s="22" t="s">
        <v>16</v>
      </c>
      <c r="VJS864" s="22" t="s">
        <v>16</v>
      </c>
      <c r="VJT864" s="22" t="s">
        <v>16</v>
      </c>
      <c r="VJU864" s="22" t="s">
        <v>16</v>
      </c>
      <c r="VJV864" s="22" t="s">
        <v>16</v>
      </c>
      <c r="VJW864" s="22" t="s">
        <v>16</v>
      </c>
      <c r="VJX864" s="22" t="s">
        <v>16</v>
      </c>
      <c r="VJY864" s="22" t="s">
        <v>16</v>
      </c>
      <c r="VJZ864" s="22" t="s">
        <v>16</v>
      </c>
      <c r="VKA864" s="22" t="s">
        <v>16</v>
      </c>
      <c r="VKB864" s="22" t="s">
        <v>16</v>
      </c>
      <c r="VKC864" s="22" t="s">
        <v>16</v>
      </c>
      <c r="VKD864" s="22" t="s">
        <v>16</v>
      </c>
      <c r="VKE864" s="22" t="s">
        <v>16</v>
      </c>
      <c r="VKF864" s="22" t="s">
        <v>16</v>
      </c>
      <c r="VKG864" s="22" t="s">
        <v>16</v>
      </c>
      <c r="VKH864" s="22" t="s">
        <v>16</v>
      </c>
      <c r="VKI864" s="22" t="s">
        <v>16</v>
      </c>
      <c r="VKJ864" s="22" t="s">
        <v>16</v>
      </c>
      <c r="VKK864" s="22" t="s">
        <v>16</v>
      </c>
      <c r="VKL864" s="22" t="s">
        <v>16</v>
      </c>
      <c r="VKM864" s="22" t="s">
        <v>16</v>
      </c>
      <c r="VKN864" s="22" t="s">
        <v>16</v>
      </c>
      <c r="VKO864" s="22" t="s">
        <v>16</v>
      </c>
      <c r="VKP864" s="22" t="s">
        <v>16</v>
      </c>
      <c r="VKQ864" s="22" t="s">
        <v>16</v>
      </c>
      <c r="VKR864" s="22" t="s">
        <v>16</v>
      </c>
      <c r="VKS864" s="22" t="s">
        <v>16</v>
      </c>
      <c r="VKT864" s="22" t="s">
        <v>16</v>
      </c>
      <c r="VKU864" s="22" t="s">
        <v>16</v>
      </c>
      <c r="VKV864" s="22" t="s">
        <v>16</v>
      </c>
      <c r="VKW864" s="22" t="s">
        <v>16</v>
      </c>
      <c r="VKX864" s="22" t="s">
        <v>16</v>
      </c>
      <c r="VKY864" s="22" t="s">
        <v>16</v>
      </c>
      <c r="VKZ864" s="22" t="s">
        <v>16</v>
      </c>
      <c r="VLA864" s="22" t="s">
        <v>16</v>
      </c>
      <c r="VLB864" s="22" t="s">
        <v>16</v>
      </c>
      <c r="VLC864" s="22" t="s">
        <v>16</v>
      </c>
      <c r="VLD864" s="22" t="s">
        <v>16</v>
      </c>
      <c r="VLE864" s="22" t="s">
        <v>16</v>
      </c>
      <c r="VLF864" s="22" t="s">
        <v>16</v>
      </c>
      <c r="VLG864" s="22" t="s">
        <v>16</v>
      </c>
      <c r="VLH864" s="22" t="s">
        <v>16</v>
      </c>
      <c r="VLI864" s="22" t="s">
        <v>16</v>
      </c>
      <c r="VLJ864" s="22" t="s">
        <v>16</v>
      </c>
      <c r="VLK864" s="22" t="s">
        <v>16</v>
      </c>
      <c r="VLL864" s="22" t="s">
        <v>16</v>
      </c>
      <c r="VLM864" s="22" t="s">
        <v>16</v>
      </c>
      <c r="VLN864" s="22" t="s">
        <v>16</v>
      </c>
      <c r="VLO864" s="22" t="s">
        <v>16</v>
      </c>
      <c r="VLP864" s="22" t="s">
        <v>16</v>
      </c>
      <c r="VLQ864" s="22" t="s">
        <v>16</v>
      </c>
      <c r="VLR864" s="22" t="s">
        <v>16</v>
      </c>
      <c r="VLS864" s="22" t="s">
        <v>16</v>
      </c>
      <c r="VLT864" s="22" t="s">
        <v>16</v>
      </c>
      <c r="VLU864" s="22" t="s">
        <v>16</v>
      </c>
      <c r="VLV864" s="22" t="s">
        <v>16</v>
      </c>
      <c r="VLW864" s="22" t="s">
        <v>16</v>
      </c>
      <c r="VLX864" s="22" t="s">
        <v>16</v>
      </c>
      <c r="VLY864" s="22" t="s">
        <v>16</v>
      </c>
      <c r="VLZ864" s="22" t="s">
        <v>16</v>
      </c>
      <c r="VMA864" s="22" t="s">
        <v>16</v>
      </c>
      <c r="VMB864" s="22" t="s">
        <v>16</v>
      </c>
      <c r="VMC864" s="22" t="s">
        <v>16</v>
      </c>
      <c r="VMD864" s="22" t="s">
        <v>16</v>
      </c>
      <c r="VME864" s="22" t="s">
        <v>16</v>
      </c>
      <c r="VMF864" s="22" t="s">
        <v>16</v>
      </c>
      <c r="VMG864" s="22" t="s">
        <v>16</v>
      </c>
      <c r="VMH864" s="22" t="s">
        <v>16</v>
      </c>
      <c r="VMI864" s="22" t="s">
        <v>16</v>
      </c>
      <c r="VMJ864" s="22" t="s">
        <v>16</v>
      </c>
      <c r="VMK864" s="22" t="s">
        <v>16</v>
      </c>
      <c r="VML864" s="22" t="s">
        <v>16</v>
      </c>
      <c r="VMM864" s="22" t="s">
        <v>16</v>
      </c>
      <c r="VMN864" s="22" t="s">
        <v>16</v>
      </c>
      <c r="VMO864" s="22" t="s">
        <v>16</v>
      </c>
      <c r="VMP864" s="22" t="s">
        <v>16</v>
      </c>
      <c r="VMQ864" s="22" t="s">
        <v>16</v>
      </c>
      <c r="VMR864" s="22" t="s">
        <v>16</v>
      </c>
      <c r="VMS864" s="22" t="s">
        <v>16</v>
      </c>
      <c r="VMT864" s="22" t="s">
        <v>16</v>
      </c>
      <c r="VMU864" s="22" t="s">
        <v>16</v>
      </c>
      <c r="VMV864" s="22" t="s">
        <v>16</v>
      </c>
      <c r="VMW864" s="22" t="s">
        <v>16</v>
      </c>
      <c r="VMX864" s="22" t="s">
        <v>16</v>
      </c>
      <c r="VMY864" s="22" t="s">
        <v>16</v>
      </c>
      <c r="VMZ864" s="22" t="s">
        <v>16</v>
      </c>
      <c r="VNA864" s="22" t="s">
        <v>16</v>
      </c>
      <c r="VNB864" s="22" t="s">
        <v>16</v>
      </c>
      <c r="VNC864" s="22" t="s">
        <v>16</v>
      </c>
      <c r="VND864" s="22" t="s">
        <v>16</v>
      </c>
      <c r="VNE864" s="22" t="s">
        <v>16</v>
      </c>
      <c r="VNF864" s="22" t="s">
        <v>16</v>
      </c>
      <c r="VNG864" s="22" t="s">
        <v>16</v>
      </c>
      <c r="VNH864" s="22" t="s">
        <v>16</v>
      </c>
      <c r="VNI864" s="22" t="s">
        <v>16</v>
      </c>
      <c r="VNJ864" s="22" t="s">
        <v>16</v>
      </c>
      <c r="VNK864" s="22" t="s">
        <v>16</v>
      </c>
      <c r="VNL864" s="22" t="s">
        <v>16</v>
      </c>
      <c r="VNM864" s="22" t="s">
        <v>16</v>
      </c>
      <c r="VNN864" s="22" t="s">
        <v>16</v>
      </c>
      <c r="VNO864" s="22" t="s">
        <v>16</v>
      </c>
      <c r="VNP864" s="22" t="s">
        <v>16</v>
      </c>
      <c r="VNQ864" s="22" t="s">
        <v>16</v>
      </c>
      <c r="VNR864" s="22" t="s">
        <v>16</v>
      </c>
      <c r="VNS864" s="22" t="s">
        <v>16</v>
      </c>
      <c r="VNT864" s="22" t="s">
        <v>16</v>
      </c>
      <c r="VNU864" s="22" t="s">
        <v>16</v>
      </c>
      <c r="VNV864" s="22" t="s">
        <v>16</v>
      </c>
      <c r="VNW864" s="22" t="s">
        <v>16</v>
      </c>
      <c r="VNX864" s="22" t="s">
        <v>16</v>
      </c>
      <c r="VNY864" s="22" t="s">
        <v>16</v>
      </c>
      <c r="VNZ864" s="22" t="s">
        <v>16</v>
      </c>
      <c r="VOA864" s="22" t="s">
        <v>16</v>
      </c>
      <c r="VOB864" s="22" t="s">
        <v>16</v>
      </c>
      <c r="VOC864" s="22" t="s">
        <v>16</v>
      </c>
      <c r="VOD864" s="22" t="s">
        <v>16</v>
      </c>
      <c r="VOE864" s="22" t="s">
        <v>16</v>
      </c>
      <c r="VOF864" s="22" t="s">
        <v>16</v>
      </c>
      <c r="VOG864" s="22" t="s">
        <v>16</v>
      </c>
      <c r="VOH864" s="22" t="s">
        <v>16</v>
      </c>
      <c r="VOI864" s="22" t="s">
        <v>16</v>
      </c>
      <c r="VOJ864" s="22" t="s">
        <v>16</v>
      </c>
      <c r="VOK864" s="22" t="s">
        <v>16</v>
      </c>
      <c r="VOL864" s="22" t="s">
        <v>16</v>
      </c>
      <c r="VOM864" s="22" t="s">
        <v>16</v>
      </c>
      <c r="VON864" s="22" t="s">
        <v>16</v>
      </c>
      <c r="VOO864" s="22" t="s">
        <v>16</v>
      </c>
      <c r="VOP864" s="22" t="s">
        <v>16</v>
      </c>
      <c r="VOQ864" s="22" t="s">
        <v>16</v>
      </c>
      <c r="VOR864" s="22" t="s">
        <v>16</v>
      </c>
      <c r="VOS864" s="22" t="s">
        <v>16</v>
      </c>
      <c r="VOT864" s="22" t="s">
        <v>16</v>
      </c>
      <c r="VOU864" s="22" t="s">
        <v>16</v>
      </c>
      <c r="VOV864" s="22" t="s">
        <v>16</v>
      </c>
      <c r="VOW864" s="22" t="s">
        <v>16</v>
      </c>
      <c r="VOX864" s="22" t="s">
        <v>16</v>
      </c>
      <c r="VOY864" s="22" t="s">
        <v>16</v>
      </c>
      <c r="VOZ864" s="22" t="s">
        <v>16</v>
      </c>
      <c r="VPA864" s="22" t="s">
        <v>16</v>
      </c>
      <c r="VPB864" s="22" t="s">
        <v>16</v>
      </c>
      <c r="VPC864" s="22" t="s">
        <v>16</v>
      </c>
      <c r="VPD864" s="22" t="s">
        <v>16</v>
      </c>
      <c r="VPE864" s="22" t="s">
        <v>16</v>
      </c>
      <c r="VPF864" s="22" t="s">
        <v>16</v>
      </c>
      <c r="VPG864" s="22" t="s">
        <v>16</v>
      </c>
      <c r="VPH864" s="22" t="s">
        <v>16</v>
      </c>
      <c r="VPI864" s="22" t="s">
        <v>16</v>
      </c>
      <c r="VPJ864" s="22" t="s">
        <v>16</v>
      </c>
      <c r="VPK864" s="22" t="s">
        <v>16</v>
      </c>
      <c r="VPL864" s="22" t="s">
        <v>16</v>
      </c>
      <c r="VPM864" s="22" t="s">
        <v>16</v>
      </c>
      <c r="VPN864" s="22" t="s">
        <v>16</v>
      </c>
      <c r="VPO864" s="22" t="s">
        <v>16</v>
      </c>
      <c r="VPP864" s="22" t="s">
        <v>16</v>
      </c>
      <c r="VPQ864" s="22" t="s">
        <v>16</v>
      </c>
      <c r="VPR864" s="22" t="s">
        <v>16</v>
      </c>
      <c r="VPS864" s="22" t="s">
        <v>16</v>
      </c>
      <c r="VPT864" s="22" t="s">
        <v>16</v>
      </c>
      <c r="VPU864" s="22" t="s">
        <v>16</v>
      </c>
      <c r="VPV864" s="22" t="s">
        <v>16</v>
      </c>
      <c r="VPW864" s="22" t="s">
        <v>16</v>
      </c>
      <c r="VPX864" s="22" t="s">
        <v>16</v>
      </c>
      <c r="VPY864" s="22" t="s">
        <v>16</v>
      </c>
      <c r="VPZ864" s="22" t="s">
        <v>16</v>
      </c>
      <c r="VQA864" s="22" t="s">
        <v>16</v>
      </c>
      <c r="VQB864" s="22" t="s">
        <v>16</v>
      </c>
      <c r="VQC864" s="22" t="s">
        <v>16</v>
      </c>
      <c r="VQD864" s="22" t="s">
        <v>16</v>
      </c>
      <c r="VQE864" s="22" t="s">
        <v>16</v>
      </c>
      <c r="VQF864" s="22" t="s">
        <v>16</v>
      </c>
      <c r="VQG864" s="22" t="s">
        <v>16</v>
      </c>
      <c r="VQH864" s="22" t="s">
        <v>16</v>
      </c>
      <c r="VQI864" s="22" t="s">
        <v>16</v>
      </c>
      <c r="VQJ864" s="22" t="s">
        <v>16</v>
      </c>
      <c r="VQK864" s="22" t="s">
        <v>16</v>
      </c>
      <c r="VQL864" s="22" t="s">
        <v>16</v>
      </c>
      <c r="VQM864" s="22" t="s">
        <v>16</v>
      </c>
      <c r="VQN864" s="22" t="s">
        <v>16</v>
      </c>
      <c r="VQO864" s="22" t="s">
        <v>16</v>
      </c>
      <c r="VQP864" s="22" t="s">
        <v>16</v>
      </c>
      <c r="VQQ864" s="22" t="s">
        <v>16</v>
      </c>
      <c r="VQR864" s="22" t="s">
        <v>16</v>
      </c>
      <c r="VQS864" s="22" t="s">
        <v>16</v>
      </c>
      <c r="VQT864" s="22" t="s">
        <v>16</v>
      </c>
      <c r="VQU864" s="22" t="s">
        <v>16</v>
      </c>
      <c r="VQV864" s="22" t="s">
        <v>16</v>
      </c>
      <c r="VQW864" s="22" t="s">
        <v>16</v>
      </c>
      <c r="VQX864" s="22" t="s">
        <v>16</v>
      </c>
      <c r="VQY864" s="22" t="s">
        <v>16</v>
      </c>
      <c r="VQZ864" s="22" t="s">
        <v>16</v>
      </c>
      <c r="VRA864" s="22" t="s">
        <v>16</v>
      </c>
      <c r="VRB864" s="22" t="s">
        <v>16</v>
      </c>
      <c r="VRC864" s="22" t="s">
        <v>16</v>
      </c>
      <c r="VRD864" s="22" t="s">
        <v>16</v>
      </c>
      <c r="VRE864" s="22" t="s">
        <v>16</v>
      </c>
      <c r="VRF864" s="22" t="s">
        <v>16</v>
      </c>
      <c r="VRG864" s="22" t="s">
        <v>16</v>
      </c>
      <c r="VRH864" s="22" t="s">
        <v>16</v>
      </c>
      <c r="VRI864" s="22" t="s">
        <v>16</v>
      </c>
      <c r="VRJ864" s="22" t="s">
        <v>16</v>
      </c>
      <c r="VRK864" s="22" t="s">
        <v>16</v>
      </c>
      <c r="VRL864" s="22" t="s">
        <v>16</v>
      </c>
      <c r="VRM864" s="22" t="s">
        <v>16</v>
      </c>
      <c r="VRN864" s="22" t="s">
        <v>16</v>
      </c>
      <c r="VRO864" s="22" t="s">
        <v>16</v>
      </c>
      <c r="VRP864" s="22" t="s">
        <v>16</v>
      </c>
      <c r="VRQ864" s="22" t="s">
        <v>16</v>
      </c>
      <c r="VRR864" s="22" t="s">
        <v>16</v>
      </c>
      <c r="VRS864" s="22" t="s">
        <v>16</v>
      </c>
      <c r="VRT864" s="22" t="s">
        <v>16</v>
      </c>
      <c r="VRU864" s="22" t="s">
        <v>16</v>
      </c>
      <c r="VRV864" s="22" t="s">
        <v>16</v>
      </c>
      <c r="VRW864" s="22" t="s">
        <v>16</v>
      </c>
      <c r="VRX864" s="22" t="s">
        <v>16</v>
      </c>
      <c r="VRY864" s="22" t="s">
        <v>16</v>
      </c>
      <c r="VRZ864" s="22" t="s">
        <v>16</v>
      </c>
      <c r="VSA864" s="22" t="s">
        <v>16</v>
      </c>
      <c r="VSB864" s="22" t="s">
        <v>16</v>
      </c>
      <c r="VSC864" s="22" t="s">
        <v>16</v>
      </c>
      <c r="VSD864" s="22" t="s">
        <v>16</v>
      </c>
      <c r="VSE864" s="22" t="s">
        <v>16</v>
      </c>
      <c r="VSF864" s="22" t="s">
        <v>16</v>
      </c>
      <c r="VSG864" s="22" t="s">
        <v>16</v>
      </c>
      <c r="VSH864" s="22" t="s">
        <v>16</v>
      </c>
      <c r="VSI864" s="22" t="s">
        <v>16</v>
      </c>
      <c r="VSJ864" s="22" t="s">
        <v>16</v>
      </c>
      <c r="VSK864" s="22" t="s">
        <v>16</v>
      </c>
      <c r="VSL864" s="22" t="s">
        <v>16</v>
      </c>
      <c r="VSM864" s="22" t="s">
        <v>16</v>
      </c>
      <c r="VSN864" s="22" t="s">
        <v>16</v>
      </c>
      <c r="VSO864" s="22" t="s">
        <v>16</v>
      </c>
      <c r="VSP864" s="22" t="s">
        <v>16</v>
      </c>
      <c r="VSQ864" s="22" t="s">
        <v>16</v>
      </c>
      <c r="VSR864" s="22" t="s">
        <v>16</v>
      </c>
      <c r="VSS864" s="22" t="s">
        <v>16</v>
      </c>
      <c r="VST864" s="22" t="s">
        <v>16</v>
      </c>
      <c r="VSU864" s="22" t="s">
        <v>16</v>
      </c>
      <c r="VSV864" s="22" t="s">
        <v>16</v>
      </c>
      <c r="VSW864" s="22" t="s">
        <v>16</v>
      </c>
      <c r="VSX864" s="22" t="s">
        <v>16</v>
      </c>
      <c r="VSY864" s="22" t="s">
        <v>16</v>
      </c>
      <c r="VSZ864" s="22" t="s">
        <v>16</v>
      </c>
      <c r="VTA864" s="22" t="s">
        <v>16</v>
      </c>
      <c r="VTB864" s="22" t="s">
        <v>16</v>
      </c>
      <c r="VTC864" s="22" t="s">
        <v>16</v>
      </c>
      <c r="VTD864" s="22" t="s">
        <v>16</v>
      </c>
      <c r="VTE864" s="22" t="s">
        <v>16</v>
      </c>
      <c r="VTF864" s="22" t="s">
        <v>16</v>
      </c>
      <c r="VTG864" s="22" t="s">
        <v>16</v>
      </c>
      <c r="VTH864" s="22" t="s">
        <v>16</v>
      </c>
      <c r="VTI864" s="22" t="s">
        <v>16</v>
      </c>
      <c r="VTJ864" s="22" t="s">
        <v>16</v>
      </c>
      <c r="VTK864" s="22" t="s">
        <v>16</v>
      </c>
      <c r="VTL864" s="22" t="s">
        <v>16</v>
      </c>
      <c r="VTM864" s="22" t="s">
        <v>16</v>
      </c>
      <c r="VTN864" s="22" t="s">
        <v>16</v>
      </c>
      <c r="VTO864" s="22" t="s">
        <v>16</v>
      </c>
      <c r="VTP864" s="22" t="s">
        <v>16</v>
      </c>
      <c r="VTQ864" s="22" t="s">
        <v>16</v>
      </c>
      <c r="VTR864" s="22" t="s">
        <v>16</v>
      </c>
      <c r="VTS864" s="22" t="s">
        <v>16</v>
      </c>
      <c r="VTT864" s="22" t="s">
        <v>16</v>
      </c>
      <c r="VTU864" s="22" t="s">
        <v>16</v>
      </c>
      <c r="VTV864" s="22" t="s">
        <v>16</v>
      </c>
      <c r="VTW864" s="22" t="s">
        <v>16</v>
      </c>
      <c r="VTX864" s="22" t="s">
        <v>16</v>
      </c>
      <c r="VTY864" s="22" t="s">
        <v>16</v>
      </c>
      <c r="VTZ864" s="22" t="s">
        <v>16</v>
      </c>
      <c r="VUA864" s="22" t="s">
        <v>16</v>
      </c>
      <c r="VUB864" s="22" t="s">
        <v>16</v>
      </c>
      <c r="VUC864" s="22" t="s">
        <v>16</v>
      </c>
      <c r="VUD864" s="22" t="s">
        <v>16</v>
      </c>
      <c r="VUE864" s="22" t="s">
        <v>16</v>
      </c>
      <c r="VUF864" s="22" t="s">
        <v>16</v>
      </c>
      <c r="VUG864" s="22" t="s">
        <v>16</v>
      </c>
      <c r="VUH864" s="22" t="s">
        <v>16</v>
      </c>
      <c r="VUI864" s="22" t="s">
        <v>16</v>
      </c>
      <c r="VUJ864" s="22" t="s">
        <v>16</v>
      </c>
      <c r="VUK864" s="22" t="s">
        <v>16</v>
      </c>
      <c r="VUL864" s="22" t="s">
        <v>16</v>
      </c>
      <c r="VUM864" s="22" t="s">
        <v>16</v>
      </c>
      <c r="VUN864" s="22" t="s">
        <v>16</v>
      </c>
      <c r="VUO864" s="22" t="s">
        <v>16</v>
      </c>
      <c r="VUP864" s="22" t="s">
        <v>16</v>
      </c>
      <c r="VUQ864" s="22" t="s">
        <v>16</v>
      </c>
      <c r="VUR864" s="22" t="s">
        <v>16</v>
      </c>
      <c r="VUS864" s="22" t="s">
        <v>16</v>
      </c>
      <c r="VUT864" s="22" t="s">
        <v>16</v>
      </c>
      <c r="VUU864" s="22" t="s">
        <v>16</v>
      </c>
      <c r="VUV864" s="22" t="s">
        <v>16</v>
      </c>
      <c r="VUW864" s="22" t="s">
        <v>16</v>
      </c>
      <c r="VUX864" s="22" t="s">
        <v>16</v>
      </c>
      <c r="VUY864" s="22" t="s">
        <v>16</v>
      </c>
      <c r="VUZ864" s="22" t="s">
        <v>16</v>
      </c>
      <c r="VVA864" s="22" t="s">
        <v>16</v>
      </c>
      <c r="VVB864" s="22" t="s">
        <v>16</v>
      </c>
      <c r="VVC864" s="22" t="s">
        <v>16</v>
      </c>
      <c r="VVD864" s="22" t="s">
        <v>16</v>
      </c>
      <c r="VVE864" s="22" t="s">
        <v>16</v>
      </c>
      <c r="VVF864" s="22" t="s">
        <v>16</v>
      </c>
      <c r="VVG864" s="22" t="s">
        <v>16</v>
      </c>
      <c r="VVH864" s="22" t="s">
        <v>16</v>
      </c>
      <c r="VVI864" s="22" t="s">
        <v>16</v>
      </c>
      <c r="VVJ864" s="22" t="s">
        <v>16</v>
      </c>
      <c r="VVK864" s="22" t="s">
        <v>16</v>
      </c>
      <c r="VVL864" s="22" t="s">
        <v>16</v>
      </c>
      <c r="VVM864" s="22" t="s">
        <v>16</v>
      </c>
      <c r="VVN864" s="22" t="s">
        <v>16</v>
      </c>
      <c r="VVO864" s="22" t="s">
        <v>16</v>
      </c>
      <c r="VVP864" s="22" t="s">
        <v>16</v>
      </c>
      <c r="VVQ864" s="22" t="s">
        <v>16</v>
      </c>
      <c r="VVR864" s="22" t="s">
        <v>16</v>
      </c>
      <c r="VVS864" s="22" t="s">
        <v>16</v>
      </c>
      <c r="VVT864" s="22" t="s">
        <v>16</v>
      </c>
      <c r="VVU864" s="22" t="s">
        <v>16</v>
      </c>
      <c r="VVV864" s="22" t="s">
        <v>16</v>
      </c>
      <c r="VVW864" s="22" t="s">
        <v>16</v>
      </c>
      <c r="VVX864" s="22" t="s">
        <v>16</v>
      </c>
      <c r="VVY864" s="22" t="s">
        <v>16</v>
      </c>
      <c r="VVZ864" s="22" t="s">
        <v>16</v>
      </c>
      <c r="VWA864" s="22" t="s">
        <v>16</v>
      </c>
      <c r="VWB864" s="22" t="s">
        <v>16</v>
      </c>
      <c r="VWC864" s="22" t="s">
        <v>16</v>
      </c>
      <c r="VWD864" s="22" t="s">
        <v>16</v>
      </c>
      <c r="VWE864" s="22" t="s">
        <v>16</v>
      </c>
      <c r="VWF864" s="22" t="s">
        <v>16</v>
      </c>
      <c r="VWG864" s="22" t="s">
        <v>16</v>
      </c>
      <c r="VWH864" s="22" t="s">
        <v>16</v>
      </c>
      <c r="VWI864" s="22" t="s">
        <v>16</v>
      </c>
      <c r="VWJ864" s="22" t="s">
        <v>16</v>
      </c>
      <c r="VWK864" s="22" t="s">
        <v>16</v>
      </c>
      <c r="VWL864" s="22" t="s">
        <v>16</v>
      </c>
      <c r="VWM864" s="22" t="s">
        <v>16</v>
      </c>
      <c r="VWN864" s="22" t="s">
        <v>16</v>
      </c>
      <c r="VWO864" s="22" t="s">
        <v>16</v>
      </c>
      <c r="VWP864" s="22" t="s">
        <v>16</v>
      </c>
      <c r="VWQ864" s="22" t="s">
        <v>16</v>
      </c>
      <c r="VWR864" s="22" t="s">
        <v>16</v>
      </c>
      <c r="VWS864" s="22" t="s">
        <v>16</v>
      </c>
      <c r="VWT864" s="22" t="s">
        <v>16</v>
      </c>
      <c r="VWU864" s="22" t="s">
        <v>16</v>
      </c>
      <c r="VWV864" s="22" t="s">
        <v>16</v>
      </c>
      <c r="VWW864" s="22" t="s">
        <v>16</v>
      </c>
      <c r="VWX864" s="22" t="s">
        <v>16</v>
      </c>
      <c r="VWY864" s="22" t="s">
        <v>16</v>
      </c>
      <c r="VWZ864" s="22" t="s">
        <v>16</v>
      </c>
      <c r="VXA864" s="22" t="s">
        <v>16</v>
      </c>
      <c r="VXB864" s="22" t="s">
        <v>16</v>
      </c>
      <c r="VXC864" s="22" t="s">
        <v>16</v>
      </c>
      <c r="VXD864" s="22" t="s">
        <v>16</v>
      </c>
      <c r="VXE864" s="22" t="s">
        <v>16</v>
      </c>
      <c r="VXF864" s="22" t="s">
        <v>16</v>
      </c>
      <c r="VXG864" s="22" t="s">
        <v>16</v>
      </c>
      <c r="VXH864" s="22" t="s">
        <v>16</v>
      </c>
      <c r="VXI864" s="22" t="s">
        <v>16</v>
      </c>
      <c r="VXJ864" s="22" t="s">
        <v>16</v>
      </c>
      <c r="VXK864" s="22" t="s">
        <v>16</v>
      </c>
      <c r="VXL864" s="22" t="s">
        <v>16</v>
      </c>
      <c r="VXM864" s="22" t="s">
        <v>16</v>
      </c>
      <c r="VXN864" s="22" t="s">
        <v>16</v>
      </c>
      <c r="VXO864" s="22" t="s">
        <v>16</v>
      </c>
      <c r="VXP864" s="22" t="s">
        <v>16</v>
      </c>
      <c r="VXQ864" s="22" t="s">
        <v>16</v>
      </c>
      <c r="VXR864" s="22" t="s">
        <v>16</v>
      </c>
      <c r="VXS864" s="22" t="s">
        <v>16</v>
      </c>
      <c r="VXT864" s="22" t="s">
        <v>16</v>
      </c>
      <c r="VXU864" s="22" t="s">
        <v>16</v>
      </c>
      <c r="VXV864" s="22" t="s">
        <v>16</v>
      </c>
      <c r="VXW864" s="22" t="s">
        <v>16</v>
      </c>
      <c r="VXX864" s="22" t="s">
        <v>16</v>
      </c>
      <c r="VXY864" s="22" t="s">
        <v>16</v>
      </c>
      <c r="VXZ864" s="22" t="s">
        <v>16</v>
      </c>
      <c r="VYA864" s="22" t="s">
        <v>16</v>
      </c>
      <c r="VYB864" s="22" t="s">
        <v>16</v>
      </c>
      <c r="VYC864" s="22" t="s">
        <v>16</v>
      </c>
      <c r="VYD864" s="22" t="s">
        <v>16</v>
      </c>
      <c r="VYE864" s="22" t="s">
        <v>16</v>
      </c>
      <c r="VYF864" s="22" t="s">
        <v>16</v>
      </c>
      <c r="VYG864" s="22" t="s">
        <v>16</v>
      </c>
      <c r="VYH864" s="22" t="s">
        <v>16</v>
      </c>
      <c r="VYI864" s="22" t="s">
        <v>16</v>
      </c>
      <c r="VYJ864" s="22" t="s">
        <v>16</v>
      </c>
      <c r="VYK864" s="22" t="s">
        <v>16</v>
      </c>
      <c r="VYL864" s="22" t="s">
        <v>16</v>
      </c>
      <c r="VYM864" s="22" t="s">
        <v>16</v>
      </c>
      <c r="VYN864" s="22" t="s">
        <v>16</v>
      </c>
      <c r="VYO864" s="22" t="s">
        <v>16</v>
      </c>
      <c r="VYP864" s="22" t="s">
        <v>16</v>
      </c>
      <c r="VYQ864" s="22" t="s">
        <v>16</v>
      </c>
      <c r="VYR864" s="22" t="s">
        <v>16</v>
      </c>
      <c r="VYS864" s="22" t="s">
        <v>16</v>
      </c>
      <c r="VYT864" s="22" t="s">
        <v>16</v>
      </c>
      <c r="VYU864" s="22" t="s">
        <v>16</v>
      </c>
      <c r="VYV864" s="22" t="s">
        <v>16</v>
      </c>
      <c r="VYW864" s="22" t="s">
        <v>16</v>
      </c>
      <c r="VYX864" s="22" t="s">
        <v>16</v>
      </c>
      <c r="VYY864" s="22" t="s">
        <v>16</v>
      </c>
      <c r="VYZ864" s="22" t="s">
        <v>16</v>
      </c>
      <c r="VZA864" s="22" t="s">
        <v>16</v>
      </c>
      <c r="VZB864" s="22" t="s">
        <v>16</v>
      </c>
      <c r="VZC864" s="22" t="s">
        <v>16</v>
      </c>
      <c r="VZD864" s="22" t="s">
        <v>16</v>
      </c>
      <c r="VZE864" s="22" t="s">
        <v>16</v>
      </c>
      <c r="VZF864" s="22" t="s">
        <v>16</v>
      </c>
      <c r="VZG864" s="22" t="s">
        <v>16</v>
      </c>
      <c r="VZH864" s="22" t="s">
        <v>16</v>
      </c>
      <c r="VZI864" s="22" t="s">
        <v>16</v>
      </c>
      <c r="VZJ864" s="22" t="s">
        <v>16</v>
      </c>
      <c r="VZK864" s="22" t="s">
        <v>16</v>
      </c>
      <c r="VZL864" s="22" t="s">
        <v>16</v>
      </c>
      <c r="VZM864" s="22" t="s">
        <v>16</v>
      </c>
      <c r="VZN864" s="22" t="s">
        <v>16</v>
      </c>
      <c r="VZO864" s="22" t="s">
        <v>16</v>
      </c>
      <c r="VZP864" s="22" t="s">
        <v>16</v>
      </c>
      <c r="VZQ864" s="22" t="s">
        <v>16</v>
      </c>
      <c r="VZR864" s="22" t="s">
        <v>16</v>
      </c>
      <c r="VZS864" s="22" t="s">
        <v>16</v>
      </c>
      <c r="VZT864" s="22" t="s">
        <v>16</v>
      </c>
      <c r="VZU864" s="22" t="s">
        <v>16</v>
      </c>
      <c r="VZV864" s="22" t="s">
        <v>16</v>
      </c>
      <c r="VZW864" s="22" t="s">
        <v>16</v>
      </c>
      <c r="VZX864" s="22" t="s">
        <v>16</v>
      </c>
      <c r="VZY864" s="22" t="s">
        <v>16</v>
      </c>
      <c r="VZZ864" s="22" t="s">
        <v>16</v>
      </c>
      <c r="WAA864" s="22" t="s">
        <v>16</v>
      </c>
      <c r="WAB864" s="22" t="s">
        <v>16</v>
      </c>
      <c r="WAC864" s="22" t="s">
        <v>16</v>
      </c>
      <c r="WAD864" s="22" t="s">
        <v>16</v>
      </c>
      <c r="WAE864" s="22" t="s">
        <v>16</v>
      </c>
      <c r="WAF864" s="22" t="s">
        <v>16</v>
      </c>
      <c r="WAG864" s="22" t="s">
        <v>16</v>
      </c>
      <c r="WAH864" s="22" t="s">
        <v>16</v>
      </c>
      <c r="WAI864" s="22" t="s">
        <v>16</v>
      </c>
      <c r="WAJ864" s="22" t="s">
        <v>16</v>
      </c>
      <c r="WAK864" s="22" t="s">
        <v>16</v>
      </c>
      <c r="WAL864" s="22" t="s">
        <v>16</v>
      </c>
      <c r="WAM864" s="22" t="s">
        <v>16</v>
      </c>
      <c r="WAN864" s="22" t="s">
        <v>16</v>
      </c>
      <c r="WAO864" s="22" t="s">
        <v>16</v>
      </c>
      <c r="WAP864" s="22" t="s">
        <v>16</v>
      </c>
      <c r="WAQ864" s="22" t="s">
        <v>16</v>
      </c>
      <c r="WAR864" s="22" t="s">
        <v>16</v>
      </c>
      <c r="WAS864" s="22" t="s">
        <v>16</v>
      </c>
      <c r="WAT864" s="22" t="s">
        <v>16</v>
      </c>
      <c r="WAU864" s="22" t="s">
        <v>16</v>
      </c>
      <c r="WAV864" s="22" t="s">
        <v>16</v>
      </c>
      <c r="WAW864" s="22" t="s">
        <v>16</v>
      </c>
      <c r="WAX864" s="22" t="s">
        <v>16</v>
      </c>
      <c r="WAY864" s="22" t="s">
        <v>16</v>
      </c>
      <c r="WAZ864" s="22" t="s">
        <v>16</v>
      </c>
      <c r="WBA864" s="22" t="s">
        <v>16</v>
      </c>
      <c r="WBB864" s="22" t="s">
        <v>16</v>
      </c>
      <c r="WBC864" s="22" t="s">
        <v>16</v>
      </c>
      <c r="WBD864" s="22" t="s">
        <v>16</v>
      </c>
      <c r="WBE864" s="22" t="s">
        <v>16</v>
      </c>
      <c r="WBF864" s="22" t="s">
        <v>16</v>
      </c>
      <c r="WBG864" s="22" t="s">
        <v>16</v>
      </c>
      <c r="WBH864" s="22" t="s">
        <v>16</v>
      </c>
      <c r="WBI864" s="22" t="s">
        <v>16</v>
      </c>
      <c r="WBJ864" s="22" t="s">
        <v>16</v>
      </c>
      <c r="WBK864" s="22" t="s">
        <v>16</v>
      </c>
      <c r="WBL864" s="22" t="s">
        <v>16</v>
      </c>
      <c r="WBM864" s="22" t="s">
        <v>16</v>
      </c>
      <c r="WBN864" s="22" t="s">
        <v>16</v>
      </c>
      <c r="WBO864" s="22" t="s">
        <v>16</v>
      </c>
      <c r="WBP864" s="22" t="s">
        <v>16</v>
      </c>
      <c r="WBQ864" s="22" t="s">
        <v>16</v>
      </c>
      <c r="WBR864" s="22" t="s">
        <v>16</v>
      </c>
      <c r="WBS864" s="22" t="s">
        <v>16</v>
      </c>
      <c r="WBT864" s="22" t="s">
        <v>16</v>
      </c>
      <c r="WBU864" s="22" t="s">
        <v>16</v>
      </c>
      <c r="WBV864" s="22" t="s">
        <v>16</v>
      </c>
      <c r="WBW864" s="22" t="s">
        <v>16</v>
      </c>
      <c r="WBX864" s="22" t="s">
        <v>16</v>
      </c>
      <c r="WBY864" s="22" t="s">
        <v>16</v>
      </c>
      <c r="WBZ864" s="22" t="s">
        <v>16</v>
      </c>
      <c r="WCA864" s="22" t="s">
        <v>16</v>
      </c>
      <c r="WCB864" s="22" t="s">
        <v>16</v>
      </c>
      <c r="WCC864" s="22" t="s">
        <v>16</v>
      </c>
      <c r="WCD864" s="22" t="s">
        <v>16</v>
      </c>
      <c r="WCE864" s="22" t="s">
        <v>16</v>
      </c>
      <c r="WCF864" s="22" t="s">
        <v>16</v>
      </c>
      <c r="WCG864" s="22" t="s">
        <v>16</v>
      </c>
      <c r="WCH864" s="22" t="s">
        <v>16</v>
      </c>
      <c r="WCI864" s="22" t="s">
        <v>16</v>
      </c>
      <c r="WCJ864" s="22" t="s">
        <v>16</v>
      </c>
      <c r="WCK864" s="22" t="s">
        <v>16</v>
      </c>
      <c r="WCL864" s="22" t="s">
        <v>16</v>
      </c>
      <c r="WCM864" s="22" t="s">
        <v>16</v>
      </c>
      <c r="WCN864" s="22" t="s">
        <v>16</v>
      </c>
      <c r="WCO864" s="22" t="s">
        <v>16</v>
      </c>
      <c r="WCP864" s="22" t="s">
        <v>16</v>
      </c>
      <c r="WCQ864" s="22" t="s">
        <v>16</v>
      </c>
      <c r="WCR864" s="22" t="s">
        <v>16</v>
      </c>
      <c r="WCS864" s="22" t="s">
        <v>16</v>
      </c>
      <c r="WCT864" s="22" t="s">
        <v>16</v>
      </c>
      <c r="WCU864" s="22" t="s">
        <v>16</v>
      </c>
      <c r="WCV864" s="22" t="s">
        <v>16</v>
      </c>
      <c r="WCW864" s="22" t="s">
        <v>16</v>
      </c>
      <c r="WCX864" s="22" t="s">
        <v>16</v>
      </c>
      <c r="WCY864" s="22" t="s">
        <v>16</v>
      </c>
      <c r="WCZ864" s="22" t="s">
        <v>16</v>
      </c>
      <c r="WDA864" s="22" t="s">
        <v>16</v>
      </c>
      <c r="WDB864" s="22" t="s">
        <v>16</v>
      </c>
      <c r="WDC864" s="22" t="s">
        <v>16</v>
      </c>
      <c r="WDD864" s="22" t="s">
        <v>16</v>
      </c>
      <c r="WDE864" s="22" t="s">
        <v>16</v>
      </c>
      <c r="WDF864" s="22" t="s">
        <v>16</v>
      </c>
      <c r="WDG864" s="22" t="s">
        <v>16</v>
      </c>
      <c r="WDH864" s="22" t="s">
        <v>16</v>
      </c>
      <c r="WDI864" s="22" t="s">
        <v>16</v>
      </c>
      <c r="WDJ864" s="22" t="s">
        <v>16</v>
      </c>
      <c r="WDK864" s="22" t="s">
        <v>16</v>
      </c>
      <c r="WDL864" s="22" t="s">
        <v>16</v>
      </c>
      <c r="WDM864" s="22" t="s">
        <v>16</v>
      </c>
      <c r="WDN864" s="22" t="s">
        <v>16</v>
      </c>
      <c r="WDO864" s="22" t="s">
        <v>16</v>
      </c>
      <c r="WDP864" s="22" t="s">
        <v>16</v>
      </c>
      <c r="WDQ864" s="22" t="s">
        <v>16</v>
      </c>
      <c r="WDR864" s="22" t="s">
        <v>16</v>
      </c>
      <c r="WDS864" s="22" t="s">
        <v>16</v>
      </c>
      <c r="WDT864" s="22" t="s">
        <v>16</v>
      </c>
      <c r="WDU864" s="22" t="s">
        <v>16</v>
      </c>
      <c r="WDV864" s="22" t="s">
        <v>16</v>
      </c>
      <c r="WDW864" s="22" t="s">
        <v>16</v>
      </c>
      <c r="WDX864" s="22" t="s">
        <v>16</v>
      </c>
      <c r="WDY864" s="22" t="s">
        <v>16</v>
      </c>
      <c r="WDZ864" s="22" t="s">
        <v>16</v>
      </c>
      <c r="WEA864" s="22" t="s">
        <v>16</v>
      </c>
      <c r="WEB864" s="22" t="s">
        <v>16</v>
      </c>
      <c r="WEC864" s="22" t="s">
        <v>16</v>
      </c>
      <c r="WED864" s="22" t="s">
        <v>16</v>
      </c>
      <c r="WEE864" s="22" t="s">
        <v>16</v>
      </c>
      <c r="WEF864" s="22" t="s">
        <v>16</v>
      </c>
      <c r="WEG864" s="22" t="s">
        <v>16</v>
      </c>
      <c r="WEH864" s="22" t="s">
        <v>16</v>
      </c>
      <c r="WEI864" s="22" t="s">
        <v>16</v>
      </c>
      <c r="WEJ864" s="22" t="s">
        <v>16</v>
      </c>
      <c r="WEK864" s="22" t="s">
        <v>16</v>
      </c>
      <c r="WEL864" s="22" t="s">
        <v>16</v>
      </c>
      <c r="WEM864" s="22" t="s">
        <v>16</v>
      </c>
      <c r="WEN864" s="22" t="s">
        <v>16</v>
      </c>
      <c r="WEO864" s="22" t="s">
        <v>16</v>
      </c>
      <c r="WEP864" s="22" t="s">
        <v>16</v>
      </c>
      <c r="WEQ864" s="22" t="s">
        <v>16</v>
      </c>
      <c r="WER864" s="22" t="s">
        <v>16</v>
      </c>
      <c r="WES864" s="22" t="s">
        <v>16</v>
      </c>
      <c r="WET864" s="22" t="s">
        <v>16</v>
      </c>
      <c r="WEU864" s="22" t="s">
        <v>16</v>
      </c>
      <c r="WEV864" s="22" t="s">
        <v>16</v>
      </c>
      <c r="WEW864" s="22" t="s">
        <v>16</v>
      </c>
      <c r="WEX864" s="22" t="s">
        <v>16</v>
      </c>
      <c r="WEY864" s="22" t="s">
        <v>16</v>
      </c>
      <c r="WEZ864" s="22" t="s">
        <v>16</v>
      </c>
      <c r="WFA864" s="22" t="s">
        <v>16</v>
      </c>
      <c r="WFB864" s="22" t="s">
        <v>16</v>
      </c>
      <c r="WFC864" s="22" t="s">
        <v>16</v>
      </c>
      <c r="WFD864" s="22" t="s">
        <v>16</v>
      </c>
      <c r="WFE864" s="22" t="s">
        <v>16</v>
      </c>
      <c r="WFF864" s="22" t="s">
        <v>16</v>
      </c>
      <c r="WFG864" s="22" t="s">
        <v>16</v>
      </c>
      <c r="WFH864" s="22" t="s">
        <v>16</v>
      </c>
      <c r="WFI864" s="22" t="s">
        <v>16</v>
      </c>
      <c r="WFJ864" s="22" t="s">
        <v>16</v>
      </c>
      <c r="WFK864" s="22" t="s">
        <v>16</v>
      </c>
      <c r="WFL864" s="22" t="s">
        <v>16</v>
      </c>
      <c r="WFM864" s="22" t="s">
        <v>16</v>
      </c>
      <c r="WFN864" s="22" t="s">
        <v>16</v>
      </c>
      <c r="WFO864" s="22" t="s">
        <v>16</v>
      </c>
      <c r="WFP864" s="22" t="s">
        <v>16</v>
      </c>
      <c r="WFQ864" s="22" t="s">
        <v>16</v>
      </c>
      <c r="WFR864" s="22" t="s">
        <v>16</v>
      </c>
      <c r="WFS864" s="22" t="s">
        <v>16</v>
      </c>
      <c r="WFT864" s="22" t="s">
        <v>16</v>
      </c>
      <c r="WFU864" s="22" t="s">
        <v>16</v>
      </c>
      <c r="WFV864" s="22" t="s">
        <v>16</v>
      </c>
      <c r="WFW864" s="22" t="s">
        <v>16</v>
      </c>
      <c r="WFX864" s="22" t="s">
        <v>16</v>
      </c>
      <c r="WFY864" s="22" t="s">
        <v>16</v>
      </c>
      <c r="WFZ864" s="22" t="s">
        <v>16</v>
      </c>
      <c r="WGA864" s="22" t="s">
        <v>16</v>
      </c>
      <c r="WGB864" s="22" t="s">
        <v>16</v>
      </c>
      <c r="WGC864" s="22" t="s">
        <v>16</v>
      </c>
      <c r="WGD864" s="22" t="s">
        <v>16</v>
      </c>
      <c r="WGE864" s="22" t="s">
        <v>16</v>
      </c>
      <c r="WGF864" s="22" t="s">
        <v>16</v>
      </c>
      <c r="WGG864" s="22" t="s">
        <v>16</v>
      </c>
      <c r="WGH864" s="22" t="s">
        <v>16</v>
      </c>
      <c r="WGI864" s="22" t="s">
        <v>16</v>
      </c>
      <c r="WGJ864" s="22" t="s">
        <v>16</v>
      </c>
      <c r="WGK864" s="22" t="s">
        <v>16</v>
      </c>
      <c r="WGL864" s="22" t="s">
        <v>16</v>
      </c>
      <c r="WGM864" s="22" t="s">
        <v>16</v>
      </c>
      <c r="WGN864" s="22" t="s">
        <v>16</v>
      </c>
      <c r="WGO864" s="22" t="s">
        <v>16</v>
      </c>
      <c r="WGP864" s="22" t="s">
        <v>16</v>
      </c>
      <c r="WGQ864" s="22" t="s">
        <v>16</v>
      </c>
      <c r="WGR864" s="22" t="s">
        <v>16</v>
      </c>
      <c r="WGS864" s="22" t="s">
        <v>16</v>
      </c>
      <c r="WGT864" s="22" t="s">
        <v>16</v>
      </c>
      <c r="WGU864" s="22" t="s">
        <v>16</v>
      </c>
      <c r="WGV864" s="22" t="s">
        <v>16</v>
      </c>
      <c r="WGW864" s="22" t="s">
        <v>16</v>
      </c>
      <c r="WGX864" s="22" t="s">
        <v>16</v>
      </c>
      <c r="WGY864" s="22" t="s">
        <v>16</v>
      </c>
      <c r="WGZ864" s="22" t="s">
        <v>16</v>
      </c>
      <c r="WHA864" s="22" t="s">
        <v>16</v>
      </c>
      <c r="WHB864" s="22" t="s">
        <v>16</v>
      </c>
      <c r="WHC864" s="22" t="s">
        <v>16</v>
      </c>
      <c r="WHD864" s="22" t="s">
        <v>16</v>
      </c>
      <c r="WHE864" s="22" t="s">
        <v>16</v>
      </c>
      <c r="WHF864" s="22" t="s">
        <v>16</v>
      </c>
      <c r="WHG864" s="22" t="s">
        <v>16</v>
      </c>
      <c r="WHH864" s="22" t="s">
        <v>16</v>
      </c>
      <c r="WHI864" s="22" t="s">
        <v>16</v>
      </c>
      <c r="WHJ864" s="22" t="s">
        <v>16</v>
      </c>
      <c r="WHK864" s="22" t="s">
        <v>16</v>
      </c>
      <c r="WHL864" s="22" t="s">
        <v>16</v>
      </c>
      <c r="WHM864" s="22" t="s">
        <v>16</v>
      </c>
      <c r="WHN864" s="22" t="s">
        <v>16</v>
      </c>
      <c r="WHO864" s="22" t="s">
        <v>16</v>
      </c>
      <c r="WHP864" s="22" t="s">
        <v>16</v>
      </c>
      <c r="WHQ864" s="22" t="s">
        <v>16</v>
      </c>
      <c r="WHR864" s="22" t="s">
        <v>16</v>
      </c>
      <c r="WHS864" s="22" t="s">
        <v>16</v>
      </c>
      <c r="WHT864" s="22" t="s">
        <v>16</v>
      </c>
      <c r="WHU864" s="22" t="s">
        <v>16</v>
      </c>
      <c r="WHV864" s="22" t="s">
        <v>16</v>
      </c>
      <c r="WHW864" s="22" t="s">
        <v>16</v>
      </c>
      <c r="WHX864" s="22" t="s">
        <v>16</v>
      </c>
      <c r="WHY864" s="22" t="s">
        <v>16</v>
      </c>
      <c r="WHZ864" s="22" t="s">
        <v>16</v>
      </c>
      <c r="WIA864" s="22" t="s">
        <v>16</v>
      </c>
      <c r="WIB864" s="22" t="s">
        <v>16</v>
      </c>
      <c r="WIC864" s="22" t="s">
        <v>16</v>
      </c>
      <c r="WID864" s="22" t="s">
        <v>16</v>
      </c>
      <c r="WIE864" s="22" t="s">
        <v>16</v>
      </c>
      <c r="WIF864" s="22" t="s">
        <v>16</v>
      </c>
      <c r="WIG864" s="22" t="s">
        <v>16</v>
      </c>
      <c r="WIH864" s="22" t="s">
        <v>16</v>
      </c>
      <c r="WII864" s="22" t="s">
        <v>16</v>
      </c>
      <c r="WIJ864" s="22" t="s">
        <v>16</v>
      </c>
      <c r="WIK864" s="22" t="s">
        <v>16</v>
      </c>
      <c r="WIL864" s="22" t="s">
        <v>16</v>
      </c>
      <c r="WIM864" s="22" t="s">
        <v>16</v>
      </c>
      <c r="WIN864" s="22" t="s">
        <v>16</v>
      </c>
      <c r="WIO864" s="22" t="s">
        <v>16</v>
      </c>
      <c r="WIP864" s="22" t="s">
        <v>16</v>
      </c>
      <c r="WIQ864" s="22" t="s">
        <v>16</v>
      </c>
      <c r="WIR864" s="22" t="s">
        <v>16</v>
      </c>
      <c r="WIS864" s="22" t="s">
        <v>16</v>
      </c>
      <c r="WIT864" s="22" t="s">
        <v>16</v>
      </c>
      <c r="WIU864" s="22" t="s">
        <v>16</v>
      </c>
      <c r="WIV864" s="22" t="s">
        <v>16</v>
      </c>
      <c r="WIW864" s="22" t="s">
        <v>16</v>
      </c>
      <c r="WIX864" s="22" t="s">
        <v>16</v>
      </c>
      <c r="WIY864" s="22" t="s">
        <v>16</v>
      </c>
      <c r="WIZ864" s="22" t="s">
        <v>16</v>
      </c>
      <c r="WJA864" s="22" t="s">
        <v>16</v>
      </c>
      <c r="WJB864" s="22" t="s">
        <v>16</v>
      </c>
      <c r="WJC864" s="22" t="s">
        <v>16</v>
      </c>
      <c r="WJD864" s="22" t="s">
        <v>16</v>
      </c>
      <c r="WJE864" s="22" t="s">
        <v>16</v>
      </c>
      <c r="WJF864" s="22" t="s">
        <v>16</v>
      </c>
      <c r="WJG864" s="22" t="s">
        <v>16</v>
      </c>
      <c r="WJH864" s="22" t="s">
        <v>16</v>
      </c>
      <c r="WJI864" s="22" t="s">
        <v>16</v>
      </c>
      <c r="WJJ864" s="22" t="s">
        <v>16</v>
      </c>
      <c r="WJK864" s="22" t="s">
        <v>16</v>
      </c>
      <c r="WJL864" s="22" t="s">
        <v>16</v>
      </c>
      <c r="WJM864" s="22" t="s">
        <v>16</v>
      </c>
      <c r="WJN864" s="22" t="s">
        <v>16</v>
      </c>
      <c r="WJO864" s="22" t="s">
        <v>16</v>
      </c>
      <c r="WJP864" s="22" t="s">
        <v>16</v>
      </c>
      <c r="WJQ864" s="22" t="s">
        <v>16</v>
      </c>
      <c r="WJR864" s="22" t="s">
        <v>16</v>
      </c>
      <c r="WJS864" s="22" t="s">
        <v>16</v>
      </c>
      <c r="WJT864" s="22" t="s">
        <v>16</v>
      </c>
      <c r="WJU864" s="22" t="s">
        <v>16</v>
      </c>
      <c r="WJV864" s="22" t="s">
        <v>16</v>
      </c>
      <c r="WJW864" s="22" t="s">
        <v>16</v>
      </c>
      <c r="WJX864" s="22" t="s">
        <v>16</v>
      </c>
      <c r="WJY864" s="22" t="s">
        <v>16</v>
      </c>
      <c r="WJZ864" s="22" t="s">
        <v>16</v>
      </c>
      <c r="WKA864" s="22" t="s">
        <v>16</v>
      </c>
      <c r="WKB864" s="22" t="s">
        <v>16</v>
      </c>
      <c r="WKC864" s="22" t="s">
        <v>16</v>
      </c>
      <c r="WKD864" s="22" t="s">
        <v>16</v>
      </c>
      <c r="WKE864" s="22" t="s">
        <v>16</v>
      </c>
      <c r="WKF864" s="22" t="s">
        <v>16</v>
      </c>
      <c r="WKG864" s="22" t="s">
        <v>16</v>
      </c>
      <c r="WKH864" s="22" t="s">
        <v>16</v>
      </c>
      <c r="WKI864" s="22" t="s">
        <v>16</v>
      </c>
      <c r="WKJ864" s="22" t="s">
        <v>16</v>
      </c>
      <c r="WKK864" s="22" t="s">
        <v>16</v>
      </c>
      <c r="WKL864" s="22" t="s">
        <v>16</v>
      </c>
      <c r="WKM864" s="22" t="s">
        <v>16</v>
      </c>
      <c r="WKN864" s="22" t="s">
        <v>16</v>
      </c>
      <c r="WKO864" s="22" t="s">
        <v>16</v>
      </c>
      <c r="WKP864" s="22" t="s">
        <v>16</v>
      </c>
      <c r="WKQ864" s="22" t="s">
        <v>16</v>
      </c>
      <c r="WKR864" s="22" t="s">
        <v>16</v>
      </c>
      <c r="WKS864" s="22" t="s">
        <v>16</v>
      </c>
      <c r="WKT864" s="22" t="s">
        <v>16</v>
      </c>
      <c r="WKU864" s="22" t="s">
        <v>16</v>
      </c>
      <c r="WKV864" s="22" t="s">
        <v>16</v>
      </c>
      <c r="WKW864" s="22" t="s">
        <v>16</v>
      </c>
      <c r="WKX864" s="22" t="s">
        <v>16</v>
      </c>
      <c r="WKY864" s="22" t="s">
        <v>16</v>
      </c>
      <c r="WKZ864" s="22" t="s">
        <v>16</v>
      </c>
      <c r="WLA864" s="22" t="s">
        <v>16</v>
      </c>
      <c r="WLB864" s="22" t="s">
        <v>16</v>
      </c>
      <c r="WLC864" s="22" t="s">
        <v>16</v>
      </c>
      <c r="WLD864" s="22" t="s">
        <v>16</v>
      </c>
      <c r="WLE864" s="22" t="s">
        <v>16</v>
      </c>
      <c r="WLF864" s="22" t="s">
        <v>16</v>
      </c>
      <c r="WLG864" s="22" t="s">
        <v>16</v>
      </c>
      <c r="WLH864" s="22" t="s">
        <v>16</v>
      </c>
      <c r="WLI864" s="22" t="s">
        <v>16</v>
      </c>
      <c r="WLJ864" s="22" t="s">
        <v>16</v>
      </c>
      <c r="WLK864" s="22" t="s">
        <v>16</v>
      </c>
      <c r="WLL864" s="22" t="s">
        <v>16</v>
      </c>
      <c r="WLM864" s="22" t="s">
        <v>16</v>
      </c>
      <c r="WLN864" s="22" t="s">
        <v>16</v>
      </c>
      <c r="WLO864" s="22" t="s">
        <v>16</v>
      </c>
      <c r="WLP864" s="22" t="s">
        <v>16</v>
      </c>
      <c r="WLQ864" s="22" t="s">
        <v>16</v>
      </c>
      <c r="WLR864" s="22" t="s">
        <v>16</v>
      </c>
      <c r="WLS864" s="22" t="s">
        <v>16</v>
      </c>
      <c r="WLT864" s="22" t="s">
        <v>16</v>
      </c>
      <c r="WLU864" s="22" t="s">
        <v>16</v>
      </c>
      <c r="WLV864" s="22" t="s">
        <v>16</v>
      </c>
      <c r="WLW864" s="22" t="s">
        <v>16</v>
      </c>
      <c r="WLX864" s="22" t="s">
        <v>16</v>
      </c>
      <c r="WLY864" s="22" t="s">
        <v>16</v>
      </c>
      <c r="WLZ864" s="22" t="s">
        <v>16</v>
      </c>
      <c r="WMA864" s="22" t="s">
        <v>16</v>
      </c>
      <c r="WMB864" s="22" t="s">
        <v>16</v>
      </c>
      <c r="WMC864" s="22" t="s">
        <v>16</v>
      </c>
      <c r="WMD864" s="22" t="s">
        <v>16</v>
      </c>
      <c r="WME864" s="22" t="s">
        <v>16</v>
      </c>
      <c r="WMF864" s="22" t="s">
        <v>16</v>
      </c>
      <c r="WMG864" s="22" t="s">
        <v>16</v>
      </c>
      <c r="WMH864" s="22" t="s">
        <v>16</v>
      </c>
      <c r="WMI864" s="22" t="s">
        <v>16</v>
      </c>
      <c r="WMJ864" s="22" t="s">
        <v>16</v>
      </c>
      <c r="WMK864" s="22" t="s">
        <v>16</v>
      </c>
      <c r="WML864" s="22" t="s">
        <v>16</v>
      </c>
      <c r="WMM864" s="22" t="s">
        <v>16</v>
      </c>
      <c r="WMN864" s="22" t="s">
        <v>16</v>
      </c>
      <c r="WMO864" s="22" t="s">
        <v>16</v>
      </c>
      <c r="WMP864" s="22" t="s">
        <v>16</v>
      </c>
      <c r="WMQ864" s="22" t="s">
        <v>16</v>
      </c>
      <c r="WMR864" s="22" t="s">
        <v>16</v>
      </c>
      <c r="WMS864" s="22" t="s">
        <v>16</v>
      </c>
      <c r="WMT864" s="22" t="s">
        <v>16</v>
      </c>
      <c r="WMU864" s="22" t="s">
        <v>16</v>
      </c>
      <c r="WMV864" s="22" t="s">
        <v>16</v>
      </c>
      <c r="WMW864" s="22" t="s">
        <v>16</v>
      </c>
      <c r="WMX864" s="22" t="s">
        <v>16</v>
      </c>
      <c r="WMY864" s="22" t="s">
        <v>16</v>
      </c>
      <c r="WMZ864" s="22" t="s">
        <v>16</v>
      </c>
      <c r="WNA864" s="22" t="s">
        <v>16</v>
      </c>
      <c r="WNB864" s="22" t="s">
        <v>16</v>
      </c>
      <c r="WNC864" s="22" t="s">
        <v>16</v>
      </c>
      <c r="WND864" s="22" t="s">
        <v>16</v>
      </c>
      <c r="WNE864" s="22" t="s">
        <v>16</v>
      </c>
      <c r="WNF864" s="22" t="s">
        <v>16</v>
      </c>
      <c r="WNG864" s="22" t="s">
        <v>16</v>
      </c>
      <c r="WNH864" s="22" t="s">
        <v>16</v>
      </c>
      <c r="WNI864" s="22" t="s">
        <v>16</v>
      </c>
      <c r="WNJ864" s="22" t="s">
        <v>16</v>
      </c>
      <c r="WNK864" s="22" t="s">
        <v>16</v>
      </c>
      <c r="WNL864" s="22" t="s">
        <v>16</v>
      </c>
      <c r="WNM864" s="22" t="s">
        <v>16</v>
      </c>
      <c r="WNN864" s="22" t="s">
        <v>16</v>
      </c>
      <c r="WNO864" s="22" t="s">
        <v>16</v>
      </c>
      <c r="WNP864" s="22" t="s">
        <v>16</v>
      </c>
      <c r="WNQ864" s="22" t="s">
        <v>16</v>
      </c>
      <c r="WNR864" s="22" t="s">
        <v>16</v>
      </c>
      <c r="WNS864" s="22" t="s">
        <v>16</v>
      </c>
      <c r="WNT864" s="22" t="s">
        <v>16</v>
      </c>
      <c r="WNU864" s="22" t="s">
        <v>16</v>
      </c>
      <c r="WNV864" s="22" t="s">
        <v>16</v>
      </c>
      <c r="WNW864" s="22" t="s">
        <v>16</v>
      </c>
      <c r="WNX864" s="22" t="s">
        <v>16</v>
      </c>
      <c r="WNY864" s="22" t="s">
        <v>16</v>
      </c>
      <c r="WNZ864" s="22" t="s">
        <v>16</v>
      </c>
      <c r="WOA864" s="22" t="s">
        <v>16</v>
      </c>
      <c r="WOB864" s="22" t="s">
        <v>16</v>
      </c>
      <c r="WOC864" s="22" t="s">
        <v>16</v>
      </c>
      <c r="WOD864" s="22" t="s">
        <v>16</v>
      </c>
      <c r="WOE864" s="22" t="s">
        <v>16</v>
      </c>
      <c r="WOF864" s="22" t="s">
        <v>16</v>
      </c>
      <c r="WOG864" s="22" t="s">
        <v>16</v>
      </c>
      <c r="WOH864" s="22" t="s">
        <v>16</v>
      </c>
      <c r="WOI864" s="22" t="s">
        <v>16</v>
      </c>
      <c r="WOJ864" s="22" t="s">
        <v>16</v>
      </c>
      <c r="WOK864" s="22" t="s">
        <v>16</v>
      </c>
      <c r="WOL864" s="22" t="s">
        <v>16</v>
      </c>
      <c r="WOM864" s="22" t="s">
        <v>16</v>
      </c>
      <c r="WON864" s="22" t="s">
        <v>16</v>
      </c>
      <c r="WOO864" s="22" t="s">
        <v>16</v>
      </c>
      <c r="WOP864" s="22" t="s">
        <v>16</v>
      </c>
      <c r="WOQ864" s="22" t="s">
        <v>16</v>
      </c>
      <c r="WOR864" s="22" t="s">
        <v>16</v>
      </c>
      <c r="WOS864" s="22" t="s">
        <v>16</v>
      </c>
      <c r="WOT864" s="22" t="s">
        <v>16</v>
      </c>
      <c r="WOU864" s="22" t="s">
        <v>16</v>
      </c>
      <c r="WOV864" s="22" t="s">
        <v>16</v>
      </c>
      <c r="WOW864" s="22" t="s">
        <v>16</v>
      </c>
      <c r="WOX864" s="22" t="s">
        <v>16</v>
      </c>
      <c r="WOY864" s="22" t="s">
        <v>16</v>
      </c>
      <c r="WOZ864" s="22" t="s">
        <v>16</v>
      </c>
      <c r="WPA864" s="22" t="s">
        <v>16</v>
      </c>
      <c r="WPB864" s="22" t="s">
        <v>16</v>
      </c>
      <c r="WPC864" s="22" t="s">
        <v>16</v>
      </c>
      <c r="WPD864" s="22" t="s">
        <v>16</v>
      </c>
      <c r="WPE864" s="22" t="s">
        <v>16</v>
      </c>
      <c r="WPF864" s="22" t="s">
        <v>16</v>
      </c>
      <c r="WPG864" s="22" t="s">
        <v>16</v>
      </c>
      <c r="WPH864" s="22" t="s">
        <v>16</v>
      </c>
      <c r="WPI864" s="22" t="s">
        <v>16</v>
      </c>
      <c r="WPJ864" s="22" t="s">
        <v>16</v>
      </c>
      <c r="WPK864" s="22" t="s">
        <v>16</v>
      </c>
      <c r="WPL864" s="22" t="s">
        <v>16</v>
      </c>
      <c r="WPM864" s="22" t="s">
        <v>16</v>
      </c>
      <c r="WPN864" s="22" t="s">
        <v>16</v>
      </c>
      <c r="WPO864" s="22" t="s">
        <v>16</v>
      </c>
      <c r="WPP864" s="22" t="s">
        <v>16</v>
      </c>
      <c r="WPQ864" s="22" t="s">
        <v>16</v>
      </c>
      <c r="WPR864" s="22" t="s">
        <v>16</v>
      </c>
      <c r="WPS864" s="22" t="s">
        <v>16</v>
      </c>
      <c r="WPT864" s="22" t="s">
        <v>16</v>
      </c>
      <c r="WPU864" s="22" t="s">
        <v>16</v>
      </c>
      <c r="WPV864" s="22" t="s">
        <v>16</v>
      </c>
      <c r="WPW864" s="22" t="s">
        <v>16</v>
      </c>
      <c r="WPX864" s="22" t="s">
        <v>16</v>
      </c>
      <c r="WPY864" s="22" t="s">
        <v>16</v>
      </c>
      <c r="WPZ864" s="22" t="s">
        <v>16</v>
      </c>
      <c r="WQA864" s="22" t="s">
        <v>16</v>
      </c>
      <c r="WQB864" s="22" t="s">
        <v>16</v>
      </c>
      <c r="WQC864" s="22" t="s">
        <v>16</v>
      </c>
      <c r="WQD864" s="22" t="s">
        <v>16</v>
      </c>
      <c r="WQE864" s="22" t="s">
        <v>16</v>
      </c>
      <c r="WQF864" s="22" t="s">
        <v>16</v>
      </c>
      <c r="WQG864" s="22" t="s">
        <v>16</v>
      </c>
      <c r="WQH864" s="22" t="s">
        <v>16</v>
      </c>
      <c r="WQI864" s="22" t="s">
        <v>16</v>
      </c>
      <c r="WQJ864" s="22" t="s">
        <v>16</v>
      </c>
      <c r="WQK864" s="22" t="s">
        <v>16</v>
      </c>
      <c r="WQL864" s="22" t="s">
        <v>16</v>
      </c>
      <c r="WQM864" s="22" t="s">
        <v>16</v>
      </c>
      <c r="WQN864" s="22" t="s">
        <v>16</v>
      </c>
      <c r="WQO864" s="22" t="s">
        <v>16</v>
      </c>
      <c r="WQP864" s="22" t="s">
        <v>16</v>
      </c>
      <c r="WQQ864" s="22" t="s">
        <v>16</v>
      </c>
      <c r="WQR864" s="22" t="s">
        <v>16</v>
      </c>
      <c r="WQS864" s="22" t="s">
        <v>16</v>
      </c>
      <c r="WQT864" s="22" t="s">
        <v>16</v>
      </c>
      <c r="WQU864" s="22" t="s">
        <v>16</v>
      </c>
      <c r="WQV864" s="22" t="s">
        <v>16</v>
      </c>
      <c r="WQW864" s="22" t="s">
        <v>16</v>
      </c>
      <c r="WQX864" s="22" t="s">
        <v>16</v>
      </c>
      <c r="WQY864" s="22" t="s">
        <v>16</v>
      </c>
      <c r="WQZ864" s="22" t="s">
        <v>16</v>
      </c>
      <c r="WRA864" s="22" t="s">
        <v>16</v>
      </c>
      <c r="WRB864" s="22" t="s">
        <v>16</v>
      </c>
      <c r="WRC864" s="22" t="s">
        <v>16</v>
      </c>
      <c r="WRD864" s="22" t="s">
        <v>16</v>
      </c>
      <c r="WRE864" s="22" t="s">
        <v>16</v>
      </c>
      <c r="WRF864" s="22" t="s">
        <v>16</v>
      </c>
      <c r="WRG864" s="22" t="s">
        <v>16</v>
      </c>
      <c r="WRH864" s="22" t="s">
        <v>16</v>
      </c>
      <c r="WRI864" s="22" t="s">
        <v>16</v>
      </c>
      <c r="WRJ864" s="22" t="s">
        <v>16</v>
      </c>
      <c r="WRK864" s="22" t="s">
        <v>16</v>
      </c>
      <c r="WRL864" s="22" t="s">
        <v>16</v>
      </c>
      <c r="WRM864" s="22" t="s">
        <v>16</v>
      </c>
      <c r="WRN864" s="22" t="s">
        <v>16</v>
      </c>
      <c r="WRO864" s="22" t="s">
        <v>16</v>
      </c>
      <c r="WRP864" s="22" t="s">
        <v>16</v>
      </c>
      <c r="WRQ864" s="22" t="s">
        <v>16</v>
      </c>
      <c r="WRR864" s="22" t="s">
        <v>16</v>
      </c>
      <c r="WRS864" s="22" t="s">
        <v>16</v>
      </c>
      <c r="WRT864" s="22" t="s">
        <v>16</v>
      </c>
      <c r="WRU864" s="22" t="s">
        <v>16</v>
      </c>
      <c r="WRV864" s="22" t="s">
        <v>16</v>
      </c>
      <c r="WRW864" s="22" t="s">
        <v>16</v>
      </c>
      <c r="WRX864" s="22" t="s">
        <v>16</v>
      </c>
      <c r="WRY864" s="22" t="s">
        <v>16</v>
      </c>
      <c r="WRZ864" s="22" t="s">
        <v>16</v>
      </c>
      <c r="WSA864" s="22" t="s">
        <v>16</v>
      </c>
      <c r="WSB864" s="22" t="s">
        <v>16</v>
      </c>
      <c r="WSC864" s="22" t="s">
        <v>16</v>
      </c>
      <c r="WSD864" s="22" t="s">
        <v>16</v>
      </c>
      <c r="WSE864" s="22" t="s">
        <v>16</v>
      </c>
      <c r="WSF864" s="22" t="s">
        <v>16</v>
      </c>
      <c r="WSG864" s="22" t="s">
        <v>16</v>
      </c>
      <c r="WSH864" s="22" t="s">
        <v>16</v>
      </c>
      <c r="WSI864" s="22" t="s">
        <v>16</v>
      </c>
      <c r="WSJ864" s="22" t="s">
        <v>16</v>
      </c>
      <c r="WSK864" s="22" t="s">
        <v>16</v>
      </c>
      <c r="WSL864" s="22" t="s">
        <v>16</v>
      </c>
      <c r="WSM864" s="22" t="s">
        <v>16</v>
      </c>
      <c r="WSN864" s="22" t="s">
        <v>16</v>
      </c>
      <c r="WSO864" s="22" t="s">
        <v>16</v>
      </c>
      <c r="WSP864" s="22" t="s">
        <v>16</v>
      </c>
      <c r="WSQ864" s="22" t="s">
        <v>16</v>
      </c>
      <c r="WSR864" s="22" t="s">
        <v>16</v>
      </c>
      <c r="WSS864" s="22" t="s">
        <v>16</v>
      </c>
      <c r="WST864" s="22" t="s">
        <v>16</v>
      </c>
      <c r="WSU864" s="22" t="s">
        <v>16</v>
      </c>
      <c r="WSV864" s="22" t="s">
        <v>16</v>
      </c>
      <c r="WSW864" s="22" t="s">
        <v>16</v>
      </c>
      <c r="WSX864" s="22" t="s">
        <v>16</v>
      </c>
      <c r="WSY864" s="22" t="s">
        <v>16</v>
      </c>
      <c r="WSZ864" s="22" t="s">
        <v>16</v>
      </c>
      <c r="WTA864" s="22" t="s">
        <v>16</v>
      </c>
      <c r="WTB864" s="22" t="s">
        <v>16</v>
      </c>
      <c r="WTC864" s="22" t="s">
        <v>16</v>
      </c>
      <c r="WTD864" s="22" t="s">
        <v>16</v>
      </c>
      <c r="WTE864" s="22" t="s">
        <v>16</v>
      </c>
      <c r="WTF864" s="22" t="s">
        <v>16</v>
      </c>
      <c r="WTG864" s="22" t="s">
        <v>16</v>
      </c>
      <c r="WTH864" s="22" t="s">
        <v>16</v>
      </c>
      <c r="WTI864" s="22" t="s">
        <v>16</v>
      </c>
      <c r="WTJ864" s="22" t="s">
        <v>16</v>
      </c>
      <c r="WTK864" s="22" t="s">
        <v>16</v>
      </c>
      <c r="WTL864" s="22" t="s">
        <v>16</v>
      </c>
      <c r="WTM864" s="22" t="s">
        <v>16</v>
      </c>
      <c r="WTN864" s="22" t="s">
        <v>16</v>
      </c>
      <c r="WTO864" s="22" t="s">
        <v>16</v>
      </c>
      <c r="WTP864" s="22" t="s">
        <v>16</v>
      </c>
      <c r="WTQ864" s="22" t="s">
        <v>16</v>
      </c>
      <c r="WTR864" s="22" t="s">
        <v>16</v>
      </c>
      <c r="WTS864" s="22" t="s">
        <v>16</v>
      </c>
      <c r="WTT864" s="22" t="s">
        <v>16</v>
      </c>
      <c r="WTU864" s="22" t="s">
        <v>16</v>
      </c>
      <c r="WTV864" s="22" t="s">
        <v>16</v>
      </c>
      <c r="WTW864" s="22" t="s">
        <v>16</v>
      </c>
      <c r="WTX864" s="22" t="s">
        <v>16</v>
      </c>
      <c r="WTY864" s="22" t="s">
        <v>16</v>
      </c>
      <c r="WTZ864" s="22" t="s">
        <v>16</v>
      </c>
      <c r="WUA864" s="22" t="s">
        <v>16</v>
      </c>
      <c r="WUB864" s="22" t="s">
        <v>16</v>
      </c>
      <c r="WUC864" s="22" t="s">
        <v>16</v>
      </c>
      <c r="WUD864" s="22" t="s">
        <v>16</v>
      </c>
      <c r="WUE864" s="22" t="s">
        <v>16</v>
      </c>
      <c r="WUF864" s="22" t="s">
        <v>16</v>
      </c>
      <c r="WUG864" s="22" t="s">
        <v>16</v>
      </c>
      <c r="WUH864" s="22" t="s">
        <v>16</v>
      </c>
      <c r="WUI864" s="22" t="s">
        <v>16</v>
      </c>
      <c r="WUJ864" s="22" t="s">
        <v>16</v>
      </c>
      <c r="WUK864" s="22" t="s">
        <v>16</v>
      </c>
      <c r="WUL864" s="22" t="s">
        <v>16</v>
      </c>
      <c r="WUM864" s="22" t="s">
        <v>16</v>
      </c>
      <c r="WUN864" s="22" t="s">
        <v>16</v>
      </c>
      <c r="WUO864" s="22" t="s">
        <v>16</v>
      </c>
      <c r="WUP864" s="22" t="s">
        <v>16</v>
      </c>
      <c r="WUQ864" s="22" t="s">
        <v>16</v>
      </c>
      <c r="WUR864" s="22" t="s">
        <v>16</v>
      </c>
      <c r="WUS864" s="22" t="s">
        <v>16</v>
      </c>
      <c r="WUT864" s="22" t="s">
        <v>16</v>
      </c>
      <c r="WUU864" s="22" t="s">
        <v>16</v>
      </c>
      <c r="WUV864" s="22" t="s">
        <v>16</v>
      </c>
      <c r="WUW864" s="22" t="s">
        <v>16</v>
      </c>
      <c r="WUX864" s="22" t="s">
        <v>16</v>
      </c>
      <c r="WUY864" s="22" t="s">
        <v>16</v>
      </c>
      <c r="WUZ864" s="22" t="s">
        <v>16</v>
      </c>
      <c r="WVA864" s="22" t="s">
        <v>16</v>
      </c>
      <c r="WVB864" s="22" t="s">
        <v>16</v>
      </c>
      <c r="WVC864" s="22" t="s">
        <v>16</v>
      </c>
      <c r="WVD864" s="22" t="s">
        <v>16</v>
      </c>
      <c r="WVE864" s="22" t="s">
        <v>16</v>
      </c>
      <c r="WVF864" s="22" t="s">
        <v>16</v>
      </c>
      <c r="WVG864" s="22" t="s">
        <v>16</v>
      </c>
      <c r="WVH864" s="22" t="s">
        <v>16</v>
      </c>
      <c r="WVI864" s="22" t="s">
        <v>16</v>
      </c>
      <c r="WVJ864" s="22" t="s">
        <v>16</v>
      </c>
      <c r="WVK864" s="22" t="s">
        <v>16</v>
      </c>
      <c r="WVL864" s="22" t="s">
        <v>16</v>
      </c>
      <c r="WVM864" s="22" t="s">
        <v>16</v>
      </c>
      <c r="WVN864" s="22" t="s">
        <v>16</v>
      </c>
      <c r="WVO864" s="22" t="s">
        <v>16</v>
      </c>
      <c r="WVP864" s="22" t="s">
        <v>16</v>
      </c>
      <c r="WVQ864" s="22" t="s">
        <v>16</v>
      </c>
      <c r="WVR864" s="22" t="s">
        <v>16</v>
      </c>
      <c r="WVS864" s="22" t="s">
        <v>16</v>
      </c>
      <c r="WVT864" s="22" t="s">
        <v>16</v>
      </c>
      <c r="WVU864" s="22" t="s">
        <v>16</v>
      </c>
      <c r="WVV864" s="22" t="s">
        <v>16</v>
      </c>
      <c r="WVW864" s="22" t="s">
        <v>16</v>
      </c>
      <c r="WVX864" s="22" t="s">
        <v>16</v>
      </c>
      <c r="WVY864" s="22" t="s">
        <v>16</v>
      </c>
      <c r="WVZ864" s="22" t="s">
        <v>16</v>
      </c>
      <c r="WWA864" s="22" t="s">
        <v>16</v>
      </c>
      <c r="WWB864" s="22" t="s">
        <v>16</v>
      </c>
      <c r="WWC864" s="22" t="s">
        <v>16</v>
      </c>
      <c r="WWD864" s="22" t="s">
        <v>16</v>
      </c>
      <c r="WWE864" s="22" t="s">
        <v>16</v>
      </c>
      <c r="WWF864" s="22" t="s">
        <v>16</v>
      </c>
      <c r="WWG864" s="22" t="s">
        <v>16</v>
      </c>
      <c r="WWH864" s="22" t="s">
        <v>16</v>
      </c>
      <c r="WWI864" s="22" t="s">
        <v>16</v>
      </c>
      <c r="WWJ864" s="22" t="s">
        <v>16</v>
      </c>
      <c r="WWK864" s="22" t="s">
        <v>16</v>
      </c>
      <c r="WWL864" s="22" t="s">
        <v>16</v>
      </c>
      <c r="WWM864" s="22" t="s">
        <v>16</v>
      </c>
      <c r="WWN864" s="22" t="s">
        <v>16</v>
      </c>
      <c r="WWO864" s="22" t="s">
        <v>16</v>
      </c>
      <c r="WWP864" s="22" t="s">
        <v>16</v>
      </c>
      <c r="WWQ864" s="22" t="s">
        <v>16</v>
      </c>
      <c r="WWR864" s="22" t="s">
        <v>16</v>
      </c>
      <c r="WWS864" s="22" t="s">
        <v>16</v>
      </c>
      <c r="WWT864" s="22" t="s">
        <v>16</v>
      </c>
      <c r="WWU864" s="22" t="s">
        <v>16</v>
      </c>
      <c r="WWV864" s="22" t="s">
        <v>16</v>
      </c>
      <c r="WWW864" s="22" t="s">
        <v>16</v>
      </c>
      <c r="WWX864" s="22" t="s">
        <v>16</v>
      </c>
      <c r="WWY864" s="22" t="s">
        <v>16</v>
      </c>
      <c r="WWZ864" s="22" t="s">
        <v>16</v>
      </c>
      <c r="WXA864" s="22" t="s">
        <v>16</v>
      </c>
      <c r="WXB864" s="22" t="s">
        <v>16</v>
      </c>
      <c r="WXC864" s="22" t="s">
        <v>16</v>
      </c>
      <c r="WXD864" s="22" t="s">
        <v>16</v>
      </c>
      <c r="WXE864" s="22" t="s">
        <v>16</v>
      </c>
      <c r="WXF864" s="22" t="s">
        <v>16</v>
      </c>
      <c r="WXG864" s="22" t="s">
        <v>16</v>
      </c>
      <c r="WXH864" s="22" t="s">
        <v>16</v>
      </c>
      <c r="WXI864" s="22" t="s">
        <v>16</v>
      </c>
      <c r="WXJ864" s="22" t="s">
        <v>16</v>
      </c>
      <c r="WXK864" s="22" t="s">
        <v>16</v>
      </c>
      <c r="WXL864" s="22" t="s">
        <v>16</v>
      </c>
      <c r="WXM864" s="22" t="s">
        <v>16</v>
      </c>
      <c r="WXN864" s="22" t="s">
        <v>16</v>
      </c>
      <c r="WXO864" s="22" t="s">
        <v>16</v>
      </c>
      <c r="WXP864" s="22" t="s">
        <v>16</v>
      </c>
      <c r="WXQ864" s="22" t="s">
        <v>16</v>
      </c>
      <c r="WXR864" s="22" t="s">
        <v>16</v>
      </c>
      <c r="WXS864" s="22" t="s">
        <v>16</v>
      </c>
      <c r="WXT864" s="22" t="s">
        <v>16</v>
      </c>
      <c r="WXU864" s="22" t="s">
        <v>16</v>
      </c>
      <c r="WXV864" s="22" t="s">
        <v>16</v>
      </c>
      <c r="WXW864" s="22" t="s">
        <v>16</v>
      </c>
      <c r="WXX864" s="22" t="s">
        <v>16</v>
      </c>
      <c r="WXY864" s="22" t="s">
        <v>16</v>
      </c>
      <c r="WXZ864" s="22" t="s">
        <v>16</v>
      </c>
      <c r="WYA864" s="22" t="s">
        <v>16</v>
      </c>
      <c r="WYB864" s="22" t="s">
        <v>16</v>
      </c>
      <c r="WYC864" s="22" t="s">
        <v>16</v>
      </c>
      <c r="WYD864" s="22" t="s">
        <v>16</v>
      </c>
      <c r="WYE864" s="22" t="s">
        <v>16</v>
      </c>
      <c r="WYF864" s="22" t="s">
        <v>16</v>
      </c>
      <c r="WYG864" s="22" t="s">
        <v>16</v>
      </c>
      <c r="WYH864" s="22" t="s">
        <v>16</v>
      </c>
      <c r="WYI864" s="22" t="s">
        <v>16</v>
      </c>
      <c r="WYJ864" s="22" t="s">
        <v>16</v>
      </c>
      <c r="WYK864" s="22" t="s">
        <v>16</v>
      </c>
      <c r="WYL864" s="22" t="s">
        <v>16</v>
      </c>
      <c r="WYM864" s="22" t="s">
        <v>16</v>
      </c>
      <c r="WYN864" s="22" t="s">
        <v>16</v>
      </c>
      <c r="WYO864" s="22" t="s">
        <v>16</v>
      </c>
      <c r="WYP864" s="22" t="s">
        <v>16</v>
      </c>
      <c r="WYQ864" s="22" t="s">
        <v>16</v>
      </c>
      <c r="WYR864" s="22" t="s">
        <v>16</v>
      </c>
      <c r="WYS864" s="22" t="s">
        <v>16</v>
      </c>
      <c r="WYT864" s="22" t="s">
        <v>16</v>
      </c>
      <c r="WYU864" s="22" t="s">
        <v>16</v>
      </c>
      <c r="WYV864" s="22" t="s">
        <v>16</v>
      </c>
      <c r="WYW864" s="22" t="s">
        <v>16</v>
      </c>
      <c r="WYX864" s="22" t="s">
        <v>16</v>
      </c>
      <c r="WYY864" s="22" t="s">
        <v>16</v>
      </c>
      <c r="WYZ864" s="22" t="s">
        <v>16</v>
      </c>
      <c r="WZA864" s="22" t="s">
        <v>16</v>
      </c>
      <c r="WZB864" s="22" t="s">
        <v>16</v>
      </c>
      <c r="WZC864" s="22" t="s">
        <v>16</v>
      </c>
      <c r="WZD864" s="22" t="s">
        <v>16</v>
      </c>
      <c r="WZE864" s="22" t="s">
        <v>16</v>
      </c>
      <c r="WZF864" s="22" t="s">
        <v>16</v>
      </c>
      <c r="WZG864" s="22" t="s">
        <v>16</v>
      </c>
      <c r="WZH864" s="22" t="s">
        <v>16</v>
      </c>
      <c r="WZI864" s="22" t="s">
        <v>16</v>
      </c>
      <c r="WZJ864" s="22" t="s">
        <v>16</v>
      </c>
      <c r="WZK864" s="22" t="s">
        <v>16</v>
      </c>
      <c r="WZL864" s="22" t="s">
        <v>16</v>
      </c>
      <c r="WZM864" s="22" t="s">
        <v>16</v>
      </c>
      <c r="WZN864" s="22" t="s">
        <v>16</v>
      </c>
      <c r="WZO864" s="22" t="s">
        <v>16</v>
      </c>
      <c r="WZP864" s="22" t="s">
        <v>16</v>
      </c>
      <c r="WZQ864" s="22" t="s">
        <v>16</v>
      </c>
      <c r="WZR864" s="22" t="s">
        <v>16</v>
      </c>
      <c r="WZS864" s="22" t="s">
        <v>16</v>
      </c>
      <c r="WZT864" s="22" t="s">
        <v>16</v>
      </c>
      <c r="WZU864" s="22" t="s">
        <v>16</v>
      </c>
      <c r="WZV864" s="22" t="s">
        <v>16</v>
      </c>
      <c r="WZW864" s="22" t="s">
        <v>16</v>
      </c>
      <c r="WZX864" s="22" t="s">
        <v>16</v>
      </c>
      <c r="WZY864" s="22" t="s">
        <v>16</v>
      </c>
      <c r="WZZ864" s="22" t="s">
        <v>16</v>
      </c>
      <c r="XAA864" s="22" t="s">
        <v>16</v>
      </c>
      <c r="XAB864" s="22" t="s">
        <v>16</v>
      </c>
      <c r="XAC864" s="22" t="s">
        <v>16</v>
      </c>
      <c r="XAD864" s="22" t="s">
        <v>16</v>
      </c>
      <c r="XAE864" s="22" t="s">
        <v>16</v>
      </c>
      <c r="XAF864" s="22" t="s">
        <v>16</v>
      </c>
      <c r="XAG864" s="22" t="s">
        <v>16</v>
      </c>
      <c r="XAH864" s="22" t="s">
        <v>16</v>
      </c>
      <c r="XAI864" s="22" t="s">
        <v>16</v>
      </c>
      <c r="XAJ864" s="22" t="s">
        <v>16</v>
      </c>
      <c r="XAK864" s="22" t="s">
        <v>16</v>
      </c>
      <c r="XAL864" s="22" t="s">
        <v>16</v>
      </c>
      <c r="XAM864" s="22" t="s">
        <v>16</v>
      </c>
      <c r="XAN864" s="22" t="s">
        <v>16</v>
      </c>
      <c r="XAO864" s="22" t="s">
        <v>16</v>
      </c>
      <c r="XAP864" s="22" t="s">
        <v>16</v>
      </c>
      <c r="XAQ864" s="22" t="s">
        <v>16</v>
      </c>
      <c r="XAR864" s="22" t="s">
        <v>16</v>
      </c>
      <c r="XAS864" s="22" t="s">
        <v>16</v>
      </c>
      <c r="XAT864" s="22" t="s">
        <v>16</v>
      </c>
      <c r="XAU864" s="22" t="s">
        <v>16</v>
      </c>
      <c r="XAV864" s="22" t="s">
        <v>16</v>
      </c>
      <c r="XAW864" s="22" t="s">
        <v>16</v>
      </c>
      <c r="XAX864" s="22" t="s">
        <v>16</v>
      </c>
      <c r="XAY864" s="22" t="s">
        <v>16</v>
      </c>
      <c r="XAZ864" s="22" t="s">
        <v>16</v>
      </c>
      <c r="XBA864" s="22" t="s">
        <v>16</v>
      </c>
      <c r="XBB864" s="22" t="s">
        <v>16</v>
      </c>
      <c r="XBC864" s="22" t="s">
        <v>16</v>
      </c>
      <c r="XBD864" s="22" t="s">
        <v>16</v>
      </c>
      <c r="XBE864" s="22" t="s">
        <v>16</v>
      </c>
      <c r="XBF864" s="22" t="s">
        <v>16</v>
      </c>
      <c r="XBG864" s="22" t="s">
        <v>16</v>
      </c>
      <c r="XBH864" s="22" t="s">
        <v>16</v>
      </c>
      <c r="XBI864" s="22" t="s">
        <v>16</v>
      </c>
      <c r="XBJ864" s="22" t="s">
        <v>16</v>
      </c>
      <c r="XBK864" s="22" t="s">
        <v>16</v>
      </c>
      <c r="XBL864" s="22" t="s">
        <v>16</v>
      </c>
      <c r="XBM864" s="22" t="s">
        <v>16</v>
      </c>
      <c r="XBN864" s="22" t="s">
        <v>16</v>
      </c>
      <c r="XBO864" s="22" t="s">
        <v>16</v>
      </c>
      <c r="XBP864" s="22" t="s">
        <v>16</v>
      </c>
      <c r="XBQ864" s="22" t="s">
        <v>16</v>
      </c>
      <c r="XBR864" s="22" t="s">
        <v>16</v>
      </c>
      <c r="XBS864" s="22" t="s">
        <v>16</v>
      </c>
      <c r="XBT864" s="22" t="s">
        <v>16</v>
      </c>
      <c r="XBU864" s="22" t="s">
        <v>16</v>
      </c>
      <c r="XBV864" s="22" t="s">
        <v>16</v>
      </c>
      <c r="XBW864" s="22" t="s">
        <v>16</v>
      </c>
      <c r="XBX864" s="22" t="s">
        <v>16</v>
      </c>
      <c r="XBY864" s="22" t="s">
        <v>16</v>
      </c>
      <c r="XBZ864" s="22" t="s">
        <v>16</v>
      </c>
      <c r="XCA864" s="22" t="s">
        <v>16</v>
      </c>
      <c r="XCB864" s="22" t="s">
        <v>16</v>
      </c>
      <c r="XCC864" s="22" t="s">
        <v>16</v>
      </c>
      <c r="XCD864" s="22" t="s">
        <v>16</v>
      </c>
      <c r="XCE864" s="22" t="s">
        <v>16</v>
      </c>
      <c r="XCF864" s="22" t="s">
        <v>16</v>
      </c>
      <c r="XCG864" s="22" t="s">
        <v>16</v>
      </c>
      <c r="XCH864" s="22" t="s">
        <v>16</v>
      </c>
      <c r="XCI864" s="22" t="s">
        <v>16</v>
      </c>
      <c r="XCJ864" s="22" t="s">
        <v>16</v>
      </c>
      <c r="XCK864" s="22" t="s">
        <v>16</v>
      </c>
      <c r="XCL864" s="22" t="s">
        <v>16</v>
      </c>
      <c r="XCM864" s="22" t="s">
        <v>16</v>
      </c>
      <c r="XCN864" s="22" t="s">
        <v>16</v>
      </c>
      <c r="XCO864" s="22" t="s">
        <v>16</v>
      </c>
      <c r="XCP864" s="22" t="s">
        <v>16</v>
      </c>
      <c r="XCQ864" s="22" t="s">
        <v>16</v>
      </c>
      <c r="XCR864" s="22" t="s">
        <v>16</v>
      </c>
      <c r="XCS864" s="22" t="s">
        <v>16</v>
      </c>
      <c r="XCT864" s="22" t="s">
        <v>16</v>
      </c>
      <c r="XCU864" s="22" t="s">
        <v>16</v>
      </c>
      <c r="XCV864" s="22" t="s">
        <v>16</v>
      </c>
      <c r="XCW864" s="22" t="s">
        <v>16</v>
      </c>
      <c r="XCX864" s="22" t="s">
        <v>16</v>
      </c>
      <c r="XCY864" s="22" t="s">
        <v>16</v>
      </c>
      <c r="XCZ864" s="22" t="s">
        <v>16</v>
      </c>
      <c r="XDA864" s="22" t="s">
        <v>16</v>
      </c>
      <c r="XDB864" s="22" t="s">
        <v>16</v>
      </c>
      <c r="XDC864" s="22" t="s">
        <v>16</v>
      </c>
      <c r="XDD864" s="22" t="s">
        <v>16</v>
      </c>
      <c r="XDE864" s="22" t="s">
        <v>16</v>
      </c>
      <c r="XDF864" s="22" t="s">
        <v>16</v>
      </c>
      <c r="XDG864" s="22" t="s">
        <v>16</v>
      </c>
      <c r="XDH864" s="22" t="s">
        <v>16</v>
      </c>
      <c r="XDI864" s="22" t="s">
        <v>16</v>
      </c>
      <c r="XDJ864" s="22" t="s">
        <v>16</v>
      </c>
      <c r="XDK864" s="22" t="s">
        <v>16</v>
      </c>
      <c r="XDL864" s="22" t="s">
        <v>16</v>
      </c>
      <c r="XDM864" s="22" t="s">
        <v>16</v>
      </c>
      <c r="XDN864" s="22" t="s">
        <v>16</v>
      </c>
      <c r="XDO864" s="22" t="s">
        <v>16</v>
      </c>
      <c r="XDP864" s="22" t="s">
        <v>16</v>
      </c>
      <c r="XDQ864" s="22" t="s">
        <v>16</v>
      </c>
      <c r="XDR864" s="22" t="s">
        <v>16</v>
      </c>
      <c r="XDS864" s="22" t="s">
        <v>16</v>
      </c>
      <c r="XDT864" s="22" t="s">
        <v>16</v>
      </c>
      <c r="XDU864" s="22" t="s">
        <v>16</v>
      </c>
      <c r="XDV864" s="22" t="s">
        <v>16</v>
      </c>
      <c r="XDW864" s="22" t="s">
        <v>16</v>
      </c>
      <c r="XDX864" s="22" t="s">
        <v>16</v>
      </c>
      <c r="XDY864" s="22" t="s">
        <v>16</v>
      </c>
      <c r="XDZ864" s="22" t="s">
        <v>16</v>
      </c>
      <c r="XEA864" s="22" t="s">
        <v>16</v>
      </c>
      <c r="XEB864" s="22" t="s">
        <v>16</v>
      </c>
      <c r="XEC864" s="22" t="s">
        <v>16</v>
      </c>
      <c r="XED864" s="22" t="s">
        <v>16</v>
      </c>
      <c r="XEE864" s="22" t="s">
        <v>16</v>
      </c>
      <c r="XEF864" s="22" t="s">
        <v>16</v>
      </c>
      <c r="XEG864" s="22" t="s">
        <v>16</v>
      </c>
      <c r="XEH864" s="22" t="s">
        <v>16</v>
      </c>
      <c r="XEI864" s="22" t="s">
        <v>16</v>
      </c>
      <c r="XEJ864" s="22" t="s">
        <v>16</v>
      </c>
      <c r="XEK864" s="22" t="s">
        <v>16</v>
      </c>
      <c r="XEL864" s="22" t="s">
        <v>16</v>
      </c>
      <c r="XEM864" s="22" t="s">
        <v>16</v>
      </c>
      <c r="XEN864" s="22" t="s">
        <v>16</v>
      </c>
      <c r="XEO864" s="22" t="s">
        <v>16</v>
      </c>
      <c r="XEP864" s="22" t="s">
        <v>16</v>
      </c>
      <c r="XEQ864" s="22" t="s">
        <v>16</v>
      </c>
      <c r="XER864" s="22" t="s">
        <v>16</v>
      </c>
      <c r="XES864" s="22" t="s">
        <v>16</v>
      </c>
      <c r="XET864" s="22" t="s">
        <v>16</v>
      </c>
      <c r="XEU864" s="22" t="s">
        <v>16</v>
      </c>
      <c r="XEV864" s="22" t="s">
        <v>16</v>
      </c>
      <c r="XEW864" s="22" t="s">
        <v>16</v>
      </c>
      <c r="XEX864" s="22" t="s">
        <v>16</v>
      </c>
      <c r="XEY864" s="22" t="s">
        <v>16</v>
      </c>
      <c r="XEZ864" s="22" t="s">
        <v>16</v>
      </c>
      <c r="XFA864" s="22" t="s">
        <v>16</v>
      </c>
      <c r="XFB864" s="22" t="s">
        <v>16</v>
      </c>
      <c r="XFC864" s="22" t="s">
        <v>16</v>
      </c>
      <c r="XFD864" s="22" t="s">
        <v>16</v>
      </c>
    </row>
    <row r="865" spans="1:176" hidden="1" x14ac:dyDescent="0.25">
      <c r="A865" s="38" t="s">
        <v>1268</v>
      </c>
      <c r="B865" s="208" t="s">
        <v>45</v>
      </c>
      <c r="C865" s="124">
        <f ca="1">_xlfn.IFNA(VLOOKUP(A865,Worksheet!$B$1:$G$600,3,FALSE),C865)</f>
        <v>0</v>
      </c>
      <c r="D865" s="124">
        <f ca="1">_xlfn.IFNA(VLOOKUP(A865,Worksheet!$B$1:$G$600,4,FALSE),D865)</f>
        <v>0</v>
      </c>
      <c r="E865" s="125">
        <f ca="1">_xlfn.IFNA(VLOOKUP(A865,Worksheet!$B$1:$G$600,5,FALSE),E865)</f>
        <v>0</v>
      </c>
      <c r="F865" t="s">
        <v>105</v>
      </c>
      <c r="G865" s="43"/>
      <c r="H865" s="43"/>
      <c r="I865" s="43"/>
      <c r="J865" s="43"/>
      <c r="K865" s="43"/>
      <c r="L865" s="43"/>
      <c r="M865" s="43"/>
      <c r="N865" s="43"/>
      <c r="O865" s="43"/>
      <c r="P865" s="43"/>
      <c r="Q865" s="43"/>
      <c r="R865" s="43"/>
      <c r="S865" s="43"/>
      <c r="T865" s="43"/>
      <c r="U865" s="43"/>
      <c r="V865" s="43"/>
      <c r="W865" s="43"/>
      <c r="X865" s="43"/>
      <c r="Y865" s="43"/>
      <c r="Z865" s="43"/>
      <c r="AA865" s="43"/>
      <c r="AB865" s="43"/>
      <c r="AC865" s="43"/>
      <c r="AD865" s="43"/>
      <c r="AE865" s="43"/>
      <c r="AF865" s="43"/>
      <c r="AG865" s="43"/>
      <c r="AH865" s="43"/>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c r="CY865" s="4"/>
      <c r="CZ865" s="4"/>
      <c r="DA865" s="4"/>
      <c r="DB865" s="4"/>
      <c r="DC865" s="4"/>
      <c r="DD865" s="4"/>
      <c r="DE865" s="4"/>
      <c r="DF865" s="4"/>
      <c r="DG865" s="4"/>
      <c r="DH865" s="4"/>
      <c r="DI865" s="4"/>
      <c r="DJ865" s="4"/>
      <c r="DK865" s="4"/>
      <c r="DL865" s="4"/>
      <c r="DM865" s="4"/>
      <c r="DN865" s="4"/>
      <c r="DO865" s="4"/>
      <c r="DP865" s="4"/>
      <c r="DQ865" s="4"/>
      <c r="DR865" s="4"/>
      <c r="DS865" s="4"/>
      <c r="DT865" s="4"/>
      <c r="DU865" s="4"/>
      <c r="DV865" s="4"/>
      <c r="DW865" s="4"/>
      <c r="DX865" s="4"/>
      <c r="DY865" s="4"/>
      <c r="DZ865" s="4"/>
      <c r="EA865" s="4"/>
      <c r="EB865" s="4"/>
      <c r="EC865" s="4"/>
      <c r="ED865" s="4"/>
      <c r="EE865" s="4"/>
      <c r="EF865" s="4"/>
      <c r="EG865" s="4"/>
      <c r="EH865" s="4"/>
      <c r="EI865" s="4"/>
      <c r="EJ865" s="4"/>
      <c r="EK865" s="4"/>
      <c r="EL865" s="4"/>
      <c r="EM865" s="4"/>
      <c r="EN865" s="4"/>
      <c r="EO865" s="4"/>
      <c r="EP865" s="4"/>
      <c r="EQ865" s="4"/>
      <c r="ER865" s="4"/>
      <c r="ES865" s="4"/>
      <c r="ET865" s="4"/>
      <c r="EU865" s="4"/>
      <c r="EV865" s="4"/>
      <c r="EW865" s="4"/>
      <c r="EX865" s="4"/>
      <c r="EY865" s="4"/>
      <c r="EZ865" s="4"/>
      <c r="FA865" s="4"/>
      <c r="FB865" s="4"/>
      <c r="FC865" s="4"/>
      <c r="FD865" s="4"/>
      <c r="FE865" s="4"/>
      <c r="FF865" s="4"/>
      <c r="FG865" s="4"/>
      <c r="FH865" s="4"/>
      <c r="FI865" s="4"/>
      <c r="FJ865" s="4"/>
      <c r="FK865" s="4"/>
      <c r="FL865" s="4"/>
      <c r="FM865" s="4"/>
      <c r="FN865" s="4"/>
      <c r="FO865" s="4"/>
      <c r="FP865" s="4"/>
      <c r="FQ865" s="4"/>
      <c r="FR865" s="4"/>
      <c r="FS865" s="4"/>
      <c r="FT865" s="4"/>
    </row>
    <row r="866" spans="1:176" hidden="1" x14ac:dyDescent="0.25">
      <c r="A866" s="38" t="s">
        <v>1269</v>
      </c>
      <c r="B866" s="208" t="s">
        <v>46</v>
      </c>
      <c r="C866" s="124">
        <f ca="1">_xlfn.IFNA(VLOOKUP(A866,Worksheet!$B$1:$G$600,3,FALSE),C866)</f>
        <v>0</v>
      </c>
      <c r="D866" s="124">
        <f ca="1">_xlfn.IFNA(VLOOKUP(A866,Worksheet!$B$1:$G$600,4,FALSE),D866)</f>
        <v>0</v>
      </c>
      <c r="E866" s="125">
        <f ca="1">_xlfn.IFNA(VLOOKUP(A866,Worksheet!$B$1:$G$600,5,FALSE),E866)</f>
        <v>0</v>
      </c>
      <c r="F866" t="s">
        <v>105</v>
      </c>
      <c r="G866" s="43"/>
      <c r="H866" s="43"/>
      <c r="I866" s="43"/>
      <c r="J866" s="43"/>
      <c r="K866" s="43"/>
      <c r="L866" s="43"/>
      <c r="M866" s="43"/>
      <c r="N866" s="43"/>
      <c r="O866" s="43"/>
      <c r="P866" s="43"/>
      <c r="Q866" s="43"/>
      <c r="R866" s="43"/>
      <c r="S866" s="43"/>
      <c r="T866" s="43"/>
      <c r="U866" s="43"/>
      <c r="V866" s="43"/>
      <c r="W866" s="43"/>
      <c r="X866" s="43"/>
      <c r="Y866" s="43"/>
      <c r="Z866" s="43"/>
      <c r="AA866" s="43"/>
      <c r="AB866" s="43"/>
      <c r="AC866" s="43"/>
      <c r="AD866" s="43"/>
      <c r="AE866" s="43"/>
      <c r="AF866" s="43"/>
      <c r="AG866" s="43"/>
      <c r="AH866" s="43"/>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c r="CY866" s="4"/>
      <c r="CZ866" s="4"/>
      <c r="DA866" s="4"/>
      <c r="DB866" s="4"/>
      <c r="DC866" s="4"/>
      <c r="DD866" s="4"/>
      <c r="DE866" s="4"/>
      <c r="DF866" s="4"/>
      <c r="DG866" s="4"/>
      <c r="DH866" s="4"/>
      <c r="DI866" s="4"/>
      <c r="DJ866" s="4"/>
      <c r="DK866" s="4"/>
      <c r="DL866" s="4"/>
      <c r="DM866" s="4"/>
      <c r="DN866" s="4"/>
      <c r="DO866" s="4"/>
      <c r="DP866" s="4"/>
      <c r="DQ866" s="4"/>
      <c r="DR866" s="4"/>
      <c r="DS866" s="4"/>
      <c r="DT866" s="4"/>
      <c r="DU866" s="4"/>
      <c r="DV866" s="4"/>
      <c r="DW866" s="4"/>
      <c r="DX866" s="4"/>
      <c r="DY866" s="4"/>
      <c r="DZ866" s="4"/>
      <c r="EA866" s="4"/>
      <c r="EB866" s="4"/>
      <c r="EC866" s="4"/>
      <c r="ED866" s="4"/>
      <c r="EE866" s="4"/>
      <c r="EF866" s="4"/>
      <c r="EG866" s="4"/>
      <c r="EH866" s="4"/>
      <c r="EI866" s="4"/>
      <c r="EJ866" s="4"/>
      <c r="EK866" s="4"/>
      <c r="EL866" s="4"/>
      <c r="EM866" s="4"/>
      <c r="EN866" s="4"/>
      <c r="EO866" s="4"/>
      <c r="EP866" s="4"/>
      <c r="EQ866" s="4"/>
      <c r="ER866" s="4"/>
      <c r="ES866" s="4"/>
      <c r="ET866" s="4"/>
      <c r="EU866" s="4"/>
      <c r="EV866" s="4"/>
      <c r="EW866" s="4"/>
      <c r="EX866" s="4"/>
      <c r="EY866" s="4"/>
      <c r="EZ866" s="4"/>
      <c r="FA866" s="4"/>
      <c r="FB866" s="4"/>
      <c r="FC866" s="4"/>
      <c r="FD866" s="4"/>
      <c r="FE866" s="4"/>
      <c r="FF866" s="4"/>
      <c r="FG866" s="4"/>
      <c r="FH866" s="4"/>
      <c r="FI866" s="4"/>
      <c r="FJ866" s="4"/>
      <c r="FK866" s="4"/>
      <c r="FL866" s="4"/>
      <c r="FM866" s="4"/>
      <c r="FN866" s="4"/>
      <c r="FO866" s="4"/>
      <c r="FP866" s="4"/>
      <c r="FQ866" s="4"/>
      <c r="FR866" s="4"/>
      <c r="FS866" s="4"/>
      <c r="FT866" s="4"/>
    </row>
    <row r="867" spans="1:176" hidden="1" x14ac:dyDescent="0.25">
      <c r="A867" s="38" t="s">
        <v>1270</v>
      </c>
      <c r="B867" s="207" t="s">
        <v>47</v>
      </c>
      <c r="C867" s="124">
        <f ca="1">_xlfn.IFNA(VLOOKUP(A867,Worksheet!$B$1:$G$600,3,FALSE),C867)</f>
        <v>0</v>
      </c>
      <c r="D867" s="124">
        <f ca="1">_xlfn.IFNA(VLOOKUP(A867,Worksheet!$B$1:$G$600,4,FALSE),D867)</f>
        <v>0</v>
      </c>
      <c r="E867" s="125">
        <f ca="1">_xlfn.IFNA(VLOOKUP(A867,Worksheet!$B$1:$G$600,5,FALSE),E867)</f>
        <v>0</v>
      </c>
      <c r="F867" t="s">
        <v>105</v>
      </c>
      <c r="G867" s="43"/>
      <c r="H867" s="43"/>
      <c r="I867" s="43"/>
      <c r="J867" s="43"/>
      <c r="K867" s="43"/>
      <c r="L867" s="43"/>
      <c r="M867" s="43"/>
      <c r="N867" s="43"/>
      <c r="O867" s="43"/>
      <c r="P867" s="43"/>
      <c r="Q867" s="43"/>
      <c r="R867" s="43"/>
      <c r="S867" s="43"/>
      <c r="T867" s="43"/>
      <c r="U867" s="43"/>
      <c r="V867" s="43"/>
      <c r="W867" s="43"/>
      <c r="X867" s="43"/>
      <c r="Y867" s="43"/>
      <c r="Z867" s="43"/>
      <c r="AA867" s="43"/>
      <c r="AB867" s="43"/>
      <c r="AC867" s="43"/>
      <c r="AD867" s="43"/>
      <c r="AE867" s="43"/>
      <c r="AF867" s="43"/>
      <c r="AG867" s="43"/>
      <c r="AH867" s="43"/>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c r="CY867" s="4"/>
      <c r="CZ867" s="4"/>
      <c r="DA867" s="4"/>
      <c r="DB867" s="4"/>
      <c r="DC867" s="4"/>
      <c r="DD867" s="4"/>
      <c r="DE867" s="4"/>
      <c r="DF867" s="4"/>
      <c r="DG867" s="4"/>
      <c r="DH867" s="4"/>
      <c r="DI867" s="4"/>
      <c r="DJ867" s="4"/>
      <c r="DK867" s="4"/>
      <c r="DL867" s="4"/>
      <c r="DM867" s="4"/>
      <c r="DN867" s="4"/>
      <c r="DO867" s="4"/>
      <c r="DP867" s="4"/>
      <c r="DQ867" s="4"/>
      <c r="DR867" s="4"/>
      <c r="DS867" s="4"/>
      <c r="DT867" s="4"/>
      <c r="DU867" s="4"/>
      <c r="DV867" s="4"/>
      <c r="DW867" s="4"/>
      <c r="DX867" s="4"/>
      <c r="DY867" s="4"/>
      <c r="DZ867" s="4"/>
      <c r="EA867" s="4"/>
      <c r="EB867" s="4"/>
      <c r="EC867" s="4"/>
      <c r="ED867" s="4"/>
      <c r="EE867" s="4"/>
      <c r="EF867" s="4"/>
      <c r="EG867" s="4"/>
      <c r="EH867" s="4"/>
      <c r="EI867" s="4"/>
      <c r="EJ867" s="4"/>
      <c r="EK867" s="4"/>
      <c r="EL867" s="4"/>
      <c r="EM867" s="4"/>
      <c r="EN867" s="4"/>
      <c r="EO867" s="4"/>
      <c r="EP867" s="4"/>
      <c r="EQ867" s="4"/>
      <c r="ER867" s="4"/>
      <c r="ES867" s="4"/>
      <c r="ET867" s="4"/>
      <c r="EU867" s="4"/>
      <c r="EV867" s="4"/>
      <c r="EW867" s="4"/>
      <c r="EX867" s="4"/>
      <c r="EY867" s="4"/>
      <c r="EZ867" s="4"/>
      <c r="FA867" s="4"/>
      <c r="FB867" s="4"/>
      <c r="FC867" s="4"/>
      <c r="FD867" s="4"/>
      <c r="FE867" s="4"/>
      <c r="FF867" s="4"/>
      <c r="FG867" s="4"/>
      <c r="FH867" s="4"/>
      <c r="FI867" s="4"/>
      <c r="FJ867" s="4"/>
      <c r="FK867" s="4"/>
      <c r="FL867" s="4"/>
      <c r="FM867" s="4"/>
      <c r="FN867" s="4"/>
      <c r="FO867" s="4"/>
      <c r="FP867" s="4"/>
      <c r="FQ867" s="4"/>
      <c r="FR867" s="4"/>
      <c r="FS867" s="4"/>
      <c r="FT867" s="4"/>
    </row>
    <row r="868" spans="1:176" hidden="1" x14ac:dyDescent="0.25">
      <c r="A868" s="38" t="s">
        <v>1271</v>
      </c>
      <c r="B868" s="207" t="s">
        <v>48</v>
      </c>
      <c r="C868" s="124">
        <f ca="1">_xlfn.IFNA(VLOOKUP(A868,Worksheet!$B$1:$G$600,3,FALSE),C868)</f>
        <v>0</v>
      </c>
      <c r="D868" s="124">
        <f ca="1">_xlfn.IFNA(VLOOKUP(A868,Worksheet!$B$1:$G$600,4,FALSE),D868)</f>
        <v>0</v>
      </c>
      <c r="E868" s="125">
        <f ca="1">_xlfn.IFNA(VLOOKUP(A868,Worksheet!$B$1:$G$600,5,FALSE),E868)</f>
        <v>0</v>
      </c>
      <c r="F868" t="s">
        <v>105</v>
      </c>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row>
    <row r="869" spans="1:176" hidden="1" x14ac:dyDescent="0.25">
      <c r="A869" s="38" t="s">
        <v>1272</v>
      </c>
      <c r="B869" s="207" t="s">
        <v>49</v>
      </c>
      <c r="C869" s="124">
        <f ca="1">_xlfn.IFNA(VLOOKUP(A869,Worksheet!$B$1:$G$600,3,FALSE),C869)</f>
        <v>0</v>
      </c>
      <c r="D869" s="124">
        <f ca="1">_xlfn.IFNA(VLOOKUP(A869,Worksheet!$B$1:$G$600,4,FALSE),D869)</f>
        <v>0</v>
      </c>
      <c r="E869" s="125">
        <f ca="1">_xlfn.IFNA(VLOOKUP(A869,Worksheet!$B$1:$G$600,5,FALSE),E869)</f>
        <v>0</v>
      </c>
      <c r="F869" t="s">
        <v>105</v>
      </c>
    </row>
    <row r="870" spans="1:176" hidden="1" x14ac:dyDescent="0.25">
      <c r="A870" s="38" t="s">
        <v>1273</v>
      </c>
      <c r="B870" s="209" t="s">
        <v>50</v>
      </c>
      <c r="C870" s="126">
        <f ca="1">_xlfn.IFNA(VLOOKUP(A870,Worksheet!$B$1:$G$600,3,FALSE),C870)</f>
        <v>0</v>
      </c>
      <c r="D870" s="126">
        <f ca="1">_xlfn.IFNA(VLOOKUP(A870,Worksheet!$B$1:$G$600,4,FALSE),D870)</f>
        <v>0</v>
      </c>
      <c r="E870" s="127">
        <f ca="1">_xlfn.IFNA(VLOOKUP(A870,Worksheet!$B$1:$G$600,5,FALSE),E870)</f>
        <v>0</v>
      </c>
      <c r="F870" t="s">
        <v>105</v>
      </c>
    </row>
    <row r="871" spans="1:176" hidden="1" x14ac:dyDescent="0.25">
      <c r="A871" s="38" t="s">
        <v>516</v>
      </c>
      <c r="B871" s="199" t="s">
        <v>850</v>
      </c>
      <c r="C871" s="55">
        <f ca="1">SUM(C872,C874)</f>
        <v>0</v>
      </c>
      <c r="D871" s="55">
        <f ca="1">SUM(D872,D874)</f>
        <v>0</v>
      </c>
      <c r="E871" s="56">
        <f ca="1">SUM(E872,E874)</f>
        <v>0</v>
      </c>
      <c r="F871" t="s">
        <v>105</v>
      </c>
    </row>
    <row r="872" spans="1:176" hidden="1" x14ac:dyDescent="0.25">
      <c r="A872" s="38" t="s">
        <v>517</v>
      </c>
      <c r="B872" s="188" t="s">
        <v>53</v>
      </c>
      <c r="C872" s="55">
        <f ca="1">C873</f>
        <v>0</v>
      </c>
      <c r="D872" s="55">
        <f t="shared" ref="D872:E872" ca="1" si="215">D873</f>
        <v>0</v>
      </c>
      <c r="E872" s="56">
        <f t="shared" ca="1" si="215"/>
        <v>0</v>
      </c>
      <c r="F872" t="s">
        <v>105</v>
      </c>
    </row>
    <row r="873" spans="1:176" hidden="1" x14ac:dyDescent="0.25">
      <c r="A873" s="38" t="s">
        <v>518</v>
      </c>
      <c r="B873" s="199" t="s">
        <v>39</v>
      </c>
      <c r="C873" s="126">
        <f ca="1">_xlfn.IFNA(VLOOKUP(A873,Worksheet!$B$1:$G$600,3,FALSE),C873)</f>
        <v>0</v>
      </c>
      <c r="D873" s="126">
        <f ca="1">_xlfn.IFNA(VLOOKUP(A873,Worksheet!$B$1:$G$600,4,FALSE),D873)</f>
        <v>0</v>
      </c>
      <c r="E873" s="127">
        <f ca="1">_xlfn.IFNA(VLOOKUP(A873,Worksheet!$B$1:$G$600,5,FALSE),E873)</f>
        <v>0</v>
      </c>
      <c r="F873" t="s">
        <v>105</v>
      </c>
    </row>
    <row r="874" spans="1:176" hidden="1" x14ac:dyDescent="0.25">
      <c r="A874" s="38" t="s">
        <v>520</v>
      </c>
      <c r="B874" s="188" t="s">
        <v>41</v>
      </c>
      <c r="C874" s="55">
        <f ca="1">C875</f>
        <v>0</v>
      </c>
      <c r="D874" s="55">
        <f t="shared" ref="D874:E874" ca="1" si="216">D875</f>
        <v>0</v>
      </c>
      <c r="E874" s="56">
        <f t="shared" ca="1" si="216"/>
        <v>0</v>
      </c>
      <c r="F874" t="s">
        <v>105</v>
      </c>
    </row>
    <row r="875" spans="1:176" hidden="1" x14ac:dyDescent="0.25">
      <c r="A875" s="38" t="s">
        <v>519</v>
      </c>
      <c r="B875" s="199" t="s">
        <v>39</v>
      </c>
      <c r="C875" s="126">
        <f ca="1">_xlfn.IFNA(VLOOKUP(A875,Worksheet!$B$1:$G$600,3,FALSE),C875)</f>
        <v>0</v>
      </c>
      <c r="D875" s="126">
        <f ca="1">_xlfn.IFNA(VLOOKUP(A875,Worksheet!$B$1:$G$600,4,FALSE),D875)</f>
        <v>0</v>
      </c>
      <c r="E875" s="127">
        <f ca="1">_xlfn.IFNA(VLOOKUP(A875,Worksheet!$B$1:$G$600,5,FALSE),E875)</f>
        <v>0</v>
      </c>
      <c r="F875" t="s">
        <v>105</v>
      </c>
    </row>
    <row r="876" spans="1:176" hidden="1" x14ac:dyDescent="0.25">
      <c r="A876" s="38"/>
      <c r="B876" s="191" t="s">
        <v>23</v>
      </c>
      <c r="C876" s="142"/>
      <c r="D876" s="142"/>
      <c r="E876" s="143"/>
      <c r="F876" t="s">
        <v>105</v>
      </c>
    </row>
    <row r="877" spans="1:176" hidden="1" x14ac:dyDescent="0.25">
      <c r="A877" s="38">
        <v>9.4</v>
      </c>
      <c r="B877" s="206" t="s">
        <v>144</v>
      </c>
      <c r="C877" s="142">
        <f ca="1">SUM(C878,C880)</f>
        <v>0</v>
      </c>
      <c r="D877" s="142">
        <f t="shared" ref="D877:E877" ca="1" si="217">SUM(D878,D880)</f>
        <v>0</v>
      </c>
      <c r="E877" s="143">
        <f t="shared" ca="1" si="217"/>
        <v>0</v>
      </c>
      <c r="F877" t="s">
        <v>105</v>
      </c>
    </row>
    <row r="878" spans="1:176" hidden="1" x14ac:dyDescent="0.25">
      <c r="A878" s="38" t="s">
        <v>1274</v>
      </c>
      <c r="B878" s="199" t="s">
        <v>852</v>
      </c>
      <c r="C878" s="55">
        <f ca="1">C879</f>
        <v>0</v>
      </c>
      <c r="D878" s="55">
        <f t="shared" ref="D878:E878" ca="1" si="218">D879</f>
        <v>0</v>
      </c>
      <c r="E878" s="56">
        <f t="shared" ca="1" si="218"/>
        <v>0</v>
      </c>
      <c r="F878" t="s">
        <v>105</v>
      </c>
    </row>
    <row r="879" spans="1:176" hidden="1" x14ac:dyDescent="0.25">
      <c r="A879" s="38" t="s">
        <v>1275</v>
      </c>
      <c r="B879" s="199" t="s">
        <v>39</v>
      </c>
      <c r="C879" s="126">
        <f ca="1">_xlfn.IFNA(VLOOKUP(A879,Worksheet!$B$1:$G$600,3,FALSE),C879)</f>
        <v>0</v>
      </c>
      <c r="D879" s="126">
        <f ca="1">_xlfn.IFNA(VLOOKUP(A879,Worksheet!$B$1:$G$600,4,FALSE),D879)</f>
        <v>0</v>
      </c>
      <c r="E879" s="127">
        <f ca="1">_xlfn.IFNA(VLOOKUP(A879,Worksheet!$B$1:$G$600,5,FALSE),E879)</f>
        <v>0</v>
      </c>
      <c r="F879" t="s">
        <v>105</v>
      </c>
    </row>
    <row r="880" spans="1:176" hidden="1" x14ac:dyDescent="0.25">
      <c r="A880" s="38" t="s">
        <v>521</v>
      </c>
      <c r="B880" s="199" t="s">
        <v>851</v>
      </c>
      <c r="C880" s="55">
        <f ca="1">C881</f>
        <v>0</v>
      </c>
      <c r="D880" s="55">
        <f t="shared" ref="D880:E880" ca="1" si="219">D881</f>
        <v>0</v>
      </c>
      <c r="E880" s="56">
        <f t="shared" ca="1" si="219"/>
        <v>0</v>
      </c>
      <c r="F880" t="s">
        <v>105</v>
      </c>
    </row>
    <row r="881" spans="1:6" hidden="1" x14ac:dyDescent="0.25">
      <c r="A881" s="38" t="s">
        <v>522</v>
      </c>
      <c r="B881" s="199" t="s">
        <v>39</v>
      </c>
      <c r="C881" s="126">
        <f ca="1">_xlfn.IFNA(VLOOKUP(A881,Worksheet!$B$1:$G$600,3,FALSE),C881)</f>
        <v>0</v>
      </c>
      <c r="D881" s="126">
        <f ca="1">_xlfn.IFNA(VLOOKUP(A881,Worksheet!$B$1:$G$600,4,FALSE),D881)</f>
        <v>0</v>
      </c>
      <c r="E881" s="127">
        <f ca="1">_xlfn.IFNA(VLOOKUP(A881,Worksheet!$B$1:$G$600,5,FALSE),E881)</f>
        <v>0</v>
      </c>
      <c r="F881" t="s">
        <v>105</v>
      </c>
    </row>
    <row r="882" spans="1:6" hidden="1" x14ac:dyDescent="0.25">
      <c r="A882" s="38"/>
      <c r="B882" s="191" t="s">
        <v>25</v>
      </c>
      <c r="C882" s="142"/>
      <c r="D882" s="55"/>
      <c r="E882" s="56"/>
      <c r="F882" t="s">
        <v>105</v>
      </c>
    </row>
    <row r="883" spans="1:6" hidden="1" x14ac:dyDescent="0.25">
      <c r="A883" s="38">
        <v>9.5</v>
      </c>
      <c r="B883" s="206" t="s">
        <v>143</v>
      </c>
      <c r="C883" s="55">
        <f ca="1">SUM(C884,C888,C892,C896)/2</f>
        <v>352</v>
      </c>
      <c r="D883" s="55">
        <f t="shared" ref="D883:E883" ca="1" si="220">SUM(D884,D888,D892,D896)/2</f>
        <v>323.5</v>
      </c>
      <c r="E883" s="56">
        <f t="shared" ca="1" si="220"/>
        <v>317.5</v>
      </c>
      <c r="F883" t="s">
        <v>105</v>
      </c>
    </row>
    <row r="884" spans="1:6" hidden="1" x14ac:dyDescent="0.25">
      <c r="A884" s="38" t="s">
        <v>523</v>
      </c>
      <c r="B884" s="199" t="s">
        <v>854</v>
      </c>
      <c r="C884" s="55">
        <f ca="1">AVERAGE(C885:C887)</f>
        <v>342</v>
      </c>
      <c r="D884" s="55">
        <f t="shared" ref="D884:E884" ca="1" si="221">AVERAGE(D885:D887)</f>
        <v>123</v>
      </c>
      <c r="E884" s="56">
        <f t="shared" ca="1" si="221"/>
        <v>122</v>
      </c>
      <c r="F884" t="s">
        <v>105</v>
      </c>
    </row>
    <row r="885" spans="1:6" hidden="1" x14ac:dyDescent="0.25">
      <c r="A885" s="38" t="s">
        <v>1277</v>
      </c>
      <c r="B885" s="194" t="s">
        <v>39</v>
      </c>
      <c r="C885" s="124">
        <f ca="1">_xlfn.IFNA(VLOOKUP(A885,Worksheet!$B$1:$G$600,3,FALSE),C885)</f>
        <v>0</v>
      </c>
      <c r="D885" s="124">
        <f ca="1">_xlfn.IFNA(VLOOKUP(A885,Worksheet!$B$1:$G$600,4,FALSE),D885)</f>
        <v>0</v>
      </c>
      <c r="E885" s="125">
        <f ca="1">_xlfn.IFNA(VLOOKUP(A885,Worksheet!$B$1:$G$600,5,FALSE),E885)</f>
        <v>0</v>
      </c>
      <c r="F885" t="s">
        <v>105</v>
      </c>
    </row>
    <row r="886" spans="1:6" hidden="1" x14ac:dyDescent="0.25">
      <c r="A886" s="38" t="s">
        <v>1278</v>
      </c>
      <c r="B886" s="194" t="s">
        <v>715</v>
      </c>
      <c r="C886" s="124">
        <f ca="1">_xlfn.IFNA(VLOOKUP(A886,Worksheet!$B$1:$G$600,3,FALSE),C886)</f>
        <v>0</v>
      </c>
      <c r="D886" s="124">
        <f ca="1">_xlfn.IFNA(VLOOKUP(A886,Worksheet!$B$1:$G$600,4,FALSE),D886)</f>
        <v>0</v>
      </c>
      <c r="E886" s="125">
        <f ca="1">_xlfn.IFNA(VLOOKUP(A886,Worksheet!$B$1:$G$600,5,FALSE),E886)</f>
        <v>0</v>
      </c>
      <c r="F886" t="s">
        <v>105</v>
      </c>
    </row>
    <row r="887" spans="1:6" hidden="1" x14ac:dyDescent="0.25">
      <c r="A887" s="38" t="s">
        <v>1279</v>
      </c>
      <c r="B887" s="199" t="s">
        <v>761</v>
      </c>
      <c r="C887" s="182">
        <f ca="1">_xlfn.IFNA(VLOOKUP(A887,Worksheet!$B$1:$G$600,3,FALSE),C887)</f>
        <v>0</v>
      </c>
      <c r="D887" s="126">
        <f ca="1">_xlfn.IFNA(VLOOKUP(A887,Worksheet!$B$1:$G$600,4,FALSE),D887)</f>
        <v>0</v>
      </c>
      <c r="E887" s="127">
        <f ca="1">_xlfn.IFNA(VLOOKUP(A887,Worksheet!$B$1:$G$600,5,FALSE),E887)</f>
        <v>0</v>
      </c>
      <c r="F887" t="s">
        <v>105</v>
      </c>
    </row>
    <row r="888" spans="1:6" hidden="1" x14ac:dyDescent="0.25">
      <c r="A888" s="38" t="s">
        <v>1280</v>
      </c>
      <c r="B888" s="199" t="s">
        <v>853</v>
      </c>
      <c r="C888" s="55">
        <f ca="1">AVERAGE(C889:C891)</f>
        <v>40</v>
      </c>
      <c r="D888" s="55">
        <f t="shared" ref="D888:E888" ca="1" si="222">AVERAGE(D889:D891)</f>
        <v>60</v>
      </c>
      <c r="E888" s="56">
        <f t="shared" ca="1" si="222"/>
        <v>80</v>
      </c>
      <c r="F888" t="s">
        <v>105</v>
      </c>
    </row>
    <row r="889" spans="1:6" hidden="1" x14ac:dyDescent="0.25">
      <c r="A889" s="38" t="s">
        <v>1281</v>
      </c>
      <c r="B889" s="194" t="s">
        <v>39</v>
      </c>
      <c r="C889" s="124">
        <f ca="1">_xlfn.IFNA(VLOOKUP(A889,Worksheet!$B$1:$G$600,3,FALSE),C889)</f>
        <v>0</v>
      </c>
      <c r="D889" s="124">
        <f ca="1">_xlfn.IFNA(VLOOKUP(A889,Worksheet!$B$1:$G$600,4,FALSE),D889)</f>
        <v>0</v>
      </c>
      <c r="E889" s="125">
        <f ca="1">_xlfn.IFNA(VLOOKUP(A889,Worksheet!$B$1:$G$600,5,FALSE),E889)</f>
        <v>0</v>
      </c>
      <c r="F889" t="s">
        <v>105</v>
      </c>
    </row>
    <row r="890" spans="1:6" hidden="1" x14ac:dyDescent="0.25">
      <c r="A890" s="38" t="s">
        <v>1283</v>
      </c>
      <c r="B890" s="194" t="s">
        <v>715</v>
      </c>
      <c r="C890" s="124">
        <f ca="1">_xlfn.IFNA(VLOOKUP(A890,Worksheet!$B$1:$G$600,3,FALSE),C890)</f>
        <v>0</v>
      </c>
      <c r="D890" s="124">
        <f ca="1">_xlfn.IFNA(VLOOKUP(A890,Worksheet!$B$1:$G$600,4,FALSE),D890)</f>
        <v>0</v>
      </c>
      <c r="E890" s="125">
        <f ca="1">_xlfn.IFNA(VLOOKUP(A890,Worksheet!$B$1:$G$600,5,FALSE),E890)</f>
        <v>0</v>
      </c>
      <c r="F890" t="s">
        <v>105</v>
      </c>
    </row>
    <row r="891" spans="1:6" hidden="1" x14ac:dyDescent="0.25">
      <c r="A891" s="38" t="s">
        <v>1282</v>
      </c>
      <c r="B891" s="199" t="s">
        <v>761</v>
      </c>
      <c r="C891" s="182">
        <f ca="1">_xlfn.IFNA(VLOOKUP(A891,Worksheet!$B$1:$G$600,3,FALSE),C891)</f>
        <v>0</v>
      </c>
      <c r="D891" s="126">
        <f ca="1">_xlfn.IFNA(VLOOKUP(A891,Worksheet!$B$1:$G$600,4,FALSE),D891)</f>
        <v>0</v>
      </c>
      <c r="E891" s="127">
        <f ca="1">_xlfn.IFNA(VLOOKUP(A891,Worksheet!$B$1:$G$600,5,FALSE),E891)</f>
        <v>0</v>
      </c>
      <c r="F891" t="s">
        <v>105</v>
      </c>
    </row>
    <row r="892" spans="1:6" hidden="1" x14ac:dyDescent="0.25">
      <c r="A892" s="38" t="s">
        <v>1284</v>
      </c>
      <c r="B892" s="199" t="s">
        <v>143</v>
      </c>
      <c r="C892" s="55">
        <f ca="1">AVERAGE(C893:C895)</f>
        <v>222</v>
      </c>
      <c r="D892" s="55">
        <f t="shared" ref="D892:E892" ca="1" si="223">AVERAGE(D893:D895)</f>
        <v>344</v>
      </c>
      <c r="E892" s="56">
        <f t="shared" ca="1" si="223"/>
        <v>322</v>
      </c>
      <c r="F892" t="s">
        <v>105</v>
      </c>
    </row>
    <row r="893" spans="1:6" hidden="1" x14ac:dyDescent="0.25">
      <c r="A893" s="38" t="s">
        <v>1285</v>
      </c>
      <c r="B893" s="194" t="s">
        <v>39</v>
      </c>
      <c r="C893" s="124">
        <f ca="1">_xlfn.IFNA(VLOOKUP(A893,Worksheet!$B$1:$G$600,3,FALSE),C893)</f>
        <v>0</v>
      </c>
      <c r="D893" s="124">
        <f ca="1">_xlfn.IFNA(VLOOKUP(A893,Worksheet!$B$1:$G$600,4,FALSE),D893)</f>
        <v>0</v>
      </c>
      <c r="E893" s="125">
        <f ca="1">_xlfn.IFNA(VLOOKUP(A893,Worksheet!$B$1:$G$600,5,FALSE),E893)</f>
        <v>0</v>
      </c>
      <c r="F893" t="s">
        <v>105</v>
      </c>
    </row>
    <row r="894" spans="1:6" hidden="1" x14ac:dyDescent="0.25">
      <c r="A894" s="38" t="s">
        <v>1286</v>
      </c>
      <c r="B894" s="194" t="s">
        <v>715</v>
      </c>
      <c r="C894" s="124">
        <f ca="1">_xlfn.IFNA(VLOOKUP(A894,Worksheet!$B$1:$G$600,3,FALSE),C894)</f>
        <v>0</v>
      </c>
      <c r="D894" s="124">
        <f ca="1">_xlfn.IFNA(VLOOKUP(A894,Worksheet!$B$1:$G$600,4,FALSE),D894)</f>
        <v>0</v>
      </c>
      <c r="E894" s="125">
        <f ca="1">_xlfn.IFNA(VLOOKUP(A894,Worksheet!$B$1:$G$600,5,FALSE),E894)</f>
        <v>0</v>
      </c>
      <c r="F894" t="s">
        <v>105</v>
      </c>
    </row>
    <row r="895" spans="1:6" hidden="1" x14ac:dyDescent="0.25">
      <c r="A895" s="38" t="s">
        <v>1287</v>
      </c>
      <c r="B895" s="199" t="s">
        <v>761</v>
      </c>
      <c r="C895" s="182">
        <f ca="1">_xlfn.IFNA(VLOOKUP(A895,Worksheet!$B$1:$G$600,3,FALSE),C895)</f>
        <v>0</v>
      </c>
      <c r="D895" s="126">
        <f ca="1">_xlfn.IFNA(VLOOKUP(A895,Worksheet!$B$1:$G$600,4,FALSE),D895)</f>
        <v>0</v>
      </c>
      <c r="E895" s="127">
        <f ca="1">_xlfn.IFNA(VLOOKUP(A895,Worksheet!$B$1:$G$600,5,FALSE),E895)</f>
        <v>0</v>
      </c>
      <c r="F895" t="s">
        <v>105</v>
      </c>
    </row>
    <row r="896" spans="1:6" hidden="1" x14ac:dyDescent="0.25">
      <c r="A896" s="38" t="s">
        <v>1288</v>
      </c>
      <c r="B896" s="199" t="s">
        <v>143</v>
      </c>
      <c r="C896" s="55">
        <f ca="1">AVERAGE(C897:C899)</f>
        <v>100</v>
      </c>
      <c r="D896" s="55">
        <f t="shared" ref="D896:E896" ca="1" si="224">AVERAGE(D897:D899)</f>
        <v>120</v>
      </c>
      <c r="E896" s="56">
        <f t="shared" ca="1" si="224"/>
        <v>111</v>
      </c>
      <c r="F896" t="s">
        <v>105</v>
      </c>
    </row>
    <row r="897" spans="1:6" hidden="1" x14ac:dyDescent="0.25">
      <c r="A897" s="38" t="s">
        <v>1289</v>
      </c>
      <c r="B897" s="194" t="s">
        <v>39</v>
      </c>
      <c r="C897" s="124">
        <f ca="1">_xlfn.IFNA(VLOOKUP(A897,Worksheet!$B$1:$G$600,3,FALSE),C897)</f>
        <v>0</v>
      </c>
      <c r="D897" s="124">
        <f ca="1">_xlfn.IFNA(VLOOKUP(A897,Worksheet!$B$1:$G$600,4,FALSE),D897)</f>
        <v>0</v>
      </c>
      <c r="E897" s="125">
        <f ca="1">_xlfn.IFNA(VLOOKUP(A897,Worksheet!$B$1:$G$600,5,FALSE),E897)</f>
        <v>0</v>
      </c>
      <c r="F897" t="s">
        <v>105</v>
      </c>
    </row>
    <row r="898" spans="1:6" hidden="1" x14ac:dyDescent="0.25">
      <c r="A898" s="38" t="s">
        <v>1290</v>
      </c>
      <c r="B898" s="194" t="s">
        <v>715</v>
      </c>
      <c r="C898" s="124">
        <f ca="1">_xlfn.IFNA(VLOOKUP(A898,Worksheet!$B$1:$G$600,3,FALSE),C898)</f>
        <v>0</v>
      </c>
      <c r="D898" s="124">
        <f ca="1">_xlfn.IFNA(VLOOKUP(A898,Worksheet!$B$1:$G$600,4,FALSE),D898)</f>
        <v>0</v>
      </c>
      <c r="E898" s="125">
        <f ca="1">_xlfn.IFNA(VLOOKUP(A898,Worksheet!$B$1:$G$600,5,FALSE),E898)</f>
        <v>0</v>
      </c>
      <c r="F898" t="s">
        <v>105</v>
      </c>
    </row>
    <row r="899" spans="1:6" hidden="1" x14ac:dyDescent="0.25">
      <c r="A899" s="38" t="s">
        <v>1291</v>
      </c>
      <c r="B899" s="199" t="s">
        <v>761</v>
      </c>
      <c r="C899" s="126">
        <f ca="1">_xlfn.IFNA(VLOOKUP(A899,Worksheet!$B$1:$G$600,3,FALSE),C899)</f>
        <v>0</v>
      </c>
      <c r="D899" s="126">
        <f ca="1">_xlfn.IFNA(VLOOKUP(A899,Worksheet!$B$1:$G$600,4,FALSE),D899)</f>
        <v>0</v>
      </c>
      <c r="E899" s="127">
        <f ca="1">_xlfn.IFNA(VLOOKUP(A899,Worksheet!$B$1:$G$600,5,FALSE),E899)</f>
        <v>0</v>
      </c>
      <c r="F899" t="s">
        <v>105</v>
      </c>
    </row>
    <row r="900" spans="1:6" hidden="1" x14ac:dyDescent="0.25">
      <c r="A900" s="36">
        <v>10</v>
      </c>
      <c r="B900" s="267" t="s">
        <v>60</v>
      </c>
      <c r="C900" s="268"/>
      <c r="D900" s="268"/>
      <c r="E900" s="269"/>
      <c r="F900" t="s">
        <v>107</v>
      </c>
    </row>
    <row r="901" spans="1:6" hidden="1" x14ac:dyDescent="0.25">
      <c r="A901" s="36"/>
      <c r="B901" s="193" t="s">
        <v>6</v>
      </c>
      <c r="C901" s="61" t="s">
        <v>84</v>
      </c>
      <c r="D901" s="61" t="s">
        <v>85</v>
      </c>
      <c r="E901" s="62" t="s">
        <v>86</v>
      </c>
      <c r="F901" t="s">
        <v>107</v>
      </c>
    </row>
    <row r="902" spans="1:6" hidden="1" x14ac:dyDescent="0.25">
      <c r="A902" s="36">
        <v>10.1</v>
      </c>
      <c r="B902" s="192" t="s">
        <v>855</v>
      </c>
      <c r="C902" s="61">
        <f ca="1">AVERAGE(C903:C906)</f>
        <v>0</v>
      </c>
      <c r="D902" s="61">
        <f t="shared" ref="D902:E902" ca="1" si="225">AVERAGE(D903:D906)</f>
        <v>0</v>
      </c>
      <c r="E902" s="163">
        <f t="shared" ca="1" si="225"/>
        <v>0</v>
      </c>
      <c r="F902" t="s">
        <v>107</v>
      </c>
    </row>
    <row r="903" spans="1:6" hidden="1" x14ac:dyDescent="0.25">
      <c r="A903" s="36" t="s">
        <v>524</v>
      </c>
      <c r="B903" s="192" t="s">
        <v>856</v>
      </c>
      <c r="C903" s="57">
        <f ca="1">C904</f>
        <v>0</v>
      </c>
      <c r="D903" s="57">
        <f t="shared" ref="D903:E903" ca="1" si="226">D904</f>
        <v>0</v>
      </c>
      <c r="E903" s="58">
        <f t="shared" ca="1" si="226"/>
        <v>0</v>
      </c>
      <c r="F903" t="s">
        <v>107</v>
      </c>
    </row>
    <row r="904" spans="1:6" hidden="1" x14ac:dyDescent="0.25">
      <c r="A904" s="36" t="s">
        <v>525</v>
      </c>
      <c r="B904" s="189" t="s">
        <v>61</v>
      </c>
      <c r="C904" s="124">
        <f ca="1">_xlfn.IFNA(VLOOKUP(A904,Worksheet!$B$1:$G$600,3,FALSE),C904)</f>
        <v>0</v>
      </c>
      <c r="D904" s="124">
        <f ca="1">_xlfn.IFNA(VLOOKUP(A904,Worksheet!$B$1:$G$600,4,FALSE),D904)</f>
        <v>0</v>
      </c>
      <c r="E904" s="125">
        <f ca="1">_xlfn.IFNA(VLOOKUP(A904,Worksheet!$B$1:$G$600,5,FALSE),E904)</f>
        <v>0</v>
      </c>
      <c r="F904" t="s">
        <v>107</v>
      </c>
    </row>
    <row r="905" spans="1:6" hidden="1" x14ac:dyDescent="0.25">
      <c r="A905" s="36" t="s">
        <v>1292</v>
      </c>
      <c r="B905" s="188" t="s">
        <v>39</v>
      </c>
      <c r="C905" s="126">
        <f ca="1">_xlfn.IFNA(VLOOKUP(A905,Worksheet!$B$1:$G$600,3,FALSE),C905)</f>
        <v>0</v>
      </c>
      <c r="D905" s="126">
        <f ca="1">_xlfn.IFNA(VLOOKUP(A905,Worksheet!$B$1:$G$600,4,FALSE),D905)</f>
        <v>0</v>
      </c>
      <c r="E905" s="127">
        <f ca="1">_xlfn.IFNA(VLOOKUP(A905,Worksheet!$B$1:$G$600,5,FALSE),E905)</f>
        <v>0</v>
      </c>
      <c r="F905" t="s">
        <v>107</v>
      </c>
    </row>
    <row r="906" spans="1:6" hidden="1" x14ac:dyDescent="0.25">
      <c r="A906" s="36" t="s">
        <v>526</v>
      </c>
      <c r="B906" s="192" t="s">
        <v>857</v>
      </c>
      <c r="C906" s="57">
        <f ca="1">C907</f>
        <v>0</v>
      </c>
      <c r="D906" s="57">
        <f t="shared" ref="D906:E906" ca="1" si="227">D907</f>
        <v>0</v>
      </c>
      <c r="E906" s="58">
        <f t="shared" ca="1" si="227"/>
        <v>0</v>
      </c>
      <c r="F906" t="s">
        <v>107</v>
      </c>
    </row>
    <row r="907" spans="1:6" hidden="1" x14ac:dyDescent="0.25">
      <c r="A907" s="36" t="s">
        <v>527</v>
      </c>
      <c r="B907" s="192" t="s">
        <v>39</v>
      </c>
      <c r="C907" s="171">
        <f ca="1">_xlfn.IFNA(VLOOKUP(A907,Worksheet!$B$1:$G$600,3,FALSE),C907)</f>
        <v>0</v>
      </c>
      <c r="D907" s="171">
        <f ca="1">_xlfn.IFNA(VLOOKUP(A907,Worksheet!$B$1:$G$600,4,FALSE),D907)</f>
        <v>0</v>
      </c>
      <c r="E907" s="172">
        <f ca="1">_xlfn.IFNA(VLOOKUP(A907,Worksheet!$B$1:$G$600,5,FALSE),E907)</f>
        <v>0</v>
      </c>
      <c r="F907" t="s">
        <v>107</v>
      </c>
    </row>
    <row r="908" spans="1:6" hidden="1" x14ac:dyDescent="0.25">
      <c r="A908" s="36"/>
      <c r="B908" s="191" t="s">
        <v>12</v>
      </c>
      <c r="C908" s="142"/>
      <c r="D908" s="61"/>
      <c r="E908" s="58"/>
      <c r="F908" t="s">
        <v>107</v>
      </c>
    </row>
    <row r="909" spans="1:6" hidden="1" x14ac:dyDescent="0.25">
      <c r="A909" s="36">
        <v>10.199999999999999</v>
      </c>
      <c r="B909" s="187" t="s">
        <v>858</v>
      </c>
      <c r="C909" s="146">
        <f ca="1">AVERAGE(C910:C913)</f>
        <v>0</v>
      </c>
      <c r="D909" s="146">
        <f t="shared" ref="D909:E909" ca="1" si="228">AVERAGE(D910:D913)</f>
        <v>0</v>
      </c>
      <c r="E909" s="147">
        <f t="shared" ca="1" si="228"/>
        <v>0</v>
      </c>
      <c r="F909" t="s">
        <v>107</v>
      </c>
    </row>
    <row r="910" spans="1:6" hidden="1" x14ac:dyDescent="0.25">
      <c r="A910" s="36" t="s">
        <v>528</v>
      </c>
      <c r="B910" s="190" t="s">
        <v>39</v>
      </c>
      <c r="C910" s="124">
        <f ca="1">_xlfn.IFNA(VLOOKUP(A910,Worksheet!$B$1:$G$600,3,FALSE),C910)</f>
        <v>0</v>
      </c>
      <c r="D910" s="124">
        <f ca="1">_xlfn.IFNA(VLOOKUP(A910,Worksheet!$B$1:$G$600,4,FALSE),D910)</f>
        <v>0</v>
      </c>
      <c r="E910" s="125">
        <f ca="1">_xlfn.IFNA(VLOOKUP(A910,Worksheet!$B$1:$G$600,5,FALSE),E910)</f>
        <v>0</v>
      </c>
      <c r="F910" t="s">
        <v>107</v>
      </c>
    </row>
    <row r="911" spans="1:6" hidden="1" x14ac:dyDescent="0.25">
      <c r="A911" s="36" t="s">
        <v>529</v>
      </c>
      <c r="B911" s="190" t="s">
        <v>145</v>
      </c>
      <c r="C911" s="124">
        <f ca="1">_xlfn.IFNA(VLOOKUP(A911,Worksheet!$B$1:$G$600,3,FALSE),C911)</f>
        <v>0</v>
      </c>
      <c r="D911" s="124">
        <f ca="1">_xlfn.IFNA(VLOOKUP(A911,Worksheet!$B$1:$G$600,4,FALSE),D911)</f>
        <v>0</v>
      </c>
      <c r="E911" s="125">
        <f ca="1">_xlfn.IFNA(VLOOKUP(A911,Worksheet!$B$1:$G$600,5,FALSE),E911)</f>
        <v>0</v>
      </c>
      <c r="F911" t="s">
        <v>107</v>
      </c>
    </row>
    <row r="912" spans="1:6" hidden="1" x14ac:dyDescent="0.25">
      <c r="A912" s="36" t="s">
        <v>1293</v>
      </c>
      <c r="B912" s="190" t="s">
        <v>24</v>
      </c>
      <c r="C912" s="124">
        <f ca="1">_xlfn.IFNA(VLOOKUP(A912,Worksheet!$B$1:$G$600,3,FALSE),C912)</f>
        <v>0</v>
      </c>
      <c r="D912" s="124">
        <f ca="1">_xlfn.IFNA(VLOOKUP(A912,Worksheet!$B$1:$G$600,4,FALSE),D912)</f>
        <v>0</v>
      </c>
      <c r="E912" s="125">
        <f ca="1">_xlfn.IFNA(VLOOKUP(A912,Worksheet!$B$1:$G$600,5,FALSE),E912)</f>
        <v>0</v>
      </c>
      <c r="F912" t="s">
        <v>107</v>
      </c>
    </row>
    <row r="913" spans="1:6" hidden="1" x14ac:dyDescent="0.25">
      <c r="A913" s="36" t="s">
        <v>1294</v>
      </c>
      <c r="B913" s="187" t="s">
        <v>761</v>
      </c>
      <c r="C913" s="182">
        <f ca="1">_xlfn.IFNA(VLOOKUP(A913,Worksheet!$B$1:$G$600,3,FALSE),C913)</f>
        <v>0</v>
      </c>
      <c r="D913" s="126">
        <f ca="1">_xlfn.IFNA(VLOOKUP(A913,Worksheet!$B$1:$G$600,4,FALSE),D913)</f>
        <v>0</v>
      </c>
      <c r="E913" s="127">
        <f ca="1">_xlfn.IFNA(VLOOKUP(A913,Worksheet!$B$1:$G$600,5,FALSE),E913)</f>
        <v>0</v>
      </c>
      <c r="F913" t="s">
        <v>107</v>
      </c>
    </row>
    <row r="914" spans="1:6" hidden="1" x14ac:dyDescent="0.25">
      <c r="A914" s="36"/>
      <c r="B914" s="191" t="s">
        <v>44</v>
      </c>
      <c r="C914" s="55"/>
      <c r="D914" s="55"/>
      <c r="E914" s="56"/>
      <c r="F914" t="s">
        <v>107</v>
      </c>
    </row>
    <row r="915" spans="1:6" hidden="1" x14ac:dyDescent="0.25">
      <c r="A915" s="36">
        <v>10.3</v>
      </c>
      <c r="B915" s="206" t="s">
        <v>859</v>
      </c>
      <c r="C915" s="142">
        <f ca="1">SUM(C916,C924)</f>
        <v>0</v>
      </c>
      <c r="D915" s="142">
        <f t="shared" ref="D915:E915" ca="1" si="229">SUM(D916,D924)</f>
        <v>0</v>
      </c>
      <c r="E915" s="143">
        <f t="shared" ca="1" si="229"/>
        <v>0</v>
      </c>
      <c r="F915" t="s">
        <v>107</v>
      </c>
    </row>
    <row r="916" spans="1:6" hidden="1" x14ac:dyDescent="0.25">
      <c r="A916" s="36" t="s">
        <v>530</v>
      </c>
      <c r="B916" s="199" t="s">
        <v>860</v>
      </c>
      <c r="C916" s="142">
        <f ca="1">C917</f>
        <v>0</v>
      </c>
      <c r="D916" s="142">
        <f t="shared" ref="D916:E916" ca="1" si="230">D917</f>
        <v>0</v>
      </c>
      <c r="E916" s="143">
        <f t="shared" ca="1" si="230"/>
        <v>0</v>
      </c>
      <c r="F916" t="s">
        <v>107</v>
      </c>
    </row>
    <row r="917" spans="1:6" hidden="1" x14ac:dyDescent="0.25">
      <c r="A917" s="36" t="s">
        <v>531</v>
      </c>
      <c r="B917" s="199" t="s">
        <v>39</v>
      </c>
      <c r="C917" s="142">
        <f ca="1">SUM(C918:C923)</f>
        <v>0</v>
      </c>
      <c r="D917" s="142">
        <f t="shared" ref="D917:E917" ca="1" si="231">SUM(D918:D923)</f>
        <v>0</v>
      </c>
      <c r="E917" s="143">
        <f t="shared" ca="1" si="231"/>
        <v>0</v>
      </c>
      <c r="F917" t="s">
        <v>107</v>
      </c>
    </row>
    <row r="918" spans="1:6" hidden="1" x14ac:dyDescent="0.25">
      <c r="A918" s="36" t="s">
        <v>532</v>
      </c>
      <c r="B918" s="208" t="s">
        <v>64</v>
      </c>
      <c r="C918" s="124">
        <f ca="1">_xlfn.IFNA(VLOOKUP(A918,Worksheet!$B$1:$G$600,3,FALSE),C918)</f>
        <v>0</v>
      </c>
      <c r="D918" s="124">
        <f ca="1">_xlfn.IFNA(VLOOKUP(A918,Worksheet!$B$1:$G$600,4,FALSE),D918)</f>
        <v>0</v>
      </c>
      <c r="E918" s="125">
        <f ca="1">_xlfn.IFNA(VLOOKUP(A918,Worksheet!$B$1:$G$600,5,FALSE),E918)</f>
        <v>0</v>
      </c>
      <c r="F918" t="s">
        <v>107</v>
      </c>
    </row>
    <row r="919" spans="1:6" hidden="1" x14ac:dyDescent="0.25">
      <c r="A919" s="36" t="s">
        <v>533</v>
      </c>
      <c r="B919" s="208" t="s">
        <v>65</v>
      </c>
      <c r="C919" s="124">
        <f ca="1">_xlfn.IFNA(VLOOKUP(A919,Worksheet!$B$1:$G$600,3,FALSE),C919)</f>
        <v>0</v>
      </c>
      <c r="D919" s="124">
        <f ca="1">_xlfn.IFNA(VLOOKUP(A919,Worksheet!$B$1:$G$600,4,FALSE),D919)</f>
        <v>0</v>
      </c>
      <c r="E919" s="125">
        <f ca="1">_xlfn.IFNA(VLOOKUP(A919,Worksheet!$B$1:$G$600,5,FALSE),E919)</f>
        <v>0</v>
      </c>
      <c r="F919" t="s">
        <v>107</v>
      </c>
    </row>
    <row r="920" spans="1:6" hidden="1" x14ac:dyDescent="0.25">
      <c r="A920" s="36" t="s">
        <v>534</v>
      </c>
      <c r="B920" s="207" t="s">
        <v>66</v>
      </c>
      <c r="C920" s="124">
        <f ca="1">_xlfn.IFNA(VLOOKUP(A920,Worksheet!$B$1:$G$600,3,FALSE),C920)</f>
        <v>0</v>
      </c>
      <c r="D920" s="124">
        <f ca="1">_xlfn.IFNA(VLOOKUP(A920,Worksheet!$B$1:$G$600,4,FALSE),D920)</f>
        <v>0</v>
      </c>
      <c r="E920" s="125">
        <f ca="1">_xlfn.IFNA(VLOOKUP(A920,Worksheet!$B$1:$G$600,5,FALSE),E920)</f>
        <v>0</v>
      </c>
      <c r="F920" t="s">
        <v>107</v>
      </c>
    </row>
    <row r="921" spans="1:6" hidden="1" x14ac:dyDescent="0.25">
      <c r="A921" s="36" t="s">
        <v>535</v>
      </c>
      <c r="B921" s="207" t="s">
        <v>67</v>
      </c>
      <c r="C921" s="124">
        <f ca="1">_xlfn.IFNA(VLOOKUP(A921,Worksheet!$B$1:$G$600,3,FALSE),C921)</f>
        <v>0</v>
      </c>
      <c r="D921" s="124">
        <f ca="1">_xlfn.IFNA(VLOOKUP(A921,Worksheet!$B$1:$G$600,4,FALSE),D921)</f>
        <v>0</v>
      </c>
      <c r="E921" s="125">
        <f ca="1">_xlfn.IFNA(VLOOKUP(A921,Worksheet!$B$1:$G$600,5,FALSE),E921)</f>
        <v>0</v>
      </c>
      <c r="F921" t="s">
        <v>107</v>
      </c>
    </row>
    <row r="922" spans="1:6" hidden="1" x14ac:dyDescent="0.25">
      <c r="A922" s="36" t="s">
        <v>536</v>
      </c>
      <c r="B922" s="207" t="s">
        <v>68</v>
      </c>
      <c r="C922" s="124">
        <f ca="1">_xlfn.IFNA(VLOOKUP(A922,Worksheet!$B$1:$G$600,3,FALSE),C922)</f>
        <v>0</v>
      </c>
      <c r="D922" s="124">
        <f ca="1">_xlfn.IFNA(VLOOKUP(A922,Worksheet!$B$1:$G$600,4,FALSE),D922)</f>
        <v>0</v>
      </c>
      <c r="E922" s="125">
        <f ca="1">_xlfn.IFNA(VLOOKUP(A922,Worksheet!$B$1:$G$600,5,FALSE),E922)</f>
        <v>0</v>
      </c>
      <c r="F922" t="s">
        <v>107</v>
      </c>
    </row>
    <row r="923" spans="1:6" hidden="1" x14ac:dyDescent="0.25">
      <c r="A923" s="36" t="s">
        <v>537</v>
      </c>
      <c r="B923" s="209" t="s">
        <v>69</v>
      </c>
      <c r="C923" s="126">
        <f ca="1">_xlfn.IFNA(VLOOKUP(A923,Worksheet!$B$1:$G$600,3,FALSE),C923)</f>
        <v>0</v>
      </c>
      <c r="D923" s="126">
        <f ca="1">_xlfn.IFNA(VLOOKUP(A923,Worksheet!$B$1:$G$600,4,FALSE),D923)</f>
        <v>0</v>
      </c>
      <c r="E923" s="127">
        <f ca="1">_xlfn.IFNA(VLOOKUP(A923,Worksheet!$B$1:$G$600,5,FALSE),E923)</f>
        <v>0</v>
      </c>
      <c r="F923" t="s">
        <v>107</v>
      </c>
    </row>
    <row r="924" spans="1:6" hidden="1" x14ac:dyDescent="0.25">
      <c r="A924" s="36" t="s">
        <v>538</v>
      </c>
      <c r="B924" s="199" t="s">
        <v>861</v>
      </c>
      <c r="C924" s="142">
        <f ca="1">C925</f>
        <v>0</v>
      </c>
      <c r="D924" s="142">
        <f t="shared" ref="D924:E924" ca="1" si="232">D925</f>
        <v>0</v>
      </c>
      <c r="E924" s="143">
        <f t="shared" ca="1" si="232"/>
        <v>0</v>
      </c>
      <c r="F924" t="s">
        <v>107</v>
      </c>
    </row>
    <row r="925" spans="1:6" hidden="1" x14ac:dyDescent="0.25">
      <c r="A925" s="36" t="s">
        <v>539</v>
      </c>
      <c r="B925" s="199" t="s">
        <v>39</v>
      </c>
      <c r="C925" s="142">
        <f ca="1">SUM(C926:C931)</f>
        <v>0</v>
      </c>
      <c r="D925" s="142">
        <f t="shared" ref="D925:E925" ca="1" si="233">SUM(D926:D931)</f>
        <v>0</v>
      </c>
      <c r="E925" s="143">
        <f t="shared" ca="1" si="233"/>
        <v>0</v>
      </c>
      <c r="F925" t="s">
        <v>107</v>
      </c>
    </row>
    <row r="926" spans="1:6" hidden="1" x14ac:dyDescent="0.25">
      <c r="A926" s="36" t="s">
        <v>540</v>
      </c>
      <c r="B926" s="208" t="s">
        <v>64</v>
      </c>
      <c r="C926" s="124">
        <f ca="1">_xlfn.IFNA(VLOOKUP(A926,Worksheet!$B$1:$G$600,3,FALSE),C926)</f>
        <v>0</v>
      </c>
      <c r="D926" s="124">
        <f ca="1">_xlfn.IFNA(VLOOKUP(A926,Worksheet!$B$1:$G$600,4,FALSE),D926)</f>
        <v>0</v>
      </c>
      <c r="E926" s="125">
        <f ca="1">_xlfn.IFNA(VLOOKUP(A926,Worksheet!$B$1:$G$600,5,FALSE),E926)</f>
        <v>0</v>
      </c>
      <c r="F926" t="s">
        <v>107</v>
      </c>
    </row>
    <row r="927" spans="1:6" hidden="1" x14ac:dyDescent="0.25">
      <c r="A927" s="36" t="s">
        <v>541</v>
      </c>
      <c r="B927" s="208" t="s">
        <v>65</v>
      </c>
      <c r="C927" s="124">
        <f ca="1">_xlfn.IFNA(VLOOKUP(A927,Worksheet!$B$1:$G$600,3,FALSE),C927)</f>
        <v>0</v>
      </c>
      <c r="D927" s="124">
        <f ca="1">_xlfn.IFNA(VLOOKUP(A927,Worksheet!$B$1:$G$600,4,FALSE),D927)</f>
        <v>0</v>
      </c>
      <c r="E927" s="125">
        <f ca="1">_xlfn.IFNA(VLOOKUP(A927,Worksheet!$B$1:$G$600,5,FALSE),E927)</f>
        <v>0</v>
      </c>
      <c r="F927" t="s">
        <v>107</v>
      </c>
    </row>
    <row r="928" spans="1:6" hidden="1" x14ac:dyDescent="0.25">
      <c r="A928" s="36" t="s">
        <v>542</v>
      </c>
      <c r="B928" s="207" t="s">
        <v>66</v>
      </c>
      <c r="C928" s="124">
        <f ca="1">_xlfn.IFNA(VLOOKUP(A928,Worksheet!$B$1:$G$600,3,FALSE),C928)</f>
        <v>0</v>
      </c>
      <c r="D928" s="124">
        <f ca="1">_xlfn.IFNA(VLOOKUP(A928,Worksheet!$B$1:$G$600,4,FALSE),D928)</f>
        <v>0</v>
      </c>
      <c r="E928" s="125">
        <f ca="1">_xlfn.IFNA(VLOOKUP(A928,Worksheet!$B$1:$G$600,5,FALSE),E928)</f>
        <v>0</v>
      </c>
      <c r="F928" t="s">
        <v>107</v>
      </c>
    </row>
    <row r="929" spans="1:6" hidden="1" x14ac:dyDescent="0.25">
      <c r="A929" s="36" t="s">
        <v>543</v>
      </c>
      <c r="B929" s="207" t="s">
        <v>67</v>
      </c>
      <c r="C929" s="124">
        <f ca="1">_xlfn.IFNA(VLOOKUP(A929,Worksheet!$B$1:$G$600,3,FALSE),C929)</f>
        <v>0</v>
      </c>
      <c r="D929" s="124">
        <f ca="1">_xlfn.IFNA(VLOOKUP(A929,Worksheet!$B$1:$G$600,4,FALSE),D929)</f>
        <v>0</v>
      </c>
      <c r="E929" s="125">
        <f ca="1">_xlfn.IFNA(VLOOKUP(A929,Worksheet!$B$1:$G$600,5,FALSE),E929)</f>
        <v>0</v>
      </c>
      <c r="F929" t="s">
        <v>107</v>
      </c>
    </row>
    <row r="930" spans="1:6" hidden="1" x14ac:dyDescent="0.25">
      <c r="A930" s="36" t="s">
        <v>544</v>
      </c>
      <c r="B930" s="207" t="s">
        <v>68</v>
      </c>
      <c r="C930" s="124">
        <f ca="1">_xlfn.IFNA(VLOOKUP(A930,Worksheet!$B$1:$G$600,3,FALSE),C930)</f>
        <v>0</v>
      </c>
      <c r="D930" s="124">
        <f ca="1">_xlfn.IFNA(VLOOKUP(A930,Worksheet!$B$1:$G$600,4,FALSE),D930)</f>
        <v>0</v>
      </c>
      <c r="E930" s="125">
        <f ca="1">_xlfn.IFNA(VLOOKUP(A930,Worksheet!$B$1:$G$600,5,FALSE),E930)</f>
        <v>0</v>
      </c>
      <c r="F930" t="s">
        <v>107</v>
      </c>
    </row>
    <row r="931" spans="1:6" hidden="1" x14ac:dyDescent="0.25">
      <c r="A931" s="36" t="s">
        <v>545</v>
      </c>
      <c r="B931" s="209" t="s">
        <v>69</v>
      </c>
      <c r="C931" s="126">
        <f ca="1">_xlfn.IFNA(VLOOKUP(A931,Worksheet!$B$1:$G$600,3,FALSE),C931)</f>
        <v>0</v>
      </c>
      <c r="D931" s="126">
        <f ca="1">_xlfn.IFNA(VLOOKUP(A931,Worksheet!$B$1:$G$600,4,FALSE),D931)</f>
        <v>0</v>
      </c>
      <c r="E931" s="127">
        <f ca="1">_xlfn.IFNA(VLOOKUP(A931,Worksheet!$B$1:$G$600,5,FALSE),E931)</f>
        <v>0</v>
      </c>
      <c r="F931" t="s">
        <v>107</v>
      </c>
    </row>
    <row r="932" spans="1:6" hidden="1" x14ac:dyDescent="0.25">
      <c r="A932" s="36"/>
      <c r="B932" s="191" t="s">
        <v>23</v>
      </c>
      <c r="C932" s="142"/>
      <c r="D932" s="142"/>
      <c r="E932" s="143"/>
      <c r="F932" t="s">
        <v>107</v>
      </c>
    </row>
    <row r="933" spans="1:6" hidden="1" x14ac:dyDescent="0.25">
      <c r="A933" s="36">
        <v>10.4</v>
      </c>
      <c r="B933" s="205" t="s">
        <v>866</v>
      </c>
      <c r="C933" s="142">
        <f ca="1">SUM(C934,C936,C938,C940)/2</f>
        <v>0</v>
      </c>
      <c r="D933" s="142">
        <f ca="1">SUM(D934,D936,D938,D940)/2</f>
        <v>0</v>
      </c>
      <c r="E933" s="143">
        <f ca="1">SUM(E934,E936,E938,E940)/2</f>
        <v>0</v>
      </c>
      <c r="F933" t="s">
        <v>107</v>
      </c>
    </row>
    <row r="934" spans="1:6" hidden="1" x14ac:dyDescent="0.25">
      <c r="A934" s="36" t="s">
        <v>546</v>
      </c>
      <c r="B934" s="187" t="s">
        <v>862</v>
      </c>
      <c r="C934" s="142">
        <f ca="1">C935</f>
        <v>0</v>
      </c>
      <c r="D934" s="142">
        <f t="shared" ref="D934:E934" ca="1" si="234">D935</f>
        <v>0</v>
      </c>
      <c r="E934" s="143">
        <f t="shared" ca="1" si="234"/>
        <v>0</v>
      </c>
      <c r="F934" t="s">
        <v>107</v>
      </c>
    </row>
    <row r="935" spans="1:6" hidden="1" x14ac:dyDescent="0.25">
      <c r="A935" s="36" t="s">
        <v>1295</v>
      </c>
      <c r="B935" s="212" t="s">
        <v>146</v>
      </c>
      <c r="C935" s="126">
        <f ca="1">_xlfn.IFNA(VLOOKUP(A935,Worksheet!$B$1:$G$600,3,FALSE),C935)</f>
        <v>0</v>
      </c>
      <c r="D935" s="126">
        <f ca="1">_xlfn.IFNA(VLOOKUP(A935,Worksheet!$B$1:$G$600,4,FALSE),D935)</f>
        <v>0</v>
      </c>
      <c r="E935" s="127">
        <f ca="1">_xlfn.IFNA(VLOOKUP(A935,Worksheet!$B$1:$G$600,5,FALSE),E935)</f>
        <v>0</v>
      </c>
      <c r="F935" t="s">
        <v>107</v>
      </c>
    </row>
    <row r="936" spans="1:6" hidden="1" x14ac:dyDescent="0.25">
      <c r="A936" s="36" t="s">
        <v>547</v>
      </c>
      <c r="B936" s="187" t="s">
        <v>863</v>
      </c>
      <c r="C936" s="142">
        <f ca="1">C937</f>
        <v>0</v>
      </c>
      <c r="D936" s="142">
        <f t="shared" ref="D936:E936" ca="1" si="235">D937</f>
        <v>0</v>
      </c>
      <c r="E936" s="143">
        <f t="shared" ca="1" si="235"/>
        <v>0</v>
      </c>
      <c r="F936" t="s">
        <v>107</v>
      </c>
    </row>
    <row r="937" spans="1:6" hidden="1" x14ac:dyDescent="0.25">
      <c r="A937" s="36" t="s">
        <v>1296</v>
      </c>
      <c r="B937" s="212" t="s">
        <v>146</v>
      </c>
      <c r="C937" s="126">
        <f ca="1">_xlfn.IFNA(VLOOKUP(A937,Worksheet!$B$1:$G$600,3,FALSE),C937)</f>
        <v>0</v>
      </c>
      <c r="D937" s="126">
        <f ca="1">_xlfn.IFNA(VLOOKUP(A937,Worksheet!$B$1:$G$600,4,FALSE),D937)</f>
        <v>0</v>
      </c>
      <c r="E937" s="127">
        <f ca="1">_xlfn.IFNA(VLOOKUP(A937,Worksheet!$B$1:$G$600,5,FALSE),E937)</f>
        <v>0</v>
      </c>
      <c r="F937" t="s">
        <v>107</v>
      </c>
    </row>
    <row r="938" spans="1:6" hidden="1" x14ac:dyDescent="0.25">
      <c r="A938" s="36" t="s">
        <v>548</v>
      </c>
      <c r="B938" s="213" t="s">
        <v>864</v>
      </c>
      <c r="C938" s="142">
        <f ca="1">C939</f>
        <v>0</v>
      </c>
      <c r="D938" s="142">
        <f t="shared" ref="D938:E938" ca="1" si="236">D939</f>
        <v>0</v>
      </c>
      <c r="E938" s="143">
        <f t="shared" ca="1" si="236"/>
        <v>0</v>
      </c>
      <c r="F938" t="s">
        <v>107</v>
      </c>
    </row>
    <row r="939" spans="1:6" hidden="1" x14ac:dyDescent="0.25">
      <c r="A939" s="36" t="s">
        <v>1297</v>
      </c>
      <c r="B939" s="212" t="s">
        <v>146</v>
      </c>
      <c r="C939" s="126">
        <f ca="1">_xlfn.IFNA(VLOOKUP(A939,Worksheet!$B$1:$G$600,3,FALSE),C939)</f>
        <v>0</v>
      </c>
      <c r="D939" s="126">
        <f ca="1">_xlfn.IFNA(VLOOKUP(A939,Worksheet!$B$1:$G$600,4,FALSE),D939)</f>
        <v>0</v>
      </c>
      <c r="E939" s="127">
        <f ca="1">_xlfn.IFNA(VLOOKUP(A939,Worksheet!$B$1:$G$600,5,FALSE),E939)</f>
        <v>0</v>
      </c>
      <c r="F939" t="s">
        <v>107</v>
      </c>
    </row>
    <row r="940" spans="1:6" hidden="1" x14ac:dyDescent="0.25">
      <c r="A940" s="36" t="s">
        <v>549</v>
      </c>
      <c r="B940" s="213" t="s">
        <v>865</v>
      </c>
      <c r="C940" s="55">
        <f ca="1">C941</f>
        <v>0</v>
      </c>
      <c r="D940" s="55">
        <f t="shared" ref="D940:E940" ca="1" si="237">D941</f>
        <v>0</v>
      </c>
      <c r="E940" s="56">
        <f t="shared" ca="1" si="237"/>
        <v>0</v>
      </c>
      <c r="F940" t="s">
        <v>107</v>
      </c>
    </row>
    <row r="941" spans="1:6" hidden="1" x14ac:dyDescent="0.25">
      <c r="A941" s="36" t="s">
        <v>1298</v>
      </c>
      <c r="B941" s="212" t="s">
        <v>146</v>
      </c>
      <c r="C941" s="126">
        <f ca="1">_xlfn.IFNA(VLOOKUP(A941,Worksheet!$B$1:$G$600,3,FALSE),C941)</f>
        <v>0</v>
      </c>
      <c r="D941" s="126">
        <f ca="1">_xlfn.IFNA(VLOOKUP(A941,Worksheet!$B$1:$G$600,4,FALSE),D941)</f>
        <v>0</v>
      </c>
      <c r="E941" s="127">
        <f ca="1">_xlfn.IFNA(VLOOKUP(A941,Worksheet!$B$1:$G$600,5,FALSE),E941)</f>
        <v>0</v>
      </c>
      <c r="F941" t="s">
        <v>107</v>
      </c>
    </row>
    <row r="942" spans="1:6" hidden="1" x14ac:dyDescent="0.25">
      <c r="A942" s="36"/>
      <c r="B942" s="191" t="s">
        <v>25</v>
      </c>
      <c r="C942" s="142"/>
      <c r="D942" s="55"/>
      <c r="E942" s="56"/>
      <c r="F942" t="s">
        <v>107</v>
      </c>
    </row>
    <row r="943" spans="1:6" hidden="1" x14ac:dyDescent="0.25">
      <c r="A943" s="36">
        <v>10.5</v>
      </c>
      <c r="B943" s="192" t="s">
        <v>867</v>
      </c>
      <c r="C943" s="55">
        <f ca="1">SUM(C944,C949,C954)/2</f>
        <v>0</v>
      </c>
      <c r="D943" s="55">
        <f t="shared" ref="D943:E943" ca="1" si="238">SUM(D944,D949,D954)/2</f>
        <v>0</v>
      </c>
      <c r="E943" s="56">
        <f t="shared" ca="1" si="238"/>
        <v>0</v>
      </c>
      <c r="F943" t="s">
        <v>107</v>
      </c>
    </row>
    <row r="944" spans="1:6" hidden="1" x14ac:dyDescent="0.25">
      <c r="A944" s="36" t="s">
        <v>550</v>
      </c>
      <c r="B944" s="187" t="s">
        <v>868</v>
      </c>
      <c r="C944" s="55">
        <f ca="1">AVERAGE(C945:C948)</f>
        <v>0</v>
      </c>
      <c r="D944" s="55">
        <f t="shared" ref="D944:E944" ca="1" si="239">AVERAGE(D945:D948)</f>
        <v>0</v>
      </c>
      <c r="E944" s="56">
        <f t="shared" ca="1" si="239"/>
        <v>0</v>
      </c>
      <c r="F944" t="s">
        <v>107</v>
      </c>
    </row>
    <row r="945" spans="1:6" hidden="1" x14ac:dyDescent="0.25">
      <c r="A945" s="36" t="s">
        <v>1299</v>
      </c>
      <c r="B945" s="190" t="s">
        <v>869</v>
      </c>
      <c r="C945" s="124">
        <f ca="1">_xlfn.IFNA(VLOOKUP(A945,Worksheet!$B$1:$G$600,3,FALSE),C945)</f>
        <v>0</v>
      </c>
      <c r="D945" s="124">
        <f ca="1">_xlfn.IFNA(VLOOKUP(A945,Worksheet!$B$1:$G$600,4,FALSE),D945)</f>
        <v>0</v>
      </c>
      <c r="E945" s="125">
        <f ca="1">_xlfn.IFNA(VLOOKUP(A945,Worksheet!$B$1:$G$600,5,FALSE),E945)</f>
        <v>0</v>
      </c>
      <c r="F945" t="s">
        <v>107</v>
      </c>
    </row>
    <row r="946" spans="1:6" hidden="1" x14ac:dyDescent="0.25">
      <c r="A946" s="36" t="s">
        <v>1300</v>
      </c>
      <c r="B946" s="189" t="s">
        <v>147</v>
      </c>
      <c r="C946" s="124">
        <f ca="1">_xlfn.IFNA(VLOOKUP(A946,Worksheet!$B$1:$G$600,3,FALSE),C946)</f>
        <v>0</v>
      </c>
      <c r="D946" s="124">
        <f ca="1">_xlfn.IFNA(VLOOKUP(A946,Worksheet!$B$1:$G$600,4,FALSE),D946)</f>
        <v>0</v>
      </c>
      <c r="E946" s="125">
        <f ca="1">_xlfn.IFNA(VLOOKUP(A946,Worksheet!$B$1:$G$600,5,FALSE),E946)</f>
        <v>0</v>
      </c>
      <c r="F946" t="s">
        <v>107</v>
      </c>
    </row>
    <row r="947" spans="1:6" hidden="1" x14ac:dyDescent="0.25">
      <c r="A947" s="36" t="s">
        <v>1301</v>
      </c>
      <c r="B947" s="189" t="s">
        <v>1276</v>
      </c>
      <c r="C947" s="124">
        <f ca="1">_xlfn.IFNA(VLOOKUP(A947,Worksheet!$B$1:$G$600,3,FALSE),C947)</f>
        <v>0</v>
      </c>
      <c r="D947" s="124">
        <f ca="1">_xlfn.IFNA(VLOOKUP(A947,Worksheet!$B$1:$G$600,4,FALSE),D947)</f>
        <v>0</v>
      </c>
      <c r="E947" s="125">
        <f ca="1">_xlfn.IFNA(VLOOKUP(A947,Worksheet!$B$1:$G$600,5,FALSE),E947)</f>
        <v>0</v>
      </c>
      <c r="F947" t="s">
        <v>107</v>
      </c>
    </row>
    <row r="948" spans="1:6" hidden="1" x14ac:dyDescent="0.25">
      <c r="A948" s="36" t="s">
        <v>1302</v>
      </c>
      <c r="B948" s="188" t="s">
        <v>761</v>
      </c>
      <c r="C948" s="124">
        <f ca="1">_xlfn.IFNA(VLOOKUP(A948,Worksheet!$B$1:$G$600,3,FALSE),C948)</f>
        <v>0</v>
      </c>
      <c r="D948" s="124">
        <f ca="1">_xlfn.IFNA(VLOOKUP(A948,Worksheet!$B$1:$G$600,4,FALSE),D948)</f>
        <v>0</v>
      </c>
      <c r="E948" s="125">
        <f ca="1">_xlfn.IFNA(VLOOKUP(A948,Worksheet!$B$1:$G$600,5,FALSE),E948)</f>
        <v>0</v>
      </c>
      <c r="F948" t="s">
        <v>107</v>
      </c>
    </row>
    <row r="949" spans="1:6" hidden="1" x14ac:dyDescent="0.25">
      <c r="A949" s="36" t="s">
        <v>551</v>
      </c>
      <c r="B949" s="187" t="s">
        <v>870</v>
      </c>
      <c r="C949" s="164">
        <f ca="1">AVERAGE(C950:C953)</f>
        <v>0</v>
      </c>
      <c r="D949" s="57">
        <f t="shared" ref="D949" ca="1" si="240">AVERAGE(D950:D953)</f>
        <v>0</v>
      </c>
      <c r="E949" s="58">
        <f t="shared" ref="E949" ca="1" si="241">AVERAGE(E950:E953)</f>
        <v>0</v>
      </c>
      <c r="F949" t="s">
        <v>107</v>
      </c>
    </row>
    <row r="950" spans="1:6" hidden="1" x14ac:dyDescent="0.25">
      <c r="A950" s="36" t="s">
        <v>1303</v>
      </c>
      <c r="B950" s="190" t="s">
        <v>869</v>
      </c>
      <c r="C950" s="124">
        <f ca="1">_xlfn.IFNA(VLOOKUP(A950,Worksheet!$B$1:$G$600,3,FALSE),C950)</f>
        <v>0</v>
      </c>
      <c r="D950" s="124">
        <f ca="1">_xlfn.IFNA(VLOOKUP(A950,Worksheet!$B$1:$G$600,4,FALSE),D950)</f>
        <v>0</v>
      </c>
      <c r="E950" s="125">
        <f ca="1">_xlfn.IFNA(VLOOKUP(A950,Worksheet!$B$1:$G$600,5,FALSE),E950)</f>
        <v>0</v>
      </c>
      <c r="F950" t="s">
        <v>107</v>
      </c>
    </row>
    <row r="951" spans="1:6" hidden="1" x14ac:dyDescent="0.25">
      <c r="A951" s="36" t="s">
        <v>1304</v>
      </c>
      <c r="B951" s="189" t="s">
        <v>147</v>
      </c>
      <c r="C951" s="124">
        <f ca="1">_xlfn.IFNA(VLOOKUP(A951,Worksheet!$B$1:$G$600,3,FALSE),C951)</f>
        <v>0</v>
      </c>
      <c r="D951" s="124">
        <f ca="1">_xlfn.IFNA(VLOOKUP(A951,Worksheet!$B$1:$G$600,4,FALSE),D951)</f>
        <v>0</v>
      </c>
      <c r="E951" s="125">
        <f ca="1">_xlfn.IFNA(VLOOKUP(A951,Worksheet!$B$1:$G$600,5,FALSE),E951)</f>
        <v>0</v>
      </c>
      <c r="F951" t="s">
        <v>107</v>
      </c>
    </row>
    <row r="952" spans="1:6" hidden="1" x14ac:dyDescent="0.25">
      <c r="A952" s="36" t="s">
        <v>1305</v>
      </c>
      <c r="B952" s="189" t="s">
        <v>1276</v>
      </c>
      <c r="C952" s="124">
        <f ca="1">_xlfn.IFNA(VLOOKUP(A952,Worksheet!$B$1:$G$600,3,FALSE),C952)</f>
        <v>0</v>
      </c>
      <c r="D952" s="124">
        <f ca="1">_xlfn.IFNA(VLOOKUP(A952,Worksheet!$B$1:$G$600,4,FALSE),D952)</f>
        <v>0</v>
      </c>
      <c r="E952" s="125">
        <f ca="1">_xlfn.IFNA(VLOOKUP(A952,Worksheet!$B$1:$G$600,5,FALSE),E952)</f>
        <v>0</v>
      </c>
      <c r="F952" t="s">
        <v>107</v>
      </c>
    </row>
    <row r="953" spans="1:6" hidden="1" x14ac:dyDescent="0.25">
      <c r="A953" s="36" t="s">
        <v>1306</v>
      </c>
      <c r="B953" s="188" t="s">
        <v>761</v>
      </c>
      <c r="C953" s="124">
        <f ca="1">_xlfn.IFNA(VLOOKUP(A953,Worksheet!$B$1:$G$600,3,FALSE),C953)</f>
        <v>0</v>
      </c>
      <c r="D953" s="124">
        <f ca="1">_xlfn.IFNA(VLOOKUP(A953,Worksheet!$B$1:$G$600,4,FALSE),D953)</f>
        <v>0</v>
      </c>
      <c r="E953" s="125">
        <f ca="1">_xlfn.IFNA(VLOOKUP(A953,Worksheet!$B$1:$G$600,5,FALSE),E953)</f>
        <v>0</v>
      </c>
      <c r="F953" t="s">
        <v>107</v>
      </c>
    </row>
    <row r="954" spans="1:6" hidden="1" x14ac:dyDescent="0.25">
      <c r="A954" s="36" t="s">
        <v>1307</v>
      </c>
      <c r="B954" s="187" t="s">
        <v>856</v>
      </c>
      <c r="C954" s="164">
        <f ca="1">AVERAGE(C955:C958)</f>
        <v>0</v>
      </c>
      <c r="D954" s="57">
        <f t="shared" ref="D954:E954" ca="1" si="242">AVERAGE(D955:D958)</f>
        <v>0</v>
      </c>
      <c r="E954" s="58">
        <f t="shared" ca="1" si="242"/>
        <v>0</v>
      </c>
      <c r="F954" t="s">
        <v>107</v>
      </c>
    </row>
    <row r="955" spans="1:6" hidden="1" x14ac:dyDescent="0.25">
      <c r="A955" s="36" t="s">
        <v>1308</v>
      </c>
      <c r="B955" s="190" t="s">
        <v>869</v>
      </c>
      <c r="C955" s="124">
        <f ca="1">_xlfn.IFNA(VLOOKUP(A955,Worksheet!$B$1:$G$600,3,FALSE),C955)</f>
        <v>0</v>
      </c>
      <c r="D955" s="124">
        <f ca="1">_xlfn.IFNA(VLOOKUP(A955,Worksheet!$B$1:$G$600,4,FALSE),D955)</f>
        <v>0</v>
      </c>
      <c r="E955" s="125">
        <f ca="1">_xlfn.IFNA(VLOOKUP(A955,Worksheet!$B$1:$G$600,5,FALSE),E955)</f>
        <v>0</v>
      </c>
      <c r="F955" t="s">
        <v>107</v>
      </c>
    </row>
    <row r="956" spans="1:6" hidden="1" x14ac:dyDescent="0.25">
      <c r="A956" s="36" t="s">
        <v>1309</v>
      </c>
      <c r="B956" s="189" t="s">
        <v>147</v>
      </c>
      <c r="C956" s="124">
        <f ca="1">_xlfn.IFNA(VLOOKUP(A956,Worksheet!$B$1:$G$600,3,FALSE),C956)</f>
        <v>0</v>
      </c>
      <c r="D956" s="124">
        <f ca="1">_xlfn.IFNA(VLOOKUP(A956,Worksheet!$B$1:$G$600,4,FALSE),D956)</f>
        <v>0</v>
      </c>
      <c r="E956" s="125">
        <f ca="1">_xlfn.IFNA(VLOOKUP(A956,Worksheet!$B$1:$G$600,5,FALSE),E956)</f>
        <v>0</v>
      </c>
      <c r="F956" t="s">
        <v>107</v>
      </c>
    </row>
    <row r="957" spans="1:6" hidden="1" x14ac:dyDescent="0.25">
      <c r="A957" s="36" t="s">
        <v>1310</v>
      </c>
      <c r="B957" s="189" t="s">
        <v>1276</v>
      </c>
      <c r="C957" s="124">
        <f ca="1">_xlfn.IFNA(VLOOKUP(A957,Worksheet!$B$1:$G$600,3,FALSE),C957)</f>
        <v>0</v>
      </c>
      <c r="D957" s="124">
        <f ca="1">_xlfn.IFNA(VLOOKUP(A957,Worksheet!$B$1:$G$600,4,FALSE),D957)</f>
        <v>0</v>
      </c>
      <c r="E957" s="125">
        <f ca="1">_xlfn.IFNA(VLOOKUP(A957,Worksheet!$B$1:$G$600,5,FALSE),E957)</f>
        <v>0</v>
      </c>
      <c r="F957" t="s">
        <v>107</v>
      </c>
    </row>
    <row r="958" spans="1:6" hidden="1" x14ac:dyDescent="0.25">
      <c r="A958" s="36" t="s">
        <v>1311</v>
      </c>
      <c r="B958" s="188" t="s">
        <v>761</v>
      </c>
      <c r="C958" s="182">
        <f ca="1">_xlfn.IFNA(VLOOKUP(A958,Worksheet!$B$1:$G$600,3,FALSE),C958)</f>
        <v>0</v>
      </c>
      <c r="D958" s="126">
        <f ca="1">_xlfn.IFNA(VLOOKUP(A958,Worksheet!$B$1:$G$600,4,FALSE),D958)</f>
        <v>0</v>
      </c>
      <c r="E958" s="127">
        <f ca="1">_xlfn.IFNA(VLOOKUP(A958,Worksheet!$B$1:$G$600,5,FALSE),E958)</f>
        <v>0</v>
      </c>
      <c r="F958" t="s">
        <v>107</v>
      </c>
    </row>
    <row r="959" spans="1:6" hidden="1" x14ac:dyDescent="0.25">
      <c r="A959" s="36">
        <v>11</v>
      </c>
      <c r="B959" s="265" t="s">
        <v>70</v>
      </c>
      <c r="C959" s="266"/>
      <c r="D959" s="266"/>
      <c r="E959" s="266"/>
      <c r="F959" t="s">
        <v>108</v>
      </c>
    </row>
    <row r="960" spans="1:6" hidden="1" x14ac:dyDescent="0.25">
      <c r="A960" s="36"/>
      <c r="B960" s="200" t="s">
        <v>6</v>
      </c>
      <c r="C960" s="165" t="s">
        <v>84</v>
      </c>
      <c r="D960" s="165" t="s">
        <v>85</v>
      </c>
      <c r="E960" s="165" t="s">
        <v>86</v>
      </c>
      <c r="F960" t="s">
        <v>108</v>
      </c>
    </row>
    <row r="961" spans="1:7" hidden="1" x14ac:dyDescent="0.25">
      <c r="A961" s="36">
        <v>11.1</v>
      </c>
      <c r="B961" s="214" t="s">
        <v>871</v>
      </c>
      <c r="C961" s="183">
        <f ca="1">C962-C964</f>
        <v>0</v>
      </c>
      <c r="D961" s="183">
        <f t="shared" ref="D961:E961" ca="1" si="243">D962-D964</f>
        <v>0</v>
      </c>
      <c r="E961" s="183">
        <f t="shared" ca="1" si="243"/>
        <v>0</v>
      </c>
      <c r="F961" t="s">
        <v>108</v>
      </c>
      <c r="G961" s="4"/>
    </row>
    <row r="962" spans="1:7" hidden="1" x14ac:dyDescent="0.25">
      <c r="A962" s="36" t="s">
        <v>552</v>
      </c>
      <c r="B962" s="215" t="s">
        <v>1325</v>
      </c>
      <c r="C962" s="216">
        <f ca="1">C963</f>
        <v>0</v>
      </c>
      <c r="D962" s="216">
        <f t="shared" ref="D962:E962" ca="1" si="244">D963</f>
        <v>0</v>
      </c>
      <c r="E962" s="216">
        <f t="shared" ca="1" si="244"/>
        <v>0</v>
      </c>
      <c r="F962" t="s">
        <v>108</v>
      </c>
    </row>
    <row r="963" spans="1:7" hidden="1" x14ac:dyDescent="0.25">
      <c r="A963" s="36" t="s">
        <v>553</v>
      </c>
      <c r="B963" s="217" t="s">
        <v>39</v>
      </c>
      <c r="C963" s="124">
        <f ca="1">_xlfn.IFNA(VLOOKUP(A963,Worksheet!$B$1:$G$600,3,FALSE),C963)</f>
        <v>0</v>
      </c>
      <c r="D963" s="124">
        <f ca="1">_xlfn.IFNA(VLOOKUP(A963,Worksheet!$B$1:$G$600,4,FALSE),D963)</f>
        <v>0</v>
      </c>
      <c r="E963" s="124">
        <f ca="1">_xlfn.IFNA(VLOOKUP(A963,Worksheet!$B$1:$G$600,5,FALSE),E963)</f>
        <v>0</v>
      </c>
      <c r="F963" t="s">
        <v>108</v>
      </c>
    </row>
    <row r="964" spans="1:7" hidden="1" x14ac:dyDescent="0.25">
      <c r="A964" s="36" t="s">
        <v>1312</v>
      </c>
      <c r="B964" s="218" t="s">
        <v>72</v>
      </c>
      <c r="C964" s="173">
        <f ca="1">SUM(C965,C968,C971,C974)</f>
        <v>0</v>
      </c>
      <c r="D964" s="173">
        <f t="shared" ref="D964:E964" ca="1" si="245">SUM(D965,D968,D971,D974)</f>
        <v>0</v>
      </c>
      <c r="E964" s="173">
        <f t="shared" ca="1" si="245"/>
        <v>0</v>
      </c>
      <c r="F964" t="s">
        <v>108</v>
      </c>
    </row>
    <row r="965" spans="1:7" hidden="1" x14ac:dyDescent="0.25">
      <c r="A965" s="36" t="s">
        <v>1313</v>
      </c>
      <c r="B965" s="214" t="s">
        <v>73</v>
      </c>
      <c r="C965" s="175">
        <f ca="1">SUM(C966:C967)/2</f>
        <v>0</v>
      </c>
      <c r="D965" s="175">
        <f t="shared" ref="D965:E965" ca="1" si="246">SUM(D966:D967)/2</f>
        <v>0</v>
      </c>
      <c r="E965" s="175">
        <f t="shared" ca="1" si="246"/>
        <v>0</v>
      </c>
      <c r="F965" t="s">
        <v>108</v>
      </c>
    </row>
    <row r="966" spans="1:7" hidden="1" x14ac:dyDescent="0.25">
      <c r="A966" s="36" t="s">
        <v>1314</v>
      </c>
      <c r="B966" s="217" t="s">
        <v>39</v>
      </c>
      <c r="C966" s="124">
        <f ca="1">_xlfn.IFNA(VLOOKUP(A966,Worksheet!$B$1:$G$600,3,FALSE),C966)</f>
        <v>0</v>
      </c>
      <c r="D966" s="124">
        <f ca="1">_xlfn.IFNA(VLOOKUP(A966,Worksheet!$B$1:$G$600,4,FALSE),D966)</f>
        <v>0</v>
      </c>
      <c r="E966" s="124">
        <f ca="1">_xlfn.IFNA(VLOOKUP(A966,Worksheet!$B$1:$G$600,5,FALSE),E966)</f>
        <v>0</v>
      </c>
      <c r="F966" t="s">
        <v>108</v>
      </c>
    </row>
    <row r="967" spans="1:7" hidden="1" x14ac:dyDescent="0.25">
      <c r="A967" s="36" t="s">
        <v>1315</v>
      </c>
      <c r="B967" s="217" t="s">
        <v>148</v>
      </c>
      <c r="C967" s="124">
        <f ca="1">_xlfn.IFNA(VLOOKUP(A967,Worksheet!$B$1:$G$600,3,FALSE),C967)</f>
        <v>0</v>
      </c>
      <c r="D967" s="124">
        <f ca="1">_xlfn.IFNA(VLOOKUP(A967,Worksheet!$B$1:$G$600,4,FALSE),D967)</f>
        <v>0</v>
      </c>
      <c r="E967" s="124">
        <f ca="1">_xlfn.IFNA(VLOOKUP(A967,Worksheet!$B$1:$G$600,5,FALSE),E967)</f>
        <v>0</v>
      </c>
      <c r="F967" t="s">
        <v>108</v>
      </c>
    </row>
    <row r="968" spans="1:7" hidden="1" x14ac:dyDescent="0.25">
      <c r="A968" s="36" t="s">
        <v>1316</v>
      </c>
      <c r="B968" s="214" t="s">
        <v>222</v>
      </c>
      <c r="C968" s="175">
        <f ca="1">SUM(C969:C970)/2</f>
        <v>0</v>
      </c>
      <c r="D968" s="175">
        <f t="shared" ref="D968:E968" ca="1" si="247">SUM(D969:D970)/2</f>
        <v>0</v>
      </c>
      <c r="E968" s="175">
        <f t="shared" ca="1" si="247"/>
        <v>0</v>
      </c>
      <c r="F968" t="s">
        <v>108</v>
      </c>
    </row>
    <row r="969" spans="1:7" hidden="1" x14ac:dyDescent="0.25">
      <c r="A969" s="36" t="s">
        <v>1317</v>
      </c>
      <c r="B969" s="217" t="s">
        <v>39</v>
      </c>
      <c r="C969" s="124">
        <f ca="1">_xlfn.IFNA(VLOOKUP(A969,Worksheet!$B$1:$G$600,3,FALSE),C969)</f>
        <v>0</v>
      </c>
      <c r="D969" s="124">
        <f ca="1">_xlfn.IFNA(VLOOKUP(A969,Worksheet!$B$1:$G$600,4,FALSE),D969)</f>
        <v>0</v>
      </c>
      <c r="E969" s="124">
        <f ca="1">_xlfn.IFNA(VLOOKUP(A969,Worksheet!$B$1:$G$600,5,FALSE),E969)</f>
        <v>0</v>
      </c>
      <c r="F969" t="s">
        <v>108</v>
      </c>
    </row>
    <row r="970" spans="1:7" hidden="1" x14ac:dyDescent="0.25">
      <c r="A970" s="36" t="s">
        <v>1318</v>
      </c>
      <c r="B970" s="217" t="s">
        <v>148</v>
      </c>
      <c r="C970" s="124">
        <f ca="1">_xlfn.IFNA(VLOOKUP(A970,Worksheet!$B$1:$G$600,3,FALSE),C970)</f>
        <v>0</v>
      </c>
      <c r="D970" s="124">
        <f ca="1">_xlfn.IFNA(VLOOKUP(A970,Worksheet!$B$1:$G$600,4,FALSE),D970)</f>
        <v>0</v>
      </c>
      <c r="E970" s="124">
        <f ca="1">_xlfn.IFNA(VLOOKUP(A970,Worksheet!$B$1:$G$600,5,FALSE),E970)</f>
        <v>0</v>
      </c>
      <c r="F970" t="s">
        <v>108</v>
      </c>
    </row>
    <row r="971" spans="1:7" hidden="1" x14ac:dyDescent="0.25">
      <c r="A971" s="36" t="s">
        <v>1319</v>
      </c>
      <c r="B971" s="203" t="s">
        <v>74</v>
      </c>
      <c r="C971" s="175">
        <f ca="1">SUM(C972:C973)/2</f>
        <v>0</v>
      </c>
      <c r="D971" s="175">
        <f t="shared" ref="D971:E971" ca="1" si="248">SUM(D972:D973)/2</f>
        <v>0</v>
      </c>
      <c r="E971" s="175">
        <f t="shared" ca="1" si="248"/>
        <v>0</v>
      </c>
      <c r="F971" t="s">
        <v>108</v>
      </c>
    </row>
    <row r="972" spans="1:7" hidden="1" x14ac:dyDescent="0.25">
      <c r="A972" s="36" t="s">
        <v>1320</v>
      </c>
      <c r="B972" s="217" t="s">
        <v>39</v>
      </c>
      <c r="C972" s="124">
        <f ca="1">_xlfn.IFNA(VLOOKUP(A972,Worksheet!$B$1:$G$600,3,FALSE),C972)</f>
        <v>0</v>
      </c>
      <c r="D972" s="124">
        <f ca="1">_xlfn.IFNA(VLOOKUP(A972,Worksheet!$B$1:$G$600,4,FALSE),D972)</f>
        <v>0</v>
      </c>
      <c r="E972" s="124">
        <f ca="1">_xlfn.IFNA(VLOOKUP(A972,Worksheet!$B$1:$G$600,5,FALSE),E972)</f>
        <v>0</v>
      </c>
      <c r="F972" t="s">
        <v>108</v>
      </c>
    </row>
    <row r="973" spans="1:7" hidden="1" x14ac:dyDescent="0.25">
      <c r="A973" s="36" t="s">
        <v>1321</v>
      </c>
      <c r="B973" s="217" t="s">
        <v>148</v>
      </c>
      <c r="C973" s="124">
        <f ca="1">_xlfn.IFNA(VLOOKUP(A973,Worksheet!$B$1:$G$600,3,FALSE),C973)</f>
        <v>0</v>
      </c>
      <c r="D973" s="124">
        <f ca="1">_xlfn.IFNA(VLOOKUP(A973,Worksheet!$B$1:$G$600,4,FALSE),D973)</f>
        <v>0</v>
      </c>
      <c r="E973" s="124">
        <f ca="1">_xlfn.IFNA(VLOOKUP(A973,Worksheet!$B$1:$G$600,5,FALSE),E973)</f>
        <v>0</v>
      </c>
      <c r="F973" t="s">
        <v>108</v>
      </c>
    </row>
    <row r="974" spans="1:7" hidden="1" x14ac:dyDescent="0.25">
      <c r="A974" s="36" t="s">
        <v>1322</v>
      </c>
      <c r="B974" s="203" t="s">
        <v>75</v>
      </c>
      <c r="C974" s="175">
        <f ca="1">SUM(C975:C976)/2</f>
        <v>0</v>
      </c>
      <c r="D974" s="175">
        <f t="shared" ref="D974:E974" ca="1" si="249">SUM(D975:D976)/2</f>
        <v>0</v>
      </c>
      <c r="E974" s="175">
        <f t="shared" ca="1" si="249"/>
        <v>0</v>
      </c>
      <c r="F974" t="s">
        <v>108</v>
      </c>
    </row>
    <row r="975" spans="1:7" hidden="1" x14ac:dyDescent="0.25">
      <c r="A975" s="36" t="s">
        <v>1323</v>
      </c>
      <c r="B975" s="217" t="s">
        <v>39</v>
      </c>
      <c r="C975" s="124">
        <f ca="1">_xlfn.IFNA(VLOOKUP(A975,Worksheet!$B$1:$G$600,3,FALSE),C975)</f>
        <v>0</v>
      </c>
      <c r="D975" s="124">
        <f ca="1">_xlfn.IFNA(VLOOKUP(A975,Worksheet!$B$1:$G$600,4,FALSE),D975)</f>
        <v>0</v>
      </c>
      <c r="E975" s="124">
        <f ca="1">_xlfn.IFNA(VLOOKUP(A975,Worksheet!$B$1:$G$600,5,FALSE),E975)</f>
        <v>0</v>
      </c>
      <c r="F975" t="s">
        <v>108</v>
      </c>
    </row>
    <row r="976" spans="1:7" hidden="1" x14ac:dyDescent="0.25">
      <c r="A976" s="36" t="s">
        <v>1324</v>
      </c>
      <c r="B976" s="217" t="s">
        <v>148</v>
      </c>
      <c r="C976" s="124">
        <f ca="1">_xlfn.IFNA(VLOOKUP(A976,Worksheet!$B$1:$G$600,3,FALSE),C976)</f>
        <v>0</v>
      </c>
      <c r="D976" s="124">
        <f ca="1">_xlfn.IFNA(VLOOKUP(A976,Worksheet!$B$1:$G$600,4,FALSE),D976)</f>
        <v>0</v>
      </c>
      <c r="E976" s="124">
        <f ca="1">_xlfn.IFNA(VLOOKUP(A976,Worksheet!$B$1:$G$600,5,FALSE),E976)</f>
        <v>0</v>
      </c>
      <c r="F976" t="s">
        <v>108</v>
      </c>
    </row>
    <row r="977" spans="1:6" hidden="1" x14ac:dyDescent="0.25">
      <c r="A977" s="36"/>
      <c r="B977" s="203" t="s">
        <v>12</v>
      </c>
      <c r="C977" s="166"/>
      <c r="D977" s="159"/>
      <c r="E977" s="159"/>
      <c r="F977" t="s">
        <v>108</v>
      </c>
    </row>
    <row r="978" spans="1:6" hidden="1" x14ac:dyDescent="0.25">
      <c r="A978" s="36" t="s">
        <v>554</v>
      </c>
      <c r="B978" s="214" t="s">
        <v>872</v>
      </c>
      <c r="C978" s="175">
        <f ca="1">AVERAGE(C979:C982)</f>
        <v>32</v>
      </c>
      <c r="D978" s="175">
        <f t="shared" ref="D978:E978" ca="1" si="250">AVERAGE(D979:D982)</f>
        <v>32</v>
      </c>
      <c r="E978" s="175">
        <f t="shared" ca="1" si="250"/>
        <v>22</v>
      </c>
      <c r="F978" t="s">
        <v>108</v>
      </c>
    </row>
    <row r="979" spans="1:6" hidden="1" x14ac:dyDescent="0.25">
      <c r="A979" s="36" t="s">
        <v>555</v>
      </c>
      <c r="B979" s="219" t="s">
        <v>39</v>
      </c>
      <c r="C979" s="124">
        <f ca="1">_xlfn.IFNA(VLOOKUP(A979,Worksheet!$B$1:$G$600,3,FALSE),C979)</f>
        <v>0</v>
      </c>
      <c r="D979" s="124">
        <f ca="1">_xlfn.IFNA(VLOOKUP(A979,Worksheet!$B$1:$G$600,4,FALSE),D979)</f>
        <v>0</v>
      </c>
      <c r="E979" s="124">
        <f ca="1">_xlfn.IFNA(VLOOKUP(A979,Worksheet!$B$1:$G$600,5,FALSE),E979)</f>
        <v>0</v>
      </c>
      <c r="F979" t="s">
        <v>108</v>
      </c>
    </row>
    <row r="980" spans="1:6" s="2" customFormat="1" hidden="1" x14ac:dyDescent="0.25">
      <c r="A980" s="36" t="s">
        <v>556</v>
      </c>
      <c r="B980" s="153" t="s">
        <v>148</v>
      </c>
      <c r="C980" s="124">
        <f ca="1">_xlfn.IFNA(VLOOKUP(A980,Worksheet!$B$1:$G$600,3,FALSE),C980)</f>
        <v>0</v>
      </c>
      <c r="D980" s="124">
        <f ca="1">_xlfn.IFNA(VLOOKUP(A980,Worksheet!$B$1:$G$600,4,FALSE),D980)</f>
        <v>0</v>
      </c>
      <c r="E980" s="124">
        <f ca="1">_xlfn.IFNA(VLOOKUP(A980,Worksheet!$B$1:$G$600,5,FALSE),E980)</f>
        <v>0</v>
      </c>
      <c r="F980" t="s">
        <v>108</v>
      </c>
    </row>
    <row r="981" spans="1:6" s="2" customFormat="1" hidden="1" x14ac:dyDescent="0.25">
      <c r="A981" s="36" t="s">
        <v>1326</v>
      </c>
      <c r="B981" s="220" t="s">
        <v>24</v>
      </c>
      <c r="C981" s="124">
        <f ca="1">_xlfn.IFNA(VLOOKUP(A981,Worksheet!$B$1:$G$600,3,FALSE),C981)</f>
        <v>0</v>
      </c>
      <c r="D981" s="124">
        <f ca="1">_xlfn.IFNA(VLOOKUP(A981,Worksheet!$B$1:$G$600,4,FALSE),D981)</f>
        <v>0</v>
      </c>
      <c r="E981" s="124">
        <f ca="1">_xlfn.IFNA(VLOOKUP(A981,Worksheet!$B$1:$G$600,5,FALSE),E981)</f>
        <v>0</v>
      </c>
      <c r="F981" t="s">
        <v>108</v>
      </c>
    </row>
    <row r="982" spans="1:6" s="2" customFormat="1" hidden="1" x14ac:dyDescent="0.25">
      <c r="A982" s="36" t="s">
        <v>1327</v>
      </c>
      <c r="B982" s="156" t="s">
        <v>761</v>
      </c>
      <c r="C982" s="124">
        <f ca="1">_xlfn.IFNA(VLOOKUP(A982,Worksheet!$B$1:$G$600,3,FALSE),C982)</f>
        <v>0</v>
      </c>
      <c r="D982" s="124">
        <f ca="1">_xlfn.IFNA(VLOOKUP(A982,Worksheet!$B$1:$G$600,4,FALSE),D982)</f>
        <v>0</v>
      </c>
      <c r="E982" s="124">
        <f ca="1">_xlfn.IFNA(VLOOKUP(A982,Worksheet!$B$1:$G$600,5,FALSE),E982)</f>
        <v>0</v>
      </c>
      <c r="F982" t="s">
        <v>108</v>
      </c>
    </row>
    <row r="983" spans="1:6" hidden="1" x14ac:dyDescent="0.25">
      <c r="A983" s="36"/>
      <c r="B983" s="203" t="s">
        <v>44</v>
      </c>
      <c r="C983" s="159"/>
      <c r="D983" s="159"/>
      <c r="E983" s="159"/>
      <c r="F983" t="s">
        <v>108</v>
      </c>
    </row>
    <row r="984" spans="1:6" hidden="1" x14ac:dyDescent="0.25">
      <c r="A984" s="36">
        <v>11.3</v>
      </c>
      <c r="B984" s="214" t="s">
        <v>71</v>
      </c>
      <c r="C984" s="179">
        <f ca="1">SUM(C985,C994,C1003,C1005)</f>
        <v>0</v>
      </c>
      <c r="D984" s="179">
        <f t="shared" ref="D984:E984" ca="1" si="251">SUM(D985,D994,D1003,D1005)</f>
        <v>0</v>
      </c>
      <c r="E984" s="179">
        <f t="shared" ca="1" si="251"/>
        <v>0</v>
      </c>
      <c r="F984" t="s">
        <v>108</v>
      </c>
    </row>
    <row r="985" spans="1:6" hidden="1" x14ac:dyDescent="0.25">
      <c r="A985" s="36" t="s">
        <v>557</v>
      </c>
      <c r="B985" s="214" t="s">
        <v>14</v>
      </c>
      <c r="C985" s="179">
        <f ca="1">C986</f>
        <v>0</v>
      </c>
      <c r="D985" s="179">
        <f t="shared" ref="D985:E985" ca="1" si="252">D986</f>
        <v>0</v>
      </c>
      <c r="E985" s="179">
        <f t="shared" ca="1" si="252"/>
        <v>0</v>
      </c>
      <c r="F985" t="s">
        <v>108</v>
      </c>
    </row>
    <row r="986" spans="1:6" hidden="1" x14ac:dyDescent="0.25">
      <c r="A986" s="36" t="s">
        <v>558</v>
      </c>
      <c r="B986" s="214" t="s">
        <v>39</v>
      </c>
      <c r="C986" s="179">
        <f ca="1">SUM(C987:C993)</f>
        <v>0</v>
      </c>
      <c r="D986" s="179">
        <f t="shared" ref="D986:E986" ca="1" si="253">SUM(D987:D993)</f>
        <v>0</v>
      </c>
      <c r="E986" s="179">
        <f t="shared" ca="1" si="253"/>
        <v>0</v>
      </c>
      <c r="F986" t="s">
        <v>108</v>
      </c>
    </row>
    <row r="987" spans="1:6" hidden="1" x14ac:dyDescent="0.25">
      <c r="A987" s="36" t="s">
        <v>559</v>
      </c>
      <c r="B987" s="221" t="s">
        <v>16</v>
      </c>
      <c r="C987" s="124">
        <f ca="1">_xlfn.IFNA(VLOOKUP(A987,Worksheet!$B$1:$G$600,3,FALSE),C987)</f>
        <v>0</v>
      </c>
      <c r="D987" s="124">
        <f ca="1">_xlfn.IFNA(VLOOKUP(A987,Worksheet!$B$1:$G$600,4,FALSE),D987)</f>
        <v>0</v>
      </c>
      <c r="E987" s="124">
        <f ca="1">_xlfn.IFNA(VLOOKUP(A987,Worksheet!$B$1:$G$600,5,FALSE),E987)</f>
        <v>0</v>
      </c>
      <c r="F987" t="s">
        <v>108</v>
      </c>
    </row>
    <row r="988" spans="1:6" hidden="1" x14ac:dyDescent="0.25">
      <c r="A988" s="36" t="s">
        <v>560</v>
      </c>
      <c r="B988" s="222" t="s">
        <v>45</v>
      </c>
      <c r="C988" s="124">
        <f ca="1">_xlfn.IFNA(VLOOKUP(A988,Worksheet!$B$1:$G$600,3,FALSE),C988)</f>
        <v>0</v>
      </c>
      <c r="D988" s="124">
        <f ca="1">_xlfn.IFNA(VLOOKUP(A988,Worksheet!$B$1:$G$600,4,FALSE),D988)</f>
        <v>0</v>
      </c>
      <c r="E988" s="124">
        <f ca="1">_xlfn.IFNA(VLOOKUP(A988,Worksheet!$B$1:$G$600,5,FALSE),E988)</f>
        <v>0</v>
      </c>
      <c r="F988" t="s">
        <v>108</v>
      </c>
    </row>
    <row r="989" spans="1:6" hidden="1" x14ac:dyDescent="0.25">
      <c r="A989" s="36" t="s">
        <v>561</v>
      </c>
      <c r="B989" s="222" t="s">
        <v>46</v>
      </c>
      <c r="C989" s="124">
        <f ca="1">_xlfn.IFNA(VLOOKUP(A989,Worksheet!$B$1:$G$600,3,FALSE),C989)</f>
        <v>0</v>
      </c>
      <c r="D989" s="124">
        <f ca="1">_xlfn.IFNA(VLOOKUP(A989,Worksheet!$B$1:$G$600,4,FALSE),D989)</f>
        <v>0</v>
      </c>
      <c r="E989" s="124">
        <f ca="1">_xlfn.IFNA(VLOOKUP(A989,Worksheet!$B$1:$G$600,5,FALSE),E989)</f>
        <v>0</v>
      </c>
      <c r="F989" t="s">
        <v>108</v>
      </c>
    </row>
    <row r="990" spans="1:6" hidden="1" x14ac:dyDescent="0.25">
      <c r="A990" s="36" t="s">
        <v>562</v>
      </c>
      <c r="B990" s="221" t="s">
        <v>47</v>
      </c>
      <c r="C990" s="124">
        <f ca="1">_xlfn.IFNA(VLOOKUP(A990,Worksheet!$B$1:$G$600,3,FALSE),C990)</f>
        <v>0</v>
      </c>
      <c r="D990" s="124">
        <f ca="1">_xlfn.IFNA(VLOOKUP(A990,Worksheet!$B$1:$G$600,4,FALSE),D990)</f>
        <v>0</v>
      </c>
      <c r="E990" s="124">
        <f ca="1">_xlfn.IFNA(VLOOKUP(A990,Worksheet!$B$1:$G$600,5,FALSE),E990)</f>
        <v>0</v>
      </c>
      <c r="F990" t="s">
        <v>108</v>
      </c>
    </row>
    <row r="991" spans="1:6" hidden="1" x14ac:dyDescent="0.25">
      <c r="A991" s="36" t="s">
        <v>563</v>
      </c>
      <c r="B991" s="221" t="s">
        <v>48</v>
      </c>
      <c r="C991" s="124">
        <f ca="1">_xlfn.IFNA(VLOOKUP(A991,Worksheet!$B$1:$G$600,3,FALSE),C991)</f>
        <v>0</v>
      </c>
      <c r="D991" s="124">
        <f ca="1">_xlfn.IFNA(VLOOKUP(A991,Worksheet!$B$1:$G$600,4,FALSE),D991)</f>
        <v>0</v>
      </c>
      <c r="E991" s="124">
        <f ca="1">_xlfn.IFNA(VLOOKUP(A991,Worksheet!$B$1:$G$600,5,FALSE),E991)</f>
        <v>0</v>
      </c>
      <c r="F991" t="s">
        <v>108</v>
      </c>
    </row>
    <row r="992" spans="1:6" hidden="1" x14ac:dyDescent="0.25">
      <c r="A992" s="36" t="s">
        <v>564</v>
      </c>
      <c r="B992" s="221" t="s">
        <v>49</v>
      </c>
      <c r="C992" s="124">
        <f ca="1">_xlfn.IFNA(VLOOKUP(A992,Worksheet!$B$1:$G$600,3,FALSE),C992)</f>
        <v>0</v>
      </c>
      <c r="D992" s="124">
        <f ca="1">_xlfn.IFNA(VLOOKUP(A992,Worksheet!$B$1:$G$600,4,FALSE),D992)</f>
        <v>0</v>
      </c>
      <c r="E992" s="124">
        <f ca="1">_xlfn.IFNA(VLOOKUP(A992,Worksheet!$B$1:$G$600,5,FALSE),E992)</f>
        <v>0</v>
      </c>
      <c r="F992" t="s">
        <v>108</v>
      </c>
    </row>
    <row r="993" spans="1:6" hidden="1" x14ac:dyDescent="0.25">
      <c r="A993" s="36" t="s">
        <v>565</v>
      </c>
      <c r="B993" s="221" t="s">
        <v>50</v>
      </c>
      <c r="C993" s="124">
        <f ca="1">_xlfn.IFNA(VLOOKUP(A993,Worksheet!$B$1:$G$600,3,FALSE),C993)</f>
        <v>0</v>
      </c>
      <c r="D993" s="124">
        <f ca="1">_xlfn.IFNA(VLOOKUP(A993,Worksheet!$B$1:$G$600,4,FALSE),D993)</f>
        <v>0</v>
      </c>
      <c r="E993" s="124">
        <f ca="1">_xlfn.IFNA(VLOOKUP(A993,Worksheet!$B$1:$G$600,5,FALSE),E993)</f>
        <v>0</v>
      </c>
      <c r="F993" t="s">
        <v>108</v>
      </c>
    </row>
    <row r="994" spans="1:6" hidden="1" x14ac:dyDescent="0.25">
      <c r="A994" s="36" t="s">
        <v>566</v>
      </c>
      <c r="B994" s="214" t="s">
        <v>15</v>
      </c>
      <c r="C994" s="179">
        <f ca="1">C995</f>
        <v>0</v>
      </c>
      <c r="D994" s="179">
        <f t="shared" ref="D994:E994" ca="1" si="254">D995</f>
        <v>0</v>
      </c>
      <c r="E994" s="179">
        <f t="shared" ca="1" si="254"/>
        <v>0</v>
      </c>
      <c r="F994" t="s">
        <v>108</v>
      </c>
    </row>
    <row r="995" spans="1:6" hidden="1" x14ac:dyDescent="0.25">
      <c r="A995" s="36" t="s">
        <v>567</v>
      </c>
      <c r="B995" s="214" t="s">
        <v>39</v>
      </c>
      <c r="C995" s="179">
        <f ca="1">SUM(C996:C1002)</f>
        <v>0</v>
      </c>
      <c r="D995" s="179">
        <f t="shared" ref="D995:E995" ca="1" si="255">SUM(D996:D1002)</f>
        <v>0</v>
      </c>
      <c r="E995" s="179">
        <f t="shared" ca="1" si="255"/>
        <v>0</v>
      </c>
      <c r="F995" t="s">
        <v>108</v>
      </c>
    </row>
    <row r="996" spans="1:6" hidden="1" x14ac:dyDescent="0.25">
      <c r="A996" s="36" t="s">
        <v>568</v>
      </c>
      <c r="B996" s="221" t="s">
        <v>16</v>
      </c>
      <c r="C996" s="124">
        <f ca="1">_xlfn.IFNA(VLOOKUP(A996,Worksheet!$B$1:$G$600,3,FALSE),C996)</f>
        <v>0</v>
      </c>
      <c r="D996" s="124">
        <f ca="1">_xlfn.IFNA(VLOOKUP(A996,Worksheet!$B$1:$G$600,4,FALSE),D996)</f>
        <v>0</v>
      </c>
      <c r="E996" s="124">
        <f ca="1">_xlfn.IFNA(VLOOKUP(A996,Worksheet!$B$1:$G$600,5,FALSE),E996)</f>
        <v>0</v>
      </c>
      <c r="F996" t="s">
        <v>108</v>
      </c>
    </row>
    <row r="997" spans="1:6" hidden="1" x14ac:dyDescent="0.25">
      <c r="A997" s="36" t="s">
        <v>569</v>
      </c>
      <c r="B997" s="222" t="s">
        <v>45</v>
      </c>
      <c r="C997" s="124">
        <f ca="1">_xlfn.IFNA(VLOOKUP(A997,Worksheet!$B$1:$G$600,3,FALSE),C997)</f>
        <v>0</v>
      </c>
      <c r="D997" s="124">
        <f ca="1">_xlfn.IFNA(VLOOKUP(A997,Worksheet!$B$1:$G$600,4,FALSE),D997)</f>
        <v>0</v>
      </c>
      <c r="E997" s="124">
        <f ca="1">_xlfn.IFNA(VLOOKUP(A997,Worksheet!$B$1:$G$600,5,FALSE),E997)</f>
        <v>0</v>
      </c>
      <c r="F997" t="s">
        <v>108</v>
      </c>
    </row>
    <row r="998" spans="1:6" hidden="1" x14ac:dyDescent="0.25">
      <c r="A998" s="36" t="s">
        <v>570</v>
      </c>
      <c r="B998" s="222" t="s">
        <v>46</v>
      </c>
      <c r="C998" s="124">
        <f ca="1">_xlfn.IFNA(VLOOKUP(A998,Worksheet!$B$1:$G$600,3,FALSE),C998)</f>
        <v>0</v>
      </c>
      <c r="D998" s="124">
        <f ca="1">_xlfn.IFNA(VLOOKUP(A998,Worksheet!$B$1:$G$600,4,FALSE),D998)</f>
        <v>0</v>
      </c>
      <c r="E998" s="124">
        <f ca="1">_xlfn.IFNA(VLOOKUP(A998,Worksheet!$B$1:$G$600,5,FALSE),E998)</f>
        <v>0</v>
      </c>
      <c r="F998" t="s">
        <v>108</v>
      </c>
    </row>
    <row r="999" spans="1:6" hidden="1" x14ac:dyDescent="0.25">
      <c r="A999" s="36" t="s">
        <v>571</v>
      </c>
      <c r="B999" s="221" t="s">
        <v>47</v>
      </c>
      <c r="C999" s="124">
        <f ca="1">_xlfn.IFNA(VLOOKUP(A999,Worksheet!$B$1:$G$600,3,FALSE),C999)</f>
        <v>0</v>
      </c>
      <c r="D999" s="124">
        <f ca="1">_xlfn.IFNA(VLOOKUP(A999,Worksheet!$B$1:$G$600,4,FALSE),D999)</f>
        <v>0</v>
      </c>
      <c r="E999" s="124">
        <f ca="1">_xlfn.IFNA(VLOOKUP(A999,Worksheet!$B$1:$G$600,5,FALSE),E999)</f>
        <v>0</v>
      </c>
      <c r="F999" t="s">
        <v>108</v>
      </c>
    </row>
    <row r="1000" spans="1:6" hidden="1" x14ac:dyDescent="0.25">
      <c r="A1000" s="36" t="s">
        <v>572</v>
      </c>
      <c r="B1000" s="221" t="s">
        <v>48</v>
      </c>
      <c r="C1000" s="124">
        <f ca="1">_xlfn.IFNA(VLOOKUP(A1000,Worksheet!$B$1:$G$600,3,FALSE),C1000)</f>
        <v>0</v>
      </c>
      <c r="D1000" s="124">
        <f ca="1">_xlfn.IFNA(VLOOKUP(A1000,Worksheet!$B$1:$G$600,4,FALSE),D1000)</f>
        <v>0</v>
      </c>
      <c r="E1000" s="124">
        <f ca="1">_xlfn.IFNA(VLOOKUP(A1000,Worksheet!$B$1:$G$600,5,FALSE),E1000)</f>
        <v>0</v>
      </c>
      <c r="F1000" t="s">
        <v>108</v>
      </c>
    </row>
    <row r="1001" spans="1:6" hidden="1" x14ac:dyDescent="0.25">
      <c r="A1001" s="36" t="s">
        <v>573</v>
      </c>
      <c r="B1001" s="221" t="s">
        <v>49</v>
      </c>
      <c r="C1001" s="124">
        <f ca="1">_xlfn.IFNA(VLOOKUP(A1001,Worksheet!$B$1:$G$600,3,FALSE),C1001)</f>
        <v>0</v>
      </c>
      <c r="D1001" s="124">
        <f ca="1">_xlfn.IFNA(VLOOKUP(A1001,Worksheet!$B$1:$G$600,4,FALSE),D1001)</f>
        <v>0</v>
      </c>
      <c r="E1001" s="124">
        <f ca="1">_xlfn.IFNA(VLOOKUP(A1001,Worksheet!$B$1:$G$600,5,FALSE),E1001)</f>
        <v>0</v>
      </c>
      <c r="F1001" t="s">
        <v>108</v>
      </c>
    </row>
    <row r="1002" spans="1:6" hidden="1" x14ac:dyDescent="0.25">
      <c r="A1002" s="36" t="s">
        <v>574</v>
      </c>
      <c r="B1002" s="221" t="s">
        <v>50</v>
      </c>
      <c r="C1002" s="124">
        <f ca="1">_xlfn.IFNA(VLOOKUP(A1002,Worksheet!$B$1:$G$600,3,FALSE),C1002)</f>
        <v>0</v>
      </c>
      <c r="D1002" s="124">
        <f ca="1">_xlfn.IFNA(VLOOKUP(A1002,Worksheet!$B$1:$G$600,4,FALSE),D1002)</f>
        <v>0</v>
      </c>
      <c r="E1002" s="124">
        <f ca="1">_xlfn.IFNA(VLOOKUP(A1002,Worksheet!$B$1:$G$600,5,FALSE),E1002)</f>
        <v>0</v>
      </c>
      <c r="F1002" t="s">
        <v>108</v>
      </c>
    </row>
    <row r="1003" spans="1:6" ht="14.25" hidden="1" customHeight="1" x14ac:dyDescent="0.25">
      <c r="A1003" s="36" t="s">
        <v>1328</v>
      </c>
      <c r="B1003" s="214" t="s">
        <v>873</v>
      </c>
      <c r="C1003" s="179">
        <f ca="1">C1004</f>
        <v>0</v>
      </c>
      <c r="D1003" s="179">
        <f t="shared" ref="D1003:E1005" ca="1" si="256">D1004</f>
        <v>0</v>
      </c>
      <c r="E1003" s="179">
        <f t="shared" ca="1" si="256"/>
        <v>0</v>
      </c>
      <c r="F1003" t="s">
        <v>108</v>
      </c>
    </row>
    <row r="1004" spans="1:6" hidden="1" x14ac:dyDescent="0.25">
      <c r="A1004" s="36" t="s">
        <v>1329</v>
      </c>
      <c r="B1004" s="223" t="s">
        <v>141</v>
      </c>
      <c r="C1004" s="124">
        <f ca="1">_xlfn.IFNA(VLOOKUP(A1004,Worksheet!$B$1:$G$600,3,FALSE),C1004)</f>
        <v>0</v>
      </c>
      <c r="D1004" s="124">
        <f ca="1">_xlfn.IFNA(VLOOKUP(A1004,Worksheet!$B$1:$G$600,4,FALSE),D1004)</f>
        <v>0</v>
      </c>
      <c r="E1004" s="124">
        <f ca="1">_xlfn.IFNA(VLOOKUP(A1004,Worksheet!$B$1:$G$600,5,FALSE),E1004)</f>
        <v>0</v>
      </c>
      <c r="F1004" t="s">
        <v>108</v>
      </c>
    </row>
    <row r="1005" spans="1:6" ht="14.25" hidden="1" customHeight="1" x14ac:dyDescent="0.25">
      <c r="A1005" s="36" t="s">
        <v>1330</v>
      </c>
      <c r="B1005" s="214" t="s">
        <v>874</v>
      </c>
      <c r="C1005" s="179">
        <f ca="1">C1006</f>
        <v>0</v>
      </c>
      <c r="D1005" s="179">
        <f t="shared" ca="1" si="256"/>
        <v>0</v>
      </c>
      <c r="E1005" s="179">
        <f t="shared" ca="1" si="256"/>
        <v>0</v>
      </c>
      <c r="F1005" t="s">
        <v>108</v>
      </c>
    </row>
    <row r="1006" spans="1:6" hidden="1" x14ac:dyDescent="0.25">
      <c r="A1006" s="36" t="s">
        <v>1331</v>
      </c>
      <c r="B1006" s="223" t="s">
        <v>141</v>
      </c>
      <c r="C1006" s="124">
        <f ca="1">_xlfn.IFNA(VLOOKUP(A1006,Worksheet!$B$1:$G$600,3,FALSE),C1006)</f>
        <v>0</v>
      </c>
      <c r="D1006" s="124">
        <f ca="1">_xlfn.IFNA(VLOOKUP(A1006,Worksheet!$B$1:$G$600,4,FALSE),D1006)</f>
        <v>0</v>
      </c>
      <c r="E1006" s="124">
        <f ca="1">_xlfn.IFNA(VLOOKUP(A1006,Worksheet!$B$1:$G$600,5,FALSE),E1006)</f>
        <v>0</v>
      </c>
      <c r="F1006" t="s">
        <v>108</v>
      </c>
    </row>
    <row r="1007" spans="1:6" hidden="1" x14ac:dyDescent="0.25">
      <c r="A1007" s="36"/>
      <c r="B1007" s="224" t="s">
        <v>23</v>
      </c>
      <c r="C1007" s="166"/>
      <c r="D1007" s="166"/>
      <c r="E1007" s="166"/>
      <c r="F1007" t="s">
        <v>108</v>
      </c>
    </row>
    <row r="1008" spans="1:6" hidden="1" x14ac:dyDescent="0.25">
      <c r="A1008" s="36">
        <v>11.4</v>
      </c>
      <c r="B1008" s="152" t="s">
        <v>223</v>
      </c>
      <c r="C1008" s="179">
        <f ca="1">C1009</f>
        <v>0</v>
      </c>
      <c r="D1008" s="179">
        <f t="shared" ref="D1008:E1009" ca="1" si="257">D1009</f>
        <v>0</v>
      </c>
      <c r="E1008" s="179">
        <f t="shared" ca="1" si="257"/>
        <v>0</v>
      </c>
      <c r="F1008" t="s">
        <v>108</v>
      </c>
    </row>
    <row r="1009" spans="1:6" hidden="1" x14ac:dyDescent="0.25">
      <c r="A1009" s="36" t="s">
        <v>575</v>
      </c>
      <c r="B1009" s="225" t="s">
        <v>878</v>
      </c>
      <c r="C1009" s="179">
        <f ca="1">C1010</f>
        <v>0</v>
      </c>
      <c r="D1009" s="179">
        <f t="shared" ca="1" si="257"/>
        <v>0</v>
      </c>
      <c r="E1009" s="179">
        <f t="shared" ca="1" si="257"/>
        <v>0</v>
      </c>
      <c r="F1009" t="s">
        <v>108</v>
      </c>
    </row>
    <row r="1010" spans="1:6" hidden="1" x14ac:dyDescent="0.25">
      <c r="A1010" s="36" t="s">
        <v>576</v>
      </c>
      <c r="B1010" s="226" t="s">
        <v>39</v>
      </c>
      <c r="C1010" s="124">
        <f ca="1">_xlfn.IFNA(VLOOKUP(A1010,Worksheet!$B$1:$G$600,3,FALSE),C1010)</f>
        <v>0</v>
      </c>
      <c r="D1010" s="124">
        <f ca="1">_xlfn.IFNA(VLOOKUP(A1010,Worksheet!$B$1:$G$600,4,FALSE),D1010)</f>
        <v>0</v>
      </c>
      <c r="E1010" s="124">
        <f ca="1">_xlfn.IFNA(VLOOKUP(A1010,Worksheet!$B$1:$G$600,5,FALSE),E1010)</f>
        <v>0</v>
      </c>
      <c r="F1010" t="s">
        <v>108</v>
      </c>
    </row>
    <row r="1011" spans="1:6" hidden="1" x14ac:dyDescent="0.25">
      <c r="A1011" s="36"/>
      <c r="B1011" s="203" t="s">
        <v>25</v>
      </c>
      <c r="C1011" s="166"/>
      <c r="D1011" s="159"/>
      <c r="E1011" s="159"/>
      <c r="F1011" t="s">
        <v>108</v>
      </c>
    </row>
    <row r="1012" spans="1:6" hidden="1" x14ac:dyDescent="0.25">
      <c r="A1012" s="36">
        <v>11.5</v>
      </c>
      <c r="B1012" s="157" t="s">
        <v>71</v>
      </c>
      <c r="C1012" s="124">
        <f ca="1">((C1013)-(C1018+C1023+C1028))</f>
        <v>11</v>
      </c>
      <c r="D1012" s="124">
        <f t="shared" ref="D1012:E1012" ca="1" si="258">((D1013)-(D1018+D1023+D1028))</f>
        <v>698</v>
      </c>
      <c r="E1012" s="124">
        <f t="shared" ca="1" si="258"/>
        <v>1</v>
      </c>
      <c r="F1012" t="s">
        <v>108</v>
      </c>
    </row>
    <row r="1013" spans="1:6" hidden="1" x14ac:dyDescent="0.25">
      <c r="A1013" s="36" t="s">
        <v>577</v>
      </c>
      <c r="B1013" s="225" t="s">
        <v>879</v>
      </c>
      <c r="C1013" s="177">
        <f ca="1">AVERAGE(C1014:C1017)</f>
        <v>122</v>
      </c>
      <c r="D1013" s="177">
        <v>798</v>
      </c>
      <c r="E1013" s="177">
        <v>133</v>
      </c>
      <c r="F1013" t="s">
        <v>108</v>
      </c>
    </row>
    <row r="1014" spans="1:6" hidden="1" x14ac:dyDescent="0.25">
      <c r="A1014" s="36" t="s">
        <v>1332</v>
      </c>
      <c r="B1014" s="158" t="s">
        <v>39</v>
      </c>
      <c r="C1014" s="124">
        <f ca="1">_xlfn.IFNA(VLOOKUP(A1014,Worksheet!$B$1:$G$600,3,FALSE),C1014)</f>
        <v>0</v>
      </c>
      <c r="D1014" s="124">
        <f ca="1">_xlfn.IFNA(VLOOKUP(A1014,Worksheet!$B$1:$G$600,4,FALSE),D1014)</f>
        <v>0</v>
      </c>
      <c r="E1014" s="124">
        <f ca="1">_xlfn.IFNA(VLOOKUP(A1014,Worksheet!$B$1:$G$600,5,FALSE),E1014)</f>
        <v>0</v>
      </c>
      <c r="F1014" t="s">
        <v>108</v>
      </c>
    </row>
    <row r="1015" spans="1:6" hidden="1" x14ac:dyDescent="0.25">
      <c r="A1015" s="36" t="s">
        <v>1333</v>
      </c>
      <c r="B1015" s="226" t="s">
        <v>148</v>
      </c>
      <c r="C1015" s="124">
        <f ca="1">_xlfn.IFNA(VLOOKUP(A1015,Worksheet!$B$1:$G$600,3,FALSE),C1015)</f>
        <v>0</v>
      </c>
      <c r="D1015" s="124">
        <f ca="1">_xlfn.IFNA(VLOOKUP(A1015,Worksheet!$B$1:$G$600,4,FALSE),D1015)</f>
        <v>0</v>
      </c>
      <c r="E1015" s="124">
        <f ca="1">_xlfn.IFNA(VLOOKUP(A1015,Worksheet!$B$1:$G$600,5,FALSE),E1015)</f>
        <v>0</v>
      </c>
      <c r="F1015" t="s">
        <v>108</v>
      </c>
    </row>
    <row r="1016" spans="1:6" hidden="1" x14ac:dyDescent="0.25">
      <c r="A1016" s="36" t="s">
        <v>1334</v>
      </c>
      <c r="B1016" s="223" t="s">
        <v>715</v>
      </c>
      <c r="C1016" s="124">
        <f ca="1">_xlfn.IFNA(VLOOKUP(A1016,Worksheet!$B$1:$G$600,3,FALSE),C1016)</f>
        <v>0</v>
      </c>
      <c r="D1016" s="124">
        <f ca="1">_xlfn.IFNA(VLOOKUP(A1016,Worksheet!$B$1:$G$600,4,FALSE),D1016)</f>
        <v>0</v>
      </c>
      <c r="E1016" s="124">
        <f ca="1">_xlfn.IFNA(VLOOKUP(A1016,Worksheet!$B$1:$G$600,5,FALSE),E1016)</f>
        <v>0</v>
      </c>
      <c r="F1016" t="s">
        <v>108</v>
      </c>
    </row>
    <row r="1017" spans="1:6" hidden="1" x14ac:dyDescent="0.25">
      <c r="A1017" s="36" t="s">
        <v>1335</v>
      </c>
      <c r="B1017" s="223" t="s">
        <v>761</v>
      </c>
      <c r="C1017" s="124">
        <f ca="1">_xlfn.IFNA(VLOOKUP(A1017,Worksheet!$B$1:$G$600,3,FALSE),C1017)</f>
        <v>0</v>
      </c>
      <c r="D1017" s="124">
        <f ca="1">_xlfn.IFNA(VLOOKUP(A1017,Worksheet!$B$1:$G$600,4,FALSE),D1017)</f>
        <v>0</v>
      </c>
      <c r="E1017" s="124">
        <f ca="1">_xlfn.IFNA(VLOOKUP(A1017,Worksheet!$B$1:$G$600,5,FALSE),E1017)</f>
        <v>0</v>
      </c>
      <c r="F1017" t="s">
        <v>108</v>
      </c>
    </row>
    <row r="1018" spans="1:6" hidden="1" x14ac:dyDescent="0.25">
      <c r="A1018" s="36" t="s">
        <v>578</v>
      </c>
      <c r="B1018" s="214" t="s">
        <v>875</v>
      </c>
      <c r="C1018" s="175">
        <f ca="1">AVERAGE(C1019:C1022)</f>
        <v>43</v>
      </c>
      <c r="D1018" s="175">
        <f t="shared" ref="D1018:E1018" ca="1" si="259">AVERAGE(D1019:D1022)</f>
        <v>32</v>
      </c>
      <c r="E1018" s="175">
        <f t="shared" ca="1" si="259"/>
        <v>67</v>
      </c>
      <c r="F1018" t="s">
        <v>108</v>
      </c>
    </row>
    <row r="1019" spans="1:6" hidden="1" x14ac:dyDescent="0.25">
      <c r="A1019" s="36" t="s">
        <v>1336</v>
      </c>
      <c r="B1019" s="223" t="s">
        <v>39</v>
      </c>
      <c r="C1019" s="124">
        <f ca="1">_xlfn.IFNA(VLOOKUP(A1019,Worksheet!$B$1:$G$600,3,FALSE),C1019)</f>
        <v>0</v>
      </c>
      <c r="D1019" s="124">
        <f ca="1">_xlfn.IFNA(VLOOKUP(A1019,Worksheet!$B$1:$G$600,4,FALSE),D1019)</f>
        <v>0</v>
      </c>
      <c r="E1019" s="124">
        <f ca="1">_xlfn.IFNA(VLOOKUP(A1019,Worksheet!$B$1:$G$600,5,FALSE),E1019)</f>
        <v>0</v>
      </c>
      <c r="F1019" t="s">
        <v>108</v>
      </c>
    </row>
    <row r="1020" spans="1:6" hidden="1" x14ac:dyDescent="0.25">
      <c r="A1020" s="36" t="s">
        <v>1337</v>
      </c>
      <c r="B1020" s="223" t="s">
        <v>148</v>
      </c>
      <c r="C1020" s="124">
        <f ca="1">_xlfn.IFNA(VLOOKUP(A1020,Worksheet!$B$1:$G$600,3,FALSE),C1020)</f>
        <v>0</v>
      </c>
      <c r="D1020" s="124">
        <f ca="1">_xlfn.IFNA(VLOOKUP(A1020,Worksheet!$B$1:$G$600,4,FALSE),D1020)</f>
        <v>0</v>
      </c>
      <c r="E1020" s="124">
        <f ca="1">_xlfn.IFNA(VLOOKUP(A1020,Worksheet!$B$1:$G$600,5,FALSE),E1020)</f>
        <v>0</v>
      </c>
      <c r="F1020" t="s">
        <v>108</v>
      </c>
    </row>
    <row r="1021" spans="1:6" hidden="1" x14ac:dyDescent="0.25">
      <c r="A1021" s="36" t="s">
        <v>1338</v>
      </c>
      <c r="B1021" s="223" t="s">
        <v>715</v>
      </c>
      <c r="C1021" s="124">
        <f ca="1">_xlfn.IFNA(VLOOKUP(A1021,Worksheet!$B$1:$G$600,3,FALSE),C1021)</f>
        <v>0</v>
      </c>
      <c r="D1021" s="124">
        <f ca="1">_xlfn.IFNA(VLOOKUP(A1021,Worksheet!$B$1:$G$600,4,FALSE),D1021)</f>
        <v>0</v>
      </c>
      <c r="E1021" s="124">
        <f ca="1">_xlfn.IFNA(VLOOKUP(A1021,Worksheet!$B$1:$G$600,5,FALSE),E1021)</f>
        <v>0</v>
      </c>
      <c r="F1021" t="s">
        <v>108</v>
      </c>
    </row>
    <row r="1022" spans="1:6" hidden="1" x14ac:dyDescent="0.25">
      <c r="A1022" s="36" t="s">
        <v>1339</v>
      </c>
      <c r="B1022" s="223" t="s">
        <v>761</v>
      </c>
      <c r="C1022" s="124">
        <f ca="1">_xlfn.IFNA(VLOOKUP(A1022,Worksheet!$B$1:$G$600,3,FALSE),C1022)</f>
        <v>0</v>
      </c>
      <c r="D1022" s="124">
        <f ca="1">_xlfn.IFNA(VLOOKUP(A1022,Worksheet!$B$1:$G$600,4,FALSE),D1022)</f>
        <v>0</v>
      </c>
      <c r="E1022" s="124">
        <f ca="1">_xlfn.IFNA(VLOOKUP(A1022,Worksheet!$B$1:$G$600,5,FALSE),E1022)</f>
        <v>0</v>
      </c>
      <c r="F1022" t="s">
        <v>108</v>
      </c>
    </row>
    <row r="1023" spans="1:6" hidden="1" x14ac:dyDescent="0.25">
      <c r="A1023" s="36" t="s">
        <v>1340</v>
      </c>
      <c r="B1023" s="214" t="s">
        <v>876</v>
      </c>
      <c r="C1023" s="175">
        <f ca="1">AVERAGE(C1024:C1027)</f>
        <v>34</v>
      </c>
      <c r="D1023" s="175">
        <f t="shared" ref="D1023:E1023" ca="1" si="260">AVERAGE(D1024:D1027)</f>
        <v>23</v>
      </c>
      <c r="E1023" s="175">
        <f t="shared" ca="1" si="260"/>
        <v>11</v>
      </c>
      <c r="F1023" t="s">
        <v>108</v>
      </c>
    </row>
    <row r="1024" spans="1:6" hidden="1" x14ac:dyDescent="0.25">
      <c r="A1024" s="36" t="s">
        <v>1341</v>
      </c>
      <c r="B1024" s="223" t="s">
        <v>39</v>
      </c>
      <c r="C1024" s="124">
        <f ca="1">_xlfn.IFNA(VLOOKUP(A1024,Worksheet!$B$1:$G$600,3,FALSE),C1024)</f>
        <v>0</v>
      </c>
      <c r="D1024" s="124">
        <f ca="1">_xlfn.IFNA(VLOOKUP(A1024,Worksheet!$B$1:$G$600,4,FALSE),D1024)</f>
        <v>0</v>
      </c>
      <c r="E1024" s="124">
        <f ca="1">_xlfn.IFNA(VLOOKUP(A1024,Worksheet!$B$1:$G$600,5,FALSE),E1024)</f>
        <v>0</v>
      </c>
      <c r="F1024" t="s">
        <v>108</v>
      </c>
    </row>
    <row r="1025" spans="1:6" hidden="1" x14ac:dyDescent="0.25">
      <c r="A1025" s="36" t="s">
        <v>1342</v>
      </c>
      <c r="B1025" s="223" t="s">
        <v>148</v>
      </c>
      <c r="C1025" s="124">
        <f ca="1">_xlfn.IFNA(VLOOKUP(A1025,Worksheet!$B$1:$G$600,3,FALSE),C1025)</f>
        <v>0</v>
      </c>
      <c r="D1025" s="124">
        <f ca="1">_xlfn.IFNA(VLOOKUP(A1025,Worksheet!$B$1:$G$600,4,FALSE),D1025)</f>
        <v>0</v>
      </c>
      <c r="E1025" s="124">
        <f ca="1">_xlfn.IFNA(VLOOKUP(A1025,Worksheet!$B$1:$G$600,5,FALSE),E1025)</f>
        <v>0</v>
      </c>
      <c r="F1025" t="s">
        <v>108</v>
      </c>
    </row>
    <row r="1026" spans="1:6" hidden="1" x14ac:dyDescent="0.25">
      <c r="A1026" s="36" t="s">
        <v>1343</v>
      </c>
      <c r="B1026" s="223" t="s">
        <v>715</v>
      </c>
      <c r="C1026" s="124">
        <f ca="1">_xlfn.IFNA(VLOOKUP(A1026,Worksheet!$B$1:$G$600,3,FALSE),C1026)</f>
        <v>0</v>
      </c>
      <c r="D1026" s="124">
        <f ca="1">_xlfn.IFNA(VLOOKUP(A1026,Worksheet!$B$1:$G$600,4,FALSE),D1026)</f>
        <v>0</v>
      </c>
      <c r="E1026" s="124">
        <f ca="1">_xlfn.IFNA(VLOOKUP(A1026,Worksheet!$B$1:$G$600,5,FALSE),E1026)</f>
        <v>0</v>
      </c>
      <c r="F1026" t="s">
        <v>108</v>
      </c>
    </row>
    <row r="1027" spans="1:6" hidden="1" x14ac:dyDescent="0.25">
      <c r="A1027" s="36" t="s">
        <v>1344</v>
      </c>
      <c r="B1027" s="223" t="s">
        <v>761</v>
      </c>
      <c r="C1027" s="124">
        <f ca="1">_xlfn.IFNA(VLOOKUP(A1027,Worksheet!$B$1:$G$600,3,FALSE),C1027)</f>
        <v>0</v>
      </c>
      <c r="D1027" s="124">
        <f ca="1">_xlfn.IFNA(VLOOKUP(A1027,Worksheet!$B$1:$G$600,4,FALSE),D1027)</f>
        <v>0</v>
      </c>
      <c r="E1027" s="124">
        <f ca="1">_xlfn.IFNA(VLOOKUP(A1027,Worksheet!$B$1:$G$600,5,FALSE),E1027)</f>
        <v>0</v>
      </c>
      <c r="F1027" t="s">
        <v>108</v>
      </c>
    </row>
    <row r="1028" spans="1:6" hidden="1" x14ac:dyDescent="0.25">
      <c r="A1028" s="36" t="s">
        <v>1345</v>
      </c>
      <c r="B1028" s="214" t="s">
        <v>877</v>
      </c>
      <c r="C1028" s="175">
        <f ca="1">AVERAGE(C1029:C1032)</f>
        <v>34</v>
      </c>
      <c r="D1028" s="175">
        <f t="shared" ref="D1028:E1028" ca="1" si="261">AVERAGE(D1029:D1032)</f>
        <v>45</v>
      </c>
      <c r="E1028" s="175">
        <f t="shared" ca="1" si="261"/>
        <v>54</v>
      </c>
      <c r="F1028" t="s">
        <v>108</v>
      </c>
    </row>
    <row r="1029" spans="1:6" ht="16.5" hidden="1" customHeight="1" x14ac:dyDescent="0.25">
      <c r="A1029" s="36" t="s">
        <v>1346</v>
      </c>
      <c r="B1029" s="220" t="s">
        <v>39</v>
      </c>
      <c r="C1029" s="124">
        <f ca="1">_xlfn.IFNA(VLOOKUP(A1029,Worksheet!$B$1:$G$600,3,FALSE),C1029)</f>
        <v>0</v>
      </c>
      <c r="D1029" s="124">
        <f ca="1">_xlfn.IFNA(VLOOKUP(A1029,Worksheet!$B$1:$G$600,4,FALSE),D1029)</f>
        <v>0</v>
      </c>
      <c r="E1029" s="124">
        <f ca="1">_xlfn.IFNA(VLOOKUP(A1029,Worksheet!$B$1:$G$600,5,FALSE),E1029)</f>
        <v>0</v>
      </c>
      <c r="F1029" t="s">
        <v>108</v>
      </c>
    </row>
    <row r="1030" spans="1:6" ht="16.5" hidden="1" customHeight="1" x14ac:dyDescent="0.25">
      <c r="A1030" s="36" t="s">
        <v>1347</v>
      </c>
      <c r="B1030" s="156" t="s">
        <v>148</v>
      </c>
      <c r="C1030" s="124">
        <f ca="1">_xlfn.IFNA(VLOOKUP(A1030,Worksheet!$B$1:$G$600,3,FALSE),C1030)</f>
        <v>0</v>
      </c>
      <c r="D1030" s="124">
        <f ca="1">_xlfn.IFNA(VLOOKUP(A1030,Worksheet!$B$1:$G$600,4,FALSE),D1030)</f>
        <v>0</v>
      </c>
      <c r="E1030" s="124">
        <f ca="1">_xlfn.IFNA(VLOOKUP(A1030,Worksheet!$B$1:$G$600,5,FALSE),E1030)</f>
        <v>0</v>
      </c>
      <c r="F1030" t="s">
        <v>108</v>
      </c>
    </row>
    <row r="1031" spans="1:6" ht="16.5" hidden="1" customHeight="1" x14ac:dyDescent="0.25">
      <c r="A1031" s="36" t="s">
        <v>1348</v>
      </c>
      <c r="B1031" s="156" t="s">
        <v>715</v>
      </c>
      <c r="C1031" s="124">
        <f ca="1">_xlfn.IFNA(VLOOKUP(A1031,Worksheet!$B$1:$G$600,3,FALSE),C1031)</f>
        <v>0</v>
      </c>
      <c r="D1031" s="124">
        <f ca="1">_xlfn.IFNA(VLOOKUP(A1031,Worksheet!$B$1:$G$600,4,FALSE),D1031)</f>
        <v>0</v>
      </c>
      <c r="E1031" s="124">
        <f ca="1">_xlfn.IFNA(VLOOKUP(A1031,Worksheet!$B$1:$G$600,5,FALSE),E1031)</f>
        <v>0</v>
      </c>
      <c r="F1031" t="s">
        <v>108</v>
      </c>
    </row>
    <row r="1032" spans="1:6" ht="16.5" hidden="1" customHeight="1" x14ac:dyDescent="0.25">
      <c r="A1032" s="36" t="s">
        <v>1349</v>
      </c>
      <c r="B1032" s="167" t="s">
        <v>761</v>
      </c>
      <c r="C1032" s="124">
        <f ca="1">_xlfn.IFNA(VLOOKUP(A1032,Worksheet!$B$1:$G$600,3,FALSE),C1032)</f>
        <v>0</v>
      </c>
      <c r="D1032" s="124">
        <f ca="1">_xlfn.IFNA(VLOOKUP(A1032,Worksheet!$B$1:$G$600,4,FALSE),D1032)</f>
        <v>0</v>
      </c>
      <c r="E1032" s="124">
        <f ca="1">_xlfn.IFNA(VLOOKUP(A1032,Worksheet!$B$1:$G$600,5,FALSE),E1032)</f>
        <v>0</v>
      </c>
      <c r="F1032" t="s">
        <v>108</v>
      </c>
    </row>
    <row r="1033" spans="1:6" s="6" customFormat="1" ht="30.75" hidden="1" customHeight="1" x14ac:dyDescent="0.25">
      <c r="A1033" s="37">
        <v>12</v>
      </c>
      <c r="B1033" s="273" t="s">
        <v>77</v>
      </c>
      <c r="C1033" s="274"/>
      <c r="D1033" s="274"/>
      <c r="E1033" s="274"/>
      <c r="F1033" s="6" t="s">
        <v>109</v>
      </c>
    </row>
    <row r="1034" spans="1:6" hidden="1" x14ac:dyDescent="0.25">
      <c r="A1034" s="37"/>
      <c r="B1034" s="200" t="s">
        <v>6</v>
      </c>
      <c r="C1034" s="166" t="s">
        <v>84</v>
      </c>
      <c r="D1034" s="166" t="s">
        <v>85</v>
      </c>
      <c r="E1034" s="166" t="s">
        <v>86</v>
      </c>
      <c r="F1034" s="6" t="s">
        <v>109</v>
      </c>
    </row>
    <row r="1035" spans="1:6" hidden="1" x14ac:dyDescent="0.25">
      <c r="A1035" s="37">
        <v>12.1</v>
      </c>
      <c r="B1035" s="157" t="s">
        <v>155</v>
      </c>
      <c r="C1035" s="179">
        <f ca="1">SUM(C1036,C1039,C1042)/3</f>
        <v>0</v>
      </c>
      <c r="D1035" s="179">
        <f ca="1">SUM(D1036,D1039,D1042)/3</f>
        <v>0</v>
      </c>
      <c r="E1035" s="179">
        <f ca="1">SUM(E1036,E1039,E1042)/3</f>
        <v>0</v>
      </c>
      <c r="F1035" s="6" t="s">
        <v>109</v>
      </c>
    </row>
    <row r="1036" spans="1:6" hidden="1" x14ac:dyDescent="0.25">
      <c r="A1036" s="37" t="s">
        <v>579</v>
      </c>
      <c r="B1036" s="225" t="s">
        <v>882</v>
      </c>
      <c r="C1036" s="128">
        <f ca="1">SUM(C1037:C1038)/2</f>
        <v>0</v>
      </c>
      <c r="D1036" s="128">
        <f t="shared" ref="D1036:E1036" ca="1" si="262">SUM(D1037:D1038)/2</f>
        <v>0</v>
      </c>
      <c r="E1036" s="128">
        <f t="shared" ca="1" si="262"/>
        <v>0</v>
      </c>
      <c r="F1036" s="6" t="s">
        <v>109</v>
      </c>
    </row>
    <row r="1037" spans="1:6" hidden="1" x14ac:dyDescent="0.25">
      <c r="A1037" s="37" t="s">
        <v>580</v>
      </c>
      <c r="B1037" s="219" t="s">
        <v>724</v>
      </c>
      <c r="C1037" s="124">
        <f ca="1">_xlfn.IFNA(VLOOKUP(A1037,Worksheet!$B$1:$G$600,3,FALSE),C1037)</f>
        <v>0</v>
      </c>
      <c r="D1037" s="124">
        <f ca="1">_xlfn.IFNA(VLOOKUP(A1037,Worksheet!$B$1:$G$600,4,FALSE),D1037)</f>
        <v>0</v>
      </c>
      <c r="E1037" s="124">
        <f ca="1">_xlfn.IFNA(VLOOKUP(A1037,Worksheet!$B$1:$G$600,5,FALSE),E1037)</f>
        <v>0</v>
      </c>
      <c r="F1037" s="6" t="s">
        <v>109</v>
      </c>
    </row>
    <row r="1038" spans="1:6" hidden="1" x14ac:dyDescent="0.25">
      <c r="A1038" s="37" t="s">
        <v>1350</v>
      </c>
      <c r="B1038" s="219" t="s">
        <v>39</v>
      </c>
      <c r="C1038" s="124">
        <f ca="1">_xlfn.IFNA(VLOOKUP(A1038,Worksheet!$B$1:$G$600,3,FALSE),C1038)</f>
        <v>0</v>
      </c>
      <c r="D1038" s="124">
        <f ca="1">_xlfn.IFNA(VLOOKUP(A1038,Worksheet!$B$1:$G$600,4,FALSE),D1038)</f>
        <v>0</v>
      </c>
      <c r="E1038" s="124">
        <f ca="1">_xlfn.IFNA(VLOOKUP(A1038,Worksheet!$B$1:$G$600,5,FALSE),E1038)</f>
        <v>0</v>
      </c>
      <c r="F1038" s="6" t="s">
        <v>109</v>
      </c>
    </row>
    <row r="1039" spans="1:6" hidden="1" x14ac:dyDescent="0.25">
      <c r="A1039" s="37" t="s">
        <v>581</v>
      </c>
      <c r="B1039" s="214" t="s">
        <v>883</v>
      </c>
      <c r="C1039" s="128">
        <f ca="1">SUM(C1040:C1041)/2</f>
        <v>0</v>
      </c>
      <c r="D1039" s="128">
        <f t="shared" ref="D1039:E1039" ca="1" si="263">SUM(D1040:D1041)/2</f>
        <v>0</v>
      </c>
      <c r="E1039" s="128">
        <f t="shared" ca="1" si="263"/>
        <v>0</v>
      </c>
      <c r="F1039" s="6" t="s">
        <v>109</v>
      </c>
    </row>
    <row r="1040" spans="1:6" hidden="1" x14ac:dyDescent="0.25">
      <c r="A1040" s="37" t="s">
        <v>582</v>
      </c>
      <c r="B1040" s="219" t="s">
        <v>724</v>
      </c>
      <c r="C1040" s="124">
        <f ca="1">_xlfn.IFNA(VLOOKUP(A1040,Worksheet!$B$1:$G$600,3,FALSE),C1040)</f>
        <v>0</v>
      </c>
      <c r="D1040" s="124">
        <f ca="1">_xlfn.IFNA(VLOOKUP(A1040,Worksheet!$B$1:$G$600,4,FALSE),D1040)</f>
        <v>0</v>
      </c>
      <c r="E1040" s="124">
        <f ca="1">_xlfn.IFNA(VLOOKUP(A1040,Worksheet!$B$1:$G$600,5,FALSE),E1040)</f>
        <v>0</v>
      </c>
      <c r="F1040" s="6" t="s">
        <v>109</v>
      </c>
    </row>
    <row r="1041" spans="1:6" hidden="1" x14ac:dyDescent="0.25">
      <c r="A1041" s="37" t="s">
        <v>1351</v>
      </c>
      <c r="B1041" s="219" t="s">
        <v>39</v>
      </c>
      <c r="C1041" s="124">
        <f ca="1">_xlfn.IFNA(VLOOKUP(A1041,Worksheet!$B$1:$G$600,3,FALSE),C1041)</f>
        <v>0</v>
      </c>
      <c r="D1041" s="124">
        <f ca="1">_xlfn.IFNA(VLOOKUP(A1041,Worksheet!$B$1:$G$600,4,FALSE),D1041)</f>
        <v>0</v>
      </c>
      <c r="E1041" s="124">
        <f ca="1">_xlfn.IFNA(VLOOKUP(A1041,Worksheet!$B$1:$G$600,5,FALSE),E1041)</f>
        <v>0</v>
      </c>
      <c r="F1041" s="6" t="s">
        <v>109</v>
      </c>
    </row>
    <row r="1042" spans="1:6" hidden="1" x14ac:dyDescent="0.25">
      <c r="A1042" s="37" t="s">
        <v>583</v>
      </c>
      <c r="B1042" s="214" t="s">
        <v>884</v>
      </c>
      <c r="C1042" s="128">
        <f ca="1">SUM(C1043:C1044)/2</f>
        <v>0</v>
      </c>
      <c r="D1042" s="128">
        <f t="shared" ref="D1042:E1042" ca="1" si="264">SUM(D1043:D1044)/2</f>
        <v>0</v>
      </c>
      <c r="E1042" s="128">
        <f t="shared" ca="1" si="264"/>
        <v>0</v>
      </c>
      <c r="F1042" s="6" t="s">
        <v>109</v>
      </c>
    </row>
    <row r="1043" spans="1:6" hidden="1" x14ac:dyDescent="0.25">
      <c r="A1043" s="37" t="s">
        <v>1352</v>
      </c>
      <c r="B1043" s="227" t="s">
        <v>724</v>
      </c>
      <c r="C1043" s="124">
        <f ca="1">_xlfn.IFNA(VLOOKUP(A1043,Worksheet!$B$1:$G$600,3,FALSE),C1043)</f>
        <v>0</v>
      </c>
      <c r="D1043" s="124">
        <f ca="1">_xlfn.IFNA(VLOOKUP(A1043,Worksheet!$B$1:$G$600,4,FALSE),D1043)</f>
        <v>0</v>
      </c>
      <c r="E1043" s="124">
        <f ca="1">_xlfn.IFNA(VLOOKUP(A1043,Worksheet!$B$1:$G$600,5,FALSE),E1043)</f>
        <v>0</v>
      </c>
      <c r="F1043" s="6" t="s">
        <v>109</v>
      </c>
    </row>
    <row r="1044" spans="1:6" hidden="1" x14ac:dyDescent="0.25">
      <c r="A1044" s="37" t="s">
        <v>584</v>
      </c>
      <c r="B1044" s="158" t="s">
        <v>39</v>
      </c>
      <c r="C1044" s="124">
        <f ca="1">_xlfn.IFNA(VLOOKUP(A1044,Worksheet!$B$1:$G$600,3,FALSE),C1044)</f>
        <v>0</v>
      </c>
      <c r="D1044" s="124">
        <f ca="1">_xlfn.IFNA(VLOOKUP(A1044,Worksheet!$B$1:$G$600,4,FALSE),D1044)</f>
        <v>0</v>
      </c>
      <c r="E1044" s="124">
        <f ca="1">_xlfn.IFNA(VLOOKUP(A1044,Worksheet!$B$1:$G$600,5,FALSE),E1044)</f>
        <v>0</v>
      </c>
      <c r="F1044" s="6" t="s">
        <v>109</v>
      </c>
    </row>
    <row r="1045" spans="1:6" hidden="1" x14ac:dyDescent="0.25">
      <c r="A1045" s="37"/>
      <c r="B1045" s="203" t="s">
        <v>12</v>
      </c>
      <c r="C1045" s="166"/>
      <c r="D1045" s="166"/>
      <c r="E1045" s="166"/>
      <c r="F1045" s="6" t="s">
        <v>109</v>
      </c>
    </row>
    <row r="1046" spans="1:6" hidden="1" x14ac:dyDescent="0.25">
      <c r="A1046" s="37">
        <v>12.2</v>
      </c>
      <c r="B1046" s="155" t="s">
        <v>725</v>
      </c>
      <c r="C1046" s="179">
        <f ca="1">C1047</f>
        <v>222</v>
      </c>
      <c r="D1046" s="179">
        <f t="shared" ref="D1046:E1046" ca="1" si="265">D1047</f>
        <v>223</v>
      </c>
      <c r="E1046" s="179">
        <f t="shared" ca="1" si="265"/>
        <v>344</v>
      </c>
      <c r="F1046" s="6" t="s">
        <v>109</v>
      </c>
    </row>
    <row r="1047" spans="1:6" ht="30" hidden="1" x14ac:dyDescent="0.25">
      <c r="A1047" s="37" t="s">
        <v>1353</v>
      </c>
      <c r="B1047" s="214" t="s">
        <v>880</v>
      </c>
      <c r="C1047" s="128">
        <f ca="1">AVERAGE(C1048:C1051)</f>
        <v>222</v>
      </c>
      <c r="D1047" s="128">
        <f t="shared" ref="D1047:E1047" ca="1" si="266">AVERAGE(D1048:D1051)</f>
        <v>223</v>
      </c>
      <c r="E1047" s="128">
        <f t="shared" ca="1" si="266"/>
        <v>344</v>
      </c>
      <c r="F1047" s="6" t="s">
        <v>109</v>
      </c>
    </row>
    <row r="1048" spans="1:6" hidden="1" x14ac:dyDescent="0.25">
      <c r="A1048" s="37" t="s">
        <v>1354</v>
      </c>
      <c r="B1048" s="223" t="s">
        <v>39</v>
      </c>
      <c r="C1048" s="124">
        <f ca="1">_xlfn.IFNA(VLOOKUP(A1048,Worksheet!$B$1:$G$600,3,FALSE),C1048)</f>
        <v>0</v>
      </c>
      <c r="D1048" s="124">
        <f ca="1">_xlfn.IFNA(VLOOKUP(A1048,Worksheet!$B$1:$G$600,4,FALSE),D1048)</f>
        <v>0</v>
      </c>
      <c r="E1048" s="124">
        <f ca="1">_xlfn.IFNA(VLOOKUP(A1048,Worksheet!$B$1:$G$600,5,FALSE),E1048)</f>
        <v>0</v>
      </c>
      <c r="F1048" s="6" t="s">
        <v>109</v>
      </c>
    </row>
    <row r="1049" spans="1:6" hidden="1" x14ac:dyDescent="0.25">
      <c r="A1049" s="37" t="s">
        <v>1355</v>
      </c>
      <c r="B1049" s="227" t="s">
        <v>724</v>
      </c>
      <c r="C1049" s="124">
        <f ca="1">_xlfn.IFNA(VLOOKUP(A1049,Worksheet!$B$1:$G$600,3,FALSE),C1049)</f>
        <v>0</v>
      </c>
      <c r="D1049" s="124">
        <f ca="1">_xlfn.IFNA(VLOOKUP(A1049,Worksheet!$B$1:$G$600,4,FALSE),D1049)</f>
        <v>0</v>
      </c>
      <c r="E1049" s="124">
        <f ca="1">_xlfn.IFNA(VLOOKUP(A1049,Worksheet!$B$1:$G$600,5,FALSE),E1049)</f>
        <v>0</v>
      </c>
      <c r="F1049" s="6" t="s">
        <v>109</v>
      </c>
    </row>
    <row r="1050" spans="1:6" hidden="1" x14ac:dyDescent="0.25">
      <c r="A1050" s="37" t="s">
        <v>1356</v>
      </c>
      <c r="B1050" s="158" t="s">
        <v>24</v>
      </c>
      <c r="C1050" s="124">
        <f ca="1">_xlfn.IFNA(VLOOKUP(A1050,Worksheet!$B$1:$G$600,3,FALSE),C1050)</f>
        <v>0</v>
      </c>
      <c r="D1050" s="124">
        <f ca="1">_xlfn.IFNA(VLOOKUP(A1050,Worksheet!$B$1:$G$600,4,FALSE),D1050)</f>
        <v>0</v>
      </c>
      <c r="E1050" s="124">
        <f ca="1">_xlfn.IFNA(VLOOKUP(A1050,Worksheet!$B$1:$G$600,5,FALSE),E1050)</f>
        <v>0</v>
      </c>
      <c r="F1050" s="6" t="s">
        <v>109</v>
      </c>
    </row>
    <row r="1051" spans="1:6" hidden="1" x14ac:dyDescent="0.25">
      <c r="A1051" s="37" t="s">
        <v>1357</v>
      </c>
      <c r="B1051" s="158" t="s">
        <v>761</v>
      </c>
      <c r="C1051" s="124">
        <f ca="1">_xlfn.IFNA(VLOOKUP(A1051,Worksheet!$B$1:$G$600,3,FALSE),C1051)</f>
        <v>0</v>
      </c>
      <c r="D1051" s="124">
        <f ca="1">_xlfn.IFNA(VLOOKUP(A1051,Worksheet!$B$1:$G$600,4,FALSE),D1051)</f>
        <v>0</v>
      </c>
      <c r="E1051" s="124">
        <f ca="1">_xlfn.IFNA(VLOOKUP(A1051,Worksheet!$B$1:$G$600,5,FALSE),E1051)</f>
        <v>0</v>
      </c>
      <c r="F1051" s="6" t="s">
        <v>109</v>
      </c>
    </row>
    <row r="1052" spans="1:6" hidden="1" x14ac:dyDescent="0.25">
      <c r="A1052" s="37"/>
      <c r="B1052" s="203" t="s">
        <v>44</v>
      </c>
      <c r="C1052" s="159"/>
      <c r="D1052" s="159"/>
      <c r="E1052" s="159"/>
      <c r="F1052" s="6" t="s">
        <v>109</v>
      </c>
    </row>
    <row r="1053" spans="1:6" hidden="1" x14ac:dyDescent="0.25">
      <c r="A1053" s="37">
        <v>12.3</v>
      </c>
      <c r="B1053" s="214" t="s">
        <v>885</v>
      </c>
      <c r="C1053" s="179">
        <f ca="1">SUM(C1054,C1089,C1124,C1159)</f>
        <v>0</v>
      </c>
      <c r="D1053" s="179">
        <f t="shared" ref="D1053:E1053" ca="1" si="267">SUM(D1054,D1089,D1124,D1159)</f>
        <v>0</v>
      </c>
      <c r="E1053" s="179">
        <f t="shared" ca="1" si="267"/>
        <v>0</v>
      </c>
      <c r="F1053" s="6" t="s">
        <v>109</v>
      </c>
    </row>
    <row r="1054" spans="1:6" hidden="1" x14ac:dyDescent="0.25">
      <c r="A1054" s="37" t="s">
        <v>585</v>
      </c>
      <c r="B1054" s="224" t="s">
        <v>78</v>
      </c>
      <c r="C1054" s="179">
        <f ca="1">SUM(C1055,C1072)</f>
        <v>0</v>
      </c>
      <c r="D1054" s="179">
        <f t="shared" ref="D1054:E1054" ca="1" si="268">SUM(D1055,D1072)</f>
        <v>0</v>
      </c>
      <c r="E1054" s="179">
        <f t="shared" ca="1" si="268"/>
        <v>0</v>
      </c>
      <c r="F1054" s="6" t="s">
        <v>109</v>
      </c>
    </row>
    <row r="1055" spans="1:6" hidden="1" x14ac:dyDescent="0.25">
      <c r="A1055" s="37" t="s">
        <v>586</v>
      </c>
      <c r="B1055" s="203" t="s">
        <v>14</v>
      </c>
      <c r="C1055" s="177">
        <f ca="1">SUM(C1056,C1064)/2</f>
        <v>0</v>
      </c>
      <c r="D1055" s="177">
        <f t="shared" ref="D1055:E1055" ca="1" si="269">SUM(D1056,D1064)/2</f>
        <v>0</v>
      </c>
      <c r="E1055" s="177">
        <f t="shared" ca="1" si="269"/>
        <v>0</v>
      </c>
      <c r="F1055" s="6" t="s">
        <v>109</v>
      </c>
    </row>
    <row r="1056" spans="1:6" hidden="1" x14ac:dyDescent="0.25">
      <c r="A1056" s="37" t="s">
        <v>587</v>
      </c>
      <c r="B1056" s="214" t="s">
        <v>39</v>
      </c>
      <c r="C1056" s="179">
        <f ca="1">SUM(C1057:C1063)</f>
        <v>0</v>
      </c>
      <c r="D1056" s="179">
        <f t="shared" ref="D1056:E1056" ca="1" si="270">SUM(D1057:D1063)</f>
        <v>0</v>
      </c>
      <c r="E1056" s="179">
        <f t="shared" ca="1" si="270"/>
        <v>0</v>
      </c>
      <c r="F1056" s="6" t="s">
        <v>109</v>
      </c>
    </row>
    <row r="1057" spans="1:6" hidden="1" x14ac:dyDescent="0.25">
      <c r="A1057" s="37" t="s">
        <v>589</v>
      </c>
      <c r="B1057" s="221" t="s">
        <v>16</v>
      </c>
      <c r="C1057" s="124">
        <f ca="1">_xlfn.IFNA(VLOOKUP(A1057,Worksheet!$B$1:$G$600,3,FALSE),C1057)</f>
        <v>0</v>
      </c>
      <c r="D1057" s="124">
        <f ca="1">_xlfn.IFNA(VLOOKUP(A1057,Worksheet!$B$1:$G$600,4,FALSE),D1057)</f>
        <v>0</v>
      </c>
      <c r="E1057" s="124">
        <f ca="1">_xlfn.IFNA(VLOOKUP(A1057,Worksheet!$B$1:$G$600,5,FALSE),E1057)</f>
        <v>0</v>
      </c>
      <c r="F1057" s="6" t="s">
        <v>109</v>
      </c>
    </row>
    <row r="1058" spans="1:6" hidden="1" x14ac:dyDescent="0.25">
      <c r="A1058" s="37" t="s">
        <v>590</v>
      </c>
      <c r="B1058" s="222" t="s">
        <v>45</v>
      </c>
      <c r="C1058" s="124">
        <f ca="1">_xlfn.IFNA(VLOOKUP(A1058,Worksheet!$B$1:$G$600,3,FALSE),C1058)</f>
        <v>0</v>
      </c>
      <c r="D1058" s="124">
        <f ca="1">_xlfn.IFNA(VLOOKUP(A1058,Worksheet!$B$1:$G$600,4,FALSE),D1058)</f>
        <v>0</v>
      </c>
      <c r="E1058" s="124">
        <f ca="1">_xlfn.IFNA(VLOOKUP(A1058,Worksheet!$B$1:$G$600,5,FALSE),E1058)</f>
        <v>0</v>
      </c>
      <c r="F1058" s="6" t="s">
        <v>109</v>
      </c>
    </row>
    <row r="1059" spans="1:6" hidden="1" x14ac:dyDescent="0.25">
      <c r="A1059" s="37" t="s">
        <v>591</v>
      </c>
      <c r="B1059" s="219" t="s">
        <v>80</v>
      </c>
      <c r="C1059" s="124">
        <f ca="1">_xlfn.IFNA(VLOOKUP(A1059,Worksheet!$B$1:$G$600,3,FALSE),C1059)</f>
        <v>0</v>
      </c>
      <c r="D1059" s="124">
        <f ca="1">_xlfn.IFNA(VLOOKUP(A1059,Worksheet!$B$1:$G$600,4,FALSE),D1059)</f>
        <v>0</v>
      </c>
      <c r="E1059" s="124">
        <f ca="1">_xlfn.IFNA(VLOOKUP(A1059,Worksheet!$B$1:$G$600,5,FALSE),E1059)</f>
        <v>0</v>
      </c>
      <c r="F1059" s="6" t="s">
        <v>109</v>
      </c>
    </row>
    <row r="1060" spans="1:6" hidden="1" x14ac:dyDescent="0.25">
      <c r="A1060" s="37" t="s">
        <v>592</v>
      </c>
      <c r="B1060" s="219" t="s">
        <v>47</v>
      </c>
      <c r="C1060" s="124">
        <f ca="1">_xlfn.IFNA(VLOOKUP(A1060,Worksheet!$B$1:$G$600,3,FALSE),C1060)</f>
        <v>0</v>
      </c>
      <c r="D1060" s="124">
        <f ca="1">_xlfn.IFNA(VLOOKUP(A1060,Worksheet!$B$1:$G$600,4,FALSE),D1060)</f>
        <v>0</v>
      </c>
      <c r="E1060" s="124">
        <f ca="1">_xlfn.IFNA(VLOOKUP(A1060,Worksheet!$B$1:$G$600,5,FALSE),E1060)</f>
        <v>0</v>
      </c>
      <c r="F1060" s="6" t="s">
        <v>109</v>
      </c>
    </row>
    <row r="1061" spans="1:6" hidden="1" x14ac:dyDescent="0.25">
      <c r="A1061" s="37" t="s">
        <v>593</v>
      </c>
      <c r="B1061" s="219" t="s">
        <v>20</v>
      </c>
      <c r="C1061" s="124">
        <f ca="1">_xlfn.IFNA(VLOOKUP(A1061,Worksheet!$B$1:$G$600,3,FALSE),C1061)</f>
        <v>0</v>
      </c>
      <c r="D1061" s="124">
        <f ca="1">_xlfn.IFNA(VLOOKUP(A1061,Worksheet!$B$1:$G$600,4,FALSE),D1061)</f>
        <v>0</v>
      </c>
      <c r="E1061" s="124">
        <f ca="1">_xlfn.IFNA(VLOOKUP(A1061,Worksheet!$B$1:$G$600,5,FALSE),E1061)</f>
        <v>0</v>
      </c>
      <c r="F1061" s="6" t="s">
        <v>109</v>
      </c>
    </row>
    <row r="1062" spans="1:6" hidden="1" x14ac:dyDescent="0.25">
      <c r="A1062" s="37" t="s">
        <v>594</v>
      </c>
      <c r="B1062" s="219" t="s">
        <v>21</v>
      </c>
      <c r="C1062" s="124">
        <f ca="1">_xlfn.IFNA(VLOOKUP(A1062,Worksheet!$B$1:$G$600,3,FALSE),C1062)</f>
        <v>0</v>
      </c>
      <c r="D1062" s="124">
        <f ca="1">_xlfn.IFNA(VLOOKUP(A1062,Worksheet!$B$1:$G$600,4,FALSE),D1062)</f>
        <v>0</v>
      </c>
      <c r="E1062" s="124">
        <f ca="1">_xlfn.IFNA(VLOOKUP(A1062,Worksheet!$B$1:$G$600,5,FALSE),E1062)</f>
        <v>0</v>
      </c>
      <c r="F1062" s="6" t="s">
        <v>109</v>
      </c>
    </row>
    <row r="1063" spans="1:6" hidden="1" x14ac:dyDescent="0.25">
      <c r="A1063" s="37" t="s">
        <v>595</v>
      </c>
      <c r="B1063" s="219" t="s">
        <v>50</v>
      </c>
      <c r="C1063" s="124">
        <f ca="1">_xlfn.IFNA(VLOOKUP(A1063,Worksheet!$B$1:$G$600,3,FALSE),C1063)</f>
        <v>0</v>
      </c>
      <c r="D1063" s="124">
        <f ca="1">_xlfn.IFNA(VLOOKUP(A1063,Worksheet!$B$1:$G$600,4,FALSE),D1063)</f>
        <v>0</v>
      </c>
      <c r="E1063" s="124">
        <f ca="1">_xlfn.IFNA(VLOOKUP(A1063,Worksheet!$B$1:$G$600,5,FALSE),E1063)</f>
        <v>0</v>
      </c>
      <c r="F1063" s="6" t="s">
        <v>109</v>
      </c>
    </row>
    <row r="1064" spans="1:6" hidden="1" x14ac:dyDescent="0.25">
      <c r="A1064" s="37" t="s">
        <v>588</v>
      </c>
      <c r="B1064" s="219" t="s">
        <v>724</v>
      </c>
      <c r="C1064" s="179">
        <f ca="1">SUM(C1065:C1071)</f>
        <v>0</v>
      </c>
      <c r="D1064" s="179">
        <f t="shared" ref="D1064:E1064" ca="1" si="271">SUM(D1065:D1071)</f>
        <v>0</v>
      </c>
      <c r="E1064" s="179">
        <f t="shared" ca="1" si="271"/>
        <v>0</v>
      </c>
      <c r="F1064" s="6" t="s">
        <v>109</v>
      </c>
    </row>
    <row r="1065" spans="1:6" hidden="1" x14ac:dyDescent="0.25">
      <c r="A1065" s="37" t="s">
        <v>589</v>
      </c>
      <c r="B1065" s="221" t="s">
        <v>16</v>
      </c>
      <c r="C1065" s="124">
        <f ca="1">_xlfn.IFNA(VLOOKUP(A1065,Worksheet!$B$1:$G$600,3,FALSE),C1065)</f>
        <v>0</v>
      </c>
      <c r="D1065" s="124">
        <f ca="1">_xlfn.IFNA(VLOOKUP(A1065,Worksheet!$B$1:$G$600,4,FALSE),D1065)</f>
        <v>0</v>
      </c>
      <c r="E1065" s="124">
        <f ca="1">_xlfn.IFNA(VLOOKUP(A1065,Worksheet!$B$1:$G$600,5,FALSE),E1065)</f>
        <v>0</v>
      </c>
      <c r="F1065" s="6" t="s">
        <v>109</v>
      </c>
    </row>
    <row r="1066" spans="1:6" hidden="1" x14ac:dyDescent="0.25">
      <c r="A1066" s="37" t="s">
        <v>590</v>
      </c>
      <c r="B1066" s="222" t="s">
        <v>45</v>
      </c>
      <c r="C1066" s="124">
        <f ca="1">_xlfn.IFNA(VLOOKUP(A1066,Worksheet!$B$1:$G$600,3,FALSE),C1066)</f>
        <v>0</v>
      </c>
      <c r="D1066" s="124">
        <f ca="1">_xlfn.IFNA(VLOOKUP(A1066,Worksheet!$B$1:$G$600,4,FALSE),D1066)</f>
        <v>0</v>
      </c>
      <c r="E1066" s="124">
        <f ca="1">_xlfn.IFNA(VLOOKUP(A1066,Worksheet!$B$1:$G$600,5,FALSE),E1066)</f>
        <v>0</v>
      </c>
      <c r="F1066" s="6" t="s">
        <v>109</v>
      </c>
    </row>
    <row r="1067" spans="1:6" hidden="1" x14ac:dyDescent="0.25">
      <c r="A1067" s="37" t="s">
        <v>591</v>
      </c>
      <c r="B1067" s="219" t="s">
        <v>80</v>
      </c>
      <c r="C1067" s="124">
        <f ca="1">_xlfn.IFNA(VLOOKUP(A1067,Worksheet!$B$1:$G$600,3,FALSE),C1067)</f>
        <v>0</v>
      </c>
      <c r="D1067" s="124">
        <f ca="1">_xlfn.IFNA(VLOOKUP(A1067,Worksheet!$B$1:$G$600,4,FALSE),D1067)</f>
        <v>0</v>
      </c>
      <c r="E1067" s="124">
        <f ca="1">_xlfn.IFNA(VLOOKUP(A1067,Worksheet!$B$1:$G$600,5,FALSE),E1067)</f>
        <v>0</v>
      </c>
      <c r="F1067" s="6" t="s">
        <v>109</v>
      </c>
    </row>
    <row r="1068" spans="1:6" hidden="1" x14ac:dyDescent="0.25">
      <c r="A1068" s="37" t="s">
        <v>592</v>
      </c>
      <c r="B1068" s="219" t="s">
        <v>47</v>
      </c>
      <c r="C1068" s="124">
        <f ca="1">_xlfn.IFNA(VLOOKUP(A1068,Worksheet!$B$1:$G$600,3,FALSE),C1068)</f>
        <v>0</v>
      </c>
      <c r="D1068" s="124">
        <f ca="1">_xlfn.IFNA(VLOOKUP(A1068,Worksheet!$B$1:$G$600,4,FALSE),D1068)</f>
        <v>0</v>
      </c>
      <c r="E1068" s="124">
        <f ca="1">_xlfn.IFNA(VLOOKUP(A1068,Worksheet!$B$1:$G$600,5,FALSE),E1068)</f>
        <v>0</v>
      </c>
      <c r="F1068" s="6" t="s">
        <v>109</v>
      </c>
    </row>
    <row r="1069" spans="1:6" hidden="1" x14ac:dyDescent="0.25">
      <c r="A1069" s="37" t="s">
        <v>593</v>
      </c>
      <c r="B1069" s="219" t="s">
        <v>20</v>
      </c>
      <c r="C1069" s="124">
        <f ca="1">_xlfn.IFNA(VLOOKUP(A1069,Worksheet!$B$1:$G$600,3,FALSE),C1069)</f>
        <v>0</v>
      </c>
      <c r="D1069" s="124">
        <f ca="1">_xlfn.IFNA(VLOOKUP(A1069,Worksheet!$B$1:$G$600,4,FALSE),D1069)</f>
        <v>0</v>
      </c>
      <c r="E1069" s="124">
        <f ca="1">_xlfn.IFNA(VLOOKUP(A1069,Worksheet!$B$1:$G$600,5,FALSE),E1069)</f>
        <v>0</v>
      </c>
      <c r="F1069" s="6" t="s">
        <v>109</v>
      </c>
    </row>
    <row r="1070" spans="1:6" hidden="1" x14ac:dyDescent="0.25">
      <c r="A1070" s="37" t="s">
        <v>594</v>
      </c>
      <c r="B1070" s="219" t="s">
        <v>21</v>
      </c>
      <c r="C1070" s="124">
        <f ca="1">_xlfn.IFNA(VLOOKUP(A1070,Worksheet!$B$1:$G$600,3,FALSE),C1070)</f>
        <v>0</v>
      </c>
      <c r="D1070" s="124">
        <f ca="1">_xlfn.IFNA(VLOOKUP(A1070,Worksheet!$B$1:$G$600,4,FALSE),D1070)</f>
        <v>0</v>
      </c>
      <c r="E1070" s="124">
        <f ca="1">_xlfn.IFNA(VLOOKUP(A1070,Worksheet!$B$1:$G$600,5,FALSE),E1070)</f>
        <v>0</v>
      </c>
      <c r="F1070" s="6" t="s">
        <v>109</v>
      </c>
    </row>
    <row r="1071" spans="1:6" hidden="1" x14ac:dyDescent="0.25">
      <c r="A1071" s="37" t="s">
        <v>595</v>
      </c>
      <c r="B1071" s="219" t="s">
        <v>50</v>
      </c>
      <c r="C1071" s="124">
        <f ca="1">_xlfn.IFNA(VLOOKUP(A1071,Worksheet!$B$1:$G$600,3,FALSE),C1071)</f>
        <v>0</v>
      </c>
      <c r="D1071" s="124">
        <f ca="1">_xlfn.IFNA(VLOOKUP(A1071,Worksheet!$B$1:$G$600,4,FALSE),D1071)</f>
        <v>0</v>
      </c>
      <c r="E1071" s="124">
        <f ca="1">_xlfn.IFNA(VLOOKUP(A1071,Worksheet!$B$1:$G$600,5,FALSE),E1071)</f>
        <v>0</v>
      </c>
      <c r="F1071" s="6" t="s">
        <v>109</v>
      </c>
    </row>
    <row r="1072" spans="1:6" hidden="1" x14ac:dyDescent="0.25">
      <c r="A1072" s="37" t="s">
        <v>596</v>
      </c>
      <c r="B1072" s="203" t="s">
        <v>15</v>
      </c>
      <c r="C1072" s="175">
        <f ca="1">SUM(C1073,C1081)/2</f>
        <v>0</v>
      </c>
      <c r="D1072" s="175">
        <f t="shared" ref="D1072:E1072" ca="1" si="272">SUM(D1073,D1081)/2</f>
        <v>0</v>
      </c>
      <c r="E1072" s="175">
        <f t="shared" ca="1" si="272"/>
        <v>0</v>
      </c>
      <c r="F1072" s="6" t="s">
        <v>109</v>
      </c>
    </row>
    <row r="1073" spans="1:6" hidden="1" x14ac:dyDescent="0.25">
      <c r="A1073" s="37" t="s">
        <v>597</v>
      </c>
      <c r="B1073" s="214" t="s">
        <v>39</v>
      </c>
      <c r="C1073" s="179">
        <f ca="1">SUM(C1074:C1080)</f>
        <v>0</v>
      </c>
      <c r="D1073" s="179">
        <f t="shared" ref="D1073:E1073" ca="1" si="273">SUM(D1074:D1080)</f>
        <v>0</v>
      </c>
      <c r="E1073" s="179">
        <f t="shared" ca="1" si="273"/>
        <v>0</v>
      </c>
      <c r="F1073" s="6" t="s">
        <v>109</v>
      </c>
    </row>
    <row r="1074" spans="1:6" hidden="1" x14ac:dyDescent="0.25">
      <c r="A1074" s="37" t="s">
        <v>589</v>
      </c>
      <c r="B1074" s="221" t="s">
        <v>16</v>
      </c>
      <c r="C1074" s="124">
        <f ca="1">_xlfn.IFNA(VLOOKUP(A1074,Worksheet!$B$1:$G$600,3,FALSE),C1074)</f>
        <v>0</v>
      </c>
      <c r="D1074" s="124">
        <f ca="1">_xlfn.IFNA(VLOOKUP(A1074,Worksheet!$B$1:$G$600,4,FALSE),D1074)</f>
        <v>0</v>
      </c>
      <c r="E1074" s="124">
        <f ca="1">_xlfn.IFNA(VLOOKUP(A1074,Worksheet!$B$1:$G$600,5,FALSE),E1074)</f>
        <v>0</v>
      </c>
      <c r="F1074" s="6" t="s">
        <v>109</v>
      </c>
    </row>
    <row r="1075" spans="1:6" hidden="1" x14ac:dyDescent="0.25">
      <c r="A1075" s="37" t="s">
        <v>590</v>
      </c>
      <c r="B1075" s="222" t="s">
        <v>45</v>
      </c>
      <c r="C1075" s="124">
        <f ca="1">_xlfn.IFNA(VLOOKUP(A1075,Worksheet!$B$1:$G$600,3,FALSE),C1075)</f>
        <v>0</v>
      </c>
      <c r="D1075" s="124">
        <f ca="1">_xlfn.IFNA(VLOOKUP(A1075,Worksheet!$B$1:$G$600,4,FALSE),D1075)</f>
        <v>0</v>
      </c>
      <c r="E1075" s="124">
        <f ca="1">_xlfn.IFNA(VLOOKUP(A1075,Worksheet!$B$1:$G$600,5,FALSE),E1075)</f>
        <v>0</v>
      </c>
      <c r="F1075" s="6" t="s">
        <v>109</v>
      </c>
    </row>
    <row r="1076" spans="1:6" hidden="1" x14ac:dyDescent="0.25">
      <c r="A1076" s="37" t="s">
        <v>591</v>
      </c>
      <c r="B1076" s="219" t="s">
        <v>80</v>
      </c>
      <c r="C1076" s="124">
        <f ca="1">_xlfn.IFNA(VLOOKUP(A1076,Worksheet!$B$1:$G$600,3,FALSE),C1076)</f>
        <v>0</v>
      </c>
      <c r="D1076" s="124">
        <f ca="1">_xlfn.IFNA(VLOOKUP(A1076,Worksheet!$B$1:$G$600,4,FALSE),D1076)</f>
        <v>0</v>
      </c>
      <c r="E1076" s="124">
        <f ca="1">_xlfn.IFNA(VLOOKUP(A1076,Worksheet!$B$1:$G$600,5,FALSE),E1076)</f>
        <v>0</v>
      </c>
      <c r="F1076" s="6" t="s">
        <v>109</v>
      </c>
    </row>
    <row r="1077" spans="1:6" hidden="1" x14ac:dyDescent="0.25">
      <c r="A1077" s="37" t="s">
        <v>592</v>
      </c>
      <c r="B1077" s="219" t="s">
        <v>47</v>
      </c>
      <c r="C1077" s="124">
        <f ca="1">_xlfn.IFNA(VLOOKUP(A1077,Worksheet!$B$1:$G$600,3,FALSE),C1077)</f>
        <v>0</v>
      </c>
      <c r="D1077" s="124">
        <f ca="1">_xlfn.IFNA(VLOOKUP(A1077,Worksheet!$B$1:$G$600,4,FALSE),D1077)</f>
        <v>0</v>
      </c>
      <c r="E1077" s="124">
        <f ca="1">_xlfn.IFNA(VLOOKUP(A1077,Worksheet!$B$1:$G$600,5,FALSE),E1077)</f>
        <v>0</v>
      </c>
      <c r="F1077" s="6" t="s">
        <v>109</v>
      </c>
    </row>
    <row r="1078" spans="1:6" hidden="1" x14ac:dyDescent="0.25">
      <c r="A1078" s="37" t="s">
        <v>593</v>
      </c>
      <c r="B1078" s="219" t="s">
        <v>20</v>
      </c>
      <c r="C1078" s="124">
        <f ca="1">_xlfn.IFNA(VLOOKUP(A1078,Worksheet!$B$1:$G$600,3,FALSE),C1078)</f>
        <v>0</v>
      </c>
      <c r="D1078" s="124">
        <f ca="1">_xlfn.IFNA(VLOOKUP(A1078,Worksheet!$B$1:$G$600,4,FALSE),D1078)</f>
        <v>0</v>
      </c>
      <c r="E1078" s="124">
        <f ca="1">_xlfn.IFNA(VLOOKUP(A1078,Worksheet!$B$1:$G$600,5,FALSE),E1078)</f>
        <v>0</v>
      </c>
      <c r="F1078" s="6" t="s">
        <v>109</v>
      </c>
    </row>
    <row r="1079" spans="1:6" hidden="1" x14ac:dyDescent="0.25">
      <c r="A1079" s="37" t="s">
        <v>594</v>
      </c>
      <c r="B1079" s="219" t="s">
        <v>21</v>
      </c>
      <c r="C1079" s="124">
        <f ca="1">_xlfn.IFNA(VLOOKUP(A1079,Worksheet!$B$1:$G$600,3,FALSE),C1079)</f>
        <v>0</v>
      </c>
      <c r="D1079" s="124">
        <f ca="1">_xlfn.IFNA(VLOOKUP(A1079,Worksheet!$B$1:$G$600,4,FALSE),D1079)</f>
        <v>0</v>
      </c>
      <c r="E1079" s="124">
        <f ca="1">_xlfn.IFNA(VLOOKUP(A1079,Worksheet!$B$1:$G$600,5,FALSE),E1079)</f>
        <v>0</v>
      </c>
      <c r="F1079" s="6" t="s">
        <v>109</v>
      </c>
    </row>
    <row r="1080" spans="1:6" hidden="1" x14ac:dyDescent="0.25">
      <c r="A1080" s="37" t="s">
        <v>595</v>
      </c>
      <c r="B1080" s="219" t="s">
        <v>50</v>
      </c>
      <c r="C1080" s="124">
        <f ca="1">_xlfn.IFNA(VLOOKUP(A1080,Worksheet!$B$1:$G$600,3,FALSE),C1080)</f>
        <v>0</v>
      </c>
      <c r="D1080" s="124">
        <f ca="1">_xlfn.IFNA(VLOOKUP(A1080,Worksheet!$B$1:$G$600,4,FALSE),D1080)</f>
        <v>0</v>
      </c>
      <c r="E1080" s="124">
        <f ca="1">_xlfn.IFNA(VLOOKUP(A1080,Worksheet!$B$1:$G$600,5,FALSE),E1080)</f>
        <v>0</v>
      </c>
      <c r="F1080" s="6" t="s">
        <v>109</v>
      </c>
    </row>
    <row r="1081" spans="1:6" hidden="1" x14ac:dyDescent="0.25">
      <c r="A1081" s="37" t="s">
        <v>598</v>
      </c>
      <c r="B1081" s="203" t="s">
        <v>724</v>
      </c>
      <c r="C1081" s="179">
        <f ca="1">SUM(C1082:C1088)</f>
        <v>0</v>
      </c>
      <c r="D1081" s="179">
        <f t="shared" ref="D1081:E1081" ca="1" si="274">SUM(D1082:D1088)</f>
        <v>0</v>
      </c>
      <c r="E1081" s="179">
        <f t="shared" ca="1" si="274"/>
        <v>0</v>
      </c>
      <c r="F1081" s="6" t="s">
        <v>109</v>
      </c>
    </row>
    <row r="1082" spans="1:6" hidden="1" x14ac:dyDescent="0.25">
      <c r="A1082" s="37" t="s">
        <v>599</v>
      </c>
      <c r="B1082" s="221" t="s">
        <v>16</v>
      </c>
      <c r="C1082" s="124">
        <f ca="1">_xlfn.IFNA(VLOOKUP(A1082,Worksheet!$B$1:$G$600,3,FALSE),C1082)</f>
        <v>0</v>
      </c>
      <c r="D1082" s="124">
        <f ca="1">_xlfn.IFNA(VLOOKUP(A1082,Worksheet!$B$1:$G$600,4,FALSE),D1082)</f>
        <v>0</v>
      </c>
      <c r="E1082" s="124">
        <f ca="1">_xlfn.IFNA(VLOOKUP(A1082,Worksheet!$B$1:$G$600,5,FALSE),E1082)</f>
        <v>0</v>
      </c>
      <c r="F1082" s="6" t="s">
        <v>109</v>
      </c>
    </row>
    <row r="1083" spans="1:6" hidden="1" x14ac:dyDescent="0.25">
      <c r="A1083" s="37" t="s">
        <v>600</v>
      </c>
      <c r="B1083" s="222" t="s">
        <v>45</v>
      </c>
      <c r="C1083" s="124">
        <f ca="1">_xlfn.IFNA(VLOOKUP(A1083,Worksheet!$B$1:$G$600,3,FALSE),C1083)</f>
        <v>0</v>
      </c>
      <c r="D1083" s="124">
        <f ca="1">_xlfn.IFNA(VLOOKUP(A1083,Worksheet!$B$1:$G$600,4,FALSE),D1083)</f>
        <v>0</v>
      </c>
      <c r="E1083" s="124">
        <f ca="1">_xlfn.IFNA(VLOOKUP(A1083,Worksheet!$B$1:$G$600,5,FALSE),E1083)</f>
        <v>0</v>
      </c>
      <c r="F1083" s="6" t="s">
        <v>109</v>
      </c>
    </row>
    <row r="1084" spans="1:6" hidden="1" x14ac:dyDescent="0.25">
      <c r="A1084" s="37" t="s">
        <v>601</v>
      </c>
      <c r="B1084" s="219" t="s">
        <v>80</v>
      </c>
      <c r="C1084" s="124">
        <f ca="1">_xlfn.IFNA(VLOOKUP(A1084,Worksheet!$B$1:$G$600,3,FALSE),C1084)</f>
        <v>0</v>
      </c>
      <c r="D1084" s="124">
        <f ca="1">_xlfn.IFNA(VLOOKUP(A1084,Worksheet!$B$1:$G$600,4,FALSE),D1084)</f>
        <v>0</v>
      </c>
      <c r="E1084" s="124">
        <f ca="1">_xlfn.IFNA(VLOOKUP(A1084,Worksheet!$B$1:$G$600,5,FALSE),E1084)</f>
        <v>0</v>
      </c>
      <c r="F1084" s="6" t="s">
        <v>109</v>
      </c>
    </row>
    <row r="1085" spans="1:6" hidden="1" x14ac:dyDescent="0.25">
      <c r="A1085" s="37" t="s">
        <v>602</v>
      </c>
      <c r="B1085" s="219" t="s">
        <v>47</v>
      </c>
      <c r="C1085" s="124">
        <f ca="1">_xlfn.IFNA(VLOOKUP(A1085,Worksheet!$B$1:$G$600,3,FALSE),C1085)</f>
        <v>0</v>
      </c>
      <c r="D1085" s="124">
        <f ca="1">_xlfn.IFNA(VLOOKUP(A1085,Worksheet!$B$1:$G$600,4,FALSE),D1085)</f>
        <v>0</v>
      </c>
      <c r="E1085" s="124">
        <f ca="1">_xlfn.IFNA(VLOOKUP(A1085,Worksheet!$B$1:$G$600,5,FALSE),E1085)</f>
        <v>0</v>
      </c>
      <c r="F1085" s="6" t="s">
        <v>109</v>
      </c>
    </row>
    <row r="1086" spans="1:6" hidden="1" x14ac:dyDescent="0.25">
      <c r="A1086" s="37" t="s">
        <v>603</v>
      </c>
      <c r="B1086" s="219" t="s">
        <v>20</v>
      </c>
      <c r="C1086" s="124">
        <f ca="1">_xlfn.IFNA(VLOOKUP(A1086,Worksheet!$B$1:$G$600,3,FALSE),C1086)</f>
        <v>0</v>
      </c>
      <c r="D1086" s="124">
        <f ca="1">_xlfn.IFNA(VLOOKUP(A1086,Worksheet!$B$1:$G$600,4,FALSE),D1086)</f>
        <v>0</v>
      </c>
      <c r="E1086" s="124">
        <f ca="1">_xlfn.IFNA(VLOOKUP(A1086,Worksheet!$B$1:$G$600,5,FALSE),E1086)</f>
        <v>0</v>
      </c>
      <c r="F1086" s="6" t="s">
        <v>109</v>
      </c>
    </row>
    <row r="1087" spans="1:6" hidden="1" x14ac:dyDescent="0.25">
      <c r="A1087" s="37" t="s">
        <v>604</v>
      </c>
      <c r="B1087" s="219" t="s">
        <v>21</v>
      </c>
      <c r="C1087" s="124">
        <f ca="1">_xlfn.IFNA(VLOOKUP(A1087,Worksheet!$B$1:$G$600,3,FALSE),C1087)</f>
        <v>0</v>
      </c>
      <c r="D1087" s="124">
        <f ca="1">_xlfn.IFNA(VLOOKUP(A1087,Worksheet!$B$1:$G$600,4,FALSE),D1087)</f>
        <v>0</v>
      </c>
      <c r="E1087" s="124">
        <f ca="1">_xlfn.IFNA(VLOOKUP(A1087,Worksheet!$B$1:$G$600,5,FALSE),E1087)</f>
        <v>0</v>
      </c>
      <c r="F1087" s="6" t="s">
        <v>109</v>
      </c>
    </row>
    <row r="1088" spans="1:6" hidden="1" x14ac:dyDescent="0.25">
      <c r="A1088" s="37" t="s">
        <v>605</v>
      </c>
      <c r="B1088" s="219" t="s">
        <v>50</v>
      </c>
      <c r="C1088" s="124">
        <f ca="1">_xlfn.IFNA(VLOOKUP(A1088,Worksheet!$B$1:$G$600,3,FALSE),C1088)</f>
        <v>0</v>
      </c>
      <c r="D1088" s="124">
        <f ca="1">_xlfn.IFNA(VLOOKUP(A1088,Worksheet!$B$1:$G$600,4,FALSE),D1088)</f>
        <v>0</v>
      </c>
      <c r="E1088" s="124">
        <f ca="1">_xlfn.IFNA(VLOOKUP(A1088,Worksheet!$B$1:$G$600,5,FALSE),E1088)</f>
        <v>0</v>
      </c>
      <c r="F1088" s="6" t="s">
        <v>109</v>
      </c>
    </row>
    <row r="1089" spans="1:6" hidden="1" x14ac:dyDescent="0.25">
      <c r="A1089" s="37" t="s">
        <v>606</v>
      </c>
      <c r="B1089" s="224" t="s">
        <v>79</v>
      </c>
      <c r="C1089" s="175">
        <f ca="1">SUM(C1090,C1107)</f>
        <v>0</v>
      </c>
      <c r="D1089" s="175">
        <f t="shared" ref="D1089:E1089" ca="1" si="275">SUM(D1090,D1107)</f>
        <v>0</v>
      </c>
      <c r="E1089" s="175">
        <f t="shared" ca="1" si="275"/>
        <v>0</v>
      </c>
      <c r="F1089" s="6" t="s">
        <v>109</v>
      </c>
    </row>
    <row r="1090" spans="1:6" hidden="1" x14ac:dyDescent="0.25">
      <c r="A1090" s="37" t="s">
        <v>607</v>
      </c>
      <c r="B1090" s="203" t="s">
        <v>14</v>
      </c>
      <c r="C1090" s="175">
        <f ca="1">SUM(C1091,C1099)/2</f>
        <v>0</v>
      </c>
      <c r="D1090" s="175">
        <f t="shared" ref="D1090:E1090" ca="1" si="276">SUM(D1091,D1099)/2</f>
        <v>0</v>
      </c>
      <c r="E1090" s="175">
        <f t="shared" ca="1" si="276"/>
        <v>0</v>
      </c>
      <c r="F1090" s="6" t="s">
        <v>109</v>
      </c>
    </row>
    <row r="1091" spans="1:6" hidden="1" x14ac:dyDescent="0.25">
      <c r="A1091" s="37" t="s">
        <v>608</v>
      </c>
      <c r="B1091" s="214" t="s">
        <v>39</v>
      </c>
      <c r="C1091" s="179">
        <f ca="1">SUM(C1092:C1098)</f>
        <v>0</v>
      </c>
      <c r="D1091" s="179">
        <f t="shared" ref="D1091:E1091" ca="1" si="277">SUM(D1092:D1098)</f>
        <v>0</v>
      </c>
      <c r="E1091" s="179">
        <f t="shared" ca="1" si="277"/>
        <v>0</v>
      </c>
      <c r="F1091" s="6" t="s">
        <v>109</v>
      </c>
    </row>
    <row r="1092" spans="1:6" hidden="1" x14ac:dyDescent="0.25">
      <c r="A1092" s="37" t="s">
        <v>589</v>
      </c>
      <c r="B1092" s="221" t="s">
        <v>16</v>
      </c>
      <c r="C1092" s="124">
        <f ca="1">_xlfn.IFNA(VLOOKUP(A1092,Worksheet!$B$1:$G$600,3,FALSE),C1092)</f>
        <v>0</v>
      </c>
      <c r="D1092" s="124">
        <f ca="1">_xlfn.IFNA(VLOOKUP(A1092,Worksheet!$B$1:$G$600,4,FALSE),D1092)</f>
        <v>0</v>
      </c>
      <c r="E1092" s="124">
        <f ca="1">_xlfn.IFNA(VLOOKUP(A1092,Worksheet!$B$1:$G$600,5,FALSE),E1092)</f>
        <v>0</v>
      </c>
      <c r="F1092" s="6" t="s">
        <v>109</v>
      </c>
    </row>
    <row r="1093" spans="1:6" hidden="1" x14ac:dyDescent="0.25">
      <c r="A1093" s="37" t="s">
        <v>590</v>
      </c>
      <c r="B1093" s="222" t="s">
        <v>45</v>
      </c>
      <c r="C1093" s="124">
        <f ca="1">_xlfn.IFNA(VLOOKUP(A1093,Worksheet!$B$1:$G$600,3,FALSE),C1093)</f>
        <v>0</v>
      </c>
      <c r="D1093" s="124">
        <f ca="1">_xlfn.IFNA(VLOOKUP(A1093,Worksheet!$B$1:$G$600,4,FALSE),D1093)</f>
        <v>0</v>
      </c>
      <c r="E1093" s="124">
        <f ca="1">_xlfn.IFNA(VLOOKUP(A1093,Worksheet!$B$1:$G$600,5,FALSE),E1093)</f>
        <v>0</v>
      </c>
      <c r="F1093" s="6" t="s">
        <v>109</v>
      </c>
    </row>
    <row r="1094" spans="1:6" hidden="1" x14ac:dyDescent="0.25">
      <c r="A1094" s="37" t="s">
        <v>591</v>
      </c>
      <c r="B1094" s="219" t="s">
        <v>80</v>
      </c>
      <c r="C1094" s="124">
        <f ca="1">_xlfn.IFNA(VLOOKUP(A1094,Worksheet!$B$1:$G$600,3,FALSE),C1094)</f>
        <v>0</v>
      </c>
      <c r="D1094" s="124">
        <f ca="1">_xlfn.IFNA(VLOOKUP(A1094,Worksheet!$B$1:$G$600,4,FALSE),D1094)</f>
        <v>0</v>
      </c>
      <c r="E1094" s="124">
        <f ca="1">_xlfn.IFNA(VLOOKUP(A1094,Worksheet!$B$1:$G$600,5,FALSE),E1094)</f>
        <v>0</v>
      </c>
      <c r="F1094" s="6" t="s">
        <v>109</v>
      </c>
    </row>
    <row r="1095" spans="1:6" hidden="1" x14ac:dyDescent="0.25">
      <c r="A1095" s="37" t="s">
        <v>592</v>
      </c>
      <c r="B1095" s="219" t="s">
        <v>47</v>
      </c>
      <c r="C1095" s="124">
        <f ca="1">_xlfn.IFNA(VLOOKUP(A1095,Worksheet!$B$1:$G$600,3,FALSE),C1095)</f>
        <v>0</v>
      </c>
      <c r="D1095" s="124">
        <f ca="1">_xlfn.IFNA(VLOOKUP(A1095,Worksheet!$B$1:$G$600,4,FALSE),D1095)</f>
        <v>0</v>
      </c>
      <c r="E1095" s="124">
        <f ca="1">_xlfn.IFNA(VLOOKUP(A1095,Worksheet!$B$1:$G$600,5,FALSE),E1095)</f>
        <v>0</v>
      </c>
      <c r="F1095" s="6" t="s">
        <v>109</v>
      </c>
    </row>
    <row r="1096" spans="1:6" hidden="1" x14ac:dyDescent="0.25">
      <c r="A1096" s="37" t="s">
        <v>593</v>
      </c>
      <c r="B1096" s="219" t="s">
        <v>20</v>
      </c>
      <c r="C1096" s="124">
        <f ca="1">_xlfn.IFNA(VLOOKUP(A1096,Worksheet!$B$1:$G$600,3,FALSE),C1096)</f>
        <v>0</v>
      </c>
      <c r="D1096" s="124">
        <f ca="1">_xlfn.IFNA(VLOOKUP(A1096,Worksheet!$B$1:$G$600,4,FALSE),D1096)</f>
        <v>0</v>
      </c>
      <c r="E1096" s="124">
        <f ca="1">_xlfn.IFNA(VLOOKUP(A1096,Worksheet!$B$1:$G$600,5,FALSE),E1096)</f>
        <v>0</v>
      </c>
      <c r="F1096" s="6" t="s">
        <v>109</v>
      </c>
    </row>
    <row r="1097" spans="1:6" hidden="1" x14ac:dyDescent="0.25">
      <c r="A1097" s="37" t="s">
        <v>594</v>
      </c>
      <c r="B1097" s="219" t="s">
        <v>21</v>
      </c>
      <c r="C1097" s="124">
        <f ca="1">_xlfn.IFNA(VLOOKUP(A1097,Worksheet!$B$1:$G$600,3,FALSE),C1097)</f>
        <v>0</v>
      </c>
      <c r="D1097" s="124">
        <f ca="1">_xlfn.IFNA(VLOOKUP(A1097,Worksheet!$B$1:$G$600,4,FALSE),D1097)</f>
        <v>0</v>
      </c>
      <c r="E1097" s="124">
        <f ca="1">_xlfn.IFNA(VLOOKUP(A1097,Worksheet!$B$1:$G$600,5,FALSE),E1097)</f>
        <v>0</v>
      </c>
      <c r="F1097" s="6" t="s">
        <v>109</v>
      </c>
    </row>
    <row r="1098" spans="1:6" hidden="1" x14ac:dyDescent="0.25">
      <c r="A1098" s="37" t="s">
        <v>595</v>
      </c>
      <c r="B1098" s="219" t="s">
        <v>50</v>
      </c>
      <c r="C1098" s="124">
        <f ca="1">_xlfn.IFNA(VLOOKUP(A1098,Worksheet!$B$1:$G$600,3,FALSE),C1098)</f>
        <v>0</v>
      </c>
      <c r="D1098" s="124">
        <f ca="1">_xlfn.IFNA(VLOOKUP(A1098,Worksheet!$B$1:$G$600,4,FALSE),D1098)</f>
        <v>0</v>
      </c>
      <c r="E1098" s="124">
        <f ca="1">_xlfn.IFNA(VLOOKUP(A1098,Worksheet!$B$1:$G$600,5,FALSE),E1098)</f>
        <v>0</v>
      </c>
      <c r="F1098" s="6" t="s">
        <v>109</v>
      </c>
    </row>
    <row r="1099" spans="1:6" hidden="1" x14ac:dyDescent="0.25">
      <c r="A1099" s="37" t="s">
        <v>609</v>
      </c>
      <c r="B1099" s="219" t="s">
        <v>724</v>
      </c>
      <c r="C1099" s="179">
        <f ca="1">SUM(C1100:C1106)</f>
        <v>0</v>
      </c>
      <c r="D1099" s="179">
        <f t="shared" ref="D1099:E1099" ca="1" si="278">SUM(D1100:D1106)</f>
        <v>0</v>
      </c>
      <c r="E1099" s="179">
        <f t="shared" ca="1" si="278"/>
        <v>0</v>
      </c>
      <c r="F1099" s="6" t="s">
        <v>109</v>
      </c>
    </row>
    <row r="1100" spans="1:6" hidden="1" x14ac:dyDescent="0.25">
      <c r="A1100" s="37" t="s">
        <v>610</v>
      </c>
      <c r="B1100" s="221" t="s">
        <v>16</v>
      </c>
      <c r="C1100" s="124">
        <f ca="1">_xlfn.IFNA(VLOOKUP(A1100,Worksheet!$B$1:$G$600,3,FALSE),C1100)</f>
        <v>0</v>
      </c>
      <c r="D1100" s="124">
        <f ca="1">_xlfn.IFNA(VLOOKUP(A1100,Worksheet!$B$1:$G$600,4,FALSE),D1100)</f>
        <v>0</v>
      </c>
      <c r="E1100" s="124">
        <f ca="1">_xlfn.IFNA(VLOOKUP(A1100,Worksheet!$B$1:$G$600,5,FALSE),E1100)</f>
        <v>0</v>
      </c>
      <c r="F1100" s="6" t="s">
        <v>109</v>
      </c>
    </row>
    <row r="1101" spans="1:6" hidden="1" x14ac:dyDescent="0.25">
      <c r="A1101" s="37" t="s">
        <v>611</v>
      </c>
      <c r="B1101" s="222" t="s">
        <v>45</v>
      </c>
      <c r="C1101" s="124">
        <f ca="1">_xlfn.IFNA(VLOOKUP(A1101,Worksheet!$B$1:$G$600,3,FALSE),C1101)</f>
        <v>0</v>
      </c>
      <c r="D1101" s="124">
        <f ca="1">_xlfn.IFNA(VLOOKUP(A1101,Worksheet!$B$1:$G$600,4,FALSE),D1101)</f>
        <v>0</v>
      </c>
      <c r="E1101" s="124">
        <f ca="1">_xlfn.IFNA(VLOOKUP(A1101,Worksheet!$B$1:$G$600,5,FALSE),E1101)</f>
        <v>0</v>
      </c>
      <c r="F1101" s="6" t="s">
        <v>109</v>
      </c>
    </row>
    <row r="1102" spans="1:6" hidden="1" x14ac:dyDescent="0.25">
      <c r="A1102" s="37" t="s">
        <v>612</v>
      </c>
      <c r="B1102" s="219" t="s">
        <v>80</v>
      </c>
      <c r="C1102" s="124">
        <f ca="1">_xlfn.IFNA(VLOOKUP(A1102,Worksheet!$B$1:$G$600,3,FALSE),C1102)</f>
        <v>0</v>
      </c>
      <c r="D1102" s="124">
        <f ca="1">_xlfn.IFNA(VLOOKUP(A1102,Worksheet!$B$1:$G$600,4,FALSE),D1102)</f>
        <v>0</v>
      </c>
      <c r="E1102" s="124">
        <f ca="1">_xlfn.IFNA(VLOOKUP(A1102,Worksheet!$B$1:$G$600,5,FALSE),E1102)</f>
        <v>0</v>
      </c>
      <c r="F1102" s="6" t="s">
        <v>109</v>
      </c>
    </row>
    <row r="1103" spans="1:6" hidden="1" x14ac:dyDescent="0.25">
      <c r="A1103" s="37" t="s">
        <v>613</v>
      </c>
      <c r="B1103" s="219" t="s">
        <v>47</v>
      </c>
      <c r="C1103" s="124">
        <f ca="1">_xlfn.IFNA(VLOOKUP(A1103,Worksheet!$B$1:$G$600,3,FALSE),C1103)</f>
        <v>0</v>
      </c>
      <c r="D1103" s="124">
        <f ca="1">_xlfn.IFNA(VLOOKUP(A1103,Worksheet!$B$1:$G$600,4,FALSE),D1103)</f>
        <v>0</v>
      </c>
      <c r="E1103" s="124">
        <f ca="1">_xlfn.IFNA(VLOOKUP(A1103,Worksheet!$B$1:$G$600,5,FALSE),E1103)</f>
        <v>0</v>
      </c>
      <c r="F1103" s="6" t="s">
        <v>109</v>
      </c>
    </row>
    <row r="1104" spans="1:6" hidden="1" x14ac:dyDescent="0.25">
      <c r="A1104" s="37" t="s">
        <v>614</v>
      </c>
      <c r="B1104" s="219" t="s">
        <v>20</v>
      </c>
      <c r="C1104" s="124">
        <f ca="1">_xlfn.IFNA(VLOOKUP(A1104,Worksheet!$B$1:$G$600,3,FALSE),C1104)</f>
        <v>0</v>
      </c>
      <c r="D1104" s="124">
        <f ca="1">_xlfn.IFNA(VLOOKUP(A1104,Worksheet!$B$1:$G$600,4,FALSE),D1104)</f>
        <v>0</v>
      </c>
      <c r="E1104" s="124">
        <f ca="1">_xlfn.IFNA(VLOOKUP(A1104,Worksheet!$B$1:$G$600,5,FALSE),E1104)</f>
        <v>0</v>
      </c>
      <c r="F1104" s="6" t="s">
        <v>109</v>
      </c>
    </row>
    <row r="1105" spans="1:6" hidden="1" x14ac:dyDescent="0.25">
      <c r="A1105" s="37" t="s">
        <v>615</v>
      </c>
      <c r="B1105" s="219" t="s">
        <v>21</v>
      </c>
      <c r="C1105" s="124">
        <f ca="1">_xlfn.IFNA(VLOOKUP(A1105,Worksheet!$B$1:$G$600,3,FALSE),C1105)</f>
        <v>0</v>
      </c>
      <c r="D1105" s="124">
        <f ca="1">_xlfn.IFNA(VLOOKUP(A1105,Worksheet!$B$1:$G$600,4,FALSE),D1105)</f>
        <v>0</v>
      </c>
      <c r="E1105" s="124">
        <f ca="1">_xlfn.IFNA(VLOOKUP(A1105,Worksheet!$B$1:$G$600,5,FALSE),E1105)</f>
        <v>0</v>
      </c>
      <c r="F1105" s="6" t="s">
        <v>109</v>
      </c>
    </row>
    <row r="1106" spans="1:6" hidden="1" x14ac:dyDescent="0.25">
      <c r="A1106" s="37" t="s">
        <v>616</v>
      </c>
      <c r="B1106" s="219" t="s">
        <v>50</v>
      </c>
      <c r="C1106" s="124">
        <f ca="1">_xlfn.IFNA(VLOOKUP(A1106,Worksheet!$B$1:$G$600,3,FALSE),C1106)</f>
        <v>0</v>
      </c>
      <c r="D1106" s="124">
        <f ca="1">_xlfn.IFNA(VLOOKUP(A1106,Worksheet!$B$1:$G$600,4,FALSE),D1106)</f>
        <v>0</v>
      </c>
      <c r="E1106" s="124">
        <f ca="1">_xlfn.IFNA(VLOOKUP(A1106,Worksheet!$B$1:$G$600,5,FALSE),E1106)</f>
        <v>0</v>
      </c>
      <c r="F1106" s="6" t="s">
        <v>109</v>
      </c>
    </row>
    <row r="1107" spans="1:6" hidden="1" x14ac:dyDescent="0.25">
      <c r="A1107" s="37" t="s">
        <v>617</v>
      </c>
      <c r="B1107" s="203" t="s">
        <v>15</v>
      </c>
      <c r="C1107" s="175">
        <f ca="1">SUM(C1108,C1116)/2</f>
        <v>0</v>
      </c>
      <c r="D1107" s="175">
        <f t="shared" ref="D1107:E1107" ca="1" si="279">SUM(D1108,D1116)/2</f>
        <v>0</v>
      </c>
      <c r="E1107" s="175">
        <f t="shared" ca="1" si="279"/>
        <v>0</v>
      </c>
      <c r="F1107" s="6" t="s">
        <v>109</v>
      </c>
    </row>
    <row r="1108" spans="1:6" hidden="1" x14ac:dyDescent="0.25">
      <c r="A1108" s="37" t="s">
        <v>618</v>
      </c>
      <c r="B1108" s="214" t="s">
        <v>39</v>
      </c>
      <c r="C1108" s="179">
        <f ca="1">SUM(C1109:C1115)</f>
        <v>0</v>
      </c>
      <c r="D1108" s="179">
        <f t="shared" ref="D1108:E1108" ca="1" si="280">SUM(D1109:D1115)</f>
        <v>0</v>
      </c>
      <c r="E1108" s="179">
        <f t="shared" ca="1" si="280"/>
        <v>0</v>
      </c>
      <c r="F1108" s="6" t="s">
        <v>109</v>
      </c>
    </row>
    <row r="1109" spans="1:6" hidden="1" x14ac:dyDescent="0.25">
      <c r="A1109" s="37" t="s">
        <v>589</v>
      </c>
      <c r="B1109" s="221" t="s">
        <v>16</v>
      </c>
      <c r="C1109" s="124">
        <f ca="1">_xlfn.IFNA(VLOOKUP(A1109,Worksheet!$B$1:$G$600,3,FALSE),C1109)</f>
        <v>0</v>
      </c>
      <c r="D1109" s="124">
        <f ca="1">_xlfn.IFNA(VLOOKUP(A1109,Worksheet!$B$1:$G$600,4,FALSE),D1109)</f>
        <v>0</v>
      </c>
      <c r="E1109" s="124">
        <f ca="1">_xlfn.IFNA(VLOOKUP(A1109,Worksheet!$B$1:$G$600,5,FALSE),E1109)</f>
        <v>0</v>
      </c>
      <c r="F1109" s="6" t="s">
        <v>109</v>
      </c>
    </row>
    <row r="1110" spans="1:6" hidden="1" x14ac:dyDescent="0.25">
      <c r="A1110" s="37" t="s">
        <v>590</v>
      </c>
      <c r="B1110" s="222" t="s">
        <v>45</v>
      </c>
      <c r="C1110" s="124">
        <f ca="1">_xlfn.IFNA(VLOOKUP(A1110,Worksheet!$B$1:$G$600,3,FALSE),C1110)</f>
        <v>0</v>
      </c>
      <c r="D1110" s="124">
        <f ca="1">_xlfn.IFNA(VLOOKUP(A1110,Worksheet!$B$1:$G$600,4,FALSE),D1110)</f>
        <v>0</v>
      </c>
      <c r="E1110" s="124">
        <f ca="1">_xlfn.IFNA(VLOOKUP(A1110,Worksheet!$B$1:$G$600,5,FALSE),E1110)</f>
        <v>0</v>
      </c>
      <c r="F1110" s="6" t="s">
        <v>109</v>
      </c>
    </row>
    <row r="1111" spans="1:6" hidden="1" x14ac:dyDescent="0.25">
      <c r="A1111" s="37" t="s">
        <v>591</v>
      </c>
      <c r="B1111" s="219" t="s">
        <v>80</v>
      </c>
      <c r="C1111" s="124">
        <f ca="1">_xlfn.IFNA(VLOOKUP(A1111,Worksheet!$B$1:$G$600,3,FALSE),C1111)</f>
        <v>0</v>
      </c>
      <c r="D1111" s="124">
        <f ca="1">_xlfn.IFNA(VLOOKUP(A1111,Worksheet!$B$1:$G$600,4,FALSE),D1111)</f>
        <v>0</v>
      </c>
      <c r="E1111" s="124">
        <f ca="1">_xlfn.IFNA(VLOOKUP(A1111,Worksheet!$B$1:$G$600,5,FALSE),E1111)</f>
        <v>0</v>
      </c>
      <c r="F1111" s="6" t="s">
        <v>109</v>
      </c>
    </row>
    <row r="1112" spans="1:6" hidden="1" x14ac:dyDescent="0.25">
      <c r="A1112" s="37" t="s">
        <v>592</v>
      </c>
      <c r="B1112" s="219" t="s">
        <v>47</v>
      </c>
      <c r="C1112" s="124">
        <f ca="1">_xlfn.IFNA(VLOOKUP(A1112,Worksheet!$B$1:$G$600,3,FALSE),C1112)</f>
        <v>0</v>
      </c>
      <c r="D1112" s="124">
        <f ca="1">_xlfn.IFNA(VLOOKUP(A1112,Worksheet!$B$1:$G$600,4,FALSE),D1112)</f>
        <v>0</v>
      </c>
      <c r="E1112" s="124">
        <f ca="1">_xlfn.IFNA(VLOOKUP(A1112,Worksheet!$B$1:$G$600,5,FALSE),E1112)</f>
        <v>0</v>
      </c>
      <c r="F1112" s="6" t="s">
        <v>109</v>
      </c>
    </row>
    <row r="1113" spans="1:6" hidden="1" x14ac:dyDescent="0.25">
      <c r="A1113" s="37" t="s">
        <v>593</v>
      </c>
      <c r="B1113" s="219" t="s">
        <v>20</v>
      </c>
      <c r="C1113" s="124">
        <f ca="1">_xlfn.IFNA(VLOOKUP(A1113,Worksheet!$B$1:$G$600,3,FALSE),C1113)</f>
        <v>0</v>
      </c>
      <c r="D1113" s="124">
        <f ca="1">_xlfn.IFNA(VLOOKUP(A1113,Worksheet!$B$1:$G$600,4,FALSE),D1113)</f>
        <v>0</v>
      </c>
      <c r="E1113" s="124">
        <f ca="1">_xlfn.IFNA(VLOOKUP(A1113,Worksheet!$B$1:$G$600,5,FALSE),E1113)</f>
        <v>0</v>
      </c>
      <c r="F1113" s="6" t="s">
        <v>109</v>
      </c>
    </row>
    <row r="1114" spans="1:6" hidden="1" x14ac:dyDescent="0.25">
      <c r="A1114" s="37" t="s">
        <v>594</v>
      </c>
      <c r="B1114" s="219" t="s">
        <v>21</v>
      </c>
      <c r="C1114" s="124">
        <f ca="1">_xlfn.IFNA(VLOOKUP(A1114,Worksheet!$B$1:$G$600,3,FALSE),C1114)</f>
        <v>0</v>
      </c>
      <c r="D1114" s="124">
        <f ca="1">_xlfn.IFNA(VLOOKUP(A1114,Worksheet!$B$1:$G$600,4,FALSE),D1114)</f>
        <v>0</v>
      </c>
      <c r="E1114" s="124">
        <f ca="1">_xlfn.IFNA(VLOOKUP(A1114,Worksheet!$B$1:$G$600,5,FALSE),E1114)</f>
        <v>0</v>
      </c>
      <c r="F1114" s="6" t="s">
        <v>109</v>
      </c>
    </row>
    <row r="1115" spans="1:6" hidden="1" x14ac:dyDescent="0.25">
      <c r="A1115" s="37" t="s">
        <v>595</v>
      </c>
      <c r="B1115" s="219" t="s">
        <v>50</v>
      </c>
      <c r="C1115" s="124">
        <f ca="1">_xlfn.IFNA(VLOOKUP(A1115,Worksheet!$B$1:$G$600,3,FALSE),C1115)</f>
        <v>0</v>
      </c>
      <c r="D1115" s="124">
        <f ca="1">_xlfn.IFNA(VLOOKUP(A1115,Worksheet!$B$1:$G$600,4,FALSE),D1115)</f>
        <v>0</v>
      </c>
      <c r="E1115" s="124">
        <f ca="1">_xlfn.IFNA(VLOOKUP(A1115,Worksheet!$B$1:$G$600,5,FALSE),E1115)</f>
        <v>0</v>
      </c>
      <c r="F1115" s="6" t="s">
        <v>109</v>
      </c>
    </row>
    <row r="1116" spans="1:6" hidden="1" x14ac:dyDescent="0.25">
      <c r="A1116" s="37" t="s">
        <v>619</v>
      </c>
      <c r="B1116" s="219" t="s">
        <v>724</v>
      </c>
      <c r="C1116" s="179">
        <f ca="1">SUM(C1117:C1123)</f>
        <v>0</v>
      </c>
      <c r="D1116" s="179">
        <f t="shared" ref="D1116:E1116" ca="1" si="281">SUM(D1117:D1123)</f>
        <v>0</v>
      </c>
      <c r="E1116" s="179">
        <f t="shared" ca="1" si="281"/>
        <v>0</v>
      </c>
      <c r="F1116" s="6" t="s">
        <v>109</v>
      </c>
    </row>
    <row r="1117" spans="1:6" hidden="1" x14ac:dyDescent="0.25">
      <c r="A1117" s="37" t="s">
        <v>620</v>
      </c>
      <c r="B1117" s="221" t="s">
        <v>16</v>
      </c>
      <c r="C1117" s="124">
        <f ca="1">_xlfn.IFNA(VLOOKUP(A1117,Worksheet!$B$1:$G$600,3,FALSE),C1117)</f>
        <v>0</v>
      </c>
      <c r="D1117" s="124">
        <f ca="1">_xlfn.IFNA(VLOOKUP(A1117,Worksheet!$B$1:$G$600,4,FALSE),D1117)</f>
        <v>0</v>
      </c>
      <c r="E1117" s="124">
        <f ca="1">_xlfn.IFNA(VLOOKUP(A1117,Worksheet!$B$1:$G$600,5,FALSE),E1117)</f>
        <v>0</v>
      </c>
      <c r="F1117" s="6" t="s">
        <v>109</v>
      </c>
    </row>
    <row r="1118" spans="1:6" hidden="1" x14ac:dyDescent="0.25">
      <c r="A1118" s="37" t="s">
        <v>621</v>
      </c>
      <c r="B1118" s="222" t="s">
        <v>45</v>
      </c>
      <c r="C1118" s="124">
        <f ca="1">_xlfn.IFNA(VLOOKUP(A1118,Worksheet!$B$1:$G$600,3,FALSE),C1118)</f>
        <v>0</v>
      </c>
      <c r="D1118" s="124">
        <f ca="1">_xlfn.IFNA(VLOOKUP(A1118,Worksheet!$B$1:$G$600,4,FALSE),D1118)</f>
        <v>0</v>
      </c>
      <c r="E1118" s="124">
        <f ca="1">_xlfn.IFNA(VLOOKUP(A1118,Worksheet!$B$1:$G$600,5,FALSE),E1118)</f>
        <v>0</v>
      </c>
      <c r="F1118" s="6" t="s">
        <v>109</v>
      </c>
    </row>
    <row r="1119" spans="1:6" hidden="1" x14ac:dyDescent="0.25">
      <c r="A1119" s="37" t="s">
        <v>622</v>
      </c>
      <c r="B1119" s="219" t="s">
        <v>80</v>
      </c>
      <c r="C1119" s="124">
        <f ca="1">_xlfn.IFNA(VLOOKUP(A1119,Worksheet!$B$1:$G$600,3,FALSE),C1119)</f>
        <v>0</v>
      </c>
      <c r="D1119" s="124">
        <f ca="1">_xlfn.IFNA(VLOOKUP(A1119,Worksheet!$B$1:$G$600,4,FALSE),D1119)</f>
        <v>0</v>
      </c>
      <c r="E1119" s="124">
        <f ca="1">_xlfn.IFNA(VLOOKUP(A1119,Worksheet!$B$1:$G$600,5,FALSE),E1119)</f>
        <v>0</v>
      </c>
      <c r="F1119" s="6" t="s">
        <v>109</v>
      </c>
    </row>
    <row r="1120" spans="1:6" hidden="1" x14ac:dyDescent="0.25">
      <c r="A1120" s="37" t="s">
        <v>623</v>
      </c>
      <c r="B1120" s="219" t="s">
        <v>47</v>
      </c>
      <c r="C1120" s="124">
        <f ca="1">_xlfn.IFNA(VLOOKUP(A1120,Worksheet!$B$1:$G$600,3,FALSE),C1120)</f>
        <v>0</v>
      </c>
      <c r="D1120" s="124">
        <f ca="1">_xlfn.IFNA(VLOOKUP(A1120,Worksheet!$B$1:$G$600,4,FALSE),D1120)</f>
        <v>0</v>
      </c>
      <c r="E1120" s="124">
        <f ca="1">_xlfn.IFNA(VLOOKUP(A1120,Worksheet!$B$1:$G$600,5,FALSE),E1120)</f>
        <v>0</v>
      </c>
      <c r="F1120" s="6" t="s">
        <v>109</v>
      </c>
    </row>
    <row r="1121" spans="1:6" hidden="1" x14ac:dyDescent="0.25">
      <c r="A1121" s="37" t="s">
        <v>624</v>
      </c>
      <c r="B1121" s="219" t="s">
        <v>20</v>
      </c>
      <c r="C1121" s="124">
        <f ca="1">_xlfn.IFNA(VLOOKUP(A1121,Worksheet!$B$1:$G$600,3,FALSE),C1121)</f>
        <v>0</v>
      </c>
      <c r="D1121" s="124">
        <f ca="1">_xlfn.IFNA(VLOOKUP(A1121,Worksheet!$B$1:$G$600,4,FALSE),D1121)</f>
        <v>0</v>
      </c>
      <c r="E1121" s="124">
        <f ca="1">_xlfn.IFNA(VLOOKUP(A1121,Worksheet!$B$1:$G$600,5,FALSE),E1121)</f>
        <v>0</v>
      </c>
      <c r="F1121" s="6" t="s">
        <v>109</v>
      </c>
    </row>
    <row r="1122" spans="1:6" hidden="1" x14ac:dyDescent="0.25">
      <c r="A1122" s="37" t="s">
        <v>625</v>
      </c>
      <c r="B1122" s="219" t="s">
        <v>21</v>
      </c>
      <c r="C1122" s="124">
        <f ca="1">_xlfn.IFNA(VLOOKUP(A1122,Worksheet!$B$1:$G$600,3,FALSE),C1122)</f>
        <v>0</v>
      </c>
      <c r="D1122" s="124">
        <f ca="1">_xlfn.IFNA(VLOOKUP(A1122,Worksheet!$B$1:$G$600,4,FALSE),D1122)</f>
        <v>0</v>
      </c>
      <c r="E1122" s="124">
        <f ca="1">_xlfn.IFNA(VLOOKUP(A1122,Worksheet!$B$1:$G$600,5,FALSE),E1122)</f>
        <v>0</v>
      </c>
      <c r="F1122" s="6" t="s">
        <v>109</v>
      </c>
    </row>
    <row r="1123" spans="1:6" hidden="1" x14ac:dyDescent="0.25">
      <c r="A1123" s="37" t="s">
        <v>626</v>
      </c>
      <c r="B1123" s="219" t="s">
        <v>50</v>
      </c>
      <c r="C1123" s="124">
        <f ca="1">_xlfn.IFNA(VLOOKUP(A1123,Worksheet!$B$1:$G$600,3,FALSE),C1123)</f>
        <v>0</v>
      </c>
      <c r="D1123" s="124">
        <f ca="1">_xlfn.IFNA(VLOOKUP(A1123,Worksheet!$B$1:$G$600,4,FALSE),D1123)</f>
        <v>0</v>
      </c>
      <c r="E1123" s="124">
        <f ca="1">_xlfn.IFNA(VLOOKUP(A1123,Worksheet!$B$1:$G$600,5,FALSE),E1123)</f>
        <v>0</v>
      </c>
      <c r="F1123" s="6" t="s">
        <v>109</v>
      </c>
    </row>
    <row r="1124" spans="1:6" hidden="1" x14ac:dyDescent="0.25">
      <c r="A1124" s="37" t="s">
        <v>627</v>
      </c>
      <c r="B1124" s="224" t="s">
        <v>726</v>
      </c>
      <c r="C1124" s="179">
        <f ca="1">SUM(C1125,C1142)</f>
        <v>0</v>
      </c>
      <c r="D1124" s="179">
        <f t="shared" ref="D1124:E1124" ca="1" si="282">SUM(D1125,D1142)</f>
        <v>0</v>
      </c>
      <c r="E1124" s="179">
        <f t="shared" ca="1" si="282"/>
        <v>0</v>
      </c>
      <c r="F1124" s="6" t="s">
        <v>109</v>
      </c>
    </row>
    <row r="1125" spans="1:6" hidden="1" x14ac:dyDescent="0.25">
      <c r="A1125" s="37" t="s">
        <v>628</v>
      </c>
      <c r="B1125" s="203" t="s">
        <v>14</v>
      </c>
      <c r="C1125" s="177">
        <f ca="1">SUM(C1126,C1134)/2</f>
        <v>0</v>
      </c>
      <c r="D1125" s="177">
        <f t="shared" ref="D1125:E1125" ca="1" si="283">SUM(D1126,D1134)/2</f>
        <v>0</v>
      </c>
      <c r="E1125" s="177">
        <f t="shared" ca="1" si="283"/>
        <v>0</v>
      </c>
      <c r="F1125" s="6" t="s">
        <v>109</v>
      </c>
    </row>
    <row r="1126" spans="1:6" hidden="1" x14ac:dyDescent="0.25">
      <c r="A1126" s="37" t="s">
        <v>629</v>
      </c>
      <c r="B1126" s="214" t="s">
        <v>39</v>
      </c>
      <c r="C1126" s="179">
        <f ca="1">SUM(C1127:C1133)</f>
        <v>0</v>
      </c>
      <c r="D1126" s="179">
        <f t="shared" ref="D1126:E1126" ca="1" si="284">SUM(D1127:D1133)</f>
        <v>0</v>
      </c>
      <c r="E1126" s="179">
        <f t="shared" ca="1" si="284"/>
        <v>0</v>
      </c>
      <c r="F1126" s="6" t="s">
        <v>109</v>
      </c>
    </row>
    <row r="1127" spans="1:6" hidden="1" x14ac:dyDescent="0.25">
      <c r="A1127" s="37" t="s">
        <v>631</v>
      </c>
      <c r="B1127" s="221" t="s">
        <v>16</v>
      </c>
      <c r="C1127" s="124">
        <f ca="1">_xlfn.IFNA(VLOOKUP(A1127,Worksheet!$B$1:$G$600,3,FALSE),C1127)</f>
        <v>0</v>
      </c>
      <c r="D1127" s="124">
        <f ca="1">_xlfn.IFNA(VLOOKUP(A1127,Worksheet!$B$1:$G$600,4,FALSE),D1127)</f>
        <v>0</v>
      </c>
      <c r="E1127" s="124">
        <f ca="1">_xlfn.IFNA(VLOOKUP(A1127,Worksheet!$B$1:$G$600,5,FALSE),E1127)</f>
        <v>0</v>
      </c>
      <c r="F1127" s="6" t="s">
        <v>109</v>
      </c>
    </row>
    <row r="1128" spans="1:6" hidden="1" x14ac:dyDescent="0.25">
      <c r="A1128" s="37" t="s">
        <v>632</v>
      </c>
      <c r="B1128" s="222" t="s">
        <v>45</v>
      </c>
      <c r="C1128" s="124">
        <f ca="1">_xlfn.IFNA(VLOOKUP(A1128,Worksheet!$B$1:$G$600,3,FALSE),C1128)</f>
        <v>0</v>
      </c>
      <c r="D1128" s="124">
        <f ca="1">_xlfn.IFNA(VLOOKUP(A1128,Worksheet!$B$1:$G$600,4,FALSE),D1128)</f>
        <v>0</v>
      </c>
      <c r="E1128" s="124">
        <f ca="1">_xlfn.IFNA(VLOOKUP(A1128,Worksheet!$B$1:$G$600,5,FALSE),E1128)</f>
        <v>0</v>
      </c>
      <c r="F1128" s="6" t="s">
        <v>109</v>
      </c>
    </row>
    <row r="1129" spans="1:6" hidden="1" x14ac:dyDescent="0.25">
      <c r="A1129" s="37" t="s">
        <v>633</v>
      </c>
      <c r="B1129" s="219" t="s">
        <v>80</v>
      </c>
      <c r="C1129" s="124">
        <f ca="1">_xlfn.IFNA(VLOOKUP(A1129,Worksheet!$B$1:$G$600,3,FALSE),C1129)</f>
        <v>0</v>
      </c>
      <c r="D1129" s="124">
        <f ca="1">_xlfn.IFNA(VLOOKUP(A1129,Worksheet!$B$1:$G$600,4,FALSE),D1129)</f>
        <v>0</v>
      </c>
      <c r="E1129" s="124">
        <f ca="1">_xlfn.IFNA(VLOOKUP(A1129,Worksheet!$B$1:$G$600,5,FALSE),E1129)</f>
        <v>0</v>
      </c>
      <c r="F1129" s="6" t="s">
        <v>109</v>
      </c>
    </row>
    <row r="1130" spans="1:6" hidden="1" x14ac:dyDescent="0.25">
      <c r="A1130" s="37" t="s">
        <v>634</v>
      </c>
      <c r="B1130" s="219" t="s">
        <v>47</v>
      </c>
      <c r="C1130" s="124">
        <f ca="1">_xlfn.IFNA(VLOOKUP(A1130,Worksheet!$B$1:$G$600,3,FALSE),C1130)</f>
        <v>0</v>
      </c>
      <c r="D1130" s="124">
        <f ca="1">_xlfn.IFNA(VLOOKUP(A1130,Worksheet!$B$1:$G$600,4,FALSE),D1130)</f>
        <v>0</v>
      </c>
      <c r="E1130" s="124">
        <f ca="1">_xlfn.IFNA(VLOOKUP(A1130,Worksheet!$B$1:$G$600,5,FALSE),E1130)</f>
        <v>0</v>
      </c>
      <c r="F1130" s="6" t="s">
        <v>109</v>
      </c>
    </row>
    <row r="1131" spans="1:6" hidden="1" x14ac:dyDescent="0.25">
      <c r="A1131" s="37" t="s">
        <v>635</v>
      </c>
      <c r="B1131" s="219" t="s">
        <v>20</v>
      </c>
      <c r="C1131" s="124">
        <f ca="1">_xlfn.IFNA(VLOOKUP(A1131,Worksheet!$B$1:$G$600,3,FALSE),C1131)</f>
        <v>0</v>
      </c>
      <c r="D1131" s="124">
        <f ca="1">_xlfn.IFNA(VLOOKUP(A1131,Worksheet!$B$1:$G$600,4,FALSE),D1131)</f>
        <v>0</v>
      </c>
      <c r="E1131" s="124">
        <f ca="1">_xlfn.IFNA(VLOOKUP(A1131,Worksheet!$B$1:$G$600,5,FALSE),E1131)</f>
        <v>0</v>
      </c>
      <c r="F1131" s="6" t="s">
        <v>109</v>
      </c>
    </row>
    <row r="1132" spans="1:6" hidden="1" x14ac:dyDescent="0.25">
      <c r="A1132" s="37" t="s">
        <v>636</v>
      </c>
      <c r="B1132" s="219" t="s">
        <v>21</v>
      </c>
      <c r="C1132" s="124">
        <f ca="1">_xlfn.IFNA(VLOOKUP(A1132,Worksheet!$B$1:$G$600,3,FALSE),C1132)</f>
        <v>0</v>
      </c>
      <c r="D1132" s="124">
        <f ca="1">_xlfn.IFNA(VLOOKUP(A1132,Worksheet!$B$1:$G$600,4,FALSE),D1132)</f>
        <v>0</v>
      </c>
      <c r="E1132" s="124">
        <f ca="1">_xlfn.IFNA(VLOOKUP(A1132,Worksheet!$B$1:$G$600,5,FALSE),E1132)</f>
        <v>0</v>
      </c>
      <c r="F1132" s="6" t="s">
        <v>109</v>
      </c>
    </row>
    <row r="1133" spans="1:6" hidden="1" x14ac:dyDescent="0.25">
      <c r="A1133" s="37" t="s">
        <v>637</v>
      </c>
      <c r="B1133" s="219" t="s">
        <v>50</v>
      </c>
      <c r="C1133" s="124">
        <f ca="1">_xlfn.IFNA(VLOOKUP(A1133,Worksheet!$B$1:$G$600,3,FALSE),C1133)</f>
        <v>0</v>
      </c>
      <c r="D1133" s="124">
        <f ca="1">_xlfn.IFNA(VLOOKUP(A1133,Worksheet!$B$1:$G$600,4,FALSE),D1133)</f>
        <v>0</v>
      </c>
      <c r="E1133" s="124">
        <f ca="1">_xlfn.IFNA(VLOOKUP(A1133,Worksheet!$B$1:$G$600,5,FALSE),E1133)</f>
        <v>0</v>
      </c>
      <c r="F1133" s="6" t="s">
        <v>109</v>
      </c>
    </row>
    <row r="1134" spans="1:6" hidden="1" x14ac:dyDescent="0.25">
      <c r="A1134" s="37" t="s">
        <v>630</v>
      </c>
      <c r="B1134" s="203" t="s">
        <v>724</v>
      </c>
      <c r="C1134" s="179">
        <f ca="1">SUM(C1135:C1141)</f>
        <v>0</v>
      </c>
      <c r="D1134" s="179">
        <f t="shared" ref="D1134:E1134" ca="1" si="285">SUM(D1135:D1141)</f>
        <v>0</v>
      </c>
      <c r="E1134" s="179">
        <f t="shared" ca="1" si="285"/>
        <v>0</v>
      </c>
      <c r="F1134" s="6" t="s">
        <v>109</v>
      </c>
    </row>
    <row r="1135" spans="1:6" hidden="1" x14ac:dyDescent="0.25">
      <c r="A1135" s="37" t="s">
        <v>631</v>
      </c>
      <c r="B1135" s="221" t="s">
        <v>16</v>
      </c>
      <c r="C1135" s="124">
        <f ca="1">_xlfn.IFNA(VLOOKUP(A1135,Worksheet!$B$1:$G$600,3,FALSE),C1135)</f>
        <v>0</v>
      </c>
      <c r="D1135" s="124">
        <f ca="1">_xlfn.IFNA(VLOOKUP(A1135,Worksheet!$B$1:$G$600,4,FALSE),D1135)</f>
        <v>0</v>
      </c>
      <c r="E1135" s="124">
        <f ca="1">_xlfn.IFNA(VLOOKUP(A1135,Worksheet!$B$1:$G$600,5,FALSE),E1135)</f>
        <v>0</v>
      </c>
      <c r="F1135" s="6" t="s">
        <v>109</v>
      </c>
    </row>
    <row r="1136" spans="1:6" hidden="1" x14ac:dyDescent="0.25">
      <c r="A1136" s="37" t="s">
        <v>632</v>
      </c>
      <c r="B1136" s="222" t="s">
        <v>45</v>
      </c>
      <c r="C1136" s="124">
        <f ca="1">_xlfn.IFNA(VLOOKUP(A1136,Worksheet!$B$1:$G$600,3,FALSE),C1136)</f>
        <v>0</v>
      </c>
      <c r="D1136" s="124">
        <f ca="1">_xlfn.IFNA(VLOOKUP(A1136,Worksheet!$B$1:$G$600,4,FALSE),D1136)</f>
        <v>0</v>
      </c>
      <c r="E1136" s="124">
        <f ca="1">_xlfn.IFNA(VLOOKUP(A1136,Worksheet!$B$1:$G$600,5,FALSE),E1136)</f>
        <v>0</v>
      </c>
      <c r="F1136" s="6" t="s">
        <v>109</v>
      </c>
    </row>
    <row r="1137" spans="1:6" hidden="1" x14ac:dyDescent="0.25">
      <c r="A1137" s="37" t="s">
        <v>633</v>
      </c>
      <c r="B1137" s="219" t="s">
        <v>80</v>
      </c>
      <c r="C1137" s="124">
        <f ca="1">_xlfn.IFNA(VLOOKUP(A1137,Worksheet!$B$1:$G$600,3,FALSE),C1137)</f>
        <v>0</v>
      </c>
      <c r="D1137" s="124">
        <f ca="1">_xlfn.IFNA(VLOOKUP(A1137,Worksheet!$B$1:$G$600,4,FALSE),D1137)</f>
        <v>0</v>
      </c>
      <c r="E1137" s="124">
        <f ca="1">_xlfn.IFNA(VLOOKUP(A1137,Worksheet!$B$1:$G$600,5,FALSE),E1137)</f>
        <v>0</v>
      </c>
      <c r="F1137" s="6" t="s">
        <v>109</v>
      </c>
    </row>
    <row r="1138" spans="1:6" hidden="1" x14ac:dyDescent="0.25">
      <c r="A1138" s="37" t="s">
        <v>634</v>
      </c>
      <c r="B1138" s="219" t="s">
        <v>47</v>
      </c>
      <c r="C1138" s="124">
        <f ca="1">_xlfn.IFNA(VLOOKUP(A1138,Worksheet!$B$1:$G$600,3,FALSE),C1138)</f>
        <v>0</v>
      </c>
      <c r="D1138" s="124">
        <f ca="1">_xlfn.IFNA(VLOOKUP(A1138,Worksheet!$B$1:$G$600,4,FALSE),D1138)</f>
        <v>0</v>
      </c>
      <c r="E1138" s="124">
        <f ca="1">_xlfn.IFNA(VLOOKUP(A1138,Worksheet!$B$1:$G$600,5,FALSE),E1138)</f>
        <v>0</v>
      </c>
      <c r="F1138" s="6" t="s">
        <v>109</v>
      </c>
    </row>
    <row r="1139" spans="1:6" hidden="1" x14ac:dyDescent="0.25">
      <c r="A1139" s="37" t="s">
        <v>635</v>
      </c>
      <c r="B1139" s="219" t="s">
        <v>20</v>
      </c>
      <c r="C1139" s="124">
        <f ca="1">_xlfn.IFNA(VLOOKUP(A1139,Worksheet!$B$1:$G$600,3,FALSE),C1139)</f>
        <v>0</v>
      </c>
      <c r="D1139" s="124">
        <f ca="1">_xlfn.IFNA(VLOOKUP(A1139,Worksheet!$B$1:$G$600,4,FALSE),D1139)</f>
        <v>0</v>
      </c>
      <c r="E1139" s="124">
        <f ca="1">_xlfn.IFNA(VLOOKUP(A1139,Worksheet!$B$1:$G$600,5,FALSE),E1139)</f>
        <v>0</v>
      </c>
      <c r="F1139" s="6" t="s">
        <v>109</v>
      </c>
    </row>
    <row r="1140" spans="1:6" hidden="1" x14ac:dyDescent="0.25">
      <c r="A1140" s="37" t="s">
        <v>636</v>
      </c>
      <c r="B1140" s="219" t="s">
        <v>21</v>
      </c>
      <c r="C1140" s="124">
        <f ca="1">_xlfn.IFNA(VLOOKUP(A1140,Worksheet!$B$1:$G$600,3,FALSE),C1140)</f>
        <v>0</v>
      </c>
      <c r="D1140" s="124">
        <f ca="1">_xlfn.IFNA(VLOOKUP(A1140,Worksheet!$B$1:$G$600,4,FALSE),D1140)</f>
        <v>0</v>
      </c>
      <c r="E1140" s="124">
        <f ca="1">_xlfn.IFNA(VLOOKUP(A1140,Worksheet!$B$1:$G$600,5,FALSE),E1140)</f>
        <v>0</v>
      </c>
      <c r="F1140" s="6" t="s">
        <v>109</v>
      </c>
    </row>
    <row r="1141" spans="1:6" hidden="1" x14ac:dyDescent="0.25">
      <c r="A1141" s="37" t="s">
        <v>637</v>
      </c>
      <c r="B1141" s="219" t="s">
        <v>50</v>
      </c>
      <c r="C1141" s="124">
        <f ca="1">_xlfn.IFNA(VLOOKUP(A1141,Worksheet!$B$1:$G$600,3,FALSE),C1141)</f>
        <v>0</v>
      </c>
      <c r="D1141" s="124">
        <f ca="1">_xlfn.IFNA(VLOOKUP(A1141,Worksheet!$B$1:$G$600,4,FALSE),D1141)</f>
        <v>0</v>
      </c>
      <c r="E1141" s="124">
        <f ca="1">_xlfn.IFNA(VLOOKUP(A1141,Worksheet!$B$1:$G$600,5,FALSE),E1141)</f>
        <v>0</v>
      </c>
      <c r="F1141" s="6" t="s">
        <v>109</v>
      </c>
    </row>
    <row r="1142" spans="1:6" hidden="1" x14ac:dyDescent="0.25">
      <c r="A1142" s="37" t="s">
        <v>638</v>
      </c>
      <c r="B1142" s="203" t="s">
        <v>15</v>
      </c>
      <c r="C1142" s="175">
        <f ca="1">SUM(C1143,C1151)/2</f>
        <v>0</v>
      </c>
      <c r="D1142" s="175">
        <f t="shared" ref="D1142:E1142" ca="1" si="286">SUM(D1143,D1151)/2</f>
        <v>0</v>
      </c>
      <c r="E1142" s="175">
        <f t="shared" ca="1" si="286"/>
        <v>0</v>
      </c>
      <c r="F1142" s="6" t="s">
        <v>109</v>
      </c>
    </row>
    <row r="1143" spans="1:6" hidden="1" x14ac:dyDescent="0.25">
      <c r="A1143" s="37" t="s">
        <v>639</v>
      </c>
      <c r="B1143" s="214" t="s">
        <v>39</v>
      </c>
      <c r="C1143" s="179">
        <f ca="1">SUM(C1144:C1150)</f>
        <v>0</v>
      </c>
      <c r="D1143" s="179">
        <f ca="1">SUM(D1144:D1150)</f>
        <v>0</v>
      </c>
      <c r="E1143" s="179">
        <f ca="1">SUM(E1144:E1150)</f>
        <v>0</v>
      </c>
      <c r="F1143" s="6" t="s">
        <v>109</v>
      </c>
    </row>
    <row r="1144" spans="1:6" hidden="1" x14ac:dyDescent="0.25">
      <c r="A1144" s="37" t="s">
        <v>631</v>
      </c>
      <c r="B1144" s="221" t="s">
        <v>16</v>
      </c>
      <c r="C1144" s="124">
        <f ca="1">_xlfn.IFNA(VLOOKUP(A1144,Worksheet!$B$1:$G$600,3,FALSE),C1144)</f>
        <v>0</v>
      </c>
      <c r="D1144" s="124">
        <f ca="1">_xlfn.IFNA(VLOOKUP(A1144,Worksheet!$B$1:$G$600,4,FALSE),D1144)</f>
        <v>0</v>
      </c>
      <c r="E1144" s="124">
        <f ca="1">_xlfn.IFNA(VLOOKUP(A1144,Worksheet!$B$1:$G$600,5,FALSE),E1144)</f>
        <v>0</v>
      </c>
      <c r="F1144" s="6" t="s">
        <v>109</v>
      </c>
    </row>
    <row r="1145" spans="1:6" hidden="1" x14ac:dyDescent="0.25">
      <c r="A1145" s="37" t="s">
        <v>632</v>
      </c>
      <c r="B1145" s="222" t="s">
        <v>45</v>
      </c>
      <c r="C1145" s="124">
        <f ca="1">_xlfn.IFNA(VLOOKUP(A1145,Worksheet!$B$1:$G$600,3,FALSE),C1145)</f>
        <v>0</v>
      </c>
      <c r="D1145" s="124">
        <f ca="1">_xlfn.IFNA(VLOOKUP(A1145,Worksheet!$B$1:$G$600,4,FALSE),D1145)</f>
        <v>0</v>
      </c>
      <c r="E1145" s="124">
        <f ca="1">_xlfn.IFNA(VLOOKUP(A1145,Worksheet!$B$1:$G$600,5,FALSE),E1145)</f>
        <v>0</v>
      </c>
      <c r="F1145" s="6" t="s">
        <v>109</v>
      </c>
    </row>
    <row r="1146" spans="1:6" hidden="1" x14ac:dyDescent="0.25">
      <c r="A1146" s="37" t="s">
        <v>633</v>
      </c>
      <c r="B1146" s="219" t="s">
        <v>80</v>
      </c>
      <c r="C1146" s="124">
        <f ca="1">_xlfn.IFNA(VLOOKUP(A1146,Worksheet!$B$1:$G$600,3,FALSE),C1146)</f>
        <v>0</v>
      </c>
      <c r="D1146" s="124">
        <f ca="1">_xlfn.IFNA(VLOOKUP(A1146,Worksheet!$B$1:$G$600,4,FALSE),D1146)</f>
        <v>0</v>
      </c>
      <c r="E1146" s="124">
        <f ca="1">_xlfn.IFNA(VLOOKUP(A1146,Worksheet!$B$1:$G$600,5,FALSE),E1146)</f>
        <v>0</v>
      </c>
      <c r="F1146" s="6" t="s">
        <v>109</v>
      </c>
    </row>
    <row r="1147" spans="1:6" hidden="1" x14ac:dyDescent="0.25">
      <c r="A1147" s="37" t="s">
        <v>634</v>
      </c>
      <c r="B1147" s="219" t="s">
        <v>47</v>
      </c>
      <c r="C1147" s="124">
        <f ca="1">_xlfn.IFNA(VLOOKUP(A1147,Worksheet!$B$1:$G$600,3,FALSE),C1147)</f>
        <v>0</v>
      </c>
      <c r="D1147" s="124">
        <f ca="1">_xlfn.IFNA(VLOOKUP(A1147,Worksheet!$B$1:$G$600,4,FALSE),D1147)</f>
        <v>0</v>
      </c>
      <c r="E1147" s="124">
        <f ca="1">_xlfn.IFNA(VLOOKUP(A1147,Worksheet!$B$1:$G$600,5,FALSE),E1147)</f>
        <v>0</v>
      </c>
      <c r="F1147" s="6" t="s">
        <v>109</v>
      </c>
    </row>
    <row r="1148" spans="1:6" hidden="1" x14ac:dyDescent="0.25">
      <c r="A1148" s="37" t="s">
        <v>635</v>
      </c>
      <c r="B1148" s="219" t="s">
        <v>20</v>
      </c>
      <c r="C1148" s="124">
        <f ca="1">_xlfn.IFNA(VLOOKUP(A1148,Worksheet!$B$1:$G$600,3,FALSE),C1148)</f>
        <v>0</v>
      </c>
      <c r="D1148" s="124">
        <f ca="1">_xlfn.IFNA(VLOOKUP(A1148,Worksheet!$B$1:$G$600,4,FALSE),D1148)</f>
        <v>0</v>
      </c>
      <c r="E1148" s="124">
        <f ca="1">_xlfn.IFNA(VLOOKUP(A1148,Worksheet!$B$1:$G$600,5,FALSE),E1148)</f>
        <v>0</v>
      </c>
      <c r="F1148" s="6" t="s">
        <v>109</v>
      </c>
    </row>
    <row r="1149" spans="1:6" hidden="1" x14ac:dyDescent="0.25">
      <c r="A1149" s="37" t="s">
        <v>636</v>
      </c>
      <c r="B1149" s="219" t="s">
        <v>21</v>
      </c>
      <c r="C1149" s="124">
        <f ca="1">_xlfn.IFNA(VLOOKUP(A1149,Worksheet!$B$1:$G$600,3,FALSE),C1149)</f>
        <v>0</v>
      </c>
      <c r="D1149" s="124">
        <f ca="1">_xlfn.IFNA(VLOOKUP(A1149,Worksheet!$B$1:$G$600,4,FALSE),D1149)</f>
        <v>0</v>
      </c>
      <c r="E1149" s="124">
        <f ca="1">_xlfn.IFNA(VLOOKUP(A1149,Worksheet!$B$1:$G$600,5,FALSE),E1149)</f>
        <v>0</v>
      </c>
      <c r="F1149" s="6" t="s">
        <v>109</v>
      </c>
    </row>
    <row r="1150" spans="1:6" hidden="1" x14ac:dyDescent="0.25">
      <c r="A1150" s="37" t="s">
        <v>637</v>
      </c>
      <c r="B1150" s="219" t="s">
        <v>50</v>
      </c>
      <c r="C1150" s="124">
        <f ca="1">_xlfn.IFNA(VLOOKUP(A1150,Worksheet!$B$1:$G$600,3,FALSE),C1150)</f>
        <v>0</v>
      </c>
      <c r="D1150" s="124">
        <f ca="1">_xlfn.IFNA(VLOOKUP(A1150,Worksheet!$B$1:$G$600,4,FALSE),D1150)</f>
        <v>0</v>
      </c>
      <c r="E1150" s="124">
        <f ca="1">_xlfn.IFNA(VLOOKUP(A1150,Worksheet!$B$1:$G$600,5,FALSE),E1150)</f>
        <v>0</v>
      </c>
      <c r="F1150" s="6" t="s">
        <v>109</v>
      </c>
    </row>
    <row r="1151" spans="1:6" hidden="1" x14ac:dyDescent="0.25">
      <c r="A1151" s="37" t="s">
        <v>640</v>
      </c>
      <c r="B1151" s="203" t="s">
        <v>724</v>
      </c>
      <c r="C1151" s="179">
        <f ca="1">SUM(C1152:C1158)</f>
        <v>0</v>
      </c>
      <c r="D1151" s="179">
        <f t="shared" ref="D1151:E1151" ca="1" si="287">SUM(D1152:D1158)</f>
        <v>0</v>
      </c>
      <c r="E1151" s="179">
        <f t="shared" ca="1" si="287"/>
        <v>0</v>
      </c>
      <c r="F1151" s="6" t="s">
        <v>109</v>
      </c>
    </row>
    <row r="1152" spans="1:6" hidden="1" x14ac:dyDescent="0.25">
      <c r="A1152" s="37" t="s">
        <v>641</v>
      </c>
      <c r="B1152" s="221" t="s">
        <v>16</v>
      </c>
      <c r="C1152" s="124">
        <f ca="1">_xlfn.IFNA(VLOOKUP(A1152,Worksheet!$B$1:$G$600,3,FALSE),C1152)</f>
        <v>0</v>
      </c>
      <c r="D1152" s="124">
        <f ca="1">_xlfn.IFNA(VLOOKUP(A1152,Worksheet!$B$1:$G$600,4,FALSE),D1152)</f>
        <v>0</v>
      </c>
      <c r="E1152" s="124">
        <f ca="1">_xlfn.IFNA(VLOOKUP(A1152,Worksheet!$B$1:$G$600,5,FALSE),E1152)</f>
        <v>0</v>
      </c>
      <c r="F1152" s="6" t="s">
        <v>109</v>
      </c>
    </row>
    <row r="1153" spans="1:6" hidden="1" x14ac:dyDescent="0.25">
      <c r="A1153" s="37" t="s">
        <v>642</v>
      </c>
      <c r="B1153" s="222" t="s">
        <v>45</v>
      </c>
      <c r="C1153" s="124">
        <f ca="1">_xlfn.IFNA(VLOOKUP(A1153,Worksheet!$B$1:$G$600,3,FALSE),C1153)</f>
        <v>0</v>
      </c>
      <c r="D1153" s="124">
        <f ca="1">_xlfn.IFNA(VLOOKUP(A1153,Worksheet!$B$1:$G$600,4,FALSE),D1153)</f>
        <v>0</v>
      </c>
      <c r="E1153" s="124">
        <f ca="1">_xlfn.IFNA(VLOOKUP(A1153,Worksheet!$B$1:$G$600,5,FALSE),E1153)</f>
        <v>0</v>
      </c>
      <c r="F1153" s="6" t="s">
        <v>109</v>
      </c>
    </row>
    <row r="1154" spans="1:6" hidden="1" x14ac:dyDescent="0.25">
      <c r="A1154" s="37" t="s">
        <v>643</v>
      </c>
      <c r="B1154" s="219" t="s">
        <v>80</v>
      </c>
      <c r="C1154" s="124">
        <f ca="1">_xlfn.IFNA(VLOOKUP(A1154,Worksheet!$B$1:$G$600,3,FALSE),C1154)</f>
        <v>0</v>
      </c>
      <c r="D1154" s="124">
        <f ca="1">_xlfn.IFNA(VLOOKUP(A1154,Worksheet!$B$1:$G$600,4,FALSE),D1154)</f>
        <v>0</v>
      </c>
      <c r="E1154" s="124">
        <f ca="1">_xlfn.IFNA(VLOOKUP(A1154,Worksheet!$B$1:$G$600,5,FALSE),E1154)</f>
        <v>0</v>
      </c>
      <c r="F1154" s="6" t="s">
        <v>109</v>
      </c>
    </row>
    <row r="1155" spans="1:6" hidden="1" x14ac:dyDescent="0.25">
      <c r="A1155" s="37" t="s">
        <v>644</v>
      </c>
      <c r="B1155" s="219" t="s">
        <v>47</v>
      </c>
      <c r="C1155" s="124">
        <f ca="1">_xlfn.IFNA(VLOOKUP(A1155,Worksheet!$B$1:$G$600,3,FALSE),C1155)</f>
        <v>0</v>
      </c>
      <c r="D1155" s="124">
        <f ca="1">_xlfn.IFNA(VLOOKUP(A1155,Worksheet!$B$1:$G$600,4,FALSE),D1155)</f>
        <v>0</v>
      </c>
      <c r="E1155" s="124">
        <f ca="1">_xlfn.IFNA(VLOOKUP(A1155,Worksheet!$B$1:$G$600,5,FALSE),E1155)</f>
        <v>0</v>
      </c>
      <c r="F1155" s="6" t="s">
        <v>109</v>
      </c>
    </row>
    <row r="1156" spans="1:6" hidden="1" x14ac:dyDescent="0.25">
      <c r="A1156" s="37" t="s">
        <v>645</v>
      </c>
      <c r="B1156" s="219" t="s">
        <v>20</v>
      </c>
      <c r="C1156" s="124">
        <f ca="1">_xlfn.IFNA(VLOOKUP(A1156,Worksheet!$B$1:$G$600,3,FALSE),C1156)</f>
        <v>0</v>
      </c>
      <c r="D1156" s="124">
        <f ca="1">_xlfn.IFNA(VLOOKUP(A1156,Worksheet!$B$1:$G$600,4,FALSE),D1156)</f>
        <v>0</v>
      </c>
      <c r="E1156" s="124">
        <f ca="1">_xlfn.IFNA(VLOOKUP(A1156,Worksheet!$B$1:$G$600,5,FALSE),E1156)</f>
        <v>0</v>
      </c>
      <c r="F1156" s="6" t="s">
        <v>109</v>
      </c>
    </row>
    <row r="1157" spans="1:6" hidden="1" x14ac:dyDescent="0.25">
      <c r="A1157" s="37" t="s">
        <v>646</v>
      </c>
      <c r="B1157" s="219" t="s">
        <v>21</v>
      </c>
      <c r="C1157" s="124">
        <f ca="1">_xlfn.IFNA(VLOOKUP(A1157,Worksheet!$B$1:$G$600,3,FALSE),C1157)</f>
        <v>0</v>
      </c>
      <c r="D1157" s="124">
        <f ca="1">_xlfn.IFNA(VLOOKUP(A1157,Worksheet!$B$1:$G$600,4,FALSE),D1157)</f>
        <v>0</v>
      </c>
      <c r="E1157" s="124">
        <f ca="1">_xlfn.IFNA(VLOOKUP(A1157,Worksheet!$B$1:$G$600,5,FALSE),E1157)</f>
        <v>0</v>
      </c>
      <c r="F1157" s="6" t="s">
        <v>109</v>
      </c>
    </row>
    <row r="1158" spans="1:6" hidden="1" x14ac:dyDescent="0.25">
      <c r="A1158" s="37" t="s">
        <v>647</v>
      </c>
      <c r="B1158" s="219" t="s">
        <v>50</v>
      </c>
      <c r="C1158" s="124">
        <f ca="1">_xlfn.IFNA(VLOOKUP(A1158,Worksheet!$B$1:$G$600,3,FALSE),C1158)</f>
        <v>0</v>
      </c>
      <c r="D1158" s="124">
        <f ca="1">_xlfn.IFNA(VLOOKUP(A1158,Worksheet!$B$1:$G$600,4,FALSE),D1158)</f>
        <v>0</v>
      </c>
      <c r="E1158" s="124">
        <f ca="1">_xlfn.IFNA(VLOOKUP(A1158,Worksheet!$B$1:$G$600,5,FALSE),E1158)</f>
        <v>0</v>
      </c>
      <c r="F1158" s="6" t="s">
        <v>109</v>
      </c>
    </row>
    <row r="1159" spans="1:6" hidden="1" x14ac:dyDescent="0.25">
      <c r="A1159" s="37" t="s">
        <v>648</v>
      </c>
      <c r="B1159" s="214" t="s">
        <v>881</v>
      </c>
      <c r="C1159" s="177">
        <f ca="1">SUM(C1160,C1163)</f>
        <v>0</v>
      </c>
      <c r="D1159" s="177">
        <f t="shared" ref="D1159:E1159" ca="1" si="288">SUM(D1160,D1163)</f>
        <v>0</v>
      </c>
      <c r="E1159" s="177">
        <f t="shared" ca="1" si="288"/>
        <v>0</v>
      </c>
      <c r="F1159" s="6" t="s">
        <v>109</v>
      </c>
    </row>
    <row r="1160" spans="1:6" hidden="1" x14ac:dyDescent="0.25">
      <c r="A1160" s="37" t="s">
        <v>649</v>
      </c>
      <c r="B1160" s="214" t="s">
        <v>51</v>
      </c>
      <c r="C1160" s="177">
        <f ca="1">SUM(C1161:C1162)</f>
        <v>0</v>
      </c>
      <c r="D1160" s="177">
        <f t="shared" ref="D1160:E1160" ca="1" si="289">SUM(D1161:D1162)</f>
        <v>0</v>
      </c>
      <c r="E1160" s="177">
        <f t="shared" ca="1" si="289"/>
        <v>0</v>
      </c>
      <c r="F1160" s="6" t="s">
        <v>109</v>
      </c>
    </row>
    <row r="1161" spans="1:6" hidden="1" x14ac:dyDescent="0.25">
      <c r="A1161" s="37" t="s">
        <v>650</v>
      </c>
      <c r="B1161" s="223" t="s">
        <v>78</v>
      </c>
      <c r="C1161" s="124">
        <f ca="1">_xlfn.IFNA(VLOOKUP(A1161,Worksheet!$B$1:$G$600,3,FALSE),C1161)</f>
        <v>0</v>
      </c>
      <c r="D1161" s="124">
        <f ca="1">_xlfn.IFNA(VLOOKUP(A1161,Worksheet!$B$1:$G$600,4,FALSE),D1161)</f>
        <v>0</v>
      </c>
      <c r="E1161" s="124">
        <f ca="1">_xlfn.IFNA(VLOOKUP(A1161,Worksheet!$B$1:$G$600,5,FALSE),E1161)</f>
        <v>0</v>
      </c>
      <c r="F1161" s="6" t="s">
        <v>109</v>
      </c>
    </row>
    <row r="1162" spans="1:6" hidden="1" x14ac:dyDescent="0.25">
      <c r="A1162" s="37" t="s">
        <v>651</v>
      </c>
      <c r="B1162" s="223" t="s">
        <v>79</v>
      </c>
      <c r="C1162" s="124">
        <f ca="1">_xlfn.IFNA(VLOOKUP(A1162,Worksheet!$B$1:$G$600,3,FALSE),C1162)</f>
        <v>0</v>
      </c>
      <c r="D1162" s="124">
        <f ca="1">_xlfn.IFNA(VLOOKUP(A1162,Worksheet!$B$1:$G$600,4,FALSE),D1162)</f>
        <v>0</v>
      </c>
      <c r="E1162" s="124">
        <f ca="1">_xlfn.IFNA(VLOOKUP(A1162,Worksheet!$B$1:$G$600,5,FALSE),E1162)</f>
        <v>0</v>
      </c>
      <c r="F1162" s="6" t="s">
        <v>109</v>
      </c>
    </row>
    <row r="1163" spans="1:6" hidden="1" x14ac:dyDescent="0.25">
      <c r="A1163" s="37" t="s">
        <v>652</v>
      </c>
      <c r="B1163" s="203" t="s">
        <v>76</v>
      </c>
      <c r="C1163" s="177">
        <f ca="1">SUM(C1164:C1165)</f>
        <v>0</v>
      </c>
      <c r="D1163" s="177">
        <f t="shared" ref="D1163:E1163" ca="1" si="290">SUM(D1164:D1165)</f>
        <v>0</v>
      </c>
      <c r="E1163" s="177">
        <f t="shared" ca="1" si="290"/>
        <v>0</v>
      </c>
      <c r="F1163" s="6" t="s">
        <v>109</v>
      </c>
    </row>
    <row r="1164" spans="1:6" hidden="1" x14ac:dyDescent="0.25">
      <c r="A1164" s="37" t="s">
        <v>653</v>
      </c>
      <c r="B1164" s="223" t="s">
        <v>78</v>
      </c>
      <c r="C1164" s="124">
        <f ca="1">_xlfn.IFNA(VLOOKUP(A1164,Worksheet!$B$1:$G$600,3,FALSE),C1164)</f>
        <v>0</v>
      </c>
      <c r="D1164" s="124">
        <f ca="1">_xlfn.IFNA(VLOOKUP(A1164,Worksheet!$B$1:$G$600,4,FALSE),D1164)</f>
        <v>0</v>
      </c>
      <c r="E1164" s="124">
        <f ca="1">_xlfn.IFNA(VLOOKUP(A1164,Worksheet!$B$1:$G$600,5,FALSE),E1164)</f>
        <v>0</v>
      </c>
      <c r="F1164" s="6" t="s">
        <v>109</v>
      </c>
    </row>
    <row r="1165" spans="1:6" hidden="1" x14ac:dyDescent="0.25">
      <c r="A1165" s="37" t="s">
        <v>654</v>
      </c>
      <c r="B1165" s="223" t="s">
        <v>79</v>
      </c>
      <c r="C1165" s="124">
        <f ca="1">_xlfn.IFNA(VLOOKUP(A1165,Worksheet!$B$1:$G$600,3,FALSE),C1165)</f>
        <v>0</v>
      </c>
      <c r="D1165" s="124">
        <f ca="1">_xlfn.IFNA(VLOOKUP(A1165,Worksheet!$B$1:$G$600,4,FALSE),D1165)</f>
        <v>0</v>
      </c>
      <c r="E1165" s="124">
        <f ca="1">_xlfn.IFNA(VLOOKUP(A1165,Worksheet!$B$1:$G$600,5,FALSE),E1165)</f>
        <v>0</v>
      </c>
      <c r="F1165" s="6" t="s">
        <v>109</v>
      </c>
    </row>
    <row r="1166" spans="1:6" hidden="1" x14ac:dyDescent="0.25">
      <c r="A1166" s="37"/>
      <c r="B1166" s="203" t="s">
        <v>23</v>
      </c>
      <c r="C1166" s="166"/>
      <c r="D1166" s="166"/>
      <c r="E1166" s="166"/>
      <c r="F1166" s="6" t="s">
        <v>109</v>
      </c>
    </row>
    <row r="1167" spans="1:6" hidden="1" x14ac:dyDescent="0.25">
      <c r="A1167" s="37">
        <v>12.4</v>
      </c>
      <c r="B1167" s="157" t="s">
        <v>156</v>
      </c>
      <c r="C1167" s="179">
        <f ca="1">C1168</f>
        <v>0</v>
      </c>
      <c r="D1167" s="179">
        <f ca="1">D1168</f>
        <v>0</v>
      </c>
      <c r="E1167" s="179">
        <f ca="1">E1168</f>
        <v>0</v>
      </c>
      <c r="F1167" s="6" t="s">
        <v>109</v>
      </c>
    </row>
    <row r="1168" spans="1:6" ht="19.5" hidden="1" customHeight="1" x14ac:dyDescent="0.25">
      <c r="A1168" s="37" t="s">
        <v>1360</v>
      </c>
      <c r="B1168" s="228" t="s">
        <v>886</v>
      </c>
      <c r="C1168" s="179">
        <f ca="1">SUM(C1169,C1171,C1173)</f>
        <v>0</v>
      </c>
      <c r="D1168" s="179">
        <f t="shared" ref="D1168:E1168" ca="1" si="291">SUM(D1169,D1171,D1173)</f>
        <v>0</v>
      </c>
      <c r="E1168" s="179">
        <f t="shared" ca="1" si="291"/>
        <v>0</v>
      </c>
      <c r="F1168" s="6" t="s">
        <v>109</v>
      </c>
    </row>
    <row r="1169" spans="1:6" hidden="1" x14ac:dyDescent="0.25">
      <c r="A1169" s="37" t="s">
        <v>1361</v>
      </c>
      <c r="B1169" s="228" t="s">
        <v>78</v>
      </c>
      <c r="C1169" s="179">
        <f ca="1">C1170</f>
        <v>0</v>
      </c>
      <c r="D1169" s="179">
        <f t="shared" ref="D1169:E1169" ca="1" si="292">D1170</f>
        <v>0</v>
      </c>
      <c r="E1169" s="179">
        <f t="shared" ca="1" si="292"/>
        <v>0</v>
      </c>
      <c r="F1169" s="6" t="s">
        <v>109</v>
      </c>
    </row>
    <row r="1170" spans="1:6" hidden="1" x14ac:dyDescent="0.25">
      <c r="A1170" s="37" t="s">
        <v>1362</v>
      </c>
      <c r="B1170" s="229" t="s">
        <v>723</v>
      </c>
      <c r="C1170" s="124">
        <f ca="1">_xlfn.IFNA(VLOOKUP(A1170,Worksheet!$B$1:$G$600,3,FALSE),C1170)</f>
        <v>0</v>
      </c>
      <c r="D1170" s="124">
        <f ca="1">_xlfn.IFNA(VLOOKUP(A1170,Worksheet!$B$1:$G$600,4,FALSE),D1170)</f>
        <v>0</v>
      </c>
      <c r="E1170" s="124">
        <f ca="1">_xlfn.IFNA(VLOOKUP(A1170,Worksheet!$B$1:$G$600,5,FALSE),E1170)</f>
        <v>0</v>
      </c>
      <c r="F1170" s="6" t="s">
        <v>109</v>
      </c>
    </row>
    <row r="1171" spans="1:6" hidden="1" x14ac:dyDescent="0.25">
      <c r="A1171" s="37" t="s">
        <v>1363</v>
      </c>
      <c r="B1171" s="228" t="s">
        <v>79</v>
      </c>
      <c r="C1171" s="179">
        <f ca="1">C1172</f>
        <v>0</v>
      </c>
      <c r="D1171" s="179">
        <f ca="1">D1172</f>
        <v>0</v>
      </c>
      <c r="E1171" s="179">
        <f ca="1">E1172</f>
        <v>0</v>
      </c>
      <c r="F1171" s="6" t="s">
        <v>109</v>
      </c>
    </row>
    <row r="1172" spans="1:6" hidden="1" x14ac:dyDescent="0.25">
      <c r="A1172" s="37" t="s">
        <v>1364</v>
      </c>
      <c r="B1172" s="230" t="s">
        <v>723</v>
      </c>
      <c r="C1172" s="124">
        <f ca="1">_xlfn.IFNA(VLOOKUP(A1172,Worksheet!$B$1:$G$600,3,FALSE),C1172)</f>
        <v>0</v>
      </c>
      <c r="D1172" s="124">
        <f ca="1">_xlfn.IFNA(VLOOKUP(A1172,Worksheet!$B$1:$G$600,4,FALSE),D1172)</f>
        <v>0</v>
      </c>
      <c r="E1172" s="124">
        <f ca="1">_xlfn.IFNA(VLOOKUP(A1172,Worksheet!$B$1:$G$600,5,FALSE),E1172)</f>
        <v>0</v>
      </c>
      <c r="F1172" s="6" t="s">
        <v>109</v>
      </c>
    </row>
    <row r="1173" spans="1:6" hidden="1" x14ac:dyDescent="0.25">
      <c r="A1173" s="37" t="s">
        <v>1365</v>
      </c>
      <c r="B1173" s="168" t="s">
        <v>727</v>
      </c>
      <c r="C1173" s="179">
        <f ca="1">C1174</f>
        <v>0</v>
      </c>
      <c r="D1173" s="179">
        <f ca="1">D1174</f>
        <v>0</v>
      </c>
      <c r="E1173" s="179">
        <f ca="1">E1174</f>
        <v>0</v>
      </c>
      <c r="F1173" s="6" t="s">
        <v>109</v>
      </c>
    </row>
    <row r="1174" spans="1:6" hidden="1" x14ac:dyDescent="0.25">
      <c r="A1174" s="37" t="s">
        <v>1366</v>
      </c>
      <c r="B1174" s="230" t="s">
        <v>723</v>
      </c>
      <c r="C1174" s="124">
        <f ca="1">_xlfn.IFNA(VLOOKUP(A1174,Worksheet!$B$1:$G$600,3,FALSE),C1174)</f>
        <v>0</v>
      </c>
      <c r="D1174" s="124">
        <f ca="1">_xlfn.IFNA(VLOOKUP(A1174,Worksheet!$B$1:$G$600,4,FALSE),D1174)</f>
        <v>0</v>
      </c>
      <c r="E1174" s="124">
        <f ca="1">_xlfn.IFNA(VLOOKUP(A1174,Worksheet!$B$1:$G$600,5,FALSE),E1174)</f>
        <v>0</v>
      </c>
      <c r="F1174" s="6" t="s">
        <v>109</v>
      </c>
    </row>
    <row r="1175" spans="1:6" hidden="1" x14ac:dyDescent="0.25">
      <c r="A1175" s="37"/>
      <c r="B1175" s="203" t="s">
        <v>25</v>
      </c>
      <c r="C1175" s="166"/>
      <c r="D1175" s="159"/>
      <c r="E1175" s="159"/>
      <c r="F1175" s="6" t="s">
        <v>109</v>
      </c>
    </row>
    <row r="1176" spans="1:6" hidden="1" x14ac:dyDescent="0.25">
      <c r="A1176" s="37">
        <v>12.5</v>
      </c>
      <c r="B1176" s="203" t="s">
        <v>1358</v>
      </c>
      <c r="C1176" s="179">
        <f ca="1">AVERAGE(C1177,C1180)</f>
        <v>34.5</v>
      </c>
      <c r="D1176" s="179">
        <f t="shared" ref="D1176:E1176" ca="1" si="293">AVERAGE(D1177,D1180)</f>
        <v>43</v>
      </c>
      <c r="E1176" s="179">
        <f t="shared" ca="1" si="293"/>
        <v>44</v>
      </c>
      <c r="F1176" s="6" t="s">
        <v>109</v>
      </c>
    </row>
    <row r="1177" spans="1:6" hidden="1" x14ac:dyDescent="0.25">
      <c r="A1177" s="37" t="s">
        <v>1367</v>
      </c>
      <c r="B1177" s="231" t="s">
        <v>224</v>
      </c>
      <c r="C1177" s="175">
        <f ca="1">SUM(C1178:C1179)/2</f>
        <v>0</v>
      </c>
      <c r="D1177" s="175">
        <f t="shared" ref="D1177:E1177" ca="1" si="294">SUM(D1178:D1179)/2</f>
        <v>0</v>
      </c>
      <c r="E1177" s="175">
        <f t="shared" ca="1" si="294"/>
        <v>0</v>
      </c>
      <c r="F1177" s="6" t="s">
        <v>109</v>
      </c>
    </row>
    <row r="1178" spans="1:6" hidden="1" x14ac:dyDescent="0.25">
      <c r="A1178" s="37" t="s">
        <v>1368</v>
      </c>
      <c r="B1178" s="219" t="s">
        <v>39</v>
      </c>
      <c r="C1178" s="124">
        <f ca="1">_xlfn.IFNA(VLOOKUP(A1178,Worksheet!$B$1:$G$600,3,FALSE),C1178)</f>
        <v>0</v>
      </c>
      <c r="D1178" s="124">
        <f ca="1">_xlfn.IFNA(VLOOKUP(A1178,Worksheet!$B$1:$G$600,4,FALSE),D1178)</f>
        <v>0</v>
      </c>
      <c r="E1178" s="124">
        <f ca="1">_xlfn.IFNA(VLOOKUP(A1178,Worksheet!$B$1:$G$600,5,FALSE),E1178)</f>
        <v>0</v>
      </c>
      <c r="F1178" s="6" t="s">
        <v>109</v>
      </c>
    </row>
    <row r="1179" spans="1:6" hidden="1" x14ac:dyDescent="0.25">
      <c r="A1179" s="37" t="s">
        <v>1369</v>
      </c>
      <c r="B1179" s="219" t="s">
        <v>715</v>
      </c>
      <c r="C1179" s="124">
        <f ca="1">_xlfn.IFNA(VLOOKUP(A1179,Worksheet!$B$1:$G$600,3,FALSE),C1179)</f>
        <v>0</v>
      </c>
      <c r="D1179" s="124">
        <f ca="1">_xlfn.IFNA(VLOOKUP(A1179,Worksheet!$B$1:$G$600,4,FALSE),D1179)</f>
        <v>0</v>
      </c>
      <c r="E1179" s="124">
        <f ca="1">_xlfn.IFNA(VLOOKUP(A1179,Worksheet!$B$1:$G$600,5,FALSE),E1179)</f>
        <v>0</v>
      </c>
      <c r="F1179" s="6" t="s">
        <v>109</v>
      </c>
    </row>
    <row r="1180" spans="1:6" ht="15.75" hidden="1" customHeight="1" x14ac:dyDescent="0.25">
      <c r="A1180" s="37" t="s">
        <v>1370</v>
      </c>
      <c r="B1180" s="228" t="s">
        <v>886</v>
      </c>
      <c r="C1180" s="179">
        <f ca="1">SUM(C1181,C1184,C1187)</f>
        <v>69</v>
      </c>
      <c r="D1180" s="179">
        <f t="shared" ref="D1180:E1180" ca="1" si="295">SUM(D1181,D1184,D1187)</f>
        <v>86</v>
      </c>
      <c r="E1180" s="179">
        <f t="shared" ca="1" si="295"/>
        <v>88</v>
      </c>
      <c r="F1180" s="6" t="s">
        <v>109</v>
      </c>
    </row>
    <row r="1181" spans="1:6" hidden="1" x14ac:dyDescent="0.25">
      <c r="A1181" s="37" t="s">
        <v>1371</v>
      </c>
      <c r="B1181" s="228" t="s">
        <v>78</v>
      </c>
      <c r="C1181" s="179">
        <f ca="1">AVERAGE(C1182:C1183)</f>
        <v>23</v>
      </c>
      <c r="D1181" s="179">
        <f t="shared" ref="D1181:E1181" ca="1" si="296">AVERAGE(D1182:D1183)</f>
        <v>22</v>
      </c>
      <c r="E1181" s="179">
        <f t="shared" ca="1" si="296"/>
        <v>22</v>
      </c>
      <c r="F1181" s="6" t="s">
        <v>109</v>
      </c>
    </row>
    <row r="1182" spans="1:6" hidden="1" x14ac:dyDescent="0.25">
      <c r="A1182" s="37" t="s">
        <v>1372</v>
      </c>
      <c r="B1182" s="229" t="s">
        <v>723</v>
      </c>
      <c r="C1182" s="124">
        <f ca="1">_xlfn.IFNA(VLOOKUP(A1182,Worksheet!$B$1:$G$600,3,FALSE),C1182)</f>
        <v>0</v>
      </c>
      <c r="D1182" s="124">
        <f ca="1">_xlfn.IFNA(VLOOKUP(A1182,Worksheet!$B$1:$G$600,4,FALSE),D1182)</f>
        <v>0</v>
      </c>
      <c r="E1182" s="124">
        <f ca="1">_xlfn.IFNA(VLOOKUP(A1182,Worksheet!$B$1:$G$600,5,FALSE),E1182)</f>
        <v>0</v>
      </c>
      <c r="F1182" s="6" t="s">
        <v>109</v>
      </c>
    </row>
    <row r="1183" spans="1:6" hidden="1" x14ac:dyDescent="0.25">
      <c r="A1183" s="37" t="s">
        <v>1373</v>
      </c>
      <c r="B1183" s="229" t="s">
        <v>761</v>
      </c>
      <c r="C1183" s="124">
        <f ca="1">_xlfn.IFNA(VLOOKUP(A1183,Worksheet!$B$1:$G$600,3,FALSE),C1183)</f>
        <v>0</v>
      </c>
      <c r="D1183" s="124">
        <f ca="1">_xlfn.IFNA(VLOOKUP(A1183,Worksheet!$B$1:$G$600,4,FALSE),D1183)</f>
        <v>0</v>
      </c>
      <c r="E1183" s="124">
        <f ca="1">_xlfn.IFNA(VLOOKUP(A1183,Worksheet!$B$1:$G$600,5,FALSE),E1183)</f>
        <v>0</v>
      </c>
      <c r="F1183" s="6" t="s">
        <v>109</v>
      </c>
    </row>
    <row r="1184" spans="1:6" hidden="1" x14ac:dyDescent="0.25">
      <c r="A1184" s="37" t="s">
        <v>1374</v>
      </c>
      <c r="B1184" s="232" t="s">
        <v>79</v>
      </c>
      <c r="C1184" s="179">
        <f ca="1">AVERAGE(C1185:C1186)</f>
        <v>23</v>
      </c>
      <c r="D1184" s="179">
        <f t="shared" ref="D1184:E1184" ca="1" si="297">AVERAGE(D1185:D1186)</f>
        <v>32</v>
      </c>
      <c r="E1184" s="179">
        <f t="shared" ca="1" si="297"/>
        <v>33</v>
      </c>
      <c r="F1184" s="6" t="s">
        <v>109</v>
      </c>
    </row>
    <row r="1185" spans="1:6" hidden="1" x14ac:dyDescent="0.25">
      <c r="A1185" s="37" t="s">
        <v>1372</v>
      </c>
      <c r="B1185" s="169" t="s">
        <v>723</v>
      </c>
      <c r="C1185" s="124">
        <f ca="1">_xlfn.IFNA(VLOOKUP(A1185,Worksheet!$B$1:$G$600,3,FALSE),C1185)</f>
        <v>0</v>
      </c>
      <c r="D1185" s="124">
        <f ca="1">_xlfn.IFNA(VLOOKUP(A1185,Worksheet!$B$1:$G$600,4,FALSE),D1185)</f>
        <v>0</v>
      </c>
      <c r="E1185" s="124">
        <f ca="1">_xlfn.IFNA(VLOOKUP(A1185,Worksheet!$B$1:$G$600,5,FALSE),E1185)</f>
        <v>0</v>
      </c>
      <c r="F1185" s="6" t="s">
        <v>109</v>
      </c>
    </row>
    <row r="1186" spans="1:6" hidden="1" x14ac:dyDescent="0.25">
      <c r="A1186" s="37" t="s">
        <v>1373</v>
      </c>
      <c r="B1186" s="169" t="s">
        <v>761</v>
      </c>
      <c r="C1186" s="124">
        <f ca="1">_xlfn.IFNA(VLOOKUP(A1186,Worksheet!$B$1:$G$600,3,FALSE),C1186)</f>
        <v>0</v>
      </c>
      <c r="D1186" s="124">
        <f ca="1">_xlfn.IFNA(VLOOKUP(A1186,Worksheet!$B$1:$G$600,4,FALSE),D1186)</f>
        <v>0</v>
      </c>
      <c r="E1186" s="124">
        <f ca="1">_xlfn.IFNA(VLOOKUP(A1186,Worksheet!$B$1:$G$600,5,FALSE),E1186)</f>
        <v>0</v>
      </c>
      <c r="F1186" s="6" t="s">
        <v>109</v>
      </c>
    </row>
    <row r="1187" spans="1:6" hidden="1" x14ac:dyDescent="0.25">
      <c r="A1187" s="37" t="s">
        <v>1375</v>
      </c>
      <c r="B1187" s="168" t="s">
        <v>727</v>
      </c>
      <c r="C1187" s="179">
        <f ca="1">AVERAGE(C1188:C1189)</f>
        <v>23</v>
      </c>
      <c r="D1187" s="179">
        <f t="shared" ref="D1187:E1187" ca="1" si="298">AVERAGE(D1188:D1189)</f>
        <v>32</v>
      </c>
      <c r="E1187" s="179">
        <f t="shared" ca="1" si="298"/>
        <v>33</v>
      </c>
      <c r="F1187" s="6" t="s">
        <v>109</v>
      </c>
    </row>
    <row r="1188" spans="1:6" hidden="1" x14ac:dyDescent="0.25">
      <c r="A1188" s="37" t="s">
        <v>1376</v>
      </c>
      <c r="B1188" s="169" t="s">
        <v>723</v>
      </c>
      <c r="C1188" s="124">
        <f ca="1">_xlfn.IFNA(VLOOKUP(A1188,Worksheet!$B$1:$G$600,3,FALSE),C1188)</f>
        <v>0</v>
      </c>
      <c r="D1188" s="124">
        <f ca="1">_xlfn.IFNA(VLOOKUP(A1188,Worksheet!$B$1:$G$600,4,FALSE),D1188)</f>
        <v>0</v>
      </c>
      <c r="E1188" s="124">
        <f ca="1">_xlfn.IFNA(VLOOKUP(A1188,Worksheet!$B$1:$G$600,5,FALSE),E1188)</f>
        <v>0</v>
      </c>
      <c r="F1188" s="6" t="s">
        <v>109</v>
      </c>
    </row>
    <row r="1189" spans="1:6" hidden="1" x14ac:dyDescent="0.25">
      <c r="A1189" s="37" t="s">
        <v>1377</v>
      </c>
      <c r="B1189" s="170" t="s">
        <v>761</v>
      </c>
      <c r="C1189" s="124">
        <f ca="1">_xlfn.IFNA(VLOOKUP(A1189,Worksheet!$B$1:$G$600,3,FALSE),C1189)</f>
        <v>0</v>
      </c>
      <c r="D1189" s="124">
        <f ca="1">_xlfn.IFNA(VLOOKUP(A1189,Worksheet!$B$1:$G$600,4,FALSE),D1189)</f>
        <v>0</v>
      </c>
      <c r="E1189" s="124">
        <f ca="1">_xlfn.IFNA(VLOOKUP(A1189,Worksheet!$B$1:$G$600,5,FALSE),E1189)</f>
        <v>0</v>
      </c>
      <c r="F1189" s="6" t="s">
        <v>109</v>
      </c>
    </row>
    <row r="1190" spans="1:6" s="4" customFormat="1" hidden="1" x14ac:dyDescent="0.25">
      <c r="A1190" s="36">
        <v>13</v>
      </c>
      <c r="B1190" s="265" t="s">
        <v>81</v>
      </c>
      <c r="C1190" s="266"/>
      <c r="D1190" s="266"/>
      <c r="E1190" s="266"/>
      <c r="F1190" s="4" t="s">
        <v>110</v>
      </c>
    </row>
    <row r="1191" spans="1:6" ht="15.75" hidden="1" customHeight="1" x14ac:dyDescent="0.25">
      <c r="A1191" s="36"/>
      <c r="B1191" s="233" t="s">
        <v>6</v>
      </c>
      <c r="C1191" s="201" t="s">
        <v>84</v>
      </c>
      <c r="D1191" s="201" t="s">
        <v>85</v>
      </c>
      <c r="E1191" s="201" t="s">
        <v>86</v>
      </c>
      <c r="F1191" s="4" t="s">
        <v>110</v>
      </c>
    </row>
    <row r="1192" spans="1:6" ht="17.25" hidden="1" customHeight="1" x14ac:dyDescent="0.25">
      <c r="A1192" s="36">
        <v>13.1</v>
      </c>
      <c r="B1192" s="152" t="s">
        <v>891</v>
      </c>
      <c r="C1192" s="204">
        <f ca="1">SUM(C1193,C1196,C1199)/2</f>
        <v>0</v>
      </c>
      <c r="D1192" s="204">
        <f t="shared" ref="D1192:E1192" ca="1" si="299">SUM(D1193,D1196,D1199)/2</f>
        <v>0</v>
      </c>
      <c r="E1192" s="204">
        <f t="shared" ca="1" si="299"/>
        <v>0</v>
      </c>
      <c r="F1192" s="4" t="s">
        <v>110</v>
      </c>
    </row>
    <row r="1193" spans="1:6" hidden="1" x14ac:dyDescent="0.25">
      <c r="A1193" s="36" t="s">
        <v>655</v>
      </c>
      <c r="B1193" s="225" t="s">
        <v>887</v>
      </c>
      <c r="C1193" s="175">
        <f ca="1">SUM(C1194:C1195)/2</f>
        <v>0</v>
      </c>
      <c r="D1193" s="175">
        <f t="shared" ref="D1193:E1193" ca="1" si="300">SUM(D1194:D1195)/2</f>
        <v>0</v>
      </c>
      <c r="E1193" s="175">
        <f t="shared" ca="1" si="300"/>
        <v>0</v>
      </c>
      <c r="F1193" s="4" t="s">
        <v>110</v>
      </c>
    </row>
    <row r="1194" spans="1:6" hidden="1" x14ac:dyDescent="0.25">
      <c r="A1194" s="36" t="s">
        <v>656</v>
      </c>
      <c r="B1194" s="223" t="s">
        <v>146</v>
      </c>
      <c r="C1194" s="124">
        <f ca="1">_xlfn.IFNA(VLOOKUP(A1194,Worksheet!$B$1:$G$600,3,FALSE),C1194)</f>
        <v>0</v>
      </c>
      <c r="D1194" s="124">
        <f ca="1">_xlfn.IFNA(VLOOKUP(A1194,Worksheet!$B$1:$G$600,4,FALSE),D1194)</f>
        <v>0</v>
      </c>
      <c r="E1194" s="124">
        <f ca="1">_xlfn.IFNA(VLOOKUP(A1194,Worksheet!$B$1:$G$600,5,FALSE),E1194)</f>
        <v>0</v>
      </c>
      <c r="F1194" s="4" t="s">
        <v>110</v>
      </c>
    </row>
    <row r="1195" spans="1:6" hidden="1" x14ac:dyDescent="0.25">
      <c r="A1195" s="36" t="s">
        <v>1359</v>
      </c>
      <c r="B1195" s="223" t="s">
        <v>147</v>
      </c>
      <c r="C1195" s="124">
        <f ca="1">_xlfn.IFNA(VLOOKUP(A1195,Worksheet!$B$1:$G$600,3,FALSE),C1195)</f>
        <v>0</v>
      </c>
      <c r="D1195" s="124">
        <f ca="1">_xlfn.IFNA(VLOOKUP(A1195,Worksheet!$B$1:$G$600,4,FALSE),D1195)</f>
        <v>0</v>
      </c>
      <c r="E1195" s="124">
        <f ca="1">_xlfn.IFNA(VLOOKUP(A1195,Worksheet!$B$1:$G$600,5,FALSE),E1195)</f>
        <v>0</v>
      </c>
      <c r="F1195" s="4" t="s">
        <v>110</v>
      </c>
    </row>
    <row r="1196" spans="1:6" hidden="1" x14ac:dyDescent="0.25">
      <c r="A1196" s="36" t="s">
        <v>657</v>
      </c>
      <c r="B1196" s="214" t="s">
        <v>888</v>
      </c>
      <c r="C1196" s="173">
        <f ca="1">SUM(C1197:C1198)/2</f>
        <v>0</v>
      </c>
      <c r="D1196" s="173">
        <f t="shared" ref="D1196:E1196" ca="1" si="301">SUM(D1197:D1198)/2</f>
        <v>0</v>
      </c>
      <c r="E1196" s="173">
        <f t="shared" ca="1" si="301"/>
        <v>0</v>
      </c>
      <c r="F1196" s="4" t="s">
        <v>110</v>
      </c>
    </row>
    <row r="1197" spans="1:6" hidden="1" x14ac:dyDescent="0.25">
      <c r="A1197" s="36" t="s">
        <v>658</v>
      </c>
      <c r="B1197" s="223" t="s">
        <v>39</v>
      </c>
      <c r="C1197" s="124">
        <f ca="1">_xlfn.IFNA(VLOOKUP(A1197,Worksheet!$B$1:$G$600,3,FALSE),C1197)</f>
        <v>0</v>
      </c>
      <c r="D1197" s="124">
        <f ca="1">_xlfn.IFNA(VLOOKUP(A1197,Worksheet!$B$1:$G$600,4,FALSE),D1197)</f>
        <v>0</v>
      </c>
      <c r="E1197" s="124">
        <f ca="1">_xlfn.IFNA(VLOOKUP(A1197,Worksheet!$B$1:$G$600,5,FALSE),E1197)</f>
        <v>0</v>
      </c>
      <c r="F1197" s="4" t="s">
        <v>110</v>
      </c>
    </row>
    <row r="1198" spans="1:6" hidden="1" x14ac:dyDescent="0.25">
      <c r="A1198" s="36" t="s">
        <v>659</v>
      </c>
      <c r="B1198" s="223" t="s">
        <v>146</v>
      </c>
      <c r="C1198" s="124">
        <f ca="1">_xlfn.IFNA(VLOOKUP(A1198,Worksheet!$B$1:$G$600,3,FALSE),C1198)</f>
        <v>0</v>
      </c>
      <c r="D1198" s="124">
        <f ca="1">_xlfn.IFNA(VLOOKUP(A1198,Worksheet!$B$1:$G$600,4,FALSE),D1198)</f>
        <v>0</v>
      </c>
      <c r="E1198" s="124">
        <f ca="1">_xlfn.IFNA(VLOOKUP(A1198,Worksheet!$B$1:$G$600,5,FALSE),E1198)</f>
        <v>0</v>
      </c>
      <c r="F1198" s="4" t="s">
        <v>110</v>
      </c>
    </row>
    <row r="1199" spans="1:6" hidden="1" x14ac:dyDescent="0.25">
      <c r="A1199" s="36" t="s">
        <v>660</v>
      </c>
      <c r="B1199" s="214" t="s">
        <v>889</v>
      </c>
      <c r="C1199" s="173">
        <f ca="1">SUM(C1200:C1201)/2</f>
        <v>0</v>
      </c>
      <c r="D1199" s="173">
        <f t="shared" ref="D1199:E1199" ca="1" si="302">SUM(D1200:D1201)/2</f>
        <v>0</v>
      </c>
      <c r="E1199" s="173">
        <f t="shared" ca="1" si="302"/>
        <v>0</v>
      </c>
      <c r="F1199" s="4" t="s">
        <v>110</v>
      </c>
    </row>
    <row r="1200" spans="1:6" hidden="1" x14ac:dyDescent="0.25">
      <c r="A1200" s="36" t="s">
        <v>661</v>
      </c>
      <c r="B1200" s="223" t="s">
        <v>39</v>
      </c>
      <c r="C1200" s="124">
        <f ca="1">_xlfn.IFNA(VLOOKUP(A1200,Worksheet!$B$1:$G$600,3,FALSE),C1200)</f>
        <v>0</v>
      </c>
      <c r="D1200" s="124">
        <f ca="1">_xlfn.IFNA(VLOOKUP(A1200,Worksheet!$B$1:$G$600,4,FALSE),D1200)</f>
        <v>0</v>
      </c>
      <c r="E1200" s="124">
        <f ca="1">_xlfn.IFNA(VLOOKUP(A1200,Worksheet!$B$1:$G$600,5,FALSE),E1200)</f>
        <v>0</v>
      </c>
      <c r="F1200" s="4" t="s">
        <v>110</v>
      </c>
    </row>
    <row r="1201" spans="1:6" hidden="1" x14ac:dyDescent="0.25">
      <c r="A1201" s="36" t="s">
        <v>662</v>
      </c>
      <c r="B1201" s="223" t="s">
        <v>146</v>
      </c>
      <c r="C1201" s="124">
        <f ca="1">_xlfn.IFNA(VLOOKUP(A1201,Worksheet!$B$1:$G$600,3,FALSE),C1201)</f>
        <v>0</v>
      </c>
      <c r="D1201" s="124">
        <f ca="1">_xlfn.IFNA(VLOOKUP(A1201,Worksheet!$B$1:$G$600,4,FALSE),D1201)</f>
        <v>0</v>
      </c>
      <c r="E1201" s="124">
        <f ca="1">_xlfn.IFNA(VLOOKUP(A1201,Worksheet!$B$1:$G$600,5,FALSE),E1201)</f>
        <v>0</v>
      </c>
      <c r="F1201" s="4" t="s">
        <v>110</v>
      </c>
    </row>
    <row r="1202" spans="1:6" hidden="1" x14ac:dyDescent="0.25">
      <c r="A1202" s="36" t="s">
        <v>663</v>
      </c>
      <c r="B1202" s="214" t="s">
        <v>890</v>
      </c>
      <c r="C1202" s="202">
        <f ca="1">C1203</f>
        <v>0</v>
      </c>
      <c r="D1202" s="202">
        <f t="shared" ref="D1202:E1202" ca="1" si="303">D1203</f>
        <v>0</v>
      </c>
      <c r="E1202" s="202">
        <f t="shared" ca="1" si="303"/>
        <v>0</v>
      </c>
      <c r="F1202" s="4" t="s">
        <v>110</v>
      </c>
    </row>
    <row r="1203" spans="1:6" hidden="1" x14ac:dyDescent="0.25">
      <c r="A1203" s="36" t="s">
        <v>664</v>
      </c>
      <c r="B1203" s="219" t="s">
        <v>39</v>
      </c>
      <c r="C1203" s="124">
        <f ca="1">_xlfn.IFNA(VLOOKUP(A1203,Worksheet!$B$1:$G$600,3,FALSE),C1203)</f>
        <v>0</v>
      </c>
      <c r="D1203" s="124">
        <f ca="1">_xlfn.IFNA(VLOOKUP(A1203,Worksheet!$B$1:$G$600,4,FALSE),D1203)</f>
        <v>0</v>
      </c>
      <c r="E1203" s="124">
        <f ca="1">_xlfn.IFNA(VLOOKUP(A1203,Worksheet!$B$1:$G$600,5,FALSE),E1203)</f>
        <v>0</v>
      </c>
      <c r="F1203" s="4" t="s">
        <v>110</v>
      </c>
    </row>
    <row r="1204" spans="1:6" hidden="1" x14ac:dyDescent="0.25">
      <c r="A1204" s="36" t="s">
        <v>665</v>
      </c>
      <c r="B1204" s="214" t="s">
        <v>225</v>
      </c>
      <c r="C1204" s="202">
        <f ca="1">C1205</f>
        <v>0</v>
      </c>
      <c r="D1204" s="202">
        <f t="shared" ref="D1204:E1204" ca="1" si="304">D1205</f>
        <v>0</v>
      </c>
      <c r="E1204" s="202">
        <f t="shared" ca="1" si="304"/>
        <v>0</v>
      </c>
      <c r="F1204" s="4" t="s">
        <v>110</v>
      </c>
    </row>
    <row r="1205" spans="1:6" hidden="1" x14ac:dyDescent="0.25">
      <c r="A1205" s="36" t="s">
        <v>666</v>
      </c>
      <c r="B1205" s="223" t="s">
        <v>728</v>
      </c>
      <c r="C1205" s="124">
        <f ca="1">_xlfn.IFNA(VLOOKUP(A1205,Worksheet!$B$1:$G$600,3,FALSE),C1205)</f>
        <v>0</v>
      </c>
      <c r="D1205" s="124">
        <f ca="1">_xlfn.IFNA(VLOOKUP(A1205,Worksheet!$B$1:$G$600,4,FALSE),D1205)</f>
        <v>0</v>
      </c>
      <c r="E1205" s="124">
        <f ca="1">_xlfn.IFNA(VLOOKUP(A1205,Worksheet!$B$1:$G$600,5,FALSE),E1205)</f>
        <v>0</v>
      </c>
      <c r="F1205" s="4" t="s">
        <v>110</v>
      </c>
    </row>
    <row r="1206" spans="1:6" hidden="1" x14ac:dyDescent="0.25">
      <c r="A1206" s="36"/>
      <c r="B1206" s="203" t="s">
        <v>12</v>
      </c>
      <c r="C1206" s="166"/>
      <c r="D1206" s="166"/>
      <c r="E1206" s="166"/>
      <c r="F1206" s="4" t="s">
        <v>110</v>
      </c>
    </row>
    <row r="1207" spans="1:6" hidden="1" x14ac:dyDescent="0.25">
      <c r="A1207" s="36">
        <v>13.2</v>
      </c>
      <c r="B1207" s="157" t="s">
        <v>892</v>
      </c>
      <c r="C1207" s="179">
        <f ca="1">AVERAGE(C1208:C1211)</f>
        <v>0</v>
      </c>
      <c r="D1207" s="179">
        <f t="shared" ref="D1207:E1207" ca="1" si="305">AVERAGE(D1208:D1211)</f>
        <v>0</v>
      </c>
      <c r="E1207" s="179">
        <f t="shared" ca="1" si="305"/>
        <v>0</v>
      </c>
      <c r="F1207" s="4" t="s">
        <v>110</v>
      </c>
    </row>
    <row r="1208" spans="1:6" hidden="1" x14ac:dyDescent="0.25">
      <c r="A1208" s="36" t="s">
        <v>667</v>
      </c>
      <c r="B1208" s="226" t="s">
        <v>149</v>
      </c>
      <c r="C1208" s="179">
        <f ca="1">SUM(C1209:C1210)/2</f>
        <v>0</v>
      </c>
      <c r="D1208" s="179">
        <f t="shared" ref="D1208:E1208" ca="1" si="306">SUM(D1209:D1210)/2</f>
        <v>0</v>
      </c>
      <c r="E1208" s="179">
        <f t="shared" ca="1" si="306"/>
        <v>0</v>
      </c>
      <c r="F1208" s="4" t="s">
        <v>110</v>
      </c>
    </row>
    <row r="1209" spans="1:6" hidden="1" x14ac:dyDescent="0.25">
      <c r="A1209" s="36" t="s">
        <v>668</v>
      </c>
      <c r="B1209" s="223" t="s">
        <v>39</v>
      </c>
      <c r="C1209" s="124">
        <f ca="1">_xlfn.IFNA(VLOOKUP(A1209,Worksheet!$B$1:$G$600,3,FALSE),C1209)</f>
        <v>0</v>
      </c>
      <c r="D1209" s="124">
        <f ca="1">_xlfn.IFNA(VLOOKUP(A1209,Worksheet!$B$1:$G$600,4,FALSE),D1209)</f>
        <v>0</v>
      </c>
      <c r="E1209" s="124">
        <f ca="1">_xlfn.IFNA(VLOOKUP(A1209,Worksheet!$B$1:$G$600,5,FALSE),E1209)</f>
        <v>0</v>
      </c>
      <c r="F1209" s="4" t="s">
        <v>110</v>
      </c>
    </row>
    <row r="1210" spans="1:6" hidden="1" x14ac:dyDescent="0.25">
      <c r="A1210" s="36" t="s">
        <v>669</v>
      </c>
      <c r="B1210" s="223" t="s">
        <v>24</v>
      </c>
      <c r="C1210" s="124">
        <f ca="1">_xlfn.IFNA(VLOOKUP(A1210,Worksheet!$B$1:$G$600,3,FALSE),C1210)</f>
        <v>0</v>
      </c>
      <c r="D1210" s="124">
        <f ca="1">_xlfn.IFNA(VLOOKUP(A1210,Worksheet!$B$1:$G$600,4,FALSE),D1210)</f>
        <v>0</v>
      </c>
      <c r="E1210" s="124">
        <f ca="1">_xlfn.IFNA(VLOOKUP(A1210,Worksheet!$B$1:$G$600,5,FALSE),E1210)</f>
        <v>0</v>
      </c>
      <c r="F1210" s="4" t="s">
        <v>110</v>
      </c>
    </row>
    <row r="1211" spans="1:6" hidden="1" x14ac:dyDescent="0.25">
      <c r="A1211" s="36" t="s">
        <v>670</v>
      </c>
      <c r="B1211" s="223" t="s">
        <v>761</v>
      </c>
      <c r="C1211" s="124">
        <f ca="1">_xlfn.IFNA(VLOOKUP(A1211,Worksheet!$B$1:$G$600,3,FALSE),C1211)</f>
        <v>0</v>
      </c>
      <c r="D1211" s="124">
        <f ca="1">_xlfn.IFNA(VLOOKUP(A1211,Worksheet!$B$1:$G$600,4,FALSE),D1211)</f>
        <v>0</v>
      </c>
      <c r="E1211" s="124">
        <f ca="1">_xlfn.IFNA(VLOOKUP(A1211,Worksheet!$B$1:$G$600,5,FALSE),E1211)</f>
        <v>0</v>
      </c>
      <c r="F1211" s="4" t="s">
        <v>110</v>
      </c>
    </row>
    <row r="1212" spans="1:6" hidden="1" x14ac:dyDescent="0.25">
      <c r="A1212" s="36"/>
      <c r="B1212" s="203" t="s">
        <v>44</v>
      </c>
      <c r="C1212" s="159"/>
      <c r="D1212" s="159"/>
      <c r="E1212" s="159"/>
      <c r="F1212" s="4" t="s">
        <v>110</v>
      </c>
    </row>
    <row r="1213" spans="1:6" hidden="1" x14ac:dyDescent="0.25">
      <c r="A1213" s="36">
        <v>13.3</v>
      </c>
      <c r="B1213" s="157" t="s">
        <v>157</v>
      </c>
      <c r="C1213" s="177">
        <f ca="1">SUM(C1214,C1218,C1222)/2</f>
        <v>0</v>
      </c>
      <c r="D1213" s="177">
        <f t="shared" ref="D1213:E1213" ca="1" si="307">SUM(D1214,D1218,D1222)/2</f>
        <v>0</v>
      </c>
      <c r="E1213" s="177">
        <f t="shared" ca="1" si="307"/>
        <v>0</v>
      </c>
      <c r="F1213" s="4" t="s">
        <v>110</v>
      </c>
    </row>
    <row r="1214" spans="1:6" hidden="1" x14ac:dyDescent="0.25">
      <c r="A1214" s="36" t="s">
        <v>671</v>
      </c>
      <c r="B1214" s="225" t="s">
        <v>887</v>
      </c>
      <c r="C1214" s="179">
        <f ca="1">C1215</f>
        <v>0</v>
      </c>
      <c r="D1214" s="179">
        <f t="shared" ref="D1214:E1214" ca="1" si="308">D1215</f>
        <v>0</v>
      </c>
      <c r="E1214" s="179">
        <f t="shared" ca="1" si="308"/>
        <v>0</v>
      </c>
      <c r="F1214" s="4" t="s">
        <v>110</v>
      </c>
    </row>
    <row r="1215" spans="1:6" hidden="1" x14ac:dyDescent="0.25">
      <c r="A1215" s="36" t="s">
        <v>672</v>
      </c>
      <c r="B1215" s="223" t="s">
        <v>149</v>
      </c>
      <c r="C1215" s="179">
        <f ca="1">SUM(C1216:C1217)</f>
        <v>0</v>
      </c>
      <c r="D1215" s="179">
        <f t="shared" ref="D1215:E1215" ca="1" si="309">SUM(D1216:D1217)</f>
        <v>0</v>
      </c>
      <c r="E1215" s="179">
        <f t="shared" ca="1" si="309"/>
        <v>0</v>
      </c>
      <c r="F1215" s="4" t="s">
        <v>110</v>
      </c>
    </row>
    <row r="1216" spans="1:6" hidden="1" x14ac:dyDescent="0.25">
      <c r="A1216" s="36" t="s">
        <v>673</v>
      </c>
      <c r="B1216" s="223" t="s">
        <v>62</v>
      </c>
      <c r="C1216" s="124">
        <f ca="1">_xlfn.IFNA(VLOOKUP(A1216,Worksheet!$B$1:$G$600,3,FALSE),C1216)</f>
        <v>0</v>
      </c>
      <c r="D1216" s="124">
        <f ca="1">_xlfn.IFNA(VLOOKUP(A1216,Worksheet!$B$1:$G$600,4,FALSE),D1216)</f>
        <v>0</v>
      </c>
      <c r="E1216" s="124">
        <f ca="1">_xlfn.IFNA(VLOOKUP(A1216,Worksheet!$B$1:$G$600,5,FALSE),E1216)</f>
        <v>0</v>
      </c>
      <c r="F1216" s="4" t="s">
        <v>110</v>
      </c>
    </row>
    <row r="1217" spans="1:6" hidden="1" x14ac:dyDescent="0.25">
      <c r="A1217" s="36" t="s">
        <v>674</v>
      </c>
      <c r="B1217" s="223" t="s">
        <v>63</v>
      </c>
      <c r="C1217" s="124">
        <f ca="1">_xlfn.IFNA(VLOOKUP(A1217,Worksheet!$B$1:$G$600,3,FALSE),C1217)</f>
        <v>0</v>
      </c>
      <c r="D1217" s="124">
        <f ca="1">_xlfn.IFNA(VLOOKUP(A1217,Worksheet!$B$1:$G$600,4,FALSE),D1217)</f>
        <v>0</v>
      </c>
      <c r="E1217" s="124">
        <f ca="1">_xlfn.IFNA(VLOOKUP(A1217,Worksheet!$B$1:$G$600,5,FALSE),E1217)</f>
        <v>0</v>
      </c>
      <c r="F1217" s="4" t="s">
        <v>110</v>
      </c>
    </row>
    <row r="1218" spans="1:6" hidden="1" x14ac:dyDescent="0.25">
      <c r="A1218" s="36" t="s">
        <v>675</v>
      </c>
      <c r="B1218" s="214" t="s">
        <v>893</v>
      </c>
      <c r="C1218" s="175">
        <f ca="1">C1219</f>
        <v>0</v>
      </c>
      <c r="D1218" s="175">
        <f ca="1">D1219</f>
        <v>0</v>
      </c>
      <c r="E1218" s="177">
        <f ca="1">E1219</f>
        <v>0</v>
      </c>
      <c r="F1218" s="4" t="s">
        <v>110</v>
      </c>
    </row>
    <row r="1219" spans="1:6" hidden="1" x14ac:dyDescent="0.25">
      <c r="A1219" s="36" t="s">
        <v>676</v>
      </c>
      <c r="B1219" s="214" t="s">
        <v>39</v>
      </c>
      <c r="C1219" s="175">
        <f ca="1">SUM(C1220:C1221)/2</f>
        <v>0</v>
      </c>
      <c r="D1219" s="175">
        <f t="shared" ref="D1219:E1219" ca="1" si="310">SUM(D1220:D1221)/2</f>
        <v>0</v>
      </c>
      <c r="E1219" s="175">
        <f t="shared" ca="1" si="310"/>
        <v>0</v>
      </c>
      <c r="F1219" s="4" t="s">
        <v>110</v>
      </c>
    </row>
    <row r="1220" spans="1:6" hidden="1" x14ac:dyDescent="0.25">
      <c r="A1220" s="36" t="s">
        <v>677</v>
      </c>
      <c r="B1220" s="223" t="s">
        <v>62</v>
      </c>
      <c r="C1220" s="124">
        <f ca="1">_xlfn.IFNA(VLOOKUP(A1220,Worksheet!$B$1:$G$600,3,FALSE),C1220)</f>
        <v>0</v>
      </c>
      <c r="D1220" s="124">
        <f ca="1">_xlfn.IFNA(VLOOKUP(A1220,Worksheet!$B$1:$G$600,4,FALSE),D1220)</f>
        <v>0</v>
      </c>
      <c r="E1220" s="124">
        <f ca="1">_xlfn.IFNA(VLOOKUP(A1220,Worksheet!$B$1:$G$600,5,FALSE),E1220)</f>
        <v>0</v>
      </c>
      <c r="F1220" s="4" t="s">
        <v>110</v>
      </c>
    </row>
    <row r="1221" spans="1:6" hidden="1" x14ac:dyDescent="0.25">
      <c r="A1221" s="36" t="s">
        <v>678</v>
      </c>
      <c r="B1221" s="223" t="s">
        <v>63</v>
      </c>
      <c r="C1221" s="124">
        <f ca="1">_xlfn.IFNA(VLOOKUP(A1221,Worksheet!$B$1:$G$600,3,FALSE),C1221)</f>
        <v>0</v>
      </c>
      <c r="D1221" s="124">
        <f ca="1">_xlfn.IFNA(VLOOKUP(A1221,Worksheet!$B$1:$G$600,4,FALSE),D1221)</f>
        <v>0</v>
      </c>
      <c r="E1221" s="124">
        <f ca="1">_xlfn.IFNA(VLOOKUP(A1221,Worksheet!$B$1:$G$600,5,FALSE),E1221)</f>
        <v>0</v>
      </c>
      <c r="F1221" s="4" t="s">
        <v>110</v>
      </c>
    </row>
    <row r="1222" spans="1:6" hidden="1" x14ac:dyDescent="0.25">
      <c r="A1222" s="36" t="s">
        <v>679</v>
      </c>
      <c r="B1222" s="214" t="s">
        <v>894</v>
      </c>
      <c r="C1222" s="179">
        <f ca="1">C1223</f>
        <v>0</v>
      </c>
      <c r="D1222" s="179">
        <f t="shared" ref="D1222:E1222" ca="1" si="311">D1223</f>
        <v>0</v>
      </c>
      <c r="E1222" s="179">
        <f t="shared" ca="1" si="311"/>
        <v>0</v>
      </c>
      <c r="F1222" s="4" t="s">
        <v>110</v>
      </c>
    </row>
    <row r="1223" spans="1:6" hidden="1" x14ac:dyDescent="0.25">
      <c r="A1223" s="36" t="s">
        <v>680</v>
      </c>
      <c r="B1223" s="214" t="s">
        <v>39</v>
      </c>
      <c r="C1223" s="179">
        <f ca="1">SUM(C1224:C1225)/2</f>
        <v>0</v>
      </c>
      <c r="D1223" s="179">
        <f t="shared" ref="D1223:E1223" ca="1" si="312">SUM(D1224:D1225)/2</f>
        <v>0</v>
      </c>
      <c r="E1223" s="179">
        <f t="shared" ca="1" si="312"/>
        <v>0</v>
      </c>
      <c r="F1223" s="4" t="s">
        <v>110</v>
      </c>
    </row>
    <row r="1224" spans="1:6" hidden="1" x14ac:dyDescent="0.25">
      <c r="A1224" s="36" t="s">
        <v>681</v>
      </c>
      <c r="B1224" s="223" t="s">
        <v>62</v>
      </c>
      <c r="C1224" s="124">
        <f ca="1">_xlfn.IFNA(VLOOKUP(A1224,Worksheet!$B$1:$G$600,3,FALSE),C1224)</f>
        <v>0</v>
      </c>
      <c r="D1224" s="124">
        <f ca="1">_xlfn.IFNA(VLOOKUP(A1224,Worksheet!$B$1:$G$600,4,FALSE),D1224)</f>
        <v>0</v>
      </c>
      <c r="E1224" s="124">
        <f ca="1">_xlfn.IFNA(VLOOKUP(A1224,Worksheet!$B$1:$G$600,5,FALSE),E1224)</f>
        <v>0</v>
      </c>
      <c r="F1224" s="4" t="s">
        <v>110</v>
      </c>
    </row>
    <row r="1225" spans="1:6" hidden="1" x14ac:dyDescent="0.25">
      <c r="A1225" s="36" t="s">
        <v>682</v>
      </c>
      <c r="B1225" s="223" t="s">
        <v>63</v>
      </c>
      <c r="C1225" s="124">
        <f ca="1">_xlfn.IFNA(VLOOKUP(A1225,Worksheet!$B$1:$G$600,3,FALSE),C1225)</f>
        <v>0</v>
      </c>
      <c r="D1225" s="124">
        <f ca="1">_xlfn.IFNA(VLOOKUP(A1225,Worksheet!$B$1:$G$600,4,FALSE),D1225)</f>
        <v>0</v>
      </c>
      <c r="E1225" s="124">
        <f ca="1">_xlfn.IFNA(VLOOKUP(A1225,Worksheet!$B$1:$G$600,5,FALSE),E1225)</f>
        <v>0</v>
      </c>
      <c r="F1225" s="4" t="s">
        <v>110</v>
      </c>
    </row>
    <row r="1226" spans="1:6" hidden="1" x14ac:dyDescent="0.25">
      <c r="A1226" s="36"/>
      <c r="B1226" s="203" t="s">
        <v>23</v>
      </c>
      <c r="C1226" s="166"/>
      <c r="D1226" s="166"/>
      <c r="E1226" s="166"/>
      <c r="F1226" s="4" t="s">
        <v>110</v>
      </c>
    </row>
    <row r="1227" spans="1:6" hidden="1" x14ac:dyDescent="0.25">
      <c r="A1227" s="36">
        <v>13.4</v>
      </c>
      <c r="B1227" s="157" t="s">
        <v>159</v>
      </c>
      <c r="C1227" s="179">
        <f ca="1">SUM(C1228,C1231)</f>
        <v>0</v>
      </c>
      <c r="D1227" s="179">
        <f t="shared" ref="D1227:E1227" ca="1" si="313">SUM(D1228,D1231)</f>
        <v>0</v>
      </c>
      <c r="E1227" s="179">
        <f t="shared" ca="1" si="313"/>
        <v>0</v>
      </c>
      <c r="F1227" s="4" t="s">
        <v>110</v>
      </c>
    </row>
    <row r="1228" spans="1:6" hidden="1" x14ac:dyDescent="0.25">
      <c r="A1228" s="36" t="s">
        <v>683</v>
      </c>
      <c r="B1228" s="152" t="s">
        <v>895</v>
      </c>
      <c r="C1228" s="175">
        <f ca="1">C1229</f>
        <v>0</v>
      </c>
      <c r="D1228" s="175">
        <f t="shared" ref="D1228:E1228" ca="1" si="314">SUM(D1229:D1230)/2</f>
        <v>0</v>
      </c>
      <c r="E1228" s="175">
        <f t="shared" ca="1" si="314"/>
        <v>0</v>
      </c>
      <c r="F1228" s="4" t="s">
        <v>110</v>
      </c>
    </row>
    <row r="1229" spans="1:6" hidden="1" x14ac:dyDescent="0.25">
      <c r="A1229" s="36" t="s">
        <v>684</v>
      </c>
      <c r="B1229" s="156" t="s">
        <v>39</v>
      </c>
      <c r="C1229" s="124">
        <f ca="1">_xlfn.IFNA(VLOOKUP(A1229,Worksheet!$B$1:$G$600,3,FALSE),C1229)</f>
        <v>0</v>
      </c>
      <c r="D1229" s="124">
        <f ca="1">_xlfn.IFNA(VLOOKUP(A1229,Worksheet!$B$1:$G$600,4,FALSE),D1229)</f>
        <v>0</v>
      </c>
      <c r="E1229" s="124">
        <f ca="1">_xlfn.IFNA(VLOOKUP(A1229,Worksheet!$B$1:$G$600,5,FALSE),E1229)</f>
        <v>0</v>
      </c>
      <c r="F1229" s="4" t="s">
        <v>110</v>
      </c>
    </row>
    <row r="1230" spans="1:6" hidden="1" x14ac:dyDescent="0.25">
      <c r="A1230" s="36" t="s">
        <v>685</v>
      </c>
      <c r="B1230" s="152" t="s">
        <v>158</v>
      </c>
      <c r="C1230" s="175">
        <f ca="1">C1231</f>
        <v>0</v>
      </c>
      <c r="D1230" s="175">
        <f ca="1">D1231</f>
        <v>0</v>
      </c>
      <c r="E1230" s="175">
        <f ca="1">E1231</f>
        <v>0</v>
      </c>
      <c r="F1230" s="4" t="s">
        <v>110</v>
      </c>
    </row>
    <row r="1231" spans="1:6" hidden="1" x14ac:dyDescent="0.25">
      <c r="A1231" s="36" t="s">
        <v>686</v>
      </c>
      <c r="B1231" s="156" t="s">
        <v>39</v>
      </c>
      <c r="C1231" s="124">
        <f ca="1">_xlfn.IFNA(VLOOKUP(A1231,Worksheet!$B$1:$G$600,3,FALSE),C1231)</f>
        <v>0</v>
      </c>
      <c r="D1231" s="124">
        <f ca="1">_xlfn.IFNA(VLOOKUP(A1231,Worksheet!$B$1:$G$600,4,FALSE),D1231)</f>
        <v>0</v>
      </c>
      <c r="E1231" s="124">
        <f ca="1">_xlfn.IFNA(VLOOKUP(A1231,Worksheet!$B$1:$G$600,5,FALSE),E1231)</f>
        <v>0</v>
      </c>
      <c r="F1231" s="4" t="s">
        <v>110</v>
      </c>
    </row>
    <row r="1232" spans="1:6" hidden="1" x14ac:dyDescent="0.25">
      <c r="A1232" s="36"/>
      <c r="B1232" s="203" t="s">
        <v>25</v>
      </c>
      <c r="C1232" s="166"/>
      <c r="D1232" s="159"/>
      <c r="E1232" s="159"/>
      <c r="F1232" s="4" t="s">
        <v>110</v>
      </c>
    </row>
    <row r="1233" spans="1:6" hidden="1" x14ac:dyDescent="0.25">
      <c r="A1233" s="36">
        <v>13.5</v>
      </c>
      <c r="B1233" s="214" t="s">
        <v>150</v>
      </c>
      <c r="C1233" s="175">
        <f ca="1">AVERAGE(C1234,C1238)</f>
        <v>0</v>
      </c>
      <c r="D1233" s="175">
        <f t="shared" ref="D1233:E1233" ca="1" si="315">AVERAGE(D1234,D1238)</f>
        <v>0</v>
      </c>
      <c r="E1233" s="175">
        <f t="shared" ca="1" si="315"/>
        <v>0</v>
      </c>
      <c r="F1233" s="4" t="s">
        <v>110</v>
      </c>
    </row>
    <row r="1234" spans="1:6" hidden="1" x14ac:dyDescent="0.25">
      <c r="A1234" s="36" t="s">
        <v>675</v>
      </c>
      <c r="B1234" s="214" t="s">
        <v>893</v>
      </c>
      <c r="C1234" s="175">
        <f ca="1">AVERAGE(C1235:C1237)</f>
        <v>0</v>
      </c>
      <c r="D1234" s="175">
        <f t="shared" ref="D1234:E1234" ca="1" si="316">AVERAGE(D1235:D1237)</f>
        <v>0</v>
      </c>
      <c r="E1234" s="175">
        <f t="shared" ca="1" si="316"/>
        <v>0</v>
      </c>
      <c r="F1234" s="4" t="s">
        <v>110</v>
      </c>
    </row>
    <row r="1235" spans="1:6" hidden="1" x14ac:dyDescent="0.25">
      <c r="A1235" s="36" t="s">
        <v>676</v>
      </c>
      <c r="B1235" s="223" t="s">
        <v>39</v>
      </c>
      <c r="C1235" s="175">
        <f ca="1">SUM(C1236:C1237)/2</f>
        <v>0</v>
      </c>
      <c r="D1235" s="175">
        <f t="shared" ref="D1235:E1235" ca="1" si="317">SUM(D1236:D1237)/2</f>
        <v>0</v>
      </c>
      <c r="E1235" s="175">
        <f t="shared" ca="1" si="317"/>
        <v>0</v>
      </c>
      <c r="F1235" s="4" t="s">
        <v>110</v>
      </c>
    </row>
    <row r="1236" spans="1:6" hidden="1" x14ac:dyDescent="0.25">
      <c r="A1236" s="36" t="s">
        <v>677</v>
      </c>
      <c r="B1236" s="223" t="s">
        <v>715</v>
      </c>
      <c r="C1236" s="124">
        <f ca="1">_xlfn.IFNA(VLOOKUP(A1236,Worksheet!$B$1:$G$600,3,FALSE),C1236)</f>
        <v>0</v>
      </c>
      <c r="D1236" s="124">
        <f ca="1">_xlfn.IFNA(VLOOKUP(A1236,Worksheet!$B$1:$G$600,4,FALSE),D1236)</f>
        <v>0</v>
      </c>
      <c r="E1236" s="124">
        <f ca="1">_xlfn.IFNA(VLOOKUP(A1236,Worksheet!$B$1:$G$600,5,FALSE),E1236)</f>
        <v>0</v>
      </c>
      <c r="F1236" s="4" t="s">
        <v>110</v>
      </c>
    </row>
    <row r="1237" spans="1:6" hidden="1" x14ac:dyDescent="0.25">
      <c r="A1237" s="36" t="s">
        <v>678</v>
      </c>
      <c r="B1237" s="223" t="s">
        <v>761</v>
      </c>
      <c r="C1237" s="124">
        <f ca="1">_xlfn.IFNA(VLOOKUP(A1237,Worksheet!$B$1:$G$600,3,FALSE),C1237)</f>
        <v>0</v>
      </c>
      <c r="D1237" s="124">
        <f ca="1">_xlfn.IFNA(VLOOKUP(A1237,Worksheet!$B$1:$G$600,4,FALSE),D1237)</f>
        <v>0</v>
      </c>
      <c r="E1237" s="124">
        <f ca="1">_xlfn.IFNA(VLOOKUP(A1237,Worksheet!$B$1:$G$600,5,FALSE),E1237)</f>
        <v>0</v>
      </c>
      <c r="F1237" s="4" t="s">
        <v>110</v>
      </c>
    </row>
    <row r="1238" spans="1:6" hidden="1" x14ac:dyDescent="0.25">
      <c r="A1238" s="36" t="s">
        <v>679</v>
      </c>
      <c r="B1238" s="214" t="s">
        <v>894</v>
      </c>
      <c r="C1238" s="179">
        <f ca="1">AVERAGE(C1239:C1241)</f>
        <v>0</v>
      </c>
      <c r="D1238" s="179">
        <f t="shared" ref="D1238:E1238" ca="1" si="318">AVERAGE(D1239:D1241)</f>
        <v>0</v>
      </c>
      <c r="E1238" s="179">
        <f t="shared" ca="1" si="318"/>
        <v>0</v>
      </c>
      <c r="F1238" s="4" t="s">
        <v>110</v>
      </c>
    </row>
    <row r="1239" spans="1:6" hidden="1" x14ac:dyDescent="0.25">
      <c r="A1239" s="36" t="s">
        <v>680</v>
      </c>
      <c r="B1239" s="223" t="s">
        <v>39</v>
      </c>
      <c r="C1239" s="179">
        <f ca="1">SUM(C1240:C1241)/2</f>
        <v>0</v>
      </c>
      <c r="D1239" s="179">
        <f t="shared" ref="D1239:E1239" ca="1" si="319">SUM(D1240:D1241)/2</f>
        <v>0</v>
      </c>
      <c r="E1239" s="179">
        <f t="shared" ca="1" si="319"/>
        <v>0</v>
      </c>
      <c r="F1239" s="4" t="s">
        <v>110</v>
      </c>
    </row>
    <row r="1240" spans="1:6" hidden="1" x14ac:dyDescent="0.25">
      <c r="A1240" s="36" t="s">
        <v>681</v>
      </c>
      <c r="B1240" s="223" t="s">
        <v>715</v>
      </c>
      <c r="C1240" s="124">
        <f ca="1">_xlfn.IFNA(VLOOKUP(A1240,Worksheet!$B$1:$G$600,3,FALSE),C1240)</f>
        <v>0</v>
      </c>
      <c r="D1240" s="124">
        <f ca="1">_xlfn.IFNA(VLOOKUP(A1240,Worksheet!$B$1:$G$600,4,FALSE),D1240)</f>
        <v>0</v>
      </c>
      <c r="E1240" s="124">
        <f ca="1">_xlfn.IFNA(VLOOKUP(A1240,Worksheet!$B$1:$G$600,5,FALSE),E1240)</f>
        <v>0</v>
      </c>
      <c r="F1240" s="4" t="s">
        <v>110</v>
      </c>
    </row>
    <row r="1241" spans="1:6" hidden="1" x14ac:dyDescent="0.25">
      <c r="A1241" s="36" t="s">
        <v>682</v>
      </c>
      <c r="B1241" s="220" t="s">
        <v>761</v>
      </c>
      <c r="C1241" s="124">
        <f ca="1">_xlfn.IFNA(VLOOKUP(A1241,Worksheet!$B$1:$G$600,3,FALSE),C1241)</f>
        <v>0</v>
      </c>
      <c r="D1241" s="124">
        <f ca="1">_xlfn.IFNA(VLOOKUP(A1241,Worksheet!$B$1:$G$600,4,FALSE),D1241)</f>
        <v>0</v>
      </c>
      <c r="E1241" s="124">
        <f ca="1">_xlfn.IFNA(VLOOKUP(A1241,Worksheet!$B$1:$G$600,5,FALSE),E1241)</f>
        <v>0</v>
      </c>
      <c r="F1241" s="4" t="s">
        <v>110</v>
      </c>
    </row>
    <row r="1242" spans="1:6" x14ac:dyDescent="0.25">
      <c r="B1242" s="5"/>
      <c r="C1242" s="63"/>
      <c r="D1242" s="63"/>
      <c r="E1242" s="63"/>
    </row>
    <row r="1243" spans="1:6" s="8" customFormat="1" x14ac:dyDescent="0.25">
      <c r="B1243" s="50"/>
      <c r="C1243" s="51"/>
      <c r="D1243" s="51"/>
      <c r="E1243" s="51"/>
    </row>
    <row r="1244" spans="1:6" s="8" customFormat="1" x14ac:dyDescent="0.25">
      <c r="B1244" s="50"/>
      <c r="C1244" s="51"/>
      <c r="D1244" s="51"/>
      <c r="E1244" s="51"/>
    </row>
    <row r="1245" spans="1:6" s="8" customFormat="1" x14ac:dyDescent="0.25">
      <c r="B1245" s="50"/>
      <c r="C1245" s="51"/>
      <c r="D1245" s="51"/>
      <c r="E1245" s="51"/>
    </row>
    <row r="1246" spans="1:6" s="8" customFormat="1" x14ac:dyDescent="0.25">
      <c r="B1246" s="50"/>
      <c r="C1246" s="51"/>
      <c r="D1246" s="51"/>
      <c r="E1246" s="51"/>
    </row>
    <row r="1247" spans="1:6" x14ac:dyDescent="0.25">
      <c r="B1247" s="52" t="s">
        <v>82</v>
      </c>
    </row>
    <row r="1248" spans="1:6" x14ac:dyDescent="0.25">
      <c r="B1248" s="52" t="s">
        <v>83</v>
      </c>
    </row>
  </sheetData>
  <sheetProtection algorithmName="SHA-512" hashValue="E8B0dfFzQrIkElfTro5I60K2e7ix0Q17ONIQMORRTQGsw3zBISQeaMc08RrtFWhSM87eERKWFvjNuuFGqXD9vA==" saltValue="/U9aj5p4N9tmX3PUY5/7bA==" spinCount="100000" sheet="1" objects="1" scenarios="1" selectLockedCells="1"/>
  <autoFilter ref="A1:F1241">
    <filterColumn colId="5">
      <filters>
        <filter val="TB_STAT"/>
      </filters>
    </filterColumn>
  </autoFilter>
  <mergeCells count="13">
    <mergeCell ref="B1190:E1190"/>
    <mergeCell ref="B2:E2"/>
    <mergeCell ref="B514:E514"/>
    <mergeCell ref="B563:E563"/>
    <mergeCell ref="B680:E680"/>
    <mergeCell ref="B817:E817"/>
    <mergeCell ref="B366:E366"/>
    <mergeCell ref="B762:E762"/>
    <mergeCell ref="B463:E463"/>
    <mergeCell ref="B635:E635"/>
    <mergeCell ref="B1033:E1033"/>
    <mergeCell ref="B959:E959"/>
    <mergeCell ref="B900:E900"/>
  </mergeCells>
  <pageMargins left="0.7" right="0.7" top="0.75" bottom="0.75" header="0.3" footer="0.3"/>
  <pageSetup orientation="landscape" horizontalDpi="4294967295" verticalDpi="4294967295" r:id="rId1"/>
  <ignoredErrors>
    <ignoredError sqref="C1168:E1168" formula="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C370"/>
  <sheetViews>
    <sheetView showGridLines="0" showRowColHeaders="0" tabSelected="1" view="pageBreakPreview" zoomScale="60" zoomScaleNormal="60" zoomScalePageLayoutView="10" workbookViewId="0">
      <selection activeCell="O3" sqref="O3"/>
    </sheetView>
  </sheetViews>
  <sheetFormatPr defaultColWidth="8.85546875" defaultRowHeight="15" x14ac:dyDescent="0.25"/>
  <cols>
    <col min="1" max="1" width="11.42578125" style="90" customWidth="1"/>
    <col min="2" max="2" width="3.140625" style="90" hidden="1" customWidth="1"/>
    <col min="3" max="3" width="66.85546875" style="90" customWidth="1"/>
    <col min="4" max="4" width="16.7109375" style="90" customWidth="1"/>
    <col min="5" max="5" width="16.5703125" style="90" customWidth="1"/>
    <col min="6" max="6" width="15.85546875" style="90" customWidth="1"/>
    <col min="7" max="7" width="0" style="90" hidden="1" customWidth="1"/>
    <col min="8" max="8" width="14.140625" style="90" customWidth="1"/>
    <col min="9" max="9" width="12.42578125" style="90" customWidth="1"/>
    <col min="10" max="10" width="18.28515625" style="90" customWidth="1"/>
    <col min="11" max="11" width="28.85546875" style="90" customWidth="1"/>
    <col min="12" max="12" width="28.28515625" style="90" customWidth="1"/>
    <col min="13" max="13" width="18.7109375" style="90" customWidth="1"/>
    <col min="14" max="17" width="16" style="90" customWidth="1"/>
    <col min="18" max="18" width="17.85546875" style="90" customWidth="1"/>
    <col min="19" max="19" width="16.7109375" style="90" customWidth="1"/>
    <col min="20" max="20" width="17.28515625" style="90" customWidth="1"/>
    <col min="21" max="22" width="16" style="90" customWidth="1"/>
    <col min="23" max="23" width="22.28515625" style="90" customWidth="1"/>
    <col min="24" max="29" width="16" style="90" customWidth="1"/>
    <col min="30" max="16384" width="8.85546875" style="90"/>
  </cols>
  <sheetData>
    <row r="1" spans="1:29" x14ac:dyDescent="0.25">
      <c r="A1" s="88"/>
      <c r="B1" s="48"/>
      <c r="C1" s="185"/>
      <c r="D1" s="89"/>
      <c r="E1" s="89"/>
      <c r="F1" s="89"/>
      <c r="G1" s="48"/>
      <c r="H1" s="88"/>
      <c r="I1" s="88"/>
      <c r="J1" s="88"/>
      <c r="K1" s="88"/>
      <c r="L1" s="88"/>
      <c r="M1" s="88"/>
      <c r="N1" s="88"/>
      <c r="O1" s="88"/>
      <c r="P1" s="88"/>
      <c r="Q1" s="88"/>
      <c r="R1" s="88"/>
      <c r="S1" s="88"/>
      <c r="T1" s="88"/>
      <c r="U1" s="88"/>
      <c r="V1" s="88"/>
      <c r="W1" s="88"/>
      <c r="X1" s="88"/>
      <c r="Y1" s="88"/>
      <c r="Z1" s="88"/>
      <c r="AA1" s="88"/>
      <c r="AB1" s="88"/>
      <c r="AC1" s="88"/>
    </row>
    <row r="2" spans="1:29" ht="43.15" customHeight="1" x14ac:dyDescent="0.25">
      <c r="A2" s="88"/>
      <c r="B2" s="36">
        <v>5</v>
      </c>
      <c r="C2" s="267" t="s">
        <v>54</v>
      </c>
      <c r="D2" s="268"/>
      <c r="E2" s="268"/>
      <c r="F2" s="269"/>
      <c r="G2" t="s">
        <v>106</v>
      </c>
      <c r="H2" s="88"/>
      <c r="I2" s="88"/>
      <c r="J2" s="88"/>
      <c r="K2" s="91"/>
      <c r="L2" s="91"/>
      <c r="M2" s="92"/>
      <c r="N2" s="92"/>
      <c r="O2" s="295"/>
      <c r="P2" s="295"/>
      <c r="Q2" s="294"/>
      <c r="R2" s="294"/>
      <c r="S2" s="93"/>
      <c r="T2" s="295"/>
      <c r="U2" s="295"/>
      <c r="V2" s="294"/>
      <c r="W2" s="294"/>
      <c r="X2" s="93"/>
      <c r="Y2" s="93"/>
      <c r="Z2" s="93"/>
      <c r="AA2" s="93"/>
      <c r="AB2" s="93"/>
      <c r="AC2" s="93"/>
    </row>
    <row r="3" spans="1:29" x14ac:dyDescent="0.25">
      <c r="A3" s="88"/>
      <c r="B3" s="36"/>
      <c r="C3" s="186" t="s">
        <v>6</v>
      </c>
      <c r="D3" s="144" t="s">
        <v>84</v>
      </c>
      <c r="E3" s="144" t="s">
        <v>85</v>
      </c>
      <c r="F3" s="143" t="s">
        <v>86</v>
      </c>
      <c r="G3" t="s">
        <v>106</v>
      </c>
      <c r="H3" s="88"/>
      <c r="I3" s="88"/>
      <c r="J3" s="297" t="s">
        <v>1457</v>
      </c>
      <c r="K3" s="297"/>
      <c r="L3" s="184" t="s">
        <v>106</v>
      </c>
      <c r="M3" s="297" t="s">
        <v>1458</v>
      </c>
      <c r="N3" s="297"/>
      <c r="O3" s="184" t="s">
        <v>1443</v>
      </c>
      <c r="P3" s="95" t="s">
        <v>0</v>
      </c>
      <c r="Q3" s="184" t="s">
        <v>1471</v>
      </c>
      <c r="R3" s="95" t="s">
        <v>1</v>
      </c>
      <c r="S3" s="184" t="s">
        <v>1907</v>
      </c>
      <c r="T3" s="96" t="s">
        <v>1459</v>
      </c>
      <c r="U3" s="184" t="s">
        <v>2593</v>
      </c>
      <c r="V3" s="94"/>
      <c r="W3" s="96" t="s">
        <v>1460</v>
      </c>
      <c r="X3" s="184" t="s">
        <v>1449</v>
      </c>
      <c r="Y3" s="235" t="s">
        <v>5108</v>
      </c>
      <c r="Z3" s="97" t="str">
        <f>VLOOKUP(U3,Data_donotedit!AY2:AZ1504,2,FALSE)</f>
        <v>Jn7rmqNmnQ3</v>
      </c>
      <c r="AA3" s="97"/>
      <c r="AB3" s="97"/>
      <c r="AC3" s="97"/>
    </row>
    <row r="4" spans="1:29" x14ac:dyDescent="0.25">
      <c r="A4" s="88"/>
      <c r="B4" s="36">
        <v>5.0999999999999996</v>
      </c>
      <c r="C4" s="205" t="s">
        <v>786</v>
      </c>
      <c r="D4" s="144">
        <f ca="1">SUM(D5,D8,D11)/2</f>
        <v>0</v>
      </c>
      <c r="E4" s="144">
        <f t="shared" ref="E4:F4" ca="1" si="0">SUM(E5,E8,E11)/2</f>
        <v>0</v>
      </c>
      <c r="F4" s="145">
        <f t="shared" ca="1" si="0"/>
        <v>0</v>
      </c>
      <c r="G4" t="s">
        <v>106</v>
      </c>
      <c r="H4" s="88"/>
      <c r="I4" s="88"/>
      <c r="J4" s="88"/>
      <c r="K4" s="93"/>
      <c r="L4" s="98"/>
      <c r="M4" s="93"/>
      <c r="N4" s="93"/>
      <c r="O4" s="93"/>
      <c r="P4" s="93"/>
      <c r="Q4" s="97"/>
      <c r="R4" s="93"/>
      <c r="S4" s="93"/>
      <c r="T4" s="97"/>
      <c r="U4" s="97"/>
      <c r="V4" s="93"/>
      <c r="W4" s="88"/>
      <c r="X4" s="88"/>
      <c r="Y4" s="93"/>
      <c r="Z4" s="93"/>
      <c r="AA4" s="93"/>
      <c r="AB4" s="93"/>
      <c r="AC4" s="93"/>
    </row>
    <row r="5" spans="1:29" ht="46.9" customHeight="1" x14ac:dyDescent="0.25">
      <c r="A5" s="88"/>
      <c r="B5" s="36" t="s">
        <v>388</v>
      </c>
      <c r="C5" s="199" t="s">
        <v>785</v>
      </c>
      <c r="D5" s="142">
        <f ca="1">SUM(D6:D7)/2</f>
        <v>0</v>
      </c>
      <c r="E5" s="144">
        <f ca="1">SUM(E6:E7)/2</f>
        <v>0</v>
      </c>
      <c r="F5" s="143">
        <f ca="1">SUM(F6:F7)/2</f>
        <v>0</v>
      </c>
      <c r="G5" t="s">
        <v>106</v>
      </c>
      <c r="H5" s="88"/>
      <c r="I5" s="88"/>
      <c r="J5" s="296" t="s">
        <v>89</v>
      </c>
      <c r="K5" s="298" t="s">
        <v>90</v>
      </c>
      <c r="L5" s="299"/>
      <c r="M5" s="291">
        <v>42644</v>
      </c>
      <c r="N5" s="292"/>
      <c r="O5" s="292"/>
      <c r="P5" s="292"/>
      <c r="Q5" s="293"/>
      <c r="R5" s="291">
        <v>42675</v>
      </c>
      <c r="S5" s="292"/>
      <c r="T5" s="292"/>
      <c r="U5" s="292"/>
      <c r="V5" s="293"/>
      <c r="W5" s="291">
        <v>42705</v>
      </c>
      <c r="X5" s="292"/>
      <c r="Y5" s="292"/>
      <c r="Z5" s="292"/>
      <c r="AA5" s="293"/>
      <c r="AB5" s="288" t="s">
        <v>5</v>
      </c>
      <c r="AC5" s="288" t="s">
        <v>168</v>
      </c>
    </row>
    <row r="6" spans="1:29" x14ac:dyDescent="0.25">
      <c r="A6" s="88"/>
      <c r="B6" s="36" t="s">
        <v>1151</v>
      </c>
      <c r="C6" s="194" t="s">
        <v>710</v>
      </c>
      <c r="D6" s="124">
        <f ca="1">_xlfn.IFNA(VLOOKUP(B6,Worksheet!$B$1:$G$600,3,FALSE),D6)</f>
        <v>0</v>
      </c>
      <c r="E6" s="124">
        <f ca="1">_xlfn.IFNA(VLOOKUP(B6,Worksheet!$B$1:$G$600,4,FALSE),E6)</f>
        <v>0</v>
      </c>
      <c r="F6" s="125">
        <f ca="1">_xlfn.IFNA(VLOOKUP(B6,Worksheet!$B$1:$G$600,5,FALSE),F6)</f>
        <v>0</v>
      </c>
      <c r="G6" t="s">
        <v>106</v>
      </c>
      <c r="H6" s="88"/>
      <c r="I6" s="88"/>
      <c r="J6" s="296"/>
      <c r="K6" s="298" t="s">
        <v>91</v>
      </c>
      <c r="L6" s="299"/>
      <c r="M6" s="71" t="s">
        <v>6</v>
      </c>
      <c r="N6" s="86" t="s">
        <v>7</v>
      </c>
      <c r="O6" s="86" t="s">
        <v>8</v>
      </c>
      <c r="P6" s="86" t="s">
        <v>1442</v>
      </c>
      <c r="Q6" s="87" t="s">
        <v>9</v>
      </c>
      <c r="R6" s="86" t="s">
        <v>6</v>
      </c>
      <c r="S6" s="86" t="s">
        <v>7</v>
      </c>
      <c r="T6" s="86" t="s">
        <v>8</v>
      </c>
      <c r="U6" s="86" t="s">
        <v>1442</v>
      </c>
      <c r="V6" s="87" t="s">
        <v>9</v>
      </c>
      <c r="W6" s="86" t="s">
        <v>6</v>
      </c>
      <c r="X6" s="86" t="s">
        <v>7</v>
      </c>
      <c r="Y6" s="86" t="s">
        <v>8</v>
      </c>
      <c r="Z6" s="86" t="s">
        <v>1442</v>
      </c>
      <c r="AA6" s="87" t="s">
        <v>9</v>
      </c>
      <c r="AB6" s="289"/>
      <c r="AC6" s="290"/>
    </row>
    <row r="7" spans="1:29" ht="49.15" customHeight="1" x14ac:dyDescent="0.25">
      <c r="A7" s="88"/>
      <c r="B7" s="36" t="s">
        <v>1152</v>
      </c>
      <c r="C7" s="199" t="s">
        <v>129</v>
      </c>
      <c r="D7" s="126">
        <f ca="1">_xlfn.IFNA(VLOOKUP(B7,Worksheet!$B$1:$G$600,3,FALSE),D7)</f>
        <v>0</v>
      </c>
      <c r="E7" s="126">
        <f ca="1">_xlfn.IFNA(VLOOKUP(B7,Worksheet!$B$1:$G$600,4,FALSE),E7)</f>
        <v>0</v>
      </c>
      <c r="F7" s="127">
        <f ca="1">_xlfn.IFNA(VLOOKUP(B7,Worksheet!$B$1:$G$600,5,FALSE),F7)</f>
        <v>0</v>
      </c>
      <c r="G7" t="s">
        <v>106</v>
      </c>
      <c r="H7" s="88"/>
      <c r="I7" s="99"/>
      <c r="J7" s="68" t="s">
        <v>92</v>
      </c>
      <c r="K7" s="275" t="s">
        <v>119</v>
      </c>
      <c r="L7" s="276"/>
      <c r="M7" s="100">
        <v>14.666666666666666</v>
      </c>
      <c r="N7" s="100">
        <v>0</v>
      </c>
      <c r="O7" s="100">
        <v>0</v>
      </c>
      <c r="P7" s="100">
        <v>0</v>
      </c>
      <c r="Q7" s="101">
        <v>0</v>
      </c>
      <c r="R7" s="100">
        <v>38</v>
      </c>
      <c r="S7" s="100">
        <v>0</v>
      </c>
      <c r="T7" s="100">
        <v>0</v>
      </c>
      <c r="U7" s="100">
        <v>0</v>
      </c>
      <c r="V7" s="101">
        <v>0</v>
      </c>
      <c r="W7" s="100">
        <v>14.666666666666666</v>
      </c>
      <c r="X7" s="100">
        <v>0</v>
      </c>
      <c r="Y7" s="100">
        <v>0</v>
      </c>
      <c r="Z7" s="100">
        <v>0</v>
      </c>
      <c r="AA7" s="100">
        <v>0</v>
      </c>
      <c r="AB7" s="102">
        <v>200</v>
      </c>
      <c r="AC7" s="103">
        <v>6.7333333333333328E-2</v>
      </c>
    </row>
    <row r="8" spans="1:29" ht="38.450000000000003" customHeight="1" x14ac:dyDescent="0.25">
      <c r="A8" s="88"/>
      <c r="B8" s="36" t="s">
        <v>389</v>
      </c>
      <c r="C8" s="199" t="s">
        <v>787</v>
      </c>
      <c r="D8" s="142">
        <f ca="1">SUM(D9:D10)/2</f>
        <v>0</v>
      </c>
      <c r="E8" s="144">
        <f ca="1">SUM(E9:E10)/2</f>
        <v>0</v>
      </c>
      <c r="F8" s="143">
        <f ca="1">SUM(F9:F10)/2</f>
        <v>0</v>
      </c>
      <c r="G8" t="s">
        <v>106</v>
      </c>
      <c r="H8" s="88"/>
      <c r="I8" s="99"/>
      <c r="J8" s="68" t="s">
        <v>92</v>
      </c>
      <c r="K8" s="277" t="s">
        <v>101</v>
      </c>
      <c r="L8" s="278"/>
      <c r="M8" s="100">
        <v>0</v>
      </c>
      <c r="N8" s="100">
        <v>0</v>
      </c>
      <c r="O8" s="100">
        <v>0</v>
      </c>
      <c r="P8" s="100">
        <v>0</v>
      </c>
      <c r="Q8" s="101">
        <v>0</v>
      </c>
      <c r="R8" s="100">
        <v>0</v>
      </c>
      <c r="S8" s="100">
        <v>0</v>
      </c>
      <c r="T8" s="100">
        <v>0</v>
      </c>
      <c r="U8" s="100">
        <v>0</v>
      </c>
      <c r="V8" s="101">
        <v>0</v>
      </c>
      <c r="W8" s="100">
        <v>0</v>
      </c>
      <c r="X8" s="100">
        <v>0</v>
      </c>
      <c r="Y8" s="100">
        <v>0</v>
      </c>
      <c r="Z8" s="100">
        <v>0</v>
      </c>
      <c r="AA8" s="100">
        <v>0</v>
      </c>
      <c r="AB8" s="104"/>
      <c r="AC8" s="105" t="e">
        <v>#DIV/0!</v>
      </c>
    </row>
    <row r="9" spans="1:29" ht="45" customHeight="1" x14ac:dyDescent="0.25">
      <c r="A9" s="88"/>
      <c r="B9" s="36" t="s">
        <v>1153</v>
      </c>
      <c r="C9" s="194" t="s">
        <v>710</v>
      </c>
      <c r="D9" s="124">
        <f ca="1">_xlfn.IFNA(VLOOKUP(B9,Worksheet!$B$1:$G$600,3,FALSE),D9)</f>
        <v>0</v>
      </c>
      <c r="E9" s="124">
        <f ca="1">_xlfn.IFNA(VLOOKUP(B9,Worksheet!$B$1:$G$600,4,FALSE),E9)</f>
        <v>0</v>
      </c>
      <c r="F9" s="125">
        <f ca="1">_xlfn.IFNA(VLOOKUP(B9,Worksheet!$B$1:$G$600,5,FALSE),F9)</f>
        <v>0</v>
      </c>
      <c r="G9" t="s">
        <v>106</v>
      </c>
      <c r="H9" s="88"/>
      <c r="I9" s="99"/>
      <c r="J9" s="68" t="s">
        <v>92</v>
      </c>
      <c r="K9" s="277" t="s">
        <v>102</v>
      </c>
      <c r="L9" s="278"/>
      <c r="M9" s="100">
        <v>0</v>
      </c>
      <c r="N9" s="100">
        <v>0</v>
      </c>
      <c r="O9" s="100">
        <v>0</v>
      </c>
      <c r="P9" s="100">
        <v>0</v>
      </c>
      <c r="Q9" s="101">
        <v>0</v>
      </c>
      <c r="R9" s="100">
        <v>0</v>
      </c>
      <c r="S9" s="100">
        <v>0</v>
      </c>
      <c r="T9" s="100">
        <v>0</v>
      </c>
      <c r="U9" s="100">
        <v>0</v>
      </c>
      <c r="V9" s="101">
        <v>0</v>
      </c>
      <c r="W9" s="100">
        <v>0</v>
      </c>
      <c r="X9" s="100">
        <v>0</v>
      </c>
      <c r="Y9" s="100">
        <v>0</v>
      </c>
      <c r="Z9" s="100">
        <v>0</v>
      </c>
      <c r="AA9" s="100">
        <v>0</v>
      </c>
      <c r="AB9" s="104"/>
      <c r="AC9" s="105" t="e">
        <v>#DIV/0!</v>
      </c>
    </row>
    <row r="10" spans="1:29" ht="38.450000000000003" customHeight="1" x14ac:dyDescent="0.25">
      <c r="A10" s="88"/>
      <c r="B10" s="36" t="s">
        <v>1154</v>
      </c>
      <c r="C10" s="199" t="s">
        <v>129</v>
      </c>
      <c r="D10" s="126">
        <f ca="1">_xlfn.IFNA(VLOOKUP(B10,Worksheet!$B$1:$G$600,3,FALSE),D10)</f>
        <v>0</v>
      </c>
      <c r="E10" s="126">
        <f ca="1">_xlfn.IFNA(VLOOKUP(B10,Worksheet!$B$1:$G$600,4,FALSE),E10)</f>
        <v>0</v>
      </c>
      <c r="F10" s="127">
        <f ca="1">_xlfn.IFNA(VLOOKUP(B10,Worksheet!$B$1:$G$600,5,FALSE),F10)</f>
        <v>0</v>
      </c>
      <c r="G10" t="s">
        <v>106</v>
      </c>
      <c r="H10" s="88"/>
      <c r="I10" s="99"/>
      <c r="J10" s="68" t="s">
        <v>95</v>
      </c>
      <c r="K10" s="275" t="s">
        <v>96</v>
      </c>
      <c r="L10" s="276"/>
      <c r="M10" s="100">
        <v>4.666666666666667</v>
      </c>
      <c r="N10" s="100">
        <v>1.3333333333333333</v>
      </c>
      <c r="O10" s="100">
        <v>0</v>
      </c>
      <c r="P10" s="100">
        <v>0</v>
      </c>
      <c r="Q10" s="101">
        <v>0</v>
      </c>
      <c r="R10" s="100">
        <v>1.3333333333333333</v>
      </c>
      <c r="S10" s="100">
        <v>1.6666666666666667</v>
      </c>
      <c r="T10" s="100">
        <v>0</v>
      </c>
      <c r="U10" s="100">
        <v>0</v>
      </c>
      <c r="V10" s="101">
        <v>0</v>
      </c>
      <c r="W10" s="100">
        <v>1.3333333333333333</v>
      </c>
      <c r="X10" s="100">
        <v>0</v>
      </c>
      <c r="Y10" s="100">
        <v>0</v>
      </c>
      <c r="Z10" s="100">
        <v>0</v>
      </c>
      <c r="AA10" s="100">
        <v>1.3333333333333333</v>
      </c>
      <c r="AB10" s="104">
        <v>200</v>
      </c>
      <c r="AC10" s="105">
        <v>1.1666666666666665E-2</v>
      </c>
    </row>
    <row r="11" spans="1:29" ht="33" customHeight="1" x14ac:dyDescent="0.25">
      <c r="A11" s="88"/>
      <c r="B11" s="36" t="s">
        <v>1155</v>
      </c>
      <c r="C11" s="199" t="s">
        <v>788</v>
      </c>
      <c r="D11" s="142">
        <f ca="1">SUM(D12:D13)/2</f>
        <v>0</v>
      </c>
      <c r="E11" s="144">
        <f ca="1">SUM(E12:E13)/2</f>
        <v>0</v>
      </c>
      <c r="F11" s="143">
        <f ca="1">SUM(F12:F13)/2</f>
        <v>0</v>
      </c>
      <c r="G11" t="s">
        <v>106</v>
      </c>
      <c r="H11" s="88"/>
      <c r="I11" s="99"/>
      <c r="J11" s="69" t="s">
        <v>98</v>
      </c>
      <c r="K11" s="282" t="s">
        <v>97</v>
      </c>
      <c r="L11" s="283"/>
      <c r="M11" s="106">
        <v>0</v>
      </c>
      <c r="N11" s="107">
        <v>33</v>
      </c>
      <c r="O11" s="107">
        <v>67</v>
      </c>
      <c r="P11" s="107">
        <v>14.5</v>
      </c>
      <c r="Q11" s="108">
        <v>50</v>
      </c>
      <c r="R11" s="107">
        <v>0</v>
      </c>
      <c r="S11" s="107">
        <v>43.5</v>
      </c>
      <c r="T11" s="107">
        <v>46</v>
      </c>
      <c r="U11" s="107">
        <v>24.5</v>
      </c>
      <c r="V11" s="108">
        <v>62.5</v>
      </c>
      <c r="W11" s="107">
        <v>0</v>
      </c>
      <c r="X11" s="107">
        <v>32.5</v>
      </c>
      <c r="Y11" s="107">
        <v>58</v>
      </c>
      <c r="Z11" s="107">
        <v>27.5</v>
      </c>
      <c r="AA11" s="107">
        <v>71</v>
      </c>
      <c r="AB11" s="109">
        <v>200</v>
      </c>
      <c r="AC11" s="110">
        <v>0.52999999999999992</v>
      </c>
    </row>
    <row r="12" spans="1:29" ht="35.450000000000003" customHeight="1" x14ac:dyDescent="0.25">
      <c r="A12" s="88"/>
      <c r="B12" s="36" t="s">
        <v>1156</v>
      </c>
      <c r="C12" s="194" t="s">
        <v>710</v>
      </c>
      <c r="D12" s="124">
        <f ca="1">_xlfn.IFNA(VLOOKUP(B12,Worksheet!$B$1:$G$600,3,FALSE),D12)</f>
        <v>0</v>
      </c>
      <c r="E12" s="124">
        <f ca="1">_xlfn.IFNA(VLOOKUP(B12,Worksheet!$B$1:$G$600,4,FALSE),E12)</f>
        <v>0</v>
      </c>
      <c r="F12" s="125">
        <f ca="1">_xlfn.IFNA(VLOOKUP(B12,Worksheet!$B$1:$G$600,5,FALSE),F12)</f>
        <v>0</v>
      </c>
      <c r="G12" t="s">
        <v>106</v>
      </c>
      <c r="H12" s="88"/>
      <c r="I12" s="99"/>
      <c r="J12" s="68" t="s">
        <v>88</v>
      </c>
      <c r="K12" s="275" t="s">
        <v>87</v>
      </c>
      <c r="L12" s="276"/>
      <c r="M12" s="100">
        <v>0</v>
      </c>
      <c r="N12" s="100">
        <v>0</v>
      </c>
      <c r="O12" s="100">
        <v>0</v>
      </c>
      <c r="P12" s="100">
        <v>0</v>
      </c>
      <c r="Q12" s="101">
        <v>0</v>
      </c>
      <c r="R12" s="100">
        <v>0</v>
      </c>
      <c r="S12" s="100">
        <v>0</v>
      </c>
      <c r="T12" s="100">
        <v>0</v>
      </c>
      <c r="U12" s="100">
        <v>0</v>
      </c>
      <c r="V12" s="101">
        <v>0</v>
      </c>
      <c r="W12" s="100">
        <v>3</v>
      </c>
      <c r="X12" s="100">
        <v>0</v>
      </c>
      <c r="Y12" s="100">
        <v>0</v>
      </c>
      <c r="Z12" s="100">
        <v>0</v>
      </c>
      <c r="AA12" s="100">
        <v>0</v>
      </c>
      <c r="AB12" s="104">
        <v>200</v>
      </c>
      <c r="AC12" s="105">
        <v>0.87849999999999995</v>
      </c>
    </row>
    <row r="13" spans="1:29" ht="37.15" customHeight="1" x14ac:dyDescent="0.25">
      <c r="A13" s="88"/>
      <c r="B13" s="36" t="s">
        <v>1157</v>
      </c>
      <c r="C13" s="199" t="s">
        <v>129</v>
      </c>
      <c r="D13" s="126">
        <f ca="1">_xlfn.IFNA(VLOOKUP(B13,Worksheet!$B$1:$G$600,3,FALSE),D13)</f>
        <v>0</v>
      </c>
      <c r="E13" s="126">
        <f ca="1">_xlfn.IFNA(VLOOKUP(B13,Worksheet!$B$1:$G$600,4,FALSE),E13)</f>
        <v>0</v>
      </c>
      <c r="F13" s="127">
        <f ca="1">_xlfn.IFNA(VLOOKUP(B13,Worksheet!$B$1:$G$600,5,FALSE),F13)</f>
        <v>0</v>
      </c>
      <c r="G13" t="s">
        <v>106</v>
      </c>
      <c r="H13" s="88"/>
      <c r="I13" s="99"/>
      <c r="J13" s="68" t="s">
        <v>88</v>
      </c>
      <c r="K13" s="284" t="s">
        <v>99</v>
      </c>
      <c r="L13" s="285"/>
      <c r="M13" s="100">
        <v>0</v>
      </c>
      <c r="N13" s="100">
        <v>0</v>
      </c>
      <c r="O13" s="100">
        <v>0</v>
      </c>
      <c r="P13" s="100">
        <v>0</v>
      </c>
      <c r="Q13" s="101">
        <v>0</v>
      </c>
      <c r="R13" s="100">
        <v>0</v>
      </c>
      <c r="S13" s="100">
        <v>0</v>
      </c>
      <c r="T13" s="100">
        <v>0</v>
      </c>
      <c r="U13" s="100">
        <v>0</v>
      </c>
      <c r="V13" s="101">
        <v>0</v>
      </c>
      <c r="W13" s="100">
        <v>0</v>
      </c>
      <c r="X13" s="100">
        <v>0</v>
      </c>
      <c r="Y13" s="100">
        <v>0</v>
      </c>
      <c r="Z13" s="100">
        <v>0</v>
      </c>
      <c r="AA13" s="100">
        <v>0</v>
      </c>
      <c r="AB13" s="104"/>
      <c r="AC13" s="105" t="e">
        <v>#DIV/0!</v>
      </c>
    </row>
    <row r="14" spans="1:29" ht="46.9" customHeight="1" x14ac:dyDescent="0.25">
      <c r="A14" s="88"/>
      <c r="B14" s="36"/>
      <c r="C14" s="191" t="s">
        <v>12</v>
      </c>
      <c r="D14" s="55"/>
      <c r="E14" s="55"/>
      <c r="F14" s="56"/>
      <c r="G14" t="s">
        <v>106</v>
      </c>
      <c r="H14" s="88"/>
      <c r="I14" s="99"/>
      <c r="J14" s="68" t="s">
        <v>100</v>
      </c>
      <c r="K14" s="284" t="s">
        <v>163</v>
      </c>
      <c r="L14" s="285"/>
      <c r="M14" s="100">
        <v>0</v>
      </c>
      <c r="N14" s="100">
        <v>0</v>
      </c>
      <c r="O14" s="100">
        <v>0</v>
      </c>
      <c r="P14" s="100">
        <v>19</v>
      </c>
      <c r="Q14" s="101">
        <v>244</v>
      </c>
      <c r="R14" s="100">
        <v>0</v>
      </c>
      <c r="S14" s="100">
        <v>0</v>
      </c>
      <c r="T14" s="100">
        <v>0</v>
      </c>
      <c r="U14" s="100">
        <v>22.333333333333332</v>
      </c>
      <c r="V14" s="101">
        <v>263</v>
      </c>
      <c r="W14" s="100">
        <v>3</v>
      </c>
      <c r="X14" s="100">
        <v>0</v>
      </c>
      <c r="Y14" s="100">
        <v>0</v>
      </c>
      <c r="Z14" s="100">
        <v>29</v>
      </c>
      <c r="AA14" s="100">
        <v>263</v>
      </c>
      <c r="AB14" s="104"/>
      <c r="AC14" s="105" t="e">
        <v>#DIV/0!</v>
      </c>
    </row>
    <row r="15" spans="1:29" ht="40.9" customHeight="1" x14ac:dyDescent="0.25">
      <c r="A15" s="88"/>
      <c r="B15" s="36">
        <v>5.2</v>
      </c>
      <c r="C15" s="205" t="s">
        <v>711</v>
      </c>
      <c r="D15" s="55">
        <f ca="1">D16</f>
        <v>0</v>
      </c>
      <c r="E15" s="55">
        <f t="shared" ref="E15:F15" ca="1" si="1">E16</f>
        <v>0</v>
      </c>
      <c r="F15" s="56">
        <f t="shared" ca="1" si="1"/>
        <v>0</v>
      </c>
      <c r="G15" t="s">
        <v>106</v>
      </c>
      <c r="H15" s="88"/>
      <c r="I15" s="99"/>
      <c r="J15" s="69" t="s">
        <v>100</v>
      </c>
      <c r="K15" s="282" t="s">
        <v>162</v>
      </c>
      <c r="L15" s="283"/>
      <c r="M15" s="106">
        <v>0</v>
      </c>
      <c r="N15" s="107">
        <v>0</v>
      </c>
      <c r="O15" s="107">
        <v>0</v>
      </c>
      <c r="P15" s="107">
        <v>0</v>
      </c>
      <c r="Q15" s="108">
        <v>111</v>
      </c>
      <c r="R15" s="107">
        <v>0</v>
      </c>
      <c r="S15" s="107">
        <v>0</v>
      </c>
      <c r="T15" s="107">
        <v>0</v>
      </c>
      <c r="U15" s="107">
        <v>0</v>
      </c>
      <c r="V15" s="108">
        <v>109</v>
      </c>
      <c r="W15" s="107">
        <v>0</v>
      </c>
      <c r="X15" s="107">
        <v>0</v>
      </c>
      <c r="Y15" s="107">
        <v>0</v>
      </c>
      <c r="Z15" s="107">
        <v>0</v>
      </c>
      <c r="AA15" s="107">
        <v>109</v>
      </c>
      <c r="AB15" s="109"/>
      <c r="AC15" s="110" t="e">
        <v>#DIV/0!</v>
      </c>
    </row>
    <row r="16" spans="1:29" ht="34.9" customHeight="1" x14ac:dyDescent="0.25">
      <c r="A16" s="88"/>
      <c r="B16" s="36" t="s">
        <v>390</v>
      </c>
      <c r="C16" s="199" t="s">
        <v>789</v>
      </c>
      <c r="D16" s="142">
        <f ca="1">SUM(D17:D18)/2</f>
        <v>0</v>
      </c>
      <c r="E16" s="142">
        <f t="shared" ref="E16:F16" ca="1" si="2">SUM(E17:E18)/2</f>
        <v>0</v>
      </c>
      <c r="F16" s="143">
        <f t="shared" ca="1" si="2"/>
        <v>0</v>
      </c>
      <c r="G16" t="s">
        <v>106</v>
      </c>
      <c r="H16" s="88"/>
      <c r="I16" s="99"/>
      <c r="J16" s="70" t="s">
        <v>106</v>
      </c>
      <c r="K16" s="286" t="s">
        <v>54</v>
      </c>
      <c r="L16" s="287"/>
      <c r="M16" s="111">
        <v>0</v>
      </c>
      <c r="N16" s="112">
        <v>0</v>
      </c>
      <c r="O16" s="112">
        <v>0</v>
      </c>
      <c r="P16" s="112">
        <v>0</v>
      </c>
      <c r="Q16" s="113">
        <v>0</v>
      </c>
      <c r="R16" s="112">
        <v>0</v>
      </c>
      <c r="S16" s="112">
        <v>0</v>
      </c>
      <c r="T16" s="112">
        <v>0</v>
      </c>
      <c r="U16" s="112">
        <v>0</v>
      </c>
      <c r="V16" s="113">
        <v>0</v>
      </c>
      <c r="W16" s="112">
        <v>0</v>
      </c>
      <c r="X16" s="112">
        <v>0</v>
      </c>
      <c r="Y16" s="112">
        <v>0</v>
      </c>
      <c r="Z16" s="112">
        <v>0</v>
      </c>
      <c r="AA16" s="112">
        <v>0</v>
      </c>
      <c r="AB16" s="114"/>
      <c r="AC16" s="115" t="e">
        <v>#DIV/0!</v>
      </c>
    </row>
    <row r="17" spans="1:29" ht="39.6" customHeight="1" x14ac:dyDescent="0.25">
      <c r="A17" s="88"/>
      <c r="B17" s="36" t="s">
        <v>1158</v>
      </c>
      <c r="C17" s="194" t="s">
        <v>710</v>
      </c>
      <c r="D17" s="124">
        <f ca="1">_xlfn.IFNA(VLOOKUP(B17,Worksheet!$B$1:$G$600,3,FALSE),D17)</f>
        <v>0</v>
      </c>
      <c r="E17" s="124">
        <f ca="1">_xlfn.IFNA(VLOOKUP(B17,Worksheet!$B$1:$G$600,4,FALSE),E17)</f>
        <v>0</v>
      </c>
      <c r="F17" s="125">
        <f ca="1">_xlfn.IFNA(VLOOKUP(B17,Worksheet!$B$1:$G$600,5,FALSE),F17)</f>
        <v>0</v>
      </c>
      <c r="G17" t="s">
        <v>106</v>
      </c>
      <c r="H17" s="88"/>
      <c r="I17" s="99"/>
      <c r="J17" s="70" t="s">
        <v>103</v>
      </c>
      <c r="K17" s="286" t="s">
        <v>38</v>
      </c>
      <c r="L17" s="287"/>
      <c r="M17" s="111">
        <v>0</v>
      </c>
      <c r="N17" s="112">
        <v>17.666666666666668</v>
      </c>
      <c r="O17" s="112">
        <v>0</v>
      </c>
      <c r="P17" s="112">
        <v>32</v>
      </c>
      <c r="Q17" s="113">
        <v>91</v>
      </c>
      <c r="R17" s="112">
        <v>0</v>
      </c>
      <c r="S17" s="112">
        <v>23</v>
      </c>
      <c r="T17" s="112">
        <v>0</v>
      </c>
      <c r="U17" s="112">
        <v>32</v>
      </c>
      <c r="V17" s="113">
        <v>90.666666666666671</v>
      </c>
      <c r="W17" s="112">
        <v>0</v>
      </c>
      <c r="X17" s="112">
        <v>29.333333333333332</v>
      </c>
      <c r="Y17" s="112">
        <v>0</v>
      </c>
      <c r="Z17" s="112">
        <v>32</v>
      </c>
      <c r="AA17" s="112">
        <v>98.666666666666671</v>
      </c>
      <c r="AB17" s="114"/>
      <c r="AC17" s="115" t="e">
        <v>#DIV/0!</v>
      </c>
    </row>
    <row r="18" spans="1:29" ht="38.450000000000003" customHeight="1" x14ac:dyDescent="0.25">
      <c r="A18" s="88"/>
      <c r="B18" s="36" t="s">
        <v>1159</v>
      </c>
      <c r="C18" s="194" t="s">
        <v>129</v>
      </c>
      <c r="D18" s="124">
        <f ca="1">_xlfn.IFNA(VLOOKUP(B18,Worksheet!$B$1:$G$600,3,FALSE),D18)</f>
        <v>0</v>
      </c>
      <c r="E18" s="124">
        <f ca="1">_xlfn.IFNA(VLOOKUP(B18,Worksheet!$B$1:$G$600,4,FALSE),E18)</f>
        <v>0</v>
      </c>
      <c r="F18" s="125">
        <f ca="1">_xlfn.IFNA(VLOOKUP(B18,Worksheet!$B$1:$G$600,5,FALSE),F18)</f>
        <v>0</v>
      </c>
      <c r="G18" t="s">
        <v>106</v>
      </c>
      <c r="H18" s="88"/>
      <c r="I18" s="99"/>
      <c r="J18" s="70" t="s">
        <v>104</v>
      </c>
      <c r="K18" s="286" t="s">
        <v>43</v>
      </c>
      <c r="L18" s="287"/>
      <c r="M18" s="106">
        <v>12.666666666666666</v>
      </c>
      <c r="N18" s="107">
        <v>0</v>
      </c>
      <c r="O18" s="107">
        <v>0</v>
      </c>
      <c r="P18" s="107">
        <v>0</v>
      </c>
      <c r="Q18" s="108">
        <v>0</v>
      </c>
      <c r="R18" s="107">
        <v>9.1666666666666661</v>
      </c>
      <c r="S18" s="107">
        <v>0</v>
      </c>
      <c r="T18" s="107">
        <v>0</v>
      </c>
      <c r="U18" s="107">
        <v>0</v>
      </c>
      <c r="V18" s="108">
        <v>0</v>
      </c>
      <c r="W18" s="107">
        <v>0</v>
      </c>
      <c r="X18" s="107">
        <v>0</v>
      </c>
      <c r="Y18" s="107">
        <v>0</v>
      </c>
      <c r="Z18" s="107">
        <v>0</v>
      </c>
      <c r="AA18" s="107">
        <v>0</v>
      </c>
      <c r="AB18" s="114"/>
      <c r="AC18" s="115" t="e">
        <v>#DIV/0!</v>
      </c>
    </row>
    <row r="19" spans="1:29" ht="41.45" customHeight="1" x14ac:dyDescent="0.25">
      <c r="A19" s="88"/>
      <c r="B19" s="36" t="s">
        <v>1160</v>
      </c>
      <c r="C19" s="194" t="s">
        <v>24</v>
      </c>
      <c r="D19" s="124">
        <f ca="1">_xlfn.IFNA(VLOOKUP(B19,Worksheet!$B$1:$G$600,3,FALSE),D19)</f>
        <v>0</v>
      </c>
      <c r="E19" s="124">
        <f ca="1">_xlfn.IFNA(VLOOKUP(B19,Worksheet!$B$1:$G$600,4,FALSE),E19)</f>
        <v>0</v>
      </c>
      <c r="F19" s="125">
        <f ca="1">_xlfn.IFNA(VLOOKUP(B19,Worksheet!$B$1:$G$600,5,FALSE),F19)</f>
        <v>0</v>
      </c>
      <c r="G19" t="s">
        <v>106</v>
      </c>
      <c r="H19" s="88"/>
      <c r="I19" s="99"/>
      <c r="J19" s="68" t="s">
        <v>93</v>
      </c>
      <c r="K19" s="275" t="s">
        <v>94</v>
      </c>
      <c r="L19" s="276"/>
      <c r="M19" s="100">
        <v>0</v>
      </c>
      <c r="N19" s="100">
        <v>5.333333333333333</v>
      </c>
      <c r="O19" s="100">
        <v>17</v>
      </c>
      <c r="P19" s="100">
        <v>0</v>
      </c>
      <c r="Q19" s="101">
        <v>0</v>
      </c>
      <c r="R19" s="100">
        <v>0</v>
      </c>
      <c r="S19" s="100">
        <v>1.6666666666666667</v>
      </c>
      <c r="T19" s="100">
        <v>21.5</v>
      </c>
      <c r="U19" s="100">
        <v>0</v>
      </c>
      <c r="V19" s="101">
        <v>0</v>
      </c>
      <c r="W19" s="100">
        <v>0</v>
      </c>
      <c r="X19" s="100">
        <v>4.333333333333333</v>
      </c>
      <c r="Y19" s="100">
        <v>17</v>
      </c>
      <c r="Z19" s="100">
        <v>0</v>
      </c>
      <c r="AA19" s="100">
        <v>0</v>
      </c>
      <c r="AB19" s="104">
        <v>125</v>
      </c>
      <c r="AC19" s="105">
        <v>0.10693333333333334</v>
      </c>
    </row>
    <row r="20" spans="1:29" ht="32.450000000000003" customHeight="1" x14ac:dyDescent="0.25">
      <c r="A20" s="88"/>
      <c r="B20" s="36" t="s">
        <v>1161</v>
      </c>
      <c r="C20" s="199" t="s">
        <v>761</v>
      </c>
      <c r="D20" s="126">
        <f ca="1">_xlfn.IFNA(VLOOKUP(B20,Worksheet!$B$1:$G$600,3,FALSE),D20)</f>
        <v>0</v>
      </c>
      <c r="E20" s="126">
        <f ca="1">_xlfn.IFNA(VLOOKUP(B20,Worksheet!$B$1:$G$600,4,FALSE),E20)</f>
        <v>0</v>
      </c>
      <c r="F20" s="127">
        <f ca="1">_xlfn.IFNA(VLOOKUP(B20,Worksheet!$B$1:$G$600,5,FALSE),F20)</f>
        <v>0</v>
      </c>
      <c r="G20" t="s">
        <v>106</v>
      </c>
      <c r="H20" s="88"/>
      <c r="I20" s="99"/>
      <c r="J20" s="68" t="s">
        <v>105</v>
      </c>
      <c r="K20" s="284" t="s">
        <v>52</v>
      </c>
      <c r="L20" s="285"/>
      <c r="M20" s="100">
        <v>1.5</v>
      </c>
      <c r="N20" s="100">
        <v>15</v>
      </c>
      <c r="O20" s="100">
        <v>0</v>
      </c>
      <c r="P20" s="100">
        <v>0</v>
      </c>
      <c r="Q20" s="101">
        <v>352</v>
      </c>
      <c r="R20" s="100">
        <v>1.5</v>
      </c>
      <c r="S20" s="100">
        <v>5.333333333333333</v>
      </c>
      <c r="T20" s="100">
        <v>0</v>
      </c>
      <c r="U20" s="100">
        <v>0</v>
      </c>
      <c r="V20" s="101">
        <v>323.5</v>
      </c>
      <c r="W20" s="100">
        <v>16</v>
      </c>
      <c r="X20" s="100">
        <v>3.6666666666666665</v>
      </c>
      <c r="Y20" s="100">
        <v>0</v>
      </c>
      <c r="Z20" s="100">
        <v>0</v>
      </c>
      <c r="AA20" s="100">
        <v>317.5</v>
      </c>
      <c r="AB20" s="104"/>
      <c r="AC20" s="105" t="e">
        <v>#DIV/0!</v>
      </c>
    </row>
    <row r="21" spans="1:29" ht="34.9" customHeight="1" x14ac:dyDescent="0.25">
      <c r="A21" s="88"/>
      <c r="B21" s="36"/>
      <c r="C21" s="191" t="s">
        <v>44</v>
      </c>
      <c r="D21" s="55"/>
      <c r="E21" s="55"/>
      <c r="F21" s="56"/>
      <c r="G21" t="s">
        <v>106</v>
      </c>
      <c r="H21" s="88"/>
      <c r="I21" s="99"/>
      <c r="J21" s="68" t="s">
        <v>107</v>
      </c>
      <c r="K21" s="284" t="s">
        <v>60</v>
      </c>
      <c r="L21" s="285"/>
      <c r="M21" s="100">
        <v>0</v>
      </c>
      <c r="N21" s="100">
        <v>0</v>
      </c>
      <c r="O21" s="100">
        <v>0</v>
      </c>
      <c r="P21" s="100">
        <v>0</v>
      </c>
      <c r="Q21" s="101">
        <v>0</v>
      </c>
      <c r="R21" s="100">
        <v>0</v>
      </c>
      <c r="S21" s="100">
        <v>0</v>
      </c>
      <c r="T21" s="100">
        <v>0</v>
      </c>
      <c r="U21" s="100">
        <v>0</v>
      </c>
      <c r="V21" s="101">
        <v>0</v>
      </c>
      <c r="W21" s="100">
        <v>0</v>
      </c>
      <c r="X21" s="100">
        <v>0</v>
      </c>
      <c r="Y21" s="100">
        <v>0</v>
      </c>
      <c r="Z21" s="100">
        <v>0</v>
      </c>
      <c r="AA21" s="100">
        <v>0</v>
      </c>
      <c r="AB21" s="104"/>
      <c r="AC21" s="105" t="e">
        <v>#DIV/0!</v>
      </c>
    </row>
    <row r="22" spans="1:29" ht="37.9" customHeight="1" x14ac:dyDescent="0.25">
      <c r="A22" s="88"/>
      <c r="B22" s="36">
        <v>5.3</v>
      </c>
      <c r="C22" s="192" t="s">
        <v>796</v>
      </c>
      <c r="D22" s="55">
        <f ca="1">SUM(D23,D38)/2</f>
        <v>0</v>
      </c>
      <c r="E22" s="55">
        <f t="shared" ref="E22:F22" ca="1" si="3">SUM(E23,E38)/2</f>
        <v>0</v>
      </c>
      <c r="F22" s="56">
        <f t="shared" ca="1" si="3"/>
        <v>0</v>
      </c>
      <c r="G22" t="s">
        <v>106</v>
      </c>
      <c r="H22" s="88"/>
      <c r="I22" s="99"/>
      <c r="J22" s="68" t="s">
        <v>108</v>
      </c>
      <c r="K22" s="277" t="s">
        <v>70</v>
      </c>
      <c r="L22" s="278"/>
      <c r="M22" s="100">
        <v>0</v>
      </c>
      <c r="N22" s="100">
        <v>32</v>
      </c>
      <c r="O22" s="100">
        <v>0</v>
      </c>
      <c r="P22" s="100">
        <v>0</v>
      </c>
      <c r="Q22" s="101">
        <v>11</v>
      </c>
      <c r="R22" s="100">
        <v>0</v>
      </c>
      <c r="S22" s="100">
        <v>32</v>
      </c>
      <c r="T22" s="100">
        <v>0</v>
      </c>
      <c r="U22" s="100">
        <v>0</v>
      </c>
      <c r="V22" s="101">
        <v>698</v>
      </c>
      <c r="W22" s="100">
        <v>0</v>
      </c>
      <c r="X22" s="100">
        <v>22</v>
      </c>
      <c r="Y22" s="100">
        <v>0</v>
      </c>
      <c r="Z22" s="100">
        <v>0</v>
      </c>
      <c r="AA22" s="100">
        <v>1</v>
      </c>
      <c r="AB22" s="104"/>
      <c r="AC22" s="105" t="e">
        <v>#DIV/0!</v>
      </c>
    </row>
    <row r="23" spans="1:29" ht="59.45" customHeight="1" x14ac:dyDescent="0.25">
      <c r="A23" s="88"/>
      <c r="B23" s="36" t="s">
        <v>391</v>
      </c>
      <c r="C23" s="187" t="s">
        <v>794</v>
      </c>
      <c r="D23" s="144">
        <f ca="1">SUM(D24,D31)</f>
        <v>0</v>
      </c>
      <c r="E23" s="144">
        <f t="shared" ref="E23:F23" ca="1" si="4">SUM(E24,E31)</f>
        <v>0</v>
      </c>
      <c r="F23" s="145">
        <f t="shared" ca="1" si="4"/>
        <v>0</v>
      </c>
      <c r="G23" t="s">
        <v>106</v>
      </c>
      <c r="H23" s="88"/>
      <c r="I23" s="99"/>
      <c r="J23" s="68" t="s">
        <v>109</v>
      </c>
      <c r="K23" s="277" t="s">
        <v>77</v>
      </c>
      <c r="L23" s="278"/>
      <c r="M23" s="100">
        <v>0</v>
      </c>
      <c r="N23" s="100">
        <v>222</v>
      </c>
      <c r="O23" s="100">
        <v>0</v>
      </c>
      <c r="P23" s="100">
        <v>0</v>
      </c>
      <c r="Q23" s="101">
        <v>34.5</v>
      </c>
      <c r="R23" s="100">
        <v>0</v>
      </c>
      <c r="S23" s="100">
        <v>223</v>
      </c>
      <c r="T23" s="100">
        <v>0</v>
      </c>
      <c r="U23" s="100">
        <v>0</v>
      </c>
      <c r="V23" s="101">
        <v>43</v>
      </c>
      <c r="W23" s="100">
        <v>0</v>
      </c>
      <c r="X23" s="100">
        <v>344</v>
      </c>
      <c r="Y23" s="100">
        <v>0</v>
      </c>
      <c r="Z23" s="100">
        <v>0</v>
      </c>
      <c r="AA23" s="100">
        <v>44</v>
      </c>
      <c r="AB23" s="104"/>
      <c r="AC23" s="105" t="e">
        <v>#DIV/0!</v>
      </c>
    </row>
    <row r="24" spans="1:29" ht="49.9" customHeight="1" x14ac:dyDescent="0.25">
      <c r="A24" s="88"/>
      <c r="B24" s="36" t="s">
        <v>393</v>
      </c>
      <c r="C24" s="187" t="s">
        <v>14</v>
      </c>
      <c r="D24" s="144">
        <f ca="1">SUM(D25:D28)/2</f>
        <v>0</v>
      </c>
      <c r="E24" s="144">
        <f ca="1">SUM(E25:E28)/2</f>
        <v>0</v>
      </c>
      <c r="F24" s="143">
        <f ca="1">SUM(F25:F28)/2</f>
        <v>0</v>
      </c>
      <c r="G24" t="s">
        <v>106</v>
      </c>
      <c r="H24" s="88"/>
      <c r="I24" s="99"/>
      <c r="J24" s="69" t="s">
        <v>110</v>
      </c>
      <c r="K24" s="282" t="s">
        <v>81</v>
      </c>
      <c r="L24" s="283"/>
      <c r="M24" s="106">
        <v>0</v>
      </c>
      <c r="N24" s="107">
        <v>0</v>
      </c>
      <c r="O24" s="107">
        <v>0</v>
      </c>
      <c r="P24" s="107">
        <v>0</v>
      </c>
      <c r="Q24" s="108">
        <v>0</v>
      </c>
      <c r="R24" s="107">
        <v>0</v>
      </c>
      <c r="S24" s="107">
        <v>0</v>
      </c>
      <c r="T24" s="107">
        <v>0</v>
      </c>
      <c r="U24" s="107">
        <v>0</v>
      </c>
      <c r="V24" s="108">
        <v>0</v>
      </c>
      <c r="W24" s="107">
        <v>0</v>
      </c>
      <c r="X24" s="107">
        <v>0</v>
      </c>
      <c r="Y24" s="107">
        <v>0</v>
      </c>
      <c r="Z24" s="107">
        <v>0</v>
      </c>
      <c r="AA24" s="107">
        <v>0</v>
      </c>
      <c r="AB24" s="109"/>
      <c r="AC24" s="110" t="e">
        <v>#DIV/0!</v>
      </c>
    </row>
    <row r="25" spans="1:29" ht="25.15" customHeight="1" x14ac:dyDescent="0.25">
      <c r="A25" s="88"/>
      <c r="B25" s="36" t="s">
        <v>394</v>
      </c>
      <c r="C25" s="194" t="s">
        <v>710</v>
      </c>
      <c r="D25" s="173">
        <f ca="1">SUM(D26:D27)</f>
        <v>0</v>
      </c>
      <c r="E25" s="173">
        <f t="shared" ref="E25:F25" ca="1" si="5">SUM(E26:E27)</f>
        <v>0</v>
      </c>
      <c r="F25" s="174">
        <f t="shared" ca="1" si="5"/>
        <v>0</v>
      </c>
      <c r="G25" t="s">
        <v>106</v>
      </c>
      <c r="H25" s="88"/>
      <c r="I25" s="88"/>
      <c r="J25" s="88"/>
      <c r="K25" s="88"/>
      <c r="L25" s="88"/>
      <c r="M25" s="88"/>
      <c r="N25" s="88"/>
      <c r="O25" s="88"/>
      <c r="P25" s="88"/>
      <c r="Q25" s="88"/>
      <c r="R25" s="88"/>
      <c r="S25" s="88"/>
      <c r="T25" s="88"/>
      <c r="U25" s="88"/>
      <c r="V25" s="88"/>
      <c r="W25" s="88"/>
      <c r="X25" s="88"/>
      <c r="Y25" s="88"/>
      <c r="Z25" s="88"/>
      <c r="AA25" s="88"/>
      <c r="AB25" s="88"/>
      <c r="AC25" s="88"/>
    </row>
    <row r="26" spans="1:29" ht="25.15" customHeight="1" x14ac:dyDescent="0.25">
      <c r="A26" s="88"/>
      <c r="B26" s="36" t="s">
        <v>400</v>
      </c>
      <c r="C26" s="189" t="s">
        <v>55</v>
      </c>
      <c r="D26" s="124">
        <f ca="1">_xlfn.IFNA(VLOOKUP(B26,Worksheet!$B$1:$G$600,3,FALSE),D26)</f>
        <v>0</v>
      </c>
      <c r="E26" s="124">
        <f ca="1">_xlfn.IFNA(VLOOKUP(B26,Worksheet!$B$1:$G$600,4,FALSE),E26)</f>
        <v>0</v>
      </c>
      <c r="F26" s="125">
        <f ca="1">_xlfn.IFNA(VLOOKUP(B26,Worksheet!$B$1:$G$600,5,FALSE),F26)</f>
        <v>0</v>
      </c>
      <c r="G26" t="s">
        <v>106</v>
      </c>
      <c r="H26" s="88"/>
      <c r="I26" s="88"/>
      <c r="J26" s="88"/>
      <c r="K26" s="88"/>
      <c r="L26" s="88"/>
      <c r="M26" s="116">
        <f>AVERAGE(M7:M24)</f>
        <v>1.8611111111111112</v>
      </c>
      <c r="N26" s="116">
        <f t="shared" ref="N26:AA26" si="6">AVERAGE(N7:N24)</f>
        <v>18.129629629629633</v>
      </c>
      <c r="O26" s="116">
        <f t="shared" si="6"/>
        <v>4.666666666666667</v>
      </c>
      <c r="P26" s="116">
        <f t="shared" si="6"/>
        <v>3.6388888888888888</v>
      </c>
      <c r="Q26" s="116">
        <f t="shared" si="6"/>
        <v>49.638888888888886</v>
      </c>
      <c r="R26" s="116">
        <f t="shared" si="6"/>
        <v>2.7777777777777777</v>
      </c>
      <c r="S26" s="116">
        <f t="shared" si="6"/>
        <v>18.342592592592592</v>
      </c>
      <c r="T26" s="116">
        <f t="shared" si="6"/>
        <v>3.75</v>
      </c>
      <c r="U26" s="116">
        <f t="shared" si="6"/>
        <v>4.3796296296296298</v>
      </c>
      <c r="V26" s="116">
        <f t="shared" si="6"/>
        <v>88.31481481481481</v>
      </c>
      <c r="W26" s="116">
        <f t="shared" si="6"/>
        <v>2.1111111111111112</v>
      </c>
      <c r="X26" s="116">
        <f t="shared" si="6"/>
        <v>24.212962962962962</v>
      </c>
      <c r="Y26" s="116">
        <f t="shared" si="6"/>
        <v>4.166666666666667</v>
      </c>
      <c r="Z26" s="116">
        <f t="shared" si="6"/>
        <v>4.916666666666667</v>
      </c>
      <c r="AA26" s="116">
        <f t="shared" si="6"/>
        <v>50.305555555555557</v>
      </c>
      <c r="AB26" s="88"/>
      <c r="AC26" s="88"/>
    </row>
    <row r="27" spans="1:29" ht="25.15" customHeight="1" x14ac:dyDescent="0.3">
      <c r="A27" s="88"/>
      <c r="B27" s="36" t="s">
        <v>401</v>
      </c>
      <c r="C27" s="188" t="s">
        <v>56</v>
      </c>
      <c r="D27" s="126">
        <f ca="1">_xlfn.IFNA(VLOOKUP(B27,Worksheet!$B$1:$G$600,3,FALSE),D27)</f>
        <v>0</v>
      </c>
      <c r="E27" s="126">
        <f ca="1">_xlfn.IFNA(VLOOKUP(B27,Worksheet!$B$1:$G$600,4,FALSE),E27)</f>
        <v>0</v>
      </c>
      <c r="F27" s="127">
        <f ca="1">_xlfn.IFNA(VLOOKUP(B27,Worksheet!$B$1:$G$600,5,FALSE),F27)</f>
        <v>0</v>
      </c>
      <c r="G27" t="s">
        <v>106</v>
      </c>
      <c r="H27" s="88"/>
      <c r="I27" s="88"/>
      <c r="J27" s="281" t="s">
        <v>1866</v>
      </c>
      <c r="K27" s="281"/>
      <c r="L27" s="136" t="s">
        <v>1867</v>
      </c>
      <c r="M27" s="137"/>
      <c r="N27" s="138"/>
      <c r="O27" s="138"/>
      <c r="P27" s="138"/>
      <c r="Q27" s="135" t="s">
        <v>1864</v>
      </c>
      <c r="R27" s="139" t="s">
        <v>1870</v>
      </c>
      <c r="S27" s="140"/>
      <c r="T27" s="279" t="s">
        <v>1865</v>
      </c>
      <c r="U27" s="279"/>
      <c r="V27" s="141" t="s">
        <v>1869</v>
      </c>
      <c r="W27" s="141"/>
      <c r="X27" s="117"/>
      <c r="Y27" s="117"/>
      <c r="Z27" s="117"/>
      <c r="AA27" s="117"/>
      <c r="AB27" s="88"/>
      <c r="AC27" s="88"/>
    </row>
    <row r="28" spans="1:29" ht="25.15" customHeight="1" x14ac:dyDescent="0.25">
      <c r="A28" s="88"/>
      <c r="B28" s="36" t="s">
        <v>399</v>
      </c>
      <c r="C28" s="187" t="s">
        <v>128</v>
      </c>
      <c r="D28" s="144">
        <f ca="1">SUM(D29:D30)</f>
        <v>0</v>
      </c>
      <c r="E28" s="144">
        <f t="shared" ref="E28:F28" ca="1" si="7">SUM(E29:E30)</f>
        <v>0</v>
      </c>
      <c r="F28" s="145">
        <f t="shared" ca="1" si="7"/>
        <v>0</v>
      </c>
      <c r="G28" t="s">
        <v>106</v>
      </c>
      <c r="H28" s="88"/>
      <c r="I28" s="88"/>
      <c r="J28" s="88"/>
      <c r="K28" s="88"/>
      <c r="L28" s="88"/>
      <c r="M28" s="117"/>
      <c r="N28" s="117"/>
      <c r="O28" s="117"/>
      <c r="P28" s="117"/>
      <c r="Q28" s="117"/>
      <c r="R28" s="134"/>
      <c r="S28" s="134"/>
      <c r="T28" s="117"/>
      <c r="U28" s="117"/>
      <c r="V28" s="134"/>
      <c r="W28" s="134"/>
      <c r="X28" s="117"/>
      <c r="Y28" s="117"/>
      <c r="Z28" s="117"/>
      <c r="AA28" s="117"/>
      <c r="AB28" s="88"/>
      <c r="AC28" s="88"/>
    </row>
    <row r="29" spans="1:29" ht="25.15" customHeight="1" x14ac:dyDescent="0.3">
      <c r="A29" s="88"/>
      <c r="B29" s="36" t="s">
        <v>400</v>
      </c>
      <c r="C29" s="189" t="s">
        <v>55</v>
      </c>
      <c r="D29" s="124">
        <f ca="1">_xlfn.IFNA(VLOOKUP(B29,Worksheet!$B$1:$G$600,3,FALSE),D29)</f>
        <v>0</v>
      </c>
      <c r="E29" s="124">
        <f ca="1">_xlfn.IFNA(VLOOKUP(B29,Worksheet!$B$1:$G$600,4,FALSE),E29)</f>
        <v>0</v>
      </c>
      <c r="F29" s="125">
        <f ca="1">_xlfn.IFNA(VLOOKUP(B29,Worksheet!$B$1:$G$600,5,FALSE),F29)</f>
        <v>0</v>
      </c>
      <c r="G29" t="s">
        <v>106</v>
      </c>
      <c r="H29" s="88"/>
      <c r="I29" s="88"/>
      <c r="J29" s="280" t="s">
        <v>3</v>
      </c>
      <c r="K29" s="280"/>
      <c r="L29" s="136" t="s">
        <v>1868</v>
      </c>
      <c r="M29" s="136"/>
      <c r="N29" s="136"/>
      <c r="O29" s="136"/>
      <c r="P29" s="136"/>
      <c r="Q29" s="135" t="s">
        <v>1864</v>
      </c>
      <c r="R29" s="140"/>
      <c r="S29" s="140"/>
      <c r="T29" s="279" t="s">
        <v>1865</v>
      </c>
      <c r="U29" s="279"/>
      <c r="V29" s="141"/>
      <c r="W29" s="141"/>
      <c r="X29" s="88"/>
      <c r="Y29" s="88"/>
      <c r="Z29" s="88"/>
      <c r="AA29" s="88"/>
      <c r="AB29" s="88"/>
      <c r="AC29" s="88"/>
    </row>
    <row r="30" spans="1:29" ht="25.15" customHeight="1" x14ac:dyDescent="0.25">
      <c r="A30" s="88"/>
      <c r="B30" s="36" t="s">
        <v>401</v>
      </c>
      <c r="C30" s="188" t="s">
        <v>56</v>
      </c>
      <c r="D30" s="126">
        <f ca="1">_xlfn.IFNA(VLOOKUP(B30,Worksheet!$B$1:$G$600,3,FALSE),D30)</f>
        <v>0</v>
      </c>
      <c r="E30" s="126">
        <f ca="1">_xlfn.IFNA(VLOOKUP(B30,Worksheet!$B$1:$G$600,4,FALSE),E30)</f>
        <v>0</v>
      </c>
      <c r="F30" s="127">
        <f ca="1">_xlfn.IFNA(VLOOKUP(B30,Worksheet!$B$1:$G$600,5,FALSE),F30)</f>
        <v>0</v>
      </c>
      <c r="G30" t="s">
        <v>106</v>
      </c>
      <c r="H30" s="88"/>
      <c r="I30" s="88"/>
      <c r="J30" s="88"/>
      <c r="K30" s="88"/>
      <c r="L30" s="88"/>
      <c r="M30" s="88"/>
      <c r="N30" s="88"/>
      <c r="O30" s="88"/>
      <c r="P30" s="88"/>
      <c r="Q30" s="88"/>
      <c r="R30" s="88"/>
      <c r="S30" s="88"/>
      <c r="T30" s="88"/>
      <c r="U30" s="88"/>
      <c r="V30" s="88"/>
      <c r="W30" s="88"/>
      <c r="X30" s="88"/>
      <c r="Y30" s="88"/>
      <c r="Z30" s="88"/>
      <c r="AA30" s="88"/>
      <c r="AB30" s="88"/>
      <c r="AC30" s="88"/>
    </row>
    <row r="31" spans="1:29" ht="25.15" customHeight="1" x14ac:dyDescent="0.25">
      <c r="A31" s="88"/>
      <c r="B31" s="36" t="s">
        <v>395</v>
      </c>
      <c r="C31" s="188" t="s">
        <v>15</v>
      </c>
      <c r="D31" s="142">
        <f ca="1">SUM(D32:D35)/2</f>
        <v>0</v>
      </c>
      <c r="E31" s="142">
        <f t="shared" ref="E31:F31" ca="1" si="8">SUM(E32:E35)/2</f>
        <v>0</v>
      </c>
      <c r="F31" s="143">
        <f t="shared" ca="1" si="8"/>
        <v>0</v>
      </c>
      <c r="G31" t="s">
        <v>106</v>
      </c>
      <c r="H31" s="88"/>
      <c r="I31" s="88"/>
      <c r="J31" s="88"/>
      <c r="K31" s="88"/>
      <c r="L31" s="88"/>
      <c r="M31" s="88"/>
      <c r="N31" s="88"/>
      <c r="O31" s="88"/>
      <c r="P31" s="88"/>
      <c r="Q31" s="88"/>
      <c r="R31" s="88"/>
      <c r="S31" s="88"/>
      <c r="T31" s="88"/>
      <c r="U31" s="88"/>
      <c r="V31" s="88"/>
      <c r="W31" s="88"/>
      <c r="X31" s="88"/>
      <c r="Y31" s="88"/>
      <c r="Z31" s="88"/>
      <c r="AA31" s="88"/>
      <c r="AB31" s="88"/>
      <c r="AC31" s="88"/>
    </row>
    <row r="32" spans="1:29" ht="25.15" customHeight="1" x14ac:dyDescent="0.25">
      <c r="A32" s="88"/>
      <c r="B32" s="36" t="s">
        <v>396</v>
      </c>
      <c r="C32" s="194" t="s">
        <v>710</v>
      </c>
      <c r="D32" s="173">
        <f ca="1">SUM(D33:D34)</f>
        <v>0</v>
      </c>
      <c r="E32" s="173">
        <f t="shared" ref="E32:F32" ca="1" si="9">SUM(E33:E34)</f>
        <v>0</v>
      </c>
      <c r="F32" s="174">
        <f t="shared" ca="1" si="9"/>
        <v>0</v>
      </c>
      <c r="G32" t="s">
        <v>106</v>
      </c>
      <c r="H32" s="88"/>
      <c r="I32" s="88"/>
      <c r="J32" s="88"/>
      <c r="K32" s="88"/>
      <c r="L32" s="88"/>
      <c r="M32" s="88"/>
      <c r="N32" s="88"/>
      <c r="O32" s="118" t="s">
        <v>6</v>
      </c>
      <c r="P32" s="118" t="s">
        <v>7</v>
      </c>
      <c r="Q32" s="118" t="s">
        <v>8</v>
      </c>
      <c r="R32" s="118" t="s">
        <v>1442</v>
      </c>
      <c r="S32" s="119" t="s">
        <v>9</v>
      </c>
      <c r="T32" s="88"/>
      <c r="U32" s="88"/>
      <c r="V32" s="88"/>
      <c r="W32" s="88"/>
      <c r="X32" s="88"/>
      <c r="Y32" s="88"/>
      <c r="Z32" s="88"/>
      <c r="AA32" s="88"/>
      <c r="AB32" s="88"/>
      <c r="AC32" s="88"/>
    </row>
    <row r="33" spans="1:29" ht="25.15" customHeight="1" x14ac:dyDescent="0.25">
      <c r="A33" s="88"/>
      <c r="B33" s="36" t="s">
        <v>400</v>
      </c>
      <c r="C33" s="189" t="s">
        <v>55</v>
      </c>
      <c r="D33" s="124">
        <f ca="1">_xlfn.IFNA(VLOOKUP(B33,Worksheet!$B$1:$G$600,3,FALSE),D33)</f>
        <v>0</v>
      </c>
      <c r="E33" s="124">
        <f ca="1">_xlfn.IFNA(VLOOKUP(B33,Worksheet!$B$1:$G$600,4,FALSE),E33)</f>
        <v>0</v>
      </c>
      <c r="F33" s="125">
        <f ca="1">_xlfn.IFNA(VLOOKUP(B33,Worksheet!$B$1:$G$600,5,FALSE),F33)</f>
        <v>0</v>
      </c>
      <c r="G33" t="s">
        <v>106</v>
      </c>
      <c r="H33" s="88"/>
      <c r="I33" s="88"/>
      <c r="J33" s="88"/>
      <c r="K33" s="88"/>
      <c r="L33" s="88"/>
      <c r="M33" s="88"/>
      <c r="N33" s="120">
        <v>42644</v>
      </c>
      <c r="O33" s="121">
        <f>M26</f>
        <v>1.8611111111111112</v>
      </c>
      <c r="P33" s="122">
        <f>N26</f>
        <v>18.129629629629633</v>
      </c>
      <c r="Q33" s="122">
        <f>O26</f>
        <v>4.666666666666667</v>
      </c>
      <c r="R33" s="122">
        <f>P26</f>
        <v>3.6388888888888888</v>
      </c>
      <c r="S33" s="122">
        <f>Q26</f>
        <v>49.638888888888886</v>
      </c>
      <c r="T33" s="88"/>
      <c r="U33" s="88"/>
      <c r="V33" s="88"/>
      <c r="W33" s="88"/>
      <c r="X33" s="88"/>
      <c r="Y33" s="88"/>
      <c r="Z33" s="88"/>
      <c r="AA33" s="88"/>
      <c r="AB33" s="88"/>
      <c r="AC33" s="88"/>
    </row>
    <row r="34" spans="1:29" ht="25.15" customHeight="1" x14ac:dyDescent="0.25">
      <c r="A34" s="88"/>
      <c r="B34" s="36" t="s">
        <v>401</v>
      </c>
      <c r="C34" s="188" t="s">
        <v>56</v>
      </c>
      <c r="D34" s="126">
        <f ca="1">_xlfn.IFNA(VLOOKUP(B34,Worksheet!$B$1:$G$600,3,FALSE),D34)</f>
        <v>0</v>
      </c>
      <c r="E34" s="126">
        <f ca="1">_xlfn.IFNA(VLOOKUP(B34,Worksheet!$B$1:$G$600,4,FALSE),E34)</f>
        <v>0</v>
      </c>
      <c r="F34" s="127">
        <f ca="1">_xlfn.IFNA(VLOOKUP(B34,Worksheet!$B$1:$G$600,5,FALSE),F34)</f>
        <v>0</v>
      </c>
      <c r="G34" t="s">
        <v>106</v>
      </c>
      <c r="H34" s="88"/>
      <c r="I34" s="88"/>
      <c r="J34" s="88"/>
      <c r="K34" s="88"/>
      <c r="L34" s="88"/>
      <c r="M34" s="88"/>
      <c r="N34" s="120">
        <v>42675</v>
      </c>
      <c r="O34" s="121">
        <f>R26</f>
        <v>2.7777777777777777</v>
      </c>
      <c r="P34" s="122">
        <f>S26</f>
        <v>18.342592592592592</v>
      </c>
      <c r="Q34" s="122">
        <f>T26</f>
        <v>3.75</v>
      </c>
      <c r="R34" s="122">
        <f>U26</f>
        <v>4.3796296296296298</v>
      </c>
      <c r="S34" s="122">
        <f>V26</f>
        <v>88.31481481481481</v>
      </c>
      <c r="T34" s="88"/>
      <c r="U34" s="88"/>
      <c r="V34" s="88"/>
      <c r="W34" s="88"/>
      <c r="X34" s="88"/>
      <c r="Y34" s="88"/>
      <c r="Z34" s="88"/>
      <c r="AA34" s="88"/>
      <c r="AB34" s="88"/>
      <c r="AC34" s="88"/>
    </row>
    <row r="35" spans="1:29" ht="25.15" customHeight="1" x14ac:dyDescent="0.25">
      <c r="A35" s="88"/>
      <c r="B35" s="36" t="s">
        <v>392</v>
      </c>
      <c r="C35" s="187" t="s">
        <v>128</v>
      </c>
      <c r="D35" s="144">
        <f ca="1">SUM(D36:D37)</f>
        <v>0</v>
      </c>
      <c r="E35" s="144">
        <f t="shared" ref="E35:F35" ca="1" si="10">SUM(E36:E37)</f>
        <v>0</v>
      </c>
      <c r="F35" s="145">
        <f t="shared" ca="1" si="10"/>
        <v>0</v>
      </c>
      <c r="G35" t="s">
        <v>106</v>
      </c>
      <c r="H35" s="88"/>
      <c r="I35" s="88"/>
      <c r="J35" s="88"/>
      <c r="K35" s="88"/>
      <c r="L35" s="88"/>
      <c r="M35" s="88"/>
      <c r="N35" s="120">
        <v>42705</v>
      </c>
      <c r="O35" s="121">
        <f>W26</f>
        <v>2.1111111111111112</v>
      </c>
      <c r="P35" s="122">
        <f>X26</f>
        <v>24.212962962962962</v>
      </c>
      <c r="Q35" s="122">
        <f>Y26</f>
        <v>4.166666666666667</v>
      </c>
      <c r="R35" s="122">
        <f>Z26</f>
        <v>4.916666666666667</v>
      </c>
      <c r="S35" s="122">
        <f>AA26</f>
        <v>50.305555555555557</v>
      </c>
      <c r="T35" s="88"/>
      <c r="U35" s="88"/>
      <c r="V35" s="88"/>
      <c r="W35" s="88"/>
      <c r="X35" s="88"/>
      <c r="Y35" s="88"/>
      <c r="Z35" s="88"/>
      <c r="AA35" s="88"/>
      <c r="AB35" s="88"/>
      <c r="AC35" s="88"/>
    </row>
    <row r="36" spans="1:29" ht="25.15" customHeight="1" x14ac:dyDescent="0.25">
      <c r="A36" s="88"/>
      <c r="B36" s="36" t="s">
        <v>397</v>
      </c>
      <c r="C36" s="189" t="s">
        <v>55</v>
      </c>
      <c r="D36" s="124">
        <f ca="1">_xlfn.IFNA(VLOOKUP(B36,Worksheet!$B$1:$G$600,3,FALSE),D36)</f>
        <v>0</v>
      </c>
      <c r="E36" s="124">
        <f ca="1">_xlfn.IFNA(VLOOKUP(B36,Worksheet!$B$1:$G$600,4,FALSE),E36)</f>
        <v>0</v>
      </c>
      <c r="F36" s="125">
        <f ca="1">_xlfn.IFNA(VLOOKUP(B36,Worksheet!$B$1:$G$600,5,FALSE),F36)</f>
        <v>0</v>
      </c>
      <c r="G36" t="s">
        <v>106</v>
      </c>
      <c r="H36" s="88"/>
      <c r="I36" s="88"/>
      <c r="J36" s="88" t="s">
        <v>1871</v>
      </c>
      <c r="K36" s="88"/>
      <c r="L36" s="88"/>
      <c r="M36" s="88"/>
      <c r="N36" s="120"/>
      <c r="O36" s="118"/>
      <c r="P36" s="122"/>
      <c r="Q36" s="88"/>
      <c r="R36" s="88"/>
      <c r="S36" s="88"/>
      <c r="T36" s="88"/>
      <c r="U36" s="88"/>
      <c r="V36" s="88"/>
      <c r="W36" s="88"/>
      <c r="X36" s="88"/>
      <c r="Y36" s="88"/>
      <c r="Z36" s="88"/>
      <c r="AA36" s="88"/>
      <c r="AB36" s="88"/>
      <c r="AC36" s="88"/>
    </row>
    <row r="37" spans="1:29" ht="25.15" customHeight="1" x14ac:dyDescent="0.25">
      <c r="A37" s="88"/>
      <c r="B37" s="36" t="s">
        <v>398</v>
      </c>
      <c r="C37" s="188" t="s">
        <v>56</v>
      </c>
      <c r="D37" s="126">
        <f ca="1">_xlfn.IFNA(VLOOKUP(B37,Worksheet!$B$1:$G$600,3,FALSE),D37)</f>
        <v>0</v>
      </c>
      <c r="E37" s="126">
        <f ca="1">_xlfn.IFNA(VLOOKUP(B37,Worksheet!$B$1:$G$600,4,FALSE),E37)</f>
        <v>0</v>
      </c>
      <c r="F37" s="127">
        <f ca="1">_xlfn.IFNA(VLOOKUP(B37,Worksheet!$B$1:$G$600,5,FALSE),F37)</f>
        <v>0</v>
      </c>
      <c r="G37" t="s">
        <v>106</v>
      </c>
      <c r="H37" s="88"/>
      <c r="I37" s="88"/>
      <c r="J37" s="88"/>
      <c r="K37" s="88"/>
      <c r="L37" s="88"/>
      <c r="M37" s="88"/>
      <c r="N37" s="120"/>
      <c r="O37" s="119"/>
      <c r="P37" s="122"/>
      <c r="Q37" s="88"/>
      <c r="R37" s="88"/>
      <c r="S37" s="88"/>
      <c r="T37" s="88"/>
      <c r="U37" s="88"/>
      <c r="V37" s="88"/>
      <c r="W37" s="88"/>
      <c r="X37" s="88"/>
      <c r="Y37" s="88"/>
      <c r="Z37" s="88"/>
      <c r="AA37" s="88"/>
      <c r="AB37" s="88"/>
      <c r="AC37" s="88"/>
    </row>
    <row r="38" spans="1:29" ht="25.15" customHeight="1" x14ac:dyDescent="0.25">
      <c r="A38" s="88"/>
      <c r="B38" s="36" t="s">
        <v>402</v>
      </c>
      <c r="C38" s="199" t="s">
        <v>795</v>
      </c>
      <c r="D38" s="55">
        <f ca="1">SUM(D39,D43,D47)</f>
        <v>0</v>
      </c>
      <c r="E38" s="55">
        <f t="shared" ref="E38:F38" ca="1" si="11">SUM(E39,E43,E47)</f>
        <v>0</v>
      </c>
      <c r="F38" s="56">
        <f t="shared" ca="1" si="11"/>
        <v>0</v>
      </c>
      <c r="G38" t="s">
        <v>106</v>
      </c>
      <c r="H38" s="88"/>
      <c r="I38" s="88"/>
      <c r="J38" s="88"/>
      <c r="K38" s="88"/>
      <c r="L38" s="88"/>
      <c r="M38" s="88"/>
      <c r="N38" s="88"/>
      <c r="O38" s="118"/>
      <c r="P38" s="122"/>
      <c r="Q38" s="88"/>
      <c r="R38" s="88"/>
      <c r="S38" s="88"/>
      <c r="T38" s="88"/>
      <c r="U38" s="88"/>
      <c r="V38" s="88"/>
      <c r="W38" s="88"/>
      <c r="X38" s="88"/>
      <c r="Y38" s="88"/>
      <c r="Z38" s="88"/>
      <c r="AA38" s="88"/>
      <c r="AB38" s="88"/>
      <c r="AC38" s="88"/>
    </row>
    <row r="39" spans="1:29" ht="25.15" customHeight="1" x14ac:dyDescent="0.25">
      <c r="A39" s="88"/>
      <c r="B39" s="36" t="s">
        <v>403</v>
      </c>
      <c r="C39" s="199" t="s">
        <v>57</v>
      </c>
      <c r="D39" s="144">
        <f ca="1">D40</f>
        <v>0</v>
      </c>
      <c r="E39" s="144">
        <f t="shared" ref="E39:F39" ca="1" si="12">E40</f>
        <v>0</v>
      </c>
      <c r="F39" s="145">
        <f t="shared" ca="1" si="12"/>
        <v>0</v>
      </c>
      <c r="G39" t="s">
        <v>106</v>
      </c>
      <c r="H39" s="88"/>
      <c r="I39" s="88"/>
      <c r="J39" s="88"/>
      <c r="K39" s="88"/>
      <c r="L39" s="88"/>
      <c r="M39" s="88"/>
      <c r="N39" s="120"/>
      <c r="O39" s="118"/>
      <c r="P39" s="122"/>
      <c r="Q39" s="88"/>
      <c r="R39" s="88"/>
      <c r="S39" s="88"/>
      <c r="T39" s="88"/>
      <c r="U39" s="88"/>
      <c r="V39" s="88"/>
      <c r="W39" s="88"/>
      <c r="X39" s="88"/>
      <c r="Y39" s="88"/>
      <c r="Z39" s="88"/>
      <c r="AA39" s="88"/>
      <c r="AB39" s="88"/>
      <c r="AC39" s="88"/>
    </row>
    <row r="40" spans="1:29" ht="25.15" customHeight="1" x14ac:dyDescent="0.25">
      <c r="A40" s="88"/>
      <c r="B40" s="36" t="s">
        <v>404</v>
      </c>
      <c r="C40" s="194" t="s">
        <v>710</v>
      </c>
      <c r="D40" s="175">
        <f ca="1">SUM(D41:D42)</f>
        <v>0</v>
      </c>
      <c r="E40" s="175">
        <f t="shared" ref="E40:F40" ca="1" si="13">SUM(E41:E42)</f>
        <v>0</v>
      </c>
      <c r="F40" s="176">
        <f t="shared" ca="1" si="13"/>
        <v>0</v>
      </c>
      <c r="G40" t="s">
        <v>106</v>
      </c>
      <c r="H40" s="88"/>
      <c r="I40" s="88"/>
      <c r="J40" s="88"/>
      <c r="K40" s="88"/>
      <c r="L40" s="88"/>
      <c r="M40" s="88"/>
      <c r="N40" s="120"/>
      <c r="O40" s="118"/>
      <c r="P40" s="122"/>
      <c r="Q40" s="88"/>
      <c r="R40" s="88"/>
      <c r="S40" s="88"/>
      <c r="T40" s="88"/>
      <c r="U40" s="88"/>
      <c r="V40" s="88"/>
      <c r="W40" s="88"/>
      <c r="X40" s="88"/>
      <c r="Y40" s="88"/>
      <c r="Z40" s="88"/>
      <c r="AA40" s="88"/>
      <c r="AB40" s="88"/>
      <c r="AC40" s="88"/>
    </row>
    <row r="41" spans="1:29" ht="25.15" customHeight="1" x14ac:dyDescent="0.25">
      <c r="A41" s="88"/>
      <c r="B41" s="36" t="s">
        <v>405</v>
      </c>
      <c r="C41" s="189" t="s">
        <v>55</v>
      </c>
      <c r="D41" s="124">
        <f ca="1">_xlfn.IFNA(VLOOKUP(B41,Worksheet!$B$1:$G$600,3,FALSE),D41)</f>
        <v>0</v>
      </c>
      <c r="E41" s="124">
        <f ca="1">_xlfn.IFNA(VLOOKUP(B41,Worksheet!$B$1:$G$600,4,FALSE),E41)</f>
        <v>0</v>
      </c>
      <c r="F41" s="125">
        <f ca="1">_xlfn.IFNA(VLOOKUP(B41,Worksheet!$B$1:$G$600,5,FALSE),F41)</f>
        <v>0</v>
      </c>
      <c r="G41" t="s">
        <v>106</v>
      </c>
      <c r="H41" s="88"/>
      <c r="I41" s="88"/>
      <c r="J41" s="88"/>
      <c r="K41" s="88"/>
      <c r="L41" s="88"/>
      <c r="M41" s="88"/>
      <c r="N41" s="120"/>
      <c r="O41" s="118"/>
      <c r="P41" s="122"/>
      <c r="Q41" s="88"/>
      <c r="R41" s="88"/>
      <c r="S41" s="88"/>
      <c r="T41" s="88"/>
      <c r="U41" s="88"/>
      <c r="V41" s="88"/>
      <c r="W41" s="88"/>
      <c r="X41" s="88"/>
      <c r="Y41" s="88"/>
      <c r="Z41" s="88"/>
      <c r="AA41" s="88"/>
      <c r="AB41" s="88"/>
      <c r="AC41" s="88"/>
    </row>
    <row r="42" spans="1:29" ht="25.15" customHeight="1" x14ac:dyDescent="0.25">
      <c r="A42" s="88"/>
      <c r="B42" s="36" t="s">
        <v>406</v>
      </c>
      <c r="C42" s="188" t="s">
        <v>56</v>
      </c>
      <c r="D42" s="126">
        <f ca="1">_xlfn.IFNA(VLOOKUP(B42,Worksheet!$B$1:$G$600,3,FALSE),D42)</f>
        <v>0</v>
      </c>
      <c r="E42" s="126">
        <f ca="1">_xlfn.IFNA(VLOOKUP(B42,Worksheet!$B$1:$G$600,4,FALSE),E42)</f>
        <v>0</v>
      </c>
      <c r="F42" s="127">
        <f ca="1">_xlfn.IFNA(VLOOKUP(B42,Worksheet!$B$1:$G$600,5,FALSE),F42)</f>
        <v>0</v>
      </c>
      <c r="G42" t="s">
        <v>106</v>
      </c>
      <c r="H42" s="88"/>
      <c r="I42" s="88"/>
      <c r="J42" s="88"/>
      <c r="K42" s="88"/>
      <c r="L42" s="88"/>
      <c r="M42" s="88"/>
      <c r="N42" s="120"/>
      <c r="O42" s="119"/>
      <c r="P42" s="122"/>
      <c r="Q42" s="88"/>
      <c r="R42" s="88"/>
      <c r="S42" s="88"/>
      <c r="T42" s="88"/>
      <c r="U42" s="88"/>
      <c r="V42" s="88"/>
      <c r="W42" s="88"/>
      <c r="X42" s="88"/>
      <c r="Y42" s="88"/>
      <c r="Z42" s="88"/>
      <c r="AA42" s="88"/>
      <c r="AB42" s="88"/>
      <c r="AC42" s="88"/>
    </row>
    <row r="43" spans="1:29" ht="25.15" customHeight="1" x14ac:dyDescent="0.25">
      <c r="A43" s="88"/>
      <c r="B43" s="36" t="s">
        <v>407</v>
      </c>
      <c r="C43" s="188" t="s">
        <v>58</v>
      </c>
      <c r="D43" s="55">
        <f ca="1">D44</f>
        <v>0</v>
      </c>
      <c r="E43" s="55">
        <f t="shared" ref="E43:F43" ca="1" si="14">E44</f>
        <v>0</v>
      </c>
      <c r="F43" s="56">
        <f t="shared" ca="1" si="14"/>
        <v>0</v>
      </c>
      <c r="G43" t="s">
        <v>106</v>
      </c>
      <c r="H43" s="88"/>
      <c r="I43" s="88"/>
      <c r="J43" s="88"/>
      <c r="K43" s="88"/>
      <c r="L43" s="88"/>
      <c r="M43" s="88"/>
      <c r="N43" s="88"/>
      <c r="O43" s="118"/>
      <c r="P43" s="122"/>
      <c r="Q43" s="88"/>
      <c r="R43" s="88"/>
      <c r="S43" s="88"/>
      <c r="T43" s="88"/>
      <c r="U43" s="88"/>
      <c r="V43" s="88"/>
      <c r="W43" s="88"/>
      <c r="X43" s="88"/>
      <c r="Y43" s="88"/>
      <c r="Z43" s="88"/>
      <c r="AA43" s="88"/>
      <c r="AB43" s="88"/>
      <c r="AC43" s="88"/>
    </row>
    <row r="44" spans="1:29" ht="25.15" customHeight="1" x14ac:dyDescent="0.25">
      <c r="A44" s="88"/>
      <c r="B44" s="36" t="s">
        <v>408</v>
      </c>
      <c r="C44" s="194" t="s">
        <v>710</v>
      </c>
      <c r="D44" s="175">
        <f ca="1">SUM(D45:D46)</f>
        <v>0</v>
      </c>
      <c r="E44" s="175">
        <f t="shared" ref="E44:F44" ca="1" si="15">SUM(E45:E46)</f>
        <v>0</v>
      </c>
      <c r="F44" s="176">
        <f t="shared" ca="1" si="15"/>
        <v>0</v>
      </c>
      <c r="G44" t="s">
        <v>106</v>
      </c>
      <c r="H44" s="88"/>
      <c r="I44" s="88"/>
      <c r="J44" s="88"/>
      <c r="K44" s="88"/>
      <c r="L44" s="88"/>
      <c r="M44" s="88"/>
      <c r="N44" s="120"/>
      <c r="O44" s="118"/>
      <c r="P44" s="122"/>
      <c r="Q44" s="88"/>
      <c r="R44" s="88"/>
      <c r="S44" s="88"/>
      <c r="T44" s="88"/>
      <c r="U44" s="88"/>
      <c r="V44" s="88"/>
      <c r="W44" s="88"/>
      <c r="X44" s="88"/>
      <c r="Y44" s="88"/>
      <c r="Z44" s="88"/>
      <c r="AA44" s="88"/>
      <c r="AB44" s="88"/>
      <c r="AC44" s="88"/>
    </row>
    <row r="45" spans="1:29" ht="25.15" customHeight="1" x14ac:dyDescent="0.25">
      <c r="A45" s="88"/>
      <c r="B45" s="36" t="s">
        <v>409</v>
      </c>
      <c r="C45" s="189" t="s">
        <v>55</v>
      </c>
      <c r="D45" s="124">
        <f ca="1">_xlfn.IFNA(VLOOKUP(B45,Worksheet!$B$1:$G$600,3,FALSE),D45)</f>
        <v>0</v>
      </c>
      <c r="E45" s="124">
        <f ca="1">_xlfn.IFNA(VLOOKUP(B45,Worksheet!$B$1:$G$600,4,FALSE),E45)</f>
        <v>0</v>
      </c>
      <c r="F45" s="125">
        <f ca="1">_xlfn.IFNA(VLOOKUP(B45,Worksheet!$B$1:$G$600,5,FALSE),F45)</f>
        <v>0</v>
      </c>
      <c r="G45" t="s">
        <v>106</v>
      </c>
      <c r="H45" s="88"/>
      <c r="I45" s="88"/>
      <c r="J45" s="88"/>
      <c r="K45" s="88"/>
      <c r="L45" s="88"/>
      <c r="M45" s="88"/>
      <c r="N45" s="120"/>
      <c r="O45" s="118"/>
      <c r="P45" s="122"/>
      <c r="Q45" s="88"/>
      <c r="R45" s="88"/>
      <c r="S45" s="88"/>
      <c r="T45" s="88"/>
      <c r="U45" s="88"/>
      <c r="V45" s="88"/>
      <c r="W45" s="88"/>
      <c r="X45" s="88"/>
      <c r="Y45" s="88"/>
      <c r="Z45" s="88"/>
      <c r="AA45" s="88"/>
      <c r="AB45" s="88"/>
      <c r="AC45" s="88"/>
    </row>
    <row r="46" spans="1:29" ht="25.15" customHeight="1" x14ac:dyDescent="0.25">
      <c r="A46" s="88"/>
      <c r="B46" s="36" t="s">
        <v>410</v>
      </c>
      <c r="C46" s="188" t="s">
        <v>56</v>
      </c>
      <c r="D46" s="126">
        <f ca="1">_xlfn.IFNA(VLOOKUP(B46,Worksheet!$B$1:$G$600,3,FALSE),D46)</f>
        <v>0</v>
      </c>
      <c r="E46" s="126">
        <f ca="1">_xlfn.IFNA(VLOOKUP(B46,Worksheet!$B$1:$G$600,4,FALSE),E46)</f>
        <v>0</v>
      </c>
      <c r="F46" s="127">
        <f ca="1">_xlfn.IFNA(VLOOKUP(B46,Worksheet!$B$1:$G$600,5,FALSE),F46)</f>
        <v>0</v>
      </c>
      <c r="G46" t="s">
        <v>106</v>
      </c>
      <c r="H46" s="88"/>
      <c r="I46" s="88"/>
      <c r="J46" s="88"/>
      <c r="K46" s="88"/>
      <c r="L46" s="88"/>
      <c r="M46" s="88"/>
      <c r="N46" s="120"/>
      <c r="O46" s="118"/>
      <c r="P46" s="122"/>
      <c r="Q46" s="88"/>
      <c r="R46" s="88"/>
      <c r="S46" s="88"/>
      <c r="T46" s="88"/>
      <c r="U46" s="88"/>
      <c r="V46" s="88"/>
      <c r="W46" s="88"/>
      <c r="X46" s="88"/>
      <c r="Y46" s="88"/>
      <c r="Z46" s="88"/>
      <c r="AA46" s="88"/>
      <c r="AB46" s="88"/>
      <c r="AC46" s="88"/>
    </row>
    <row r="47" spans="1:29" ht="25.15" customHeight="1" x14ac:dyDescent="0.25">
      <c r="A47" s="88"/>
      <c r="B47" s="36" t="s">
        <v>411</v>
      </c>
      <c r="C47" s="187" t="s">
        <v>59</v>
      </c>
      <c r="D47" s="55">
        <f ca="1">D48</f>
        <v>0</v>
      </c>
      <c r="E47" s="55">
        <f t="shared" ref="E47:F47" ca="1" si="16">E48</f>
        <v>0</v>
      </c>
      <c r="F47" s="56">
        <f t="shared" ca="1" si="16"/>
        <v>0</v>
      </c>
      <c r="G47" t="s">
        <v>106</v>
      </c>
      <c r="H47" s="88"/>
      <c r="I47" s="88"/>
      <c r="J47" s="88"/>
      <c r="K47" s="88"/>
      <c r="L47" s="88"/>
      <c r="M47" s="88"/>
      <c r="N47" s="120"/>
      <c r="O47" s="119"/>
      <c r="P47" s="122"/>
      <c r="Q47" s="88"/>
      <c r="R47" s="88"/>
      <c r="S47" s="88"/>
      <c r="T47" s="88"/>
      <c r="U47" s="88"/>
      <c r="V47" s="88"/>
      <c r="W47" s="88"/>
      <c r="X47" s="88"/>
      <c r="Y47" s="88"/>
      <c r="Z47" s="88"/>
      <c r="AA47" s="88"/>
      <c r="AB47" s="88"/>
      <c r="AC47" s="88"/>
    </row>
    <row r="48" spans="1:29" ht="25.15" customHeight="1" x14ac:dyDescent="0.25">
      <c r="A48" s="88"/>
      <c r="B48" s="36" t="s">
        <v>412</v>
      </c>
      <c r="C48" s="194" t="s">
        <v>710</v>
      </c>
      <c r="D48" s="175">
        <f ca="1">SUM(D49:D50)</f>
        <v>0</v>
      </c>
      <c r="E48" s="175">
        <f t="shared" ref="E48:F48" ca="1" si="17">SUM(E49:E50)</f>
        <v>0</v>
      </c>
      <c r="F48" s="176">
        <f t="shared" ca="1" si="17"/>
        <v>0</v>
      </c>
      <c r="G48" t="s">
        <v>106</v>
      </c>
      <c r="H48" s="88"/>
      <c r="I48" s="88"/>
      <c r="J48" s="88"/>
      <c r="K48" s="88"/>
      <c r="L48" s="88"/>
      <c r="M48" s="88"/>
      <c r="N48" s="88"/>
      <c r="O48" s="88"/>
      <c r="P48" s="88"/>
      <c r="Q48" s="88"/>
      <c r="R48" s="88"/>
      <c r="S48" s="88"/>
      <c r="T48" s="88"/>
      <c r="U48" s="88"/>
      <c r="V48" s="88"/>
      <c r="W48" s="88"/>
      <c r="X48" s="88"/>
      <c r="Y48" s="88"/>
      <c r="Z48" s="88"/>
      <c r="AA48" s="88"/>
      <c r="AB48" s="88"/>
      <c r="AC48" s="88"/>
    </row>
    <row r="49" spans="1:29" ht="25.15" customHeight="1" x14ac:dyDescent="0.25">
      <c r="A49" s="88"/>
      <c r="B49" s="36" t="s">
        <v>413</v>
      </c>
      <c r="C49" s="189" t="s">
        <v>55</v>
      </c>
      <c r="D49" s="124">
        <f ca="1">_xlfn.IFNA(VLOOKUP(B49,Worksheet!$B$1:$G$600,3,FALSE),D49)</f>
        <v>0</v>
      </c>
      <c r="E49" s="124">
        <f ca="1">_xlfn.IFNA(VLOOKUP(B49,Worksheet!$B$1:$G$600,4,FALSE),E49)</f>
        <v>0</v>
      </c>
      <c r="F49" s="125">
        <f ca="1">_xlfn.IFNA(VLOOKUP(B49,Worksheet!$B$1:$G$600,5,FALSE),F49)</f>
        <v>0</v>
      </c>
      <c r="G49" t="s">
        <v>106</v>
      </c>
      <c r="H49" s="88"/>
      <c r="I49" s="88"/>
      <c r="J49" s="88"/>
      <c r="K49" s="88"/>
      <c r="L49" s="88"/>
      <c r="M49" s="88"/>
      <c r="N49" s="88"/>
      <c r="O49" s="88"/>
      <c r="P49" s="88"/>
      <c r="Q49" s="88"/>
      <c r="R49" s="88"/>
      <c r="S49" s="88"/>
      <c r="T49" s="88"/>
      <c r="U49" s="88"/>
      <c r="V49" s="88"/>
      <c r="W49" s="88"/>
      <c r="X49" s="88"/>
      <c r="Y49" s="88"/>
      <c r="Z49" s="88"/>
      <c r="AA49" s="88"/>
      <c r="AB49" s="88"/>
      <c r="AC49" s="88"/>
    </row>
    <row r="50" spans="1:29" ht="25.15" customHeight="1" x14ac:dyDescent="0.25">
      <c r="A50" s="88"/>
      <c r="B50" s="36" t="s">
        <v>414</v>
      </c>
      <c r="C50" s="188" t="s">
        <v>56</v>
      </c>
      <c r="D50" s="126">
        <f ca="1">_xlfn.IFNA(VLOOKUP(B50,Worksheet!$B$1:$G$600,3,FALSE),D50)</f>
        <v>0</v>
      </c>
      <c r="E50" s="126">
        <f ca="1">_xlfn.IFNA(VLOOKUP(B50,Worksheet!$B$1:$G$600,4,FALSE),E50)</f>
        <v>0</v>
      </c>
      <c r="F50" s="127">
        <f ca="1">_xlfn.IFNA(VLOOKUP(B50,Worksheet!$B$1:$G$600,5,FALSE),F50)</f>
        <v>0</v>
      </c>
      <c r="G50" t="s">
        <v>106</v>
      </c>
      <c r="H50" s="88"/>
      <c r="I50" s="88"/>
      <c r="J50" s="88"/>
      <c r="K50" s="88"/>
      <c r="L50" s="88"/>
      <c r="M50" s="88"/>
      <c r="N50" s="88"/>
      <c r="O50" s="88"/>
      <c r="P50" s="88"/>
      <c r="Q50" s="88"/>
      <c r="R50" s="88"/>
      <c r="S50" s="88"/>
      <c r="T50" s="88"/>
      <c r="U50" s="88"/>
      <c r="V50" s="88"/>
      <c r="W50" s="88"/>
      <c r="X50" s="88"/>
      <c r="Y50" s="88"/>
      <c r="Z50" s="88"/>
      <c r="AA50" s="88"/>
      <c r="AB50" s="88"/>
      <c r="AC50" s="88"/>
    </row>
    <row r="51" spans="1:29" ht="25.15" customHeight="1" x14ac:dyDescent="0.25">
      <c r="A51" s="88"/>
      <c r="B51" s="36"/>
      <c r="C51" s="191" t="s">
        <v>23</v>
      </c>
      <c r="D51" s="55"/>
      <c r="E51" s="55"/>
      <c r="F51" s="56"/>
      <c r="G51" t="s">
        <v>106</v>
      </c>
      <c r="H51" s="88"/>
      <c r="I51" s="88"/>
      <c r="J51" s="88"/>
      <c r="K51" s="88"/>
      <c r="L51" s="88"/>
      <c r="M51" s="88"/>
      <c r="N51" s="88"/>
      <c r="O51" s="88"/>
      <c r="P51" s="88"/>
      <c r="Q51" s="88"/>
      <c r="R51" s="88"/>
      <c r="S51" s="88"/>
      <c r="T51" s="88"/>
      <c r="U51" s="88"/>
      <c r="V51" s="88"/>
      <c r="W51" s="88"/>
      <c r="X51" s="88"/>
      <c r="Y51" s="88"/>
      <c r="Z51" s="88"/>
      <c r="AA51" s="88"/>
      <c r="AB51" s="88"/>
      <c r="AC51" s="88"/>
    </row>
    <row r="52" spans="1:29" ht="25.15" customHeight="1" x14ac:dyDescent="0.25">
      <c r="A52" s="88"/>
      <c r="B52" s="36">
        <v>5.4</v>
      </c>
      <c r="C52" s="192" t="s">
        <v>152</v>
      </c>
      <c r="D52" s="55">
        <f ca="1">D53</f>
        <v>0</v>
      </c>
      <c r="E52" s="55">
        <f t="shared" ref="E52:F52" ca="1" si="18">E53</f>
        <v>0</v>
      </c>
      <c r="F52" s="56">
        <f t="shared" ca="1" si="18"/>
        <v>0</v>
      </c>
      <c r="G52" t="s">
        <v>106</v>
      </c>
      <c r="H52" s="88"/>
      <c r="I52" s="88"/>
      <c r="J52" s="88"/>
      <c r="K52" s="88"/>
      <c r="L52" s="88"/>
      <c r="M52" s="88"/>
      <c r="N52" s="88"/>
      <c r="O52" s="88"/>
      <c r="P52" s="88"/>
      <c r="Q52" s="88"/>
      <c r="R52" s="88"/>
      <c r="S52" s="88"/>
      <c r="T52" s="88"/>
      <c r="U52" s="88"/>
      <c r="V52" s="88"/>
      <c r="W52" s="88"/>
      <c r="X52" s="88"/>
      <c r="Y52" s="88"/>
      <c r="Z52" s="88"/>
      <c r="AA52" s="88"/>
      <c r="AB52" s="88"/>
      <c r="AC52" s="88"/>
    </row>
    <row r="53" spans="1:29" ht="25.15" customHeight="1" x14ac:dyDescent="0.25">
      <c r="A53" s="88"/>
      <c r="B53" s="36" t="s">
        <v>415</v>
      </c>
      <c r="C53" s="187" t="s">
        <v>797</v>
      </c>
      <c r="D53" s="55">
        <f ca="1">SUM(D54:D55)/2</f>
        <v>0</v>
      </c>
      <c r="E53" s="55">
        <f t="shared" ref="E53:F53" ca="1" si="19">SUM(E54:E55)/2</f>
        <v>0</v>
      </c>
      <c r="F53" s="56">
        <f t="shared" ca="1" si="19"/>
        <v>0</v>
      </c>
      <c r="G53" t="s">
        <v>106</v>
      </c>
      <c r="H53" s="88"/>
      <c r="I53" s="88"/>
      <c r="J53" s="88"/>
      <c r="K53" s="88"/>
      <c r="L53" s="88"/>
      <c r="M53" s="88"/>
      <c r="N53" s="88"/>
      <c r="O53" s="88"/>
      <c r="P53" s="88"/>
      <c r="Q53" s="88"/>
      <c r="R53" s="88"/>
      <c r="S53" s="88"/>
      <c r="T53" s="88"/>
      <c r="U53" s="88"/>
      <c r="V53" s="88"/>
      <c r="W53" s="88"/>
      <c r="X53" s="88"/>
      <c r="Y53" s="88"/>
      <c r="Z53" s="88"/>
      <c r="AA53" s="88"/>
      <c r="AB53" s="88"/>
      <c r="AC53" s="88"/>
    </row>
    <row r="54" spans="1:29" ht="25.15" customHeight="1" x14ac:dyDescent="0.25">
      <c r="A54" s="88"/>
      <c r="B54" s="36" t="s">
        <v>416</v>
      </c>
      <c r="C54" s="189" t="s">
        <v>129</v>
      </c>
      <c r="D54" s="124">
        <f ca="1">_xlfn.IFNA(VLOOKUP(B54,Worksheet!$B$1:$G$600,3,FALSE),D54)</f>
        <v>0</v>
      </c>
      <c r="E54" s="124">
        <f ca="1">_xlfn.IFNA(VLOOKUP(B54,Worksheet!$B$1:$G$600,4,FALSE),E54)</f>
        <v>0</v>
      </c>
      <c r="F54" s="125">
        <f ca="1">_xlfn.IFNA(VLOOKUP(B54,Worksheet!$B$1:$G$600,5,FALSE),F54)</f>
        <v>0</v>
      </c>
      <c r="G54" t="s">
        <v>106</v>
      </c>
      <c r="H54" s="88"/>
      <c r="I54" s="88"/>
      <c r="J54" s="88"/>
      <c r="K54" s="88"/>
      <c r="L54" s="88"/>
      <c r="M54" s="88"/>
      <c r="N54" s="88"/>
      <c r="O54" s="88"/>
      <c r="P54" s="88"/>
      <c r="Q54" s="88"/>
      <c r="R54" s="88"/>
      <c r="S54" s="88"/>
      <c r="T54" s="88"/>
      <c r="U54" s="88"/>
      <c r="V54" s="88"/>
      <c r="W54" s="88"/>
      <c r="X54" s="88"/>
      <c r="Y54" s="88"/>
      <c r="Z54" s="88"/>
      <c r="AA54" s="88"/>
      <c r="AB54" s="88"/>
      <c r="AC54" s="88"/>
    </row>
    <row r="55" spans="1:29" ht="25.15" customHeight="1" x14ac:dyDescent="0.25">
      <c r="A55" s="88"/>
      <c r="B55" s="36" t="s">
        <v>417</v>
      </c>
      <c r="C55" s="199" t="s">
        <v>710</v>
      </c>
      <c r="D55" s="126">
        <f ca="1">_xlfn.IFNA(VLOOKUP(B55,Worksheet!$B$1:$G$600,3,FALSE),D55)</f>
        <v>0</v>
      </c>
      <c r="E55" s="126">
        <f ca="1">_xlfn.IFNA(VLOOKUP(B55,Worksheet!$B$1:$G$600,4,FALSE),E55)</f>
        <v>0</v>
      </c>
      <c r="F55" s="127">
        <f ca="1">_xlfn.IFNA(VLOOKUP(B55,Worksheet!$B$1:$G$600,5,FALSE),F55)</f>
        <v>0</v>
      </c>
      <c r="G55" t="s">
        <v>106</v>
      </c>
      <c r="H55" s="88"/>
      <c r="I55" s="88"/>
      <c r="J55" s="88"/>
      <c r="K55" s="88"/>
      <c r="L55" s="88"/>
      <c r="M55" s="88"/>
      <c r="N55" s="88"/>
      <c r="O55" s="88"/>
      <c r="P55" s="88"/>
      <c r="Q55" s="88"/>
      <c r="R55" s="88"/>
      <c r="S55" s="88"/>
      <c r="T55" s="88"/>
      <c r="U55" s="88"/>
      <c r="V55" s="88"/>
      <c r="W55" s="88"/>
      <c r="X55" s="88"/>
      <c r="Y55" s="88"/>
      <c r="Z55" s="88"/>
      <c r="AA55" s="88"/>
      <c r="AB55" s="88"/>
      <c r="AC55" s="88"/>
    </row>
    <row r="56" spans="1:29" ht="25.15" customHeight="1" x14ac:dyDescent="0.25">
      <c r="A56" s="88"/>
      <c r="B56" s="36"/>
      <c r="C56" s="191" t="s">
        <v>25</v>
      </c>
      <c r="D56" s="142"/>
      <c r="E56" s="55"/>
      <c r="F56" s="56"/>
      <c r="G56" t="s">
        <v>106</v>
      </c>
      <c r="H56" s="88"/>
      <c r="I56" s="88"/>
      <c r="J56" s="88"/>
      <c r="K56" s="88"/>
      <c r="L56" s="88"/>
      <c r="M56" s="88"/>
      <c r="N56" s="88"/>
      <c r="O56" s="88"/>
      <c r="P56" s="88"/>
      <c r="Q56" s="88"/>
      <c r="R56" s="88"/>
      <c r="S56" s="88"/>
      <c r="T56" s="88"/>
      <c r="U56" s="88"/>
      <c r="V56" s="88"/>
      <c r="W56" s="88"/>
      <c r="X56" s="88"/>
      <c r="Y56" s="88"/>
      <c r="Z56" s="88"/>
      <c r="AA56" s="88"/>
      <c r="AB56" s="88"/>
      <c r="AC56" s="88"/>
    </row>
    <row r="57" spans="1:29" ht="25.15" customHeight="1" x14ac:dyDescent="0.25">
      <c r="A57" s="88"/>
      <c r="B57" s="36">
        <v>5.5</v>
      </c>
      <c r="C57" s="206" t="s">
        <v>217</v>
      </c>
      <c r="D57" s="55">
        <f ca="1">SUM(D58,D61,D66,D70)/3</f>
        <v>0</v>
      </c>
      <c r="E57" s="55">
        <f t="shared" ref="E57:F57" ca="1" si="20">SUM(E58,E61,E66,E70)/3</f>
        <v>0</v>
      </c>
      <c r="F57" s="56">
        <f t="shared" ca="1" si="20"/>
        <v>0</v>
      </c>
      <c r="G57" t="s">
        <v>106</v>
      </c>
      <c r="H57" s="88"/>
      <c r="I57" s="88"/>
      <c r="J57" s="88"/>
      <c r="K57" s="88"/>
      <c r="L57" s="88"/>
      <c r="M57" s="88"/>
      <c r="N57" s="88"/>
      <c r="O57" s="88"/>
      <c r="P57" s="88"/>
      <c r="Q57" s="88"/>
      <c r="R57" s="88"/>
      <c r="S57" s="88"/>
      <c r="T57" s="88"/>
      <c r="U57" s="88"/>
      <c r="V57" s="88"/>
      <c r="W57" s="88"/>
      <c r="X57" s="88"/>
      <c r="Y57" s="88"/>
      <c r="Z57" s="88"/>
      <c r="AA57" s="88"/>
      <c r="AB57" s="88"/>
      <c r="AC57" s="88"/>
    </row>
    <row r="58" spans="1:29" ht="25.15" customHeight="1" x14ac:dyDescent="0.25">
      <c r="A58" s="88"/>
      <c r="B58" s="36" t="s">
        <v>418</v>
      </c>
      <c r="C58" s="187" t="s">
        <v>798</v>
      </c>
      <c r="D58" s="55">
        <f ca="1">SUM(D59:D61)/3</f>
        <v>0</v>
      </c>
      <c r="E58" s="55">
        <f t="shared" ref="E58:F58" ca="1" si="21">SUM(E59:E61)/3</f>
        <v>0</v>
      </c>
      <c r="F58" s="56">
        <f t="shared" ca="1" si="21"/>
        <v>0</v>
      </c>
      <c r="G58" t="s">
        <v>106</v>
      </c>
      <c r="H58" s="88"/>
      <c r="I58" s="88"/>
      <c r="J58" s="88"/>
      <c r="K58" s="88"/>
      <c r="L58" s="88"/>
      <c r="M58" s="88"/>
      <c r="N58" s="88"/>
      <c r="O58" s="88"/>
      <c r="P58" s="88"/>
      <c r="Q58" s="88"/>
      <c r="R58" s="88"/>
      <c r="S58" s="88"/>
      <c r="T58" s="88"/>
      <c r="U58" s="88"/>
      <c r="V58" s="88"/>
      <c r="W58" s="88"/>
      <c r="X58" s="88"/>
      <c r="Y58" s="88"/>
      <c r="Z58" s="88"/>
      <c r="AA58" s="88"/>
      <c r="AB58" s="88"/>
      <c r="AC58" s="88"/>
    </row>
    <row r="59" spans="1:29" ht="25.15" customHeight="1" x14ac:dyDescent="0.25">
      <c r="A59" s="88"/>
      <c r="B59" s="36" t="s">
        <v>1166</v>
      </c>
      <c r="C59" s="189" t="s">
        <v>129</v>
      </c>
      <c r="D59" s="124">
        <f ca="1">_xlfn.IFNA(VLOOKUP(B59,Worksheet!$B$1:$G$600,3,FALSE),D59)</f>
        <v>0</v>
      </c>
      <c r="E59" s="124">
        <f ca="1">_xlfn.IFNA(VLOOKUP(B59,Worksheet!$B$1:$G$600,4,FALSE),E59)</f>
        <v>0</v>
      </c>
      <c r="F59" s="125">
        <f ca="1">_xlfn.IFNA(VLOOKUP(B59,Worksheet!$B$1:$G$600,5,FALSE),F59)</f>
        <v>0</v>
      </c>
      <c r="G59" t="s">
        <v>106</v>
      </c>
      <c r="H59" s="88"/>
      <c r="I59" s="88"/>
      <c r="J59" s="88"/>
      <c r="K59" s="88"/>
      <c r="L59" s="88"/>
      <c r="M59" s="88"/>
      <c r="N59" s="88"/>
      <c r="O59" s="88"/>
      <c r="P59" s="88"/>
      <c r="Q59" s="88"/>
      <c r="R59" s="88"/>
      <c r="S59" s="88"/>
      <c r="T59" s="88"/>
      <c r="U59" s="88"/>
      <c r="V59" s="88"/>
      <c r="W59" s="88"/>
      <c r="X59" s="88"/>
      <c r="Y59" s="88"/>
      <c r="Z59" s="88"/>
      <c r="AA59" s="88"/>
      <c r="AB59" s="88"/>
      <c r="AC59" s="88"/>
    </row>
    <row r="60" spans="1:29" ht="25.15" customHeight="1" x14ac:dyDescent="0.25">
      <c r="A60" s="88"/>
      <c r="B60" s="36" t="s">
        <v>1167</v>
      </c>
      <c r="C60" s="194" t="s">
        <v>710</v>
      </c>
      <c r="D60" s="124">
        <f ca="1">_xlfn.IFNA(VLOOKUP(B60,Worksheet!$B$1:$G$600,3,FALSE),D60)</f>
        <v>0</v>
      </c>
      <c r="E60" s="124">
        <f ca="1">_xlfn.IFNA(VLOOKUP(B60,Worksheet!$B$1:$G$600,4,FALSE),E60)</f>
        <v>0</v>
      </c>
      <c r="F60" s="125">
        <f ca="1">_xlfn.IFNA(VLOOKUP(B60,Worksheet!$B$1:$G$600,5,FALSE),F60)</f>
        <v>0</v>
      </c>
      <c r="G60" t="s">
        <v>106</v>
      </c>
      <c r="H60" s="88"/>
      <c r="I60" s="88"/>
      <c r="J60" s="88"/>
      <c r="K60" s="88"/>
      <c r="L60" s="88"/>
      <c r="M60" s="88"/>
      <c r="N60" s="88"/>
      <c r="O60" s="88"/>
      <c r="P60" s="88"/>
      <c r="Q60" s="88"/>
      <c r="R60" s="88"/>
      <c r="S60" s="88"/>
      <c r="T60" s="88"/>
      <c r="U60" s="88"/>
      <c r="V60" s="88"/>
      <c r="W60" s="88"/>
      <c r="X60" s="88"/>
      <c r="Y60" s="88"/>
      <c r="Z60" s="88"/>
      <c r="AA60" s="88"/>
      <c r="AB60" s="88"/>
      <c r="AC60" s="88"/>
    </row>
    <row r="61" spans="1:29" ht="25.15" customHeight="1" x14ac:dyDescent="0.25">
      <c r="A61" s="88"/>
      <c r="B61" s="36" t="s">
        <v>1168</v>
      </c>
      <c r="C61" s="187" t="s">
        <v>761</v>
      </c>
      <c r="D61" s="132">
        <f ca="1">SUM(D62:D63)/2</f>
        <v>0</v>
      </c>
      <c r="E61" s="132">
        <f t="shared" ref="E61:F61" ca="1" si="22">SUM(E62:E63)/2</f>
        <v>0</v>
      </c>
      <c r="F61" s="133">
        <f t="shared" ca="1" si="22"/>
        <v>0</v>
      </c>
      <c r="G61" t="s">
        <v>106</v>
      </c>
      <c r="H61" s="88"/>
      <c r="I61" s="88"/>
      <c r="J61" s="88"/>
      <c r="K61" s="88"/>
      <c r="L61" s="88"/>
      <c r="M61" s="88"/>
      <c r="N61" s="88"/>
      <c r="O61" s="88"/>
      <c r="P61" s="88"/>
      <c r="Q61" s="88"/>
      <c r="R61" s="88"/>
      <c r="S61" s="88"/>
      <c r="T61" s="88"/>
      <c r="U61" s="88"/>
      <c r="V61" s="88"/>
      <c r="W61" s="88"/>
      <c r="X61" s="88"/>
      <c r="Y61" s="88"/>
      <c r="Z61" s="88"/>
      <c r="AA61" s="88"/>
      <c r="AB61" s="88"/>
      <c r="AC61" s="88"/>
    </row>
    <row r="62" spans="1:29" ht="25.15" customHeight="1" x14ac:dyDescent="0.25">
      <c r="A62" s="88"/>
      <c r="B62" s="36" t="s">
        <v>419</v>
      </c>
      <c r="C62" s="187" t="s">
        <v>800</v>
      </c>
      <c r="D62" s="146">
        <f ca="1">_xlfn.IFNA(VLOOKUP(B62,Worksheet!$B$1:$G$600,3,FALSE),D62)</f>
        <v>0</v>
      </c>
      <c r="E62" s="146">
        <f ca="1">_xlfn.IFNA(VLOOKUP(B62,Worksheet!$B$1:$G$600,4,FALSE),E62)</f>
        <v>0</v>
      </c>
      <c r="F62" s="147">
        <f ca="1">_xlfn.IFNA(VLOOKUP(B62,Worksheet!$B$1:$G$600,5,FALSE),F62)</f>
        <v>0</v>
      </c>
      <c r="G62" t="s">
        <v>106</v>
      </c>
      <c r="H62" s="88"/>
      <c r="I62" s="88"/>
      <c r="J62" s="88"/>
      <c r="K62" s="88"/>
      <c r="L62" s="88"/>
      <c r="M62" s="88"/>
      <c r="N62" s="88"/>
      <c r="O62" s="88"/>
      <c r="P62" s="88"/>
      <c r="Q62" s="88"/>
      <c r="R62" s="88"/>
      <c r="S62" s="88"/>
      <c r="T62" s="88"/>
      <c r="U62" s="88"/>
      <c r="V62" s="88"/>
      <c r="W62" s="88"/>
      <c r="X62" s="88"/>
      <c r="Y62" s="88"/>
      <c r="Z62" s="88"/>
      <c r="AA62" s="88"/>
      <c r="AB62" s="88"/>
      <c r="AC62" s="88"/>
    </row>
    <row r="63" spans="1:29" ht="25.15" customHeight="1" x14ac:dyDescent="0.25">
      <c r="A63" s="88"/>
      <c r="B63" s="36" t="s">
        <v>1162</v>
      </c>
      <c r="C63" s="189" t="s">
        <v>129</v>
      </c>
      <c r="D63" s="124">
        <f ca="1">_xlfn.IFNA(VLOOKUP(B63,Worksheet!$B$1:$G$600,3,FALSE),D63)</f>
        <v>0</v>
      </c>
      <c r="E63" s="124">
        <f ca="1">_xlfn.IFNA(VLOOKUP(B63,Worksheet!$B$1:$G$600,4,FALSE),E63)</f>
        <v>0</v>
      </c>
      <c r="F63" s="125">
        <f ca="1">_xlfn.IFNA(VLOOKUP(B63,Worksheet!$B$1:$G$600,5,FALSE),F63)</f>
        <v>0</v>
      </c>
      <c r="G63" t="s">
        <v>106</v>
      </c>
      <c r="H63" s="88"/>
      <c r="I63" s="88"/>
      <c r="J63" s="88"/>
      <c r="K63" s="88"/>
      <c r="L63" s="88"/>
      <c r="M63" s="88"/>
      <c r="N63" s="88"/>
      <c r="O63" s="88"/>
      <c r="P63" s="88"/>
      <c r="Q63" s="88"/>
      <c r="R63" s="88"/>
      <c r="S63" s="88"/>
      <c r="T63" s="88"/>
      <c r="U63" s="88"/>
      <c r="V63" s="88"/>
      <c r="W63" s="88"/>
      <c r="X63" s="88"/>
      <c r="Y63" s="88"/>
      <c r="Z63" s="88"/>
      <c r="AA63" s="88"/>
      <c r="AB63" s="88"/>
      <c r="AC63" s="88"/>
    </row>
    <row r="64" spans="1:29" ht="25.15" customHeight="1" x14ac:dyDescent="0.25">
      <c r="A64" s="88"/>
      <c r="B64" s="36" t="s">
        <v>1163</v>
      </c>
      <c r="C64" s="194" t="s">
        <v>710</v>
      </c>
      <c r="D64" s="124">
        <f ca="1">_xlfn.IFNA(VLOOKUP(B64,Worksheet!$B$1:$G$600,3,FALSE),D64)</f>
        <v>0</v>
      </c>
      <c r="E64" s="124">
        <f ca="1">_xlfn.IFNA(VLOOKUP(B64,Worksheet!$B$1:$G$600,4,FALSE),E64)</f>
        <v>0</v>
      </c>
      <c r="F64" s="125">
        <f ca="1">_xlfn.IFNA(VLOOKUP(B64,Worksheet!$B$1:$G$600,5,FALSE),F64)</f>
        <v>0</v>
      </c>
      <c r="G64" t="s">
        <v>106</v>
      </c>
      <c r="H64" s="88"/>
      <c r="I64" s="88"/>
      <c r="J64" s="88"/>
      <c r="K64" s="88"/>
      <c r="L64" s="88"/>
      <c r="M64" s="88"/>
      <c r="N64" s="88"/>
      <c r="O64" s="88"/>
      <c r="P64" s="88"/>
      <c r="Q64" s="88"/>
      <c r="R64" s="88"/>
      <c r="S64" s="88"/>
      <c r="T64" s="88"/>
      <c r="U64" s="88"/>
      <c r="V64" s="88"/>
      <c r="W64" s="88"/>
      <c r="X64" s="88"/>
      <c r="Y64" s="88"/>
      <c r="Z64" s="88"/>
      <c r="AA64" s="88"/>
      <c r="AB64" s="88"/>
      <c r="AC64" s="88"/>
    </row>
    <row r="65" spans="1:29" ht="25.15" customHeight="1" x14ac:dyDescent="0.25">
      <c r="A65" s="88"/>
      <c r="B65" s="36" t="s">
        <v>1164</v>
      </c>
      <c r="C65" s="187" t="s">
        <v>761</v>
      </c>
      <c r="D65" s="126">
        <f ca="1">_xlfn.IFNA(VLOOKUP(B65,Worksheet!$B$1:$G$600,3,FALSE),D65)</f>
        <v>0</v>
      </c>
      <c r="E65" s="126">
        <f ca="1">_xlfn.IFNA(VLOOKUP(B65,Worksheet!$B$1:$G$600,4,FALSE),E65)</f>
        <v>0</v>
      </c>
      <c r="F65" s="127">
        <f ca="1">_xlfn.IFNA(VLOOKUP(B65,Worksheet!$B$1:$G$600,5,FALSE),F65)</f>
        <v>0</v>
      </c>
      <c r="G65" t="s">
        <v>106</v>
      </c>
      <c r="H65" s="88"/>
      <c r="I65" s="88"/>
      <c r="J65" s="88"/>
      <c r="K65" s="88"/>
      <c r="L65" s="88"/>
      <c r="M65" s="88"/>
      <c r="N65" s="88"/>
      <c r="O65" s="88"/>
      <c r="P65" s="88"/>
      <c r="Q65" s="88"/>
      <c r="R65" s="88"/>
      <c r="S65" s="88"/>
      <c r="T65" s="88"/>
      <c r="U65" s="88"/>
      <c r="V65" s="88"/>
      <c r="W65" s="88"/>
      <c r="X65" s="88"/>
      <c r="Y65" s="88"/>
      <c r="Z65" s="88"/>
      <c r="AA65" s="88"/>
      <c r="AB65" s="88"/>
      <c r="AC65" s="88"/>
    </row>
    <row r="66" spans="1:29" ht="25.15" customHeight="1" x14ac:dyDescent="0.25">
      <c r="A66" s="88"/>
      <c r="B66" s="36" t="s">
        <v>420</v>
      </c>
      <c r="C66" s="187" t="s">
        <v>801</v>
      </c>
      <c r="D66" s="55">
        <f ca="1">AVERAGE(D67:D69)</f>
        <v>0</v>
      </c>
      <c r="E66" s="55">
        <f t="shared" ref="E66:F66" ca="1" si="23">AVERAGE(E67:E69)</f>
        <v>0</v>
      </c>
      <c r="F66" s="56">
        <f t="shared" ca="1" si="23"/>
        <v>0</v>
      </c>
      <c r="G66" t="s">
        <v>106</v>
      </c>
      <c r="H66" s="88"/>
      <c r="I66" s="88"/>
      <c r="J66" s="88"/>
      <c r="K66" s="88"/>
      <c r="L66" s="88"/>
      <c r="M66" s="88"/>
      <c r="N66" s="88"/>
      <c r="O66" s="88"/>
      <c r="P66" s="88"/>
      <c r="Q66" s="88"/>
      <c r="R66" s="88"/>
      <c r="S66" s="88"/>
      <c r="T66" s="88"/>
      <c r="U66" s="88"/>
      <c r="V66" s="88"/>
      <c r="W66" s="88"/>
      <c r="X66" s="88"/>
      <c r="Y66" s="88"/>
      <c r="Z66" s="88"/>
      <c r="AA66" s="88"/>
      <c r="AB66" s="88"/>
      <c r="AC66" s="88"/>
    </row>
    <row r="67" spans="1:29" ht="25.15" customHeight="1" x14ac:dyDescent="0.25">
      <c r="A67" s="88"/>
      <c r="B67" s="36" t="s">
        <v>1169</v>
      </c>
      <c r="C67" s="189" t="s">
        <v>129</v>
      </c>
      <c r="D67" s="124">
        <f ca="1">_xlfn.IFNA(VLOOKUP(B67,Worksheet!$B$1:$G$600,3,FALSE),D67)</f>
        <v>0</v>
      </c>
      <c r="E67" s="124">
        <f ca="1">_xlfn.IFNA(VLOOKUP(B67,Worksheet!$B$1:$G$600,4,FALSE),E67)</f>
        <v>0</v>
      </c>
      <c r="F67" s="125">
        <f ca="1">_xlfn.IFNA(VLOOKUP(B67,Worksheet!$B$1:$G$600,5,FALSE),F67)</f>
        <v>0</v>
      </c>
      <c r="G67" t="s">
        <v>106</v>
      </c>
      <c r="H67" s="88"/>
      <c r="I67" s="88"/>
      <c r="J67" s="88"/>
      <c r="K67" s="88"/>
      <c r="L67" s="88"/>
      <c r="M67" s="88"/>
      <c r="N67" s="88"/>
      <c r="O67" s="88"/>
      <c r="P67" s="88"/>
      <c r="Q67" s="88"/>
      <c r="R67" s="88"/>
      <c r="S67" s="88"/>
      <c r="T67" s="88"/>
      <c r="U67" s="88"/>
      <c r="V67" s="88"/>
      <c r="W67" s="88"/>
      <c r="X67" s="88"/>
      <c r="Y67" s="88"/>
      <c r="Z67" s="88"/>
      <c r="AA67" s="88"/>
      <c r="AB67" s="88"/>
      <c r="AC67" s="88"/>
    </row>
    <row r="68" spans="1:29" ht="25.15" customHeight="1" x14ac:dyDescent="0.25">
      <c r="A68" s="88"/>
      <c r="B68" s="36" t="s">
        <v>1170</v>
      </c>
      <c r="C68" s="194" t="s">
        <v>710</v>
      </c>
      <c r="D68" s="175">
        <v>0</v>
      </c>
      <c r="E68" s="128">
        <v>0</v>
      </c>
      <c r="F68" s="129">
        <v>0</v>
      </c>
      <c r="G68" t="s">
        <v>106</v>
      </c>
      <c r="H68" s="88"/>
      <c r="I68" s="88"/>
      <c r="J68" s="88"/>
      <c r="K68" s="88"/>
      <c r="L68" s="88"/>
      <c r="M68" s="88"/>
      <c r="N68" s="88"/>
      <c r="O68" s="88"/>
      <c r="P68" s="88"/>
      <c r="Q68" s="88"/>
      <c r="R68" s="88"/>
      <c r="S68" s="88"/>
      <c r="T68" s="88"/>
      <c r="U68" s="88"/>
      <c r="V68" s="88"/>
      <c r="W68" s="88"/>
      <c r="X68" s="88"/>
      <c r="Y68" s="88"/>
      <c r="Z68" s="88"/>
      <c r="AA68" s="88"/>
      <c r="AB68" s="88"/>
      <c r="AC68" s="88"/>
    </row>
    <row r="69" spans="1:29" ht="25.15" customHeight="1" x14ac:dyDescent="0.25">
      <c r="A69" s="88"/>
      <c r="B69" s="36" t="s">
        <v>1171</v>
      </c>
      <c r="C69" s="187" t="s">
        <v>761</v>
      </c>
      <c r="D69" s="126">
        <f ca="1">_xlfn.IFNA(VLOOKUP(B69,Worksheet!$B$1:$G$600,3,FALSE),D69)</f>
        <v>0</v>
      </c>
      <c r="E69" s="126">
        <f ca="1">_xlfn.IFNA(VLOOKUP(B69,Worksheet!$B$1:$G$600,4,FALSE),E69)</f>
        <v>0</v>
      </c>
      <c r="F69" s="127">
        <f ca="1">_xlfn.IFNA(VLOOKUP(B69,Worksheet!$B$1:$G$600,5,FALSE),F69)</f>
        <v>0</v>
      </c>
      <c r="G69" t="s">
        <v>106</v>
      </c>
      <c r="H69" s="88"/>
      <c r="I69" s="88"/>
      <c r="J69" s="88"/>
      <c r="K69" s="88"/>
      <c r="L69" s="88"/>
      <c r="M69" s="88"/>
      <c r="N69" s="88"/>
      <c r="O69" s="88"/>
      <c r="P69" s="88"/>
      <c r="Q69" s="88"/>
      <c r="R69" s="88"/>
      <c r="S69" s="88"/>
      <c r="T69" s="88"/>
      <c r="U69" s="88"/>
      <c r="V69" s="88"/>
      <c r="W69" s="88"/>
      <c r="X69" s="88"/>
      <c r="Y69" s="88"/>
      <c r="Z69" s="88"/>
      <c r="AA69" s="88"/>
      <c r="AB69" s="88"/>
      <c r="AC69" s="88"/>
    </row>
    <row r="70" spans="1:29" ht="25.15" customHeight="1" x14ac:dyDescent="0.25">
      <c r="A70" s="88"/>
      <c r="B70" s="36" t="s">
        <v>1165</v>
      </c>
      <c r="C70" s="187" t="s">
        <v>802</v>
      </c>
      <c r="D70" s="55">
        <f ca="1">AVERAGE(D71:D73)</f>
        <v>0</v>
      </c>
      <c r="E70" s="55">
        <f t="shared" ref="E70:F70" ca="1" si="24">AVERAGE(E71:E73)</f>
        <v>0</v>
      </c>
      <c r="F70" s="56">
        <f t="shared" ca="1" si="24"/>
        <v>0</v>
      </c>
      <c r="G70" t="s">
        <v>106</v>
      </c>
      <c r="H70" s="88"/>
      <c r="I70" s="88"/>
      <c r="J70" s="88"/>
      <c r="K70" s="88"/>
      <c r="L70" s="88"/>
      <c r="M70" s="88"/>
      <c r="N70" s="88"/>
      <c r="O70" s="88"/>
      <c r="P70" s="88"/>
      <c r="Q70" s="88"/>
      <c r="R70" s="88"/>
      <c r="S70" s="88"/>
      <c r="T70" s="88"/>
      <c r="U70" s="88"/>
      <c r="V70" s="88"/>
      <c r="W70" s="88"/>
      <c r="X70" s="88"/>
      <c r="Y70" s="88"/>
      <c r="Z70" s="88"/>
      <c r="AA70" s="88"/>
      <c r="AB70" s="88"/>
      <c r="AC70" s="88"/>
    </row>
    <row r="71" spans="1:29" ht="25.15" customHeight="1" x14ac:dyDescent="0.25">
      <c r="A71" s="88"/>
      <c r="B71" s="36" t="s">
        <v>1172</v>
      </c>
      <c r="C71" s="189" t="s">
        <v>129</v>
      </c>
      <c r="D71" s="177">
        <v>0</v>
      </c>
      <c r="E71" s="177">
        <v>0</v>
      </c>
      <c r="F71" s="178">
        <v>0</v>
      </c>
      <c r="G71" t="s">
        <v>106</v>
      </c>
      <c r="H71" s="88"/>
      <c r="I71" s="88"/>
      <c r="J71" s="88"/>
      <c r="K71" s="88"/>
      <c r="L71" s="88"/>
      <c r="M71" s="88"/>
      <c r="N71" s="88"/>
      <c r="O71" s="88"/>
      <c r="P71" s="88"/>
      <c r="Q71" s="88"/>
      <c r="R71" s="88"/>
      <c r="S71" s="88"/>
      <c r="T71" s="88"/>
      <c r="U71" s="88"/>
      <c r="V71" s="88"/>
      <c r="W71" s="88"/>
      <c r="X71" s="88"/>
      <c r="Y71" s="88"/>
      <c r="Z71" s="88"/>
      <c r="AA71" s="88"/>
      <c r="AB71" s="88"/>
      <c r="AC71" s="88"/>
    </row>
    <row r="72" spans="1:29" ht="25.15" customHeight="1" x14ac:dyDescent="0.25">
      <c r="A72" s="88"/>
      <c r="B72" s="36" t="s">
        <v>1173</v>
      </c>
      <c r="C72" s="194" t="s">
        <v>710</v>
      </c>
      <c r="D72" s="124">
        <f ca="1">_xlfn.IFNA(VLOOKUP(B72,Worksheet!$B$1:$G$600,3,FALSE),D72)</f>
        <v>0</v>
      </c>
      <c r="E72" s="124">
        <f ca="1">_xlfn.IFNA(VLOOKUP(B72,Worksheet!$B$1:$G$600,4,FALSE),E72)</f>
        <v>0</v>
      </c>
      <c r="F72" s="125">
        <f ca="1">_xlfn.IFNA(VLOOKUP(B72,Worksheet!$B$1:$G$600,5,FALSE),F72)</f>
        <v>0</v>
      </c>
      <c r="G72" t="s">
        <v>106</v>
      </c>
      <c r="H72" s="88"/>
      <c r="I72" s="88"/>
      <c r="J72" s="88"/>
      <c r="K72" s="88"/>
      <c r="L72" s="88"/>
      <c r="M72" s="88"/>
      <c r="N72" s="88"/>
      <c r="O72" s="88"/>
      <c r="P72" s="88"/>
      <c r="Q72" s="88"/>
      <c r="R72" s="88"/>
      <c r="S72" s="88"/>
      <c r="T72" s="88"/>
      <c r="U72" s="88"/>
      <c r="V72" s="88"/>
      <c r="W72" s="88"/>
      <c r="X72" s="88"/>
      <c r="Y72" s="88"/>
      <c r="Z72" s="88"/>
      <c r="AA72" s="88"/>
      <c r="AB72" s="88"/>
      <c r="AC72" s="88"/>
    </row>
    <row r="73" spans="1:29" ht="25.15" customHeight="1" x14ac:dyDescent="0.25">
      <c r="A73" s="88"/>
      <c r="B73" s="36" t="s">
        <v>1174</v>
      </c>
      <c r="C73" s="187" t="s">
        <v>761</v>
      </c>
      <c r="D73" s="126">
        <f ca="1">_xlfn.IFNA(VLOOKUP(B73,Worksheet!$B$1:$G$600,3,FALSE),D73)</f>
        <v>0</v>
      </c>
      <c r="E73" s="126">
        <f ca="1">_xlfn.IFNA(VLOOKUP(B73,Worksheet!$B$1:$G$600,4,FALSE),E73)</f>
        <v>0</v>
      </c>
      <c r="F73" s="127">
        <f ca="1">_xlfn.IFNA(VLOOKUP(B73,Worksheet!$B$1:$G$600,5,FALSE),F73)</f>
        <v>0</v>
      </c>
      <c r="G73" t="s">
        <v>106</v>
      </c>
      <c r="H73" s="88"/>
      <c r="I73" s="88"/>
      <c r="J73" s="88"/>
      <c r="K73" s="88"/>
      <c r="L73" s="88"/>
      <c r="M73" s="88"/>
      <c r="N73" s="88"/>
      <c r="O73" s="88"/>
      <c r="P73" s="88"/>
      <c r="Q73" s="88"/>
      <c r="R73" s="88"/>
      <c r="S73" s="88"/>
      <c r="T73" s="88"/>
      <c r="U73" s="88"/>
      <c r="V73" s="88"/>
      <c r="W73" s="88"/>
      <c r="X73" s="88"/>
      <c r="Y73" s="88"/>
      <c r="Z73" s="88"/>
      <c r="AA73" s="88"/>
      <c r="AB73" s="88"/>
      <c r="AC73" s="88"/>
    </row>
    <row r="74" spans="1:29" ht="25.15" customHeight="1" x14ac:dyDescent="0.25">
      <c r="A74" s="88"/>
      <c r="B74"/>
      <c r="C74"/>
      <c r="D74"/>
      <c r="E74"/>
      <c r="F74"/>
      <c r="G74"/>
      <c r="H74" s="88"/>
      <c r="I74" s="88"/>
      <c r="J74" s="88"/>
      <c r="K74" s="88"/>
      <c r="L74" s="88"/>
      <c r="M74" s="88"/>
      <c r="N74" s="88"/>
      <c r="O74" s="88"/>
      <c r="P74" s="88"/>
      <c r="Q74" s="88"/>
      <c r="R74" s="88"/>
      <c r="S74" s="88"/>
      <c r="T74" s="88"/>
      <c r="U74" s="88"/>
      <c r="V74" s="88"/>
      <c r="W74" s="88"/>
      <c r="X74" s="88"/>
      <c r="Y74" s="88"/>
      <c r="Z74" s="88"/>
      <c r="AA74" s="88"/>
      <c r="AB74" s="88"/>
      <c r="AC74" s="88"/>
    </row>
    <row r="75" spans="1:29" ht="25.15" customHeight="1" x14ac:dyDescent="0.25">
      <c r="A75" s="88"/>
      <c r="B75"/>
      <c r="C75"/>
      <c r="D75"/>
      <c r="E75"/>
      <c r="F75"/>
      <c r="G75"/>
      <c r="H75" s="88"/>
      <c r="I75" s="88"/>
      <c r="J75" s="88"/>
      <c r="K75" s="88"/>
      <c r="L75" s="88"/>
      <c r="M75" s="88"/>
      <c r="N75" s="88"/>
      <c r="O75" s="88"/>
      <c r="P75" s="88"/>
      <c r="Q75" s="88"/>
      <c r="R75" s="88"/>
      <c r="S75" s="88"/>
      <c r="T75" s="88"/>
      <c r="U75" s="88"/>
      <c r="V75" s="88"/>
      <c r="W75" s="88"/>
      <c r="X75" s="88"/>
      <c r="Y75" s="88"/>
      <c r="Z75" s="88"/>
      <c r="AA75" s="88"/>
      <c r="AB75" s="88"/>
      <c r="AC75" s="88"/>
    </row>
    <row r="76" spans="1:29" ht="25.15" customHeight="1" x14ac:dyDescent="0.25">
      <c r="A76" s="88"/>
      <c r="B76"/>
      <c r="C76"/>
      <c r="D76"/>
      <c r="E76"/>
      <c r="F76"/>
      <c r="G76"/>
      <c r="H76" s="88"/>
      <c r="I76" s="88"/>
      <c r="J76" s="88"/>
      <c r="K76" s="88"/>
      <c r="L76" s="88"/>
      <c r="M76" s="88"/>
      <c r="N76" s="88"/>
      <c r="O76" s="88"/>
      <c r="P76" s="88"/>
      <c r="Q76" s="88"/>
      <c r="R76" s="88"/>
      <c r="S76" s="88"/>
      <c r="T76" s="88"/>
      <c r="U76" s="88"/>
      <c r="V76" s="88"/>
      <c r="W76" s="88"/>
      <c r="X76" s="88"/>
      <c r="Y76" s="88"/>
      <c r="Z76" s="88"/>
      <c r="AA76" s="88"/>
      <c r="AB76" s="88"/>
      <c r="AC76" s="88"/>
    </row>
    <row r="77" spans="1:29" ht="25.15" customHeight="1" x14ac:dyDescent="0.25">
      <c r="A77" s="88"/>
      <c r="B77"/>
      <c r="C77"/>
      <c r="D77"/>
      <c r="E77"/>
      <c r="F77"/>
      <c r="G77"/>
      <c r="H77" s="88"/>
      <c r="I77" s="88"/>
      <c r="J77" s="88"/>
      <c r="K77" s="88"/>
      <c r="L77" s="88"/>
      <c r="M77" s="88"/>
      <c r="N77" s="88"/>
      <c r="O77" s="88"/>
      <c r="P77" s="88"/>
      <c r="Q77" s="88"/>
      <c r="R77" s="88"/>
      <c r="S77" s="88"/>
      <c r="T77" s="88"/>
      <c r="U77" s="88"/>
      <c r="V77" s="88"/>
      <c r="W77" s="88"/>
      <c r="X77" s="88"/>
      <c r="Y77" s="88"/>
      <c r="Z77" s="88"/>
      <c r="AA77" s="88"/>
      <c r="AB77" s="88"/>
      <c r="AC77" s="88"/>
    </row>
    <row r="78" spans="1:29" ht="25.15" customHeight="1" x14ac:dyDescent="0.25">
      <c r="A78" s="88"/>
      <c r="B78"/>
      <c r="C78"/>
      <c r="D78"/>
      <c r="E78"/>
      <c r="F78"/>
      <c r="G78"/>
      <c r="H78" s="88"/>
      <c r="I78" s="88"/>
      <c r="J78" s="88"/>
      <c r="K78" s="88"/>
      <c r="L78" s="88"/>
      <c r="M78" s="88"/>
      <c r="N78" s="88"/>
      <c r="O78" s="88"/>
      <c r="P78" s="88"/>
      <c r="Q78" s="88"/>
      <c r="R78" s="88"/>
      <c r="S78" s="88"/>
      <c r="T78" s="88"/>
      <c r="U78" s="88"/>
      <c r="V78" s="88"/>
      <c r="W78" s="88"/>
      <c r="X78" s="88"/>
      <c r="Y78" s="88"/>
      <c r="Z78" s="88"/>
      <c r="AA78" s="88"/>
      <c r="AB78" s="88"/>
      <c r="AC78" s="88"/>
    </row>
    <row r="79" spans="1:29" ht="25.15" customHeight="1" x14ac:dyDescent="0.25">
      <c r="A79" s="88"/>
      <c r="B79"/>
      <c r="C79"/>
      <c r="D79"/>
      <c r="E79"/>
      <c r="F79"/>
      <c r="G79"/>
      <c r="H79" s="88"/>
      <c r="I79" s="88"/>
      <c r="J79" s="88"/>
      <c r="K79" s="88"/>
      <c r="L79" s="88"/>
      <c r="M79" s="88"/>
      <c r="N79" s="88"/>
      <c r="O79" s="88"/>
      <c r="P79" s="88"/>
      <c r="Q79" s="88"/>
      <c r="R79" s="88"/>
      <c r="S79" s="88"/>
      <c r="T79" s="88"/>
      <c r="U79" s="88"/>
      <c r="V79" s="88"/>
      <c r="W79" s="88"/>
      <c r="X79" s="88"/>
      <c r="Y79" s="88"/>
      <c r="Z79" s="88"/>
      <c r="AA79" s="88"/>
      <c r="AB79" s="88"/>
      <c r="AC79" s="88"/>
    </row>
    <row r="80" spans="1:29" ht="25.15" customHeight="1" x14ac:dyDescent="0.25">
      <c r="A80" s="88"/>
      <c r="B80"/>
      <c r="C80"/>
      <c r="D80"/>
      <c r="E80"/>
      <c r="F80"/>
      <c r="G80"/>
      <c r="H80" s="88"/>
      <c r="I80" s="88"/>
      <c r="J80" s="88"/>
      <c r="K80" s="88"/>
      <c r="L80" s="88"/>
      <c r="M80" s="88"/>
      <c r="N80" s="88"/>
      <c r="O80" s="88"/>
      <c r="P80" s="88"/>
      <c r="Q80" s="88"/>
      <c r="R80" s="88"/>
      <c r="S80" s="88"/>
      <c r="T80" s="88"/>
      <c r="U80" s="88"/>
      <c r="V80" s="88"/>
      <c r="W80" s="88"/>
      <c r="X80" s="88"/>
      <c r="Y80" s="88"/>
      <c r="Z80" s="88"/>
      <c r="AA80" s="88"/>
      <c r="AB80" s="88"/>
      <c r="AC80" s="88"/>
    </row>
    <row r="81" spans="1:29" ht="25.15" customHeight="1" x14ac:dyDescent="0.25">
      <c r="A81" s="88"/>
      <c r="B81"/>
      <c r="C81"/>
      <c r="D81"/>
      <c r="E81"/>
      <c r="F81"/>
      <c r="G81"/>
      <c r="H81" s="88"/>
      <c r="I81" s="88"/>
      <c r="J81" s="88"/>
      <c r="K81" s="88"/>
      <c r="L81" s="88"/>
      <c r="M81" s="88"/>
      <c r="N81" s="88"/>
      <c r="O81" s="88"/>
      <c r="P81" s="88"/>
      <c r="Q81" s="88"/>
      <c r="R81" s="88"/>
      <c r="S81" s="88"/>
      <c r="T81" s="88"/>
      <c r="U81" s="88"/>
      <c r="V81" s="88"/>
      <c r="W81" s="88"/>
      <c r="X81" s="88"/>
      <c r="Y81" s="88"/>
      <c r="Z81" s="88"/>
      <c r="AA81" s="88"/>
      <c r="AB81" s="88"/>
      <c r="AC81" s="88"/>
    </row>
    <row r="82" spans="1:29" ht="25.15" customHeight="1" x14ac:dyDescent="0.25">
      <c r="A82" s="88"/>
      <c r="B82"/>
      <c r="C82"/>
      <c r="D82"/>
      <c r="E82"/>
      <c r="F82"/>
      <c r="G82"/>
      <c r="H82" s="88"/>
      <c r="I82" s="88"/>
      <c r="J82" s="88"/>
      <c r="K82" s="88"/>
      <c r="L82" s="88"/>
      <c r="M82" s="88"/>
      <c r="N82" s="88"/>
      <c r="O82" s="88"/>
      <c r="P82" s="88"/>
      <c r="Q82" s="88"/>
      <c r="R82" s="88"/>
      <c r="S82" s="88"/>
      <c r="T82" s="88"/>
      <c r="U82" s="88"/>
      <c r="V82" s="88"/>
      <c r="W82" s="88"/>
      <c r="X82" s="88"/>
      <c r="Y82" s="88"/>
      <c r="Z82" s="88"/>
      <c r="AA82" s="88"/>
      <c r="AB82" s="88"/>
      <c r="AC82" s="88"/>
    </row>
    <row r="83" spans="1:29" ht="25.15" customHeight="1" x14ac:dyDescent="0.25">
      <c r="A83" s="88"/>
      <c r="B83"/>
      <c r="C83"/>
      <c r="D83"/>
      <c r="E83"/>
      <c r="F83"/>
      <c r="G83"/>
      <c r="H83" s="88"/>
      <c r="I83" s="88"/>
      <c r="J83" s="88"/>
      <c r="K83" s="88"/>
      <c r="L83" s="88"/>
      <c r="M83" s="88"/>
      <c r="N83" s="88"/>
      <c r="O83" s="88"/>
      <c r="P83" s="88"/>
      <c r="Q83" s="88"/>
      <c r="R83" s="88"/>
      <c r="S83" s="88"/>
      <c r="T83" s="88"/>
      <c r="U83" s="88"/>
      <c r="V83" s="88"/>
      <c r="W83" s="88"/>
      <c r="X83" s="88"/>
      <c r="Y83" s="88"/>
      <c r="Z83" s="88"/>
      <c r="AA83" s="88"/>
      <c r="AB83" s="88"/>
      <c r="AC83" s="88"/>
    </row>
    <row r="84" spans="1:29" ht="25.15" customHeight="1" x14ac:dyDescent="0.25">
      <c r="A84" s="88"/>
      <c r="B84"/>
      <c r="C84"/>
      <c r="D84"/>
      <c r="E84"/>
      <c r="F84"/>
      <c r="G84"/>
      <c r="H84" s="88"/>
      <c r="I84" s="88"/>
      <c r="J84" s="88"/>
      <c r="K84" s="88"/>
      <c r="L84" s="88"/>
      <c r="M84" s="88"/>
      <c r="N84" s="88"/>
      <c r="O84" s="88"/>
      <c r="P84" s="88"/>
      <c r="Q84" s="88"/>
      <c r="R84" s="88"/>
      <c r="S84" s="88"/>
      <c r="T84" s="88"/>
      <c r="U84" s="88"/>
      <c r="V84" s="88"/>
      <c r="W84" s="88"/>
      <c r="X84" s="88"/>
      <c r="Y84" s="88"/>
      <c r="Z84" s="88"/>
      <c r="AA84" s="88"/>
      <c r="AB84" s="88"/>
      <c r="AC84" s="88"/>
    </row>
    <row r="85" spans="1:29" ht="25.15" customHeight="1" x14ac:dyDescent="0.25">
      <c r="A85" s="88"/>
      <c r="B85"/>
      <c r="C85"/>
      <c r="D85"/>
      <c r="E85"/>
      <c r="F85"/>
      <c r="G85"/>
      <c r="H85" s="88"/>
      <c r="I85" s="88"/>
      <c r="J85" s="88"/>
      <c r="K85" s="88"/>
      <c r="L85" s="88"/>
      <c r="M85" s="88"/>
      <c r="N85" s="88"/>
      <c r="O85" s="88"/>
      <c r="P85" s="88"/>
      <c r="Q85" s="88"/>
      <c r="R85" s="88"/>
      <c r="S85" s="88"/>
      <c r="T85" s="88"/>
      <c r="U85" s="88"/>
      <c r="V85" s="88"/>
      <c r="W85" s="88"/>
      <c r="X85" s="88"/>
      <c r="Y85" s="88"/>
      <c r="Z85" s="88"/>
      <c r="AA85" s="88"/>
      <c r="AB85" s="88"/>
      <c r="AC85" s="88"/>
    </row>
    <row r="86" spans="1:29" ht="25.15" customHeight="1" x14ac:dyDescent="0.25">
      <c r="A86" s="88"/>
      <c r="B86"/>
      <c r="C86"/>
      <c r="D86"/>
      <c r="E86"/>
      <c r="F86"/>
      <c r="G86"/>
      <c r="H86" s="88"/>
      <c r="I86" s="88"/>
      <c r="J86" s="88"/>
      <c r="K86" s="88"/>
      <c r="L86" s="88"/>
      <c r="M86" s="88"/>
      <c r="N86" s="88"/>
      <c r="O86" s="88"/>
      <c r="P86" s="88"/>
      <c r="Q86" s="88"/>
      <c r="R86" s="88"/>
      <c r="S86" s="88"/>
      <c r="T86" s="88"/>
      <c r="U86" s="88"/>
      <c r="V86" s="88"/>
      <c r="W86" s="88"/>
      <c r="X86" s="88"/>
      <c r="Y86" s="88"/>
      <c r="Z86" s="88"/>
      <c r="AA86" s="88"/>
      <c r="AB86" s="88"/>
      <c r="AC86" s="88"/>
    </row>
    <row r="87" spans="1:29" ht="25.15" customHeight="1" x14ac:dyDescent="0.25">
      <c r="A87" s="88"/>
      <c r="B87"/>
      <c r="C87"/>
      <c r="D87"/>
      <c r="E87"/>
      <c r="F87"/>
      <c r="G87"/>
      <c r="H87" s="88"/>
      <c r="I87" s="88"/>
      <c r="J87" s="88"/>
      <c r="K87" s="88"/>
      <c r="L87" s="88"/>
      <c r="M87" s="88"/>
      <c r="N87" s="88"/>
      <c r="O87" s="88"/>
      <c r="P87" s="88"/>
      <c r="Q87" s="88"/>
      <c r="R87" s="88"/>
      <c r="S87" s="88"/>
      <c r="T87" s="88"/>
      <c r="U87" s="88"/>
      <c r="V87" s="88"/>
      <c r="W87" s="88"/>
      <c r="X87" s="88"/>
      <c r="Y87" s="88"/>
      <c r="Z87" s="88"/>
      <c r="AA87" s="88"/>
      <c r="AB87" s="88"/>
      <c r="AC87" s="88"/>
    </row>
    <row r="88" spans="1:29" ht="25.15" customHeight="1" x14ac:dyDescent="0.25">
      <c r="A88" s="88"/>
      <c r="B88"/>
      <c r="C88"/>
      <c r="D88"/>
      <c r="E88"/>
      <c r="F88"/>
      <c r="G88"/>
      <c r="H88" s="88"/>
      <c r="I88" s="88"/>
      <c r="J88" s="88"/>
      <c r="K88" s="88"/>
      <c r="L88" s="88"/>
      <c r="M88" s="88"/>
      <c r="N88" s="88"/>
      <c r="O88" s="88"/>
      <c r="P88" s="88"/>
      <c r="Q88" s="88"/>
      <c r="R88" s="88"/>
      <c r="S88" s="88"/>
      <c r="T88" s="88"/>
      <c r="U88" s="88"/>
      <c r="V88" s="88"/>
      <c r="W88" s="88"/>
      <c r="X88" s="88"/>
      <c r="Y88" s="88"/>
      <c r="Z88" s="88"/>
      <c r="AA88" s="88"/>
      <c r="AB88" s="88"/>
      <c r="AC88" s="88"/>
    </row>
    <row r="89" spans="1:29" ht="25.15" customHeight="1" x14ac:dyDescent="0.25">
      <c r="A89" s="88"/>
      <c r="B89"/>
      <c r="C89"/>
      <c r="D89"/>
      <c r="E89"/>
      <c r="F89"/>
      <c r="G89"/>
      <c r="H89" s="88"/>
      <c r="I89" s="88"/>
      <c r="J89" s="88"/>
      <c r="K89" s="88"/>
      <c r="L89" s="88"/>
      <c r="M89" s="88"/>
      <c r="N89" s="88"/>
      <c r="O89" s="88"/>
      <c r="P89" s="88"/>
      <c r="Q89" s="88"/>
      <c r="R89" s="88"/>
      <c r="S89" s="88"/>
      <c r="T89" s="88"/>
      <c r="U89" s="88"/>
      <c r="V89" s="88"/>
      <c r="W89" s="88"/>
      <c r="X89" s="88"/>
      <c r="Y89" s="88"/>
      <c r="Z89" s="88"/>
      <c r="AA89" s="88"/>
      <c r="AB89" s="88"/>
      <c r="AC89" s="88"/>
    </row>
    <row r="90" spans="1:29" ht="25.15" customHeight="1" x14ac:dyDescent="0.25">
      <c r="A90" s="88"/>
      <c r="B90"/>
      <c r="C90"/>
      <c r="D90"/>
      <c r="E90"/>
      <c r="F90"/>
      <c r="G90"/>
      <c r="H90" s="88"/>
      <c r="I90" s="88"/>
      <c r="J90" s="88"/>
      <c r="K90" s="88"/>
      <c r="L90" s="88"/>
      <c r="M90" s="88"/>
      <c r="N90" s="88"/>
      <c r="O90" s="88"/>
      <c r="P90" s="88"/>
      <c r="Q90" s="88"/>
      <c r="R90" s="88"/>
      <c r="S90" s="88"/>
      <c r="T90" s="88"/>
      <c r="U90" s="88"/>
      <c r="V90" s="88"/>
      <c r="W90" s="88"/>
      <c r="X90" s="88"/>
      <c r="Y90" s="88"/>
      <c r="Z90" s="88"/>
      <c r="AA90" s="88"/>
      <c r="AB90" s="88"/>
      <c r="AC90" s="88"/>
    </row>
    <row r="91" spans="1:29" ht="25.15" customHeight="1" x14ac:dyDescent="0.25">
      <c r="A91" s="88"/>
      <c r="B91"/>
      <c r="C91"/>
      <c r="D91"/>
      <c r="E91"/>
      <c r="F91"/>
      <c r="G91"/>
      <c r="H91" s="88"/>
      <c r="I91" s="88"/>
      <c r="J91" s="88"/>
      <c r="K91" s="88"/>
      <c r="L91" s="88"/>
      <c r="M91" s="88"/>
      <c r="N91" s="88"/>
      <c r="O91" s="88"/>
      <c r="P91" s="88"/>
      <c r="Q91" s="88"/>
      <c r="R91" s="88"/>
      <c r="S91" s="88"/>
      <c r="T91" s="88"/>
      <c r="U91" s="88"/>
      <c r="V91" s="88"/>
      <c r="W91" s="88"/>
      <c r="X91" s="88"/>
      <c r="Y91" s="88"/>
      <c r="Z91" s="88"/>
      <c r="AA91" s="88"/>
      <c r="AB91" s="88"/>
      <c r="AC91" s="88"/>
    </row>
    <row r="92" spans="1:29" ht="25.15" customHeight="1" x14ac:dyDescent="0.25">
      <c r="A92" s="88"/>
      <c r="B92"/>
      <c r="C92"/>
      <c r="D92"/>
      <c r="E92"/>
      <c r="F92"/>
      <c r="G92"/>
      <c r="H92" s="88"/>
      <c r="I92" s="88"/>
      <c r="J92" s="88"/>
      <c r="K92" s="88"/>
      <c r="L92" s="88"/>
      <c r="M92" s="88"/>
      <c r="N92" s="88"/>
      <c r="O92" s="88"/>
      <c r="P92" s="88"/>
      <c r="Q92" s="88"/>
      <c r="R92" s="88"/>
      <c r="S92" s="88"/>
      <c r="T92" s="88"/>
      <c r="U92" s="88"/>
      <c r="V92" s="88"/>
      <c r="W92" s="88"/>
      <c r="X92" s="88"/>
      <c r="Y92" s="88"/>
      <c r="Z92" s="88"/>
      <c r="AA92" s="88"/>
      <c r="AB92" s="88"/>
      <c r="AC92" s="88"/>
    </row>
    <row r="93" spans="1:29" ht="25.15" customHeight="1" x14ac:dyDescent="0.25">
      <c r="A93" s="88"/>
      <c r="B93"/>
      <c r="C93"/>
      <c r="D93"/>
      <c r="E93"/>
      <c r="F93"/>
      <c r="G93"/>
      <c r="H93" s="88"/>
      <c r="I93" s="88"/>
      <c r="J93" s="88"/>
      <c r="K93" s="88"/>
      <c r="L93" s="88"/>
      <c r="M93" s="88"/>
      <c r="N93" s="88"/>
      <c r="O93" s="88"/>
      <c r="P93" s="88"/>
      <c r="Q93" s="88"/>
      <c r="R93" s="88"/>
      <c r="S93" s="88"/>
      <c r="T93" s="88"/>
      <c r="U93" s="88"/>
      <c r="V93" s="88"/>
      <c r="W93" s="88"/>
      <c r="X93" s="88"/>
      <c r="Y93" s="88"/>
      <c r="Z93" s="88"/>
      <c r="AA93" s="88"/>
      <c r="AB93" s="88"/>
      <c r="AC93" s="88"/>
    </row>
    <row r="94" spans="1:29" ht="25.15" customHeight="1" x14ac:dyDescent="0.25">
      <c r="A94" s="88"/>
      <c r="B94"/>
      <c r="C94"/>
      <c r="D94"/>
      <c r="E94"/>
      <c r="F94"/>
      <c r="G94"/>
      <c r="H94" s="88"/>
      <c r="I94" s="88"/>
      <c r="J94" s="88"/>
      <c r="K94" s="88"/>
      <c r="L94" s="88"/>
      <c r="M94" s="88"/>
      <c r="N94" s="88"/>
      <c r="O94" s="88"/>
      <c r="P94" s="88"/>
      <c r="Q94" s="88"/>
      <c r="R94" s="88"/>
      <c r="S94" s="88"/>
      <c r="T94" s="88"/>
      <c r="U94" s="88"/>
      <c r="V94" s="88"/>
      <c r="W94" s="88"/>
      <c r="X94" s="88"/>
      <c r="Y94" s="88"/>
      <c r="Z94" s="88"/>
      <c r="AA94" s="88"/>
      <c r="AB94" s="88"/>
      <c r="AC94" s="88"/>
    </row>
    <row r="95" spans="1:29" ht="25.15" customHeight="1" x14ac:dyDescent="0.25">
      <c r="A95" s="88"/>
      <c r="B95"/>
      <c r="C95"/>
      <c r="D95"/>
      <c r="E95"/>
      <c r="F95"/>
      <c r="G95"/>
      <c r="H95" s="88"/>
      <c r="I95" s="88"/>
      <c r="J95" s="88"/>
      <c r="K95" s="88"/>
      <c r="L95" s="88"/>
      <c r="M95" s="88"/>
      <c r="N95" s="88"/>
      <c r="O95" s="88"/>
      <c r="P95" s="88"/>
      <c r="Q95" s="88"/>
      <c r="R95" s="88"/>
      <c r="S95" s="88"/>
      <c r="T95" s="88"/>
      <c r="U95" s="88"/>
      <c r="V95" s="88"/>
      <c r="W95" s="88"/>
      <c r="X95" s="88"/>
      <c r="Y95" s="88"/>
      <c r="Z95" s="88"/>
      <c r="AA95" s="88"/>
      <c r="AB95" s="88"/>
      <c r="AC95" s="88"/>
    </row>
    <row r="96" spans="1:29" ht="25.15" customHeight="1" x14ac:dyDescent="0.25">
      <c r="A96" s="88"/>
      <c r="B96"/>
      <c r="C96"/>
      <c r="D96"/>
      <c r="E96"/>
      <c r="F96"/>
      <c r="G96"/>
      <c r="H96" s="88"/>
      <c r="I96" s="88"/>
      <c r="J96" s="88"/>
      <c r="K96" s="88"/>
      <c r="L96" s="88"/>
      <c r="M96" s="88"/>
      <c r="N96" s="88"/>
      <c r="O96" s="88"/>
      <c r="P96" s="88"/>
      <c r="Q96" s="88"/>
      <c r="R96" s="88"/>
      <c r="S96" s="88"/>
      <c r="T96" s="88"/>
      <c r="U96" s="88"/>
      <c r="V96" s="88"/>
      <c r="W96" s="88"/>
      <c r="X96" s="88"/>
      <c r="Y96" s="88"/>
      <c r="Z96" s="88"/>
      <c r="AA96" s="88"/>
      <c r="AB96" s="88"/>
      <c r="AC96" s="88"/>
    </row>
    <row r="97" spans="1:29" ht="25.15" customHeight="1" x14ac:dyDescent="0.25">
      <c r="A97" s="88"/>
      <c r="B97"/>
      <c r="C97"/>
      <c r="D97"/>
      <c r="E97"/>
      <c r="F97"/>
      <c r="G97"/>
      <c r="H97" s="88"/>
      <c r="I97" s="88"/>
      <c r="J97" s="88"/>
      <c r="K97" s="88"/>
      <c r="L97" s="88"/>
      <c r="M97" s="88"/>
      <c r="N97" s="88"/>
      <c r="O97" s="88"/>
      <c r="P97" s="88"/>
      <c r="Q97" s="88"/>
      <c r="R97" s="88"/>
      <c r="S97" s="88"/>
      <c r="T97" s="88"/>
      <c r="U97" s="88"/>
      <c r="V97" s="88"/>
      <c r="W97" s="88"/>
      <c r="X97" s="88"/>
      <c r="Y97" s="88"/>
      <c r="Z97" s="88"/>
      <c r="AA97" s="88"/>
      <c r="AB97" s="88"/>
      <c r="AC97" s="88"/>
    </row>
    <row r="98" spans="1:29" ht="25.15" customHeight="1" x14ac:dyDescent="0.25">
      <c r="A98" s="88"/>
      <c r="B98"/>
      <c r="C98"/>
      <c r="D98"/>
      <c r="E98"/>
      <c r="F98"/>
      <c r="G98"/>
      <c r="H98" s="88"/>
      <c r="I98" s="88"/>
      <c r="J98" s="88"/>
      <c r="K98" s="88"/>
      <c r="L98" s="88"/>
      <c r="M98" s="88"/>
      <c r="N98" s="88"/>
      <c r="O98" s="88"/>
      <c r="P98" s="88"/>
      <c r="Q98" s="88"/>
      <c r="R98" s="88"/>
      <c r="S98" s="88"/>
      <c r="T98" s="88"/>
      <c r="U98" s="88"/>
      <c r="V98" s="88"/>
      <c r="W98" s="88"/>
      <c r="X98" s="88"/>
      <c r="Y98" s="88"/>
      <c r="Z98" s="88"/>
      <c r="AA98" s="88"/>
      <c r="AB98" s="88"/>
      <c r="AC98" s="88"/>
    </row>
    <row r="99" spans="1:29" ht="25.15" customHeight="1" x14ac:dyDescent="0.25">
      <c r="A99" s="88"/>
      <c r="B99"/>
      <c r="C99"/>
      <c r="D99"/>
      <c r="E99"/>
      <c r="F99"/>
      <c r="G99"/>
      <c r="H99" s="88"/>
      <c r="I99" s="88"/>
      <c r="J99" s="88"/>
      <c r="K99" s="88"/>
      <c r="L99" s="88"/>
      <c r="M99" s="88"/>
      <c r="N99" s="88"/>
      <c r="O99" s="88"/>
      <c r="P99" s="88"/>
      <c r="Q99" s="88"/>
      <c r="R99" s="88"/>
      <c r="S99" s="88"/>
      <c r="T99" s="88"/>
      <c r="U99" s="88"/>
      <c r="V99" s="88"/>
      <c r="W99" s="88"/>
      <c r="X99" s="88"/>
      <c r="Y99" s="88"/>
      <c r="Z99" s="88"/>
      <c r="AA99" s="88"/>
      <c r="AB99" s="88"/>
      <c r="AC99" s="88"/>
    </row>
    <row r="100" spans="1:29" ht="25.15" customHeight="1" x14ac:dyDescent="0.25">
      <c r="A100" s="88"/>
      <c r="B100"/>
      <c r="C100"/>
      <c r="D100"/>
      <c r="E100"/>
      <c r="F100"/>
      <c r="G100"/>
      <c r="H100" s="88"/>
      <c r="I100" s="88"/>
      <c r="J100" s="88"/>
      <c r="K100" s="88"/>
      <c r="L100" s="88"/>
      <c r="M100" s="88"/>
      <c r="N100" s="88"/>
      <c r="O100" s="88"/>
      <c r="P100" s="88"/>
      <c r="Q100" s="88"/>
      <c r="R100" s="88"/>
      <c r="S100" s="88"/>
      <c r="T100" s="88"/>
      <c r="U100" s="88"/>
      <c r="V100" s="88"/>
      <c r="W100" s="88"/>
      <c r="X100" s="88"/>
      <c r="Y100" s="88"/>
      <c r="Z100" s="88"/>
      <c r="AA100" s="88"/>
      <c r="AB100" s="88"/>
      <c r="AC100" s="88"/>
    </row>
    <row r="101" spans="1:29" ht="25.15" customHeight="1" x14ac:dyDescent="0.25">
      <c r="A101" s="88"/>
      <c r="B101"/>
      <c r="C101"/>
      <c r="D101"/>
      <c r="E101"/>
      <c r="F101"/>
      <c r="G101"/>
      <c r="H101" s="88"/>
      <c r="I101" s="88"/>
      <c r="J101" s="88"/>
      <c r="K101" s="88"/>
      <c r="L101" s="88"/>
      <c r="M101" s="88"/>
      <c r="N101" s="88"/>
      <c r="O101" s="88"/>
      <c r="P101" s="88"/>
      <c r="Q101" s="88"/>
      <c r="R101" s="88"/>
      <c r="S101" s="88"/>
      <c r="T101" s="88"/>
      <c r="U101" s="88"/>
      <c r="V101" s="88"/>
      <c r="W101" s="88"/>
      <c r="X101" s="88"/>
      <c r="Y101" s="88"/>
      <c r="Z101" s="88"/>
      <c r="AA101" s="88"/>
      <c r="AB101" s="88"/>
      <c r="AC101" s="88"/>
    </row>
    <row r="102" spans="1:29" ht="25.15" customHeight="1" x14ac:dyDescent="0.25">
      <c r="A102" s="88"/>
      <c r="B102"/>
      <c r="C102"/>
      <c r="D102"/>
      <c r="E102"/>
      <c r="F102"/>
      <c r="G102"/>
      <c r="H102" s="88"/>
      <c r="I102" s="88"/>
      <c r="J102" s="88"/>
      <c r="K102" s="88"/>
      <c r="L102" s="88"/>
      <c r="M102" s="88"/>
      <c r="N102" s="88"/>
      <c r="O102" s="88"/>
      <c r="P102" s="88"/>
      <c r="Q102" s="88"/>
      <c r="R102" s="88"/>
      <c r="S102" s="88"/>
      <c r="T102" s="88"/>
      <c r="U102" s="88"/>
      <c r="V102" s="88"/>
      <c r="W102" s="88"/>
      <c r="X102" s="88"/>
      <c r="Y102" s="88"/>
      <c r="Z102" s="88"/>
      <c r="AA102" s="88"/>
      <c r="AB102" s="88"/>
      <c r="AC102" s="88"/>
    </row>
    <row r="103" spans="1:29" ht="25.15" customHeight="1" x14ac:dyDescent="0.25">
      <c r="A103" s="88"/>
      <c r="B103"/>
      <c r="C103"/>
      <c r="D103"/>
      <c r="E103"/>
      <c r="F103"/>
      <c r="G103"/>
      <c r="H103" s="88"/>
      <c r="I103" s="88"/>
      <c r="J103" s="88"/>
      <c r="K103" s="88"/>
      <c r="L103" s="88"/>
      <c r="M103" s="88"/>
      <c r="N103" s="88"/>
      <c r="O103" s="88"/>
      <c r="P103" s="88"/>
      <c r="Q103" s="88"/>
      <c r="R103" s="88"/>
      <c r="S103" s="88"/>
      <c r="T103" s="88"/>
      <c r="U103" s="88"/>
      <c r="V103" s="88"/>
      <c r="W103" s="88"/>
      <c r="X103" s="88"/>
      <c r="Y103" s="88"/>
      <c r="Z103" s="88"/>
      <c r="AA103" s="88"/>
      <c r="AB103" s="88"/>
      <c r="AC103" s="88"/>
    </row>
    <row r="104" spans="1:29" ht="25.15" customHeight="1" x14ac:dyDescent="0.25">
      <c r="A104" s="88"/>
      <c r="B104"/>
      <c r="C104"/>
      <c r="D104"/>
      <c r="E104"/>
      <c r="F104"/>
      <c r="G104"/>
      <c r="H104" s="88"/>
      <c r="I104" s="88"/>
      <c r="J104" s="88"/>
      <c r="K104" s="88"/>
      <c r="L104" s="88"/>
      <c r="M104" s="88"/>
      <c r="N104" s="88"/>
      <c r="O104" s="88"/>
      <c r="P104" s="88"/>
      <c r="Q104" s="88"/>
      <c r="R104" s="88"/>
      <c r="S104" s="88"/>
      <c r="T104" s="88"/>
      <c r="U104" s="88"/>
      <c r="V104" s="88"/>
      <c r="W104" s="88"/>
      <c r="X104" s="88"/>
      <c r="Y104" s="88"/>
      <c r="Z104" s="88"/>
      <c r="AA104" s="88"/>
      <c r="AB104" s="88"/>
      <c r="AC104" s="88"/>
    </row>
    <row r="105" spans="1:29" ht="25.15" customHeight="1" x14ac:dyDescent="0.25">
      <c r="A105" s="88"/>
      <c r="B105"/>
      <c r="C105"/>
      <c r="D105"/>
      <c r="E105"/>
      <c r="F105"/>
      <c r="G105"/>
      <c r="H105" s="88"/>
      <c r="I105" s="88"/>
      <c r="J105" s="88"/>
      <c r="K105" s="88"/>
      <c r="L105" s="88"/>
      <c r="M105" s="88"/>
      <c r="N105" s="88"/>
      <c r="O105" s="88"/>
      <c r="P105" s="88"/>
      <c r="Q105" s="88"/>
      <c r="R105" s="88"/>
      <c r="S105" s="88"/>
      <c r="T105" s="88"/>
      <c r="U105" s="88"/>
      <c r="V105" s="88"/>
      <c r="W105" s="88"/>
      <c r="X105" s="88"/>
      <c r="Y105" s="88"/>
      <c r="Z105" s="88"/>
      <c r="AA105" s="88"/>
      <c r="AB105" s="88"/>
      <c r="AC105" s="88"/>
    </row>
    <row r="106" spans="1:29" ht="25.15" customHeight="1" x14ac:dyDescent="0.25">
      <c r="A106" s="88"/>
      <c r="B106"/>
      <c r="C106"/>
      <c r="D106"/>
      <c r="E106"/>
      <c r="F106"/>
      <c r="G106"/>
      <c r="H106" s="88"/>
      <c r="I106" s="88"/>
      <c r="J106" s="88"/>
      <c r="K106" s="88"/>
      <c r="L106" s="88"/>
      <c r="M106" s="88"/>
      <c r="N106" s="88"/>
      <c r="O106" s="88"/>
      <c r="P106" s="88"/>
      <c r="Q106" s="88"/>
      <c r="R106" s="88"/>
      <c r="S106" s="88"/>
      <c r="T106" s="88"/>
      <c r="U106" s="88"/>
      <c r="V106" s="88"/>
      <c r="W106" s="88"/>
      <c r="X106" s="88"/>
      <c r="Y106" s="88"/>
      <c r="Z106" s="88"/>
      <c r="AA106" s="88"/>
      <c r="AB106" s="88"/>
      <c r="AC106" s="88"/>
    </row>
    <row r="107" spans="1:29" ht="25.15" customHeight="1" x14ac:dyDescent="0.25">
      <c r="A107" s="88"/>
      <c r="B107"/>
      <c r="C107"/>
      <c r="D107"/>
      <c r="E107"/>
      <c r="F107"/>
      <c r="G107"/>
      <c r="H107" s="88"/>
      <c r="I107" s="88"/>
      <c r="J107" s="88"/>
      <c r="K107" s="88"/>
      <c r="L107" s="88"/>
      <c r="M107" s="88"/>
      <c r="N107" s="88"/>
      <c r="O107" s="88"/>
      <c r="P107" s="88"/>
      <c r="Q107" s="88"/>
      <c r="R107" s="88"/>
      <c r="S107" s="88"/>
      <c r="T107" s="88"/>
      <c r="U107" s="88"/>
      <c r="V107" s="88"/>
      <c r="W107" s="88"/>
      <c r="X107" s="88"/>
      <c r="Y107" s="88"/>
      <c r="Z107" s="88"/>
      <c r="AA107" s="88"/>
      <c r="AB107" s="88"/>
      <c r="AC107" s="88"/>
    </row>
    <row r="108" spans="1:29" ht="25.15" customHeight="1" x14ac:dyDescent="0.25">
      <c r="A108" s="88"/>
      <c r="B108"/>
      <c r="C108"/>
      <c r="D108"/>
      <c r="E108"/>
      <c r="F108"/>
      <c r="G108"/>
      <c r="H108" s="88"/>
      <c r="I108" s="88"/>
      <c r="J108" s="88"/>
      <c r="K108" s="88"/>
      <c r="L108" s="88"/>
      <c r="M108" s="88"/>
      <c r="N108" s="88"/>
      <c r="O108" s="88"/>
      <c r="P108" s="88"/>
      <c r="Q108" s="88"/>
      <c r="R108" s="88"/>
      <c r="S108" s="88"/>
      <c r="T108" s="88"/>
      <c r="U108" s="88"/>
      <c r="V108" s="88"/>
      <c r="W108" s="88"/>
      <c r="X108" s="88"/>
      <c r="Y108" s="88"/>
      <c r="Z108" s="88"/>
      <c r="AA108" s="88"/>
      <c r="AB108" s="88"/>
      <c r="AC108" s="88"/>
    </row>
    <row r="109" spans="1:29" ht="25.15" customHeight="1" x14ac:dyDescent="0.25">
      <c r="A109" s="88"/>
      <c r="B109"/>
      <c r="C109"/>
      <c r="D109"/>
      <c r="E109"/>
      <c r="F109"/>
      <c r="G109"/>
      <c r="H109" s="88"/>
      <c r="I109" s="88"/>
      <c r="J109" s="88"/>
      <c r="K109" s="88"/>
      <c r="L109" s="88"/>
      <c r="M109" s="88"/>
      <c r="N109" s="88"/>
      <c r="O109" s="88"/>
      <c r="P109" s="88"/>
      <c r="Q109" s="88"/>
      <c r="R109" s="88"/>
      <c r="S109" s="88"/>
      <c r="T109" s="88"/>
      <c r="U109" s="88"/>
      <c r="V109" s="88"/>
      <c r="W109" s="88"/>
      <c r="X109" s="88"/>
      <c r="Y109" s="88"/>
      <c r="Z109" s="88"/>
      <c r="AA109" s="88"/>
      <c r="AB109" s="88"/>
      <c r="AC109" s="88"/>
    </row>
    <row r="110" spans="1:29" ht="25.15" customHeight="1" x14ac:dyDescent="0.25">
      <c r="A110" s="88"/>
      <c r="B110"/>
      <c r="C110"/>
      <c r="D110"/>
      <c r="E110"/>
      <c r="F110"/>
      <c r="G110"/>
      <c r="H110" s="88"/>
      <c r="I110" s="88"/>
      <c r="J110" s="88"/>
      <c r="K110" s="88"/>
      <c r="L110" s="88"/>
      <c r="M110" s="88"/>
      <c r="N110" s="88"/>
      <c r="O110" s="88"/>
      <c r="P110" s="88"/>
      <c r="Q110" s="88"/>
      <c r="R110" s="88"/>
      <c r="S110" s="88"/>
      <c r="T110" s="88"/>
      <c r="U110" s="88"/>
      <c r="V110" s="88"/>
      <c r="W110" s="88"/>
      <c r="X110" s="88"/>
      <c r="Y110" s="88"/>
      <c r="Z110" s="88"/>
      <c r="AA110" s="88"/>
      <c r="AB110" s="88"/>
      <c r="AC110" s="88"/>
    </row>
    <row r="111" spans="1:29" ht="25.15" customHeight="1" x14ac:dyDescent="0.25">
      <c r="A111" s="88"/>
      <c r="B111"/>
      <c r="C111"/>
      <c r="D111"/>
      <c r="E111"/>
      <c r="F111"/>
      <c r="G111"/>
      <c r="H111" s="88"/>
      <c r="I111" s="88"/>
      <c r="J111" s="88"/>
      <c r="K111" s="88"/>
      <c r="L111" s="88"/>
      <c r="M111" s="88"/>
      <c r="N111" s="88"/>
      <c r="O111" s="88"/>
      <c r="P111" s="88"/>
      <c r="Q111" s="88"/>
      <c r="R111" s="88"/>
      <c r="S111" s="88"/>
      <c r="T111" s="88"/>
      <c r="U111" s="88"/>
      <c r="V111" s="88"/>
      <c r="W111" s="88"/>
      <c r="X111" s="88"/>
      <c r="Y111" s="88"/>
      <c r="Z111" s="88"/>
      <c r="AA111" s="88"/>
      <c r="AB111" s="88"/>
      <c r="AC111" s="88"/>
    </row>
    <row r="112" spans="1:29" ht="25.15" customHeight="1" x14ac:dyDescent="0.25">
      <c r="A112" s="88"/>
      <c r="B112"/>
      <c r="C112"/>
      <c r="D112"/>
      <c r="E112"/>
      <c r="F112"/>
      <c r="G112"/>
      <c r="H112" s="88"/>
      <c r="I112" s="88"/>
      <c r="J112" s="88"/>
      <c r="K112" s="88"/>
      <c r="L112" s="88"/>
      <c r="M112" s="88"/>
      <c r="N112" s="88"/>
      <c r="O112" s="88"/>
      <c r="P112" s="88"/>
      <c r="Q112" s="88"/>
      <c r="R112" s="88"/>
      <c r="S112" s="88"/>
      <c r="T112" s="88"/>
      <c r="U112" s="88"/>
      <c r="V112" s="88"/>
      <c r="W112" s="88"/>
      <c r="X112" s="88"/>
      <c r="Y112" s="88"/>
      <c r="Z112" s="88"/>
      <c r="AA112" s="88"/>
      <c r="AB112" s="88"/>
      <c r="AC112" s="88"/>
    </row>
    <row r="113" spans="1:29" ht="25.15" customHeight="1" x14ac:dyDescent="0.25">
      <c r="A113" s="88"/>
      <c r="B113"/>
      <c r="C113"/>
      <c r="D113"/>
      <c r="E113"/>
      <c r="F113"/>
      <c r="G113"/>
      <c r="H113" s="88"/>
      <c r="I113" s="88"/>
      <c r="J113" s="88"/>
      <c r="K113" s="88"/>
      <c r="L113" s="88"/>
      <c r="M113" s="88"/>
      <c r="N113" s="88"/>
      <c r="O113" s="88"/>
      <c r="P113" s="88"/>
      <c r="Q113" s="88"/>
      <c r="R113" s="88"/>
      <c r="S113" s="88"/>
      <c r="T113" s="88"/>
      <c r="U113" s="88"/>
      <c r="V113" s="88"/>
      <c r="W113" s="88"/>
      <c r="X113" s="88"/>
      <c r="Y113" s="88"/>
      <c r="Z113" s="88"/>
      <c r="AA113" s="88"/>
      <c r="AB113" s="88"/>
      <c r="AC113" s="88"/>
    </row>
    <row r="114" spans="1:29" ht="25.15" customHeight="1" x14ac:dyDescent="0.25">
      <c r="A114" s="88"/>
      <c r="B114"/>
      <c r="C114"/>
      <c r="D114"/>
      <c r="E114"/>
      <c r="F114"/>
      <c r="G114"/>
      <c r="H114" s="88"/>
      <c r="I114" s="88"/>
      <c r="J114" s="88"/>
      <c r="K114" s="88"/>
      <c r="L114" s="88"/>
      <c r="M114" s="88"/>
      <c r="N114" s="88"/>
      <c r="O114" s="88"/>
      <c r="P114" s="88"/>
      <c r="Q114" s="88"/>
      <c r="R114" s="88"/>
      <c r="S114" s="88"/>
      <c r="T114" s="88"/>
      <c r="U114" s="88"/>
      <c r="V114" s="88"/>
      <c r="W114" s="88"/>
      <c r="X114" s="88"/>
      <c r="Y114" s="88"/>
      <c r="Z114" s="88"/>
      <c r="AA114" s="88"/>
      <c r="AB114" s="88"/>
      <c r="AC114" s="88"/>
    </row>
    <row r="115" spans="1:29" ht="25.15" customHeight="1" x14ac:dyDescent="0.25">
      <c r="A115" s="88"/>
      <c r="B115"/>
      <c r="C115"/>
      <c r="D115"/>
      <c r="E115"/>
      <c r="F115"/>
      <c r="G115"/>
      <c r="H115" s="88"/>
      <c r="I115" s="88"/>
      <c r="J115" s="88"/>
      <c r="K115" s="88"/>
      <c r="L115" s="88"/>
      <c r="M115" s="88"/>
      <c r="N115" s="88"/>
      <c r="O115" s="88"/>
      <c r="P115" s="88"/>
      <c r="Q115" s="88"/>
      <c r="R115" s="88"/>
      <c r="S115" s="88"/>
      <c r="T115" s="88"/>
      <c r="U115" s="88"/>
      <c r="V115" s="88"/>
      <c r="W115" s="88"/>
      <c r="X115" s="88"/>
      <c r="Y115" s="88"/>
      <c r="Z115" s="88"/>
      <c r="AA115" s="88"/>
      <c r="AB115" s="88"/>
      <c r="AC115" s="88"/>
    </row>
    <row r="116" spans="1:29" ht="25.15" customHeight="1" x14ac:dyDescent="0.25">
      <c r="A116" s="88"/>
      <c r="B116"/>
      <c r="C116"/>
      <c r="D116"/>
      <c r="E116"/>
      <c r="F116"/>
      <c r="G116"/>
      <c r="H116" s="88"/>
      <c r="I116" s="88"/>
      <c r="J116" s="88"/>
      <c r="K116" s="88"/>
      <c r="L116" s="88"/>
      <c r="M116" s="88"/>
      <c r="N116" s="88"/>
      <c r="O116" s="88"/>
      <c r="P116" s="88"/>
      <c r="Q116" s="88"/>
      <c r="R116" s="88"/>
      <c r="S116" s="88"/>
      <c r="T116" s="88"/>
      <c r="U116" s="88"/>
      <c r="V116" s="88"/>
      <c r="W116" s="88"/>
      <c r="X116" s="88"/>
      <c r="Y116" s="88"/>
      <c r="Z116" s="88"/>
      <c r="AA116" s="88"/>
      <c r="AB116" s="88"/>
      <c r="AC116" s="88"/>
    </row>
    <row r="117" spans="1:29" ht="25.15" customHeight="1" x14ac:dyDescent="0.25">
      <c r="A117" s="88"/>
      <c r="B117"/>
      <c r="C117"/>
      <c r="D117"/>
      <c r="E117"/>
      <c r="F117"/>
      <c r="G117"/>
      <c r="H117" s="88"/>
      <c r="I117" s="88"/>
      <c r="J117" s="88"/>
      <c r="K117" s="88"/>
      <c r="L117" s="88"/>
      <c r="M117" s="88"/>
      <c r="N117" s="88"/>
      <c r="O117" s="88"/>
      <c r="P117" s="88"/>
      <c r="Q117" s="88"/>
      <c r="R117" s="88"/>
      <c r="S117" s="88"/>
      <c r="T117" s="88"/>
      <c r="U117" s="88"/>
      <c r="V117" s="88"/>
      <c r="W117" s="88"/>
      <c r="X117" s="88"/>
      <c r="Y117" s="88"/>
      <c r="Z117" s="88"/>
      <c r="AA117" s="88"/>
      <c r="AB117" s="88"/>
      <c r="AC117" s="88"/>
    </row>
    <row r="118" spans="1:29" ht="25.15" customHeight="1" x14ac:dyDescent="0.25">
      <c r="A118" s="88"/>
      <c r="B118"/>
      <c r="C118"/>
      <c r="D118"/>
      <c r="E118"/>
      <c r="F118"/>
      <c r="G118"/>
      <c r="H118" s="88"/>
      <c r="I118" s="88"/>
      <c r="J118" s="88"/>
      <c r="K118" s="88"/>
      <c r="L118" s="88"/>
      <c r="M118" s="88"/>
      <c r="N118" s="88"/>
      <c r="O118" s="88"/>
      <c r="P118" s="88"/>
      <c r="Q118" s="88"/>
      <c r="R118" s="88"/>
      <c r="S118" s="88"/>
      <c r="T118" s="88"/>
      <c r="U118" s="88"/>
      <c r="V118" s="88"/>
      <c r="W118" s="88"/>
      <c r="X118" s="88"/>
      <c r="Y118" s="88"/>
      <c r="Z118" s="88"/>
      <c r="AA118" s="88"/>
      <c r="AB118" s="88"/>
      <c r="AC118" s="88"/>
    </row>
    <row r="119" spans="1:29" ht="25.15" customHeight="1" x14ac:dyDescent="0.25">
      <c r="A119" s="88"/>
      <c r="B119"/>
      <c r="C119"/>
      <c r="D119"/>
      <c r="E119"/>
      <c r="F119"/>
      <c r="G119"/>
      <c r="H119" s="88"/>
      <c r="I119" s="88"/>
      <c r="J119" s="88"/>
      <c r="K119" s="88"/>
      <c r="L119" s="88"/>
      <c r="M119" s="88"/>
      <c r="N119" s="88"/>
      <c r="O119" s="88"/>
      <c r="P119" s="88"/>
      <c r="Q119" s="88"/>
      <c r="R119" s="88"/>
      <c r="S119" s="88"/>
      <c r="T119" s="88"/>
      <c r="U119" s="88"/>
      <c r="V119" s="88"/>
      <c r="W119" s="88"/>
      <c r="X119" s="88"/>
      <c r="Y119" s="88"/>
      <c r="Z119" s="88"/>
      <c r="AA119" s="88"/>
      <c r="AB119" s="88"/>
      <c r="AC119" s="88"/>
    </row>
    <row r="120" spans="1:29" ht="25.15" customHeight="1" x14ac:dyDescent="0.25">
      <c r="A120" s="88"/>
      <c r="B120"/>
      <c r="C120"/>
      <c r="D120"/>
      <c r="E120"/>
      <c r="F120"/>
      <c r="G120"/>
      <c r="H120" s="88"/>
      <c r="I120" s="88"/>
      <c r="J120" s="88"/>
      <c r="K120" s="88"/>
      <c r="L120" s="88"/>
      <c r="M120" s="88"/>
      <c r="N120" s="88"/>
      <c r="O120" s="88"/>
      <c r="P120" s="88"/>
      <c r="Q120" s="88"/>
      <c r="R120" s="88"/>
      <c r="S120" s="88"/>
      <c r="T120" s="88"/>
      <c r="U120" s="88"/>
      <c r="V120" s="88"/>
      <c r="W120" s="88"/>
      <c r="X120" s="88"/>
      <c r="Y120" s="88"/>
      <c r="Z120" s="88"/>
      <c r="AA120" s="88"/>
      <c r="AB120" s="88"/>
      <c r="AC120" s="88"/>
    </row>
    <row r="121" spans="1:29" ht="25.15" customHeight="1" x14ac:dyDescent="0.25">
      <c r="A121" s="88"/>
      <c r="B121"/>
      <c r="C121"/>
      <c r="D121"/>
      <c r="E121"/>
      <c r="F121"/>
      <c r="G121"/>
      <c r="H121" s="88"/>
      <c r="I121" s="88"/>
      <c r="J121" s="88"/>
      <c r="K121" s="88"/>
      <c r="L121" s="88"/>
      <c r="M121" s="88"/>
      <c r="N121" s="88"/>
      <c r="O121" s="88"/>
      <c r="P121" s="88"/>
      <c r="Q121" s="88"/>
      <c r="R121" s="88"/>
      <c r="S121" s="88"/>
      <c r="T121" s="88"/>
      <c r="U121" s="88"/>
      <c r="V121" s="88"/>
      <c r="W121" s="88"/>
      <c r="X121" s="88"/>
      <c r="Y121" s="88"/>
      <c r="Z121" s="88"/>
      <c r="AA121" s="88"/>
      <c r="AB121" s="88"/>
      <c r="AC121" s="88"/>
    </row>
    <row r="122" spans="1:29" ht="25.15" customHeight="1" x14ac:dyDescent="0.25">
      <c r="A122" s="88"/>
      <c r="B122"/>
      <c r="C122"/>
      <c r="D122"/>
      <c r="E122"/>
      <c r="F122"/>
      <c r="G122"/>
      <c r="H122" s="88"/>
      <c r="I122" s="88"/>
      <c r="J122" s="88"/>
      <c r="K122" s="88"/>
      <c r="L122" s="88"/>
      <c r="M122" s="88"/>
      <c r="N122" s="88"/>
      <c r="O122" s="88"/>
      <c r="P122" s="88"/>
      <c r="Q122" s="88"/>
      <c r="R122" s="88"/>
      <c r="S122" s="88"/>
      <c r="T122" s="88"/>
      <c r="U122" s="88"/>
      <c r="V122" s="88"/>
      <c r="W122" s="88"/>
      <c r="X122" s="88"/>
      <c r="Y122" s="88"/>
      <c r="Z122" s="88"/>
      <c r="AA122" s="88"/>
      <c r="AB122" s="88"/>
      <c r="AC122" s="88"/>
    </row>
    <row r="123" spans="1:29" ht="25.15" customHeight="1" x14ac:dyDescent="0.25">
      <c r="A123" s="88"/>
      <c r="B123"/>
      <c r="C123"/>
      <c r="D123"/>
      <c r="E123"/>
      <c r="F123"/>
      <c r="G123"/>
      <c r="H123" s="88"/>
      <c r="I123" s="88"/>
      <c r="J123" s="88"/>
      <c r="K123" s="88"/>
      <c r="L123" s="88"/>
      <c r="M123" s="88"/>
      <c r="N123" s="88"/>
      <c r="O123" s="88"/>
      <c r="P123" s="88"/>
      <c r="Q123" s="88"/>
      <c r="R123" s="88"/>
      <c r="S123" s="88"/>
      <c r="T123" s="88"/>
      <c r="U123" s="88"/>
      <c r="V123" s="88"/>
      <c r="W123" s="88"/>
      <c r="X123" s="88"/>
      <c r="Y123" s="88"/>
      <c r="Z123" s="88"/>
      <c r="AA123" s="88"/>
      <c r="AB123" s="88"/>
      <c r="AC123" s="88"/>
    </row>
    <row r="124" spans="1:29" ht="25.15" customHeight="1" x14ac:dyDescent="0.25">
      <c r="A124" s="88"/>
      <c r="B124"/>
      <c r="C124"/>
      <c r="D124"/>
      <c r="E124"/>
      <c r="F124"/>
      <c r="G124"/>
      <c r="H124" s="88"/>
      <c r="I124" s="88"/>
      <c r="J124" s="88"/>
      <c r="K124" s="88"/>
      <c r="L124" s="88"/>
      <c r="M124" s="88"/>
      <c r="N124" s="88"/>
      <c r="O124" s="88"/>
      <c r="P124" s="88"/>
      <c r="Q124" s="88"/>
      <c r="R124" s="88"/>
      <c r="S124" s="88"/>
      <c r="T124" s="88"/>
      <c r="U124" s="88"/>
      <c r="V124" s="88"/>
      <c r="W124" s="88"/>
      <c r="X124" s="88"/>
      <c r="Y124" s="88"/>
      <c r="Z124" s="88"/>
      <c r="AA124" s="88"/>
      <c r="AB124" s="88"/>
      <c r="AC124" s="88"/>
    </row>
    <row r="125" spans="1:29" ht="25.15" customHeight="1" x14ac:dyDescent="0.25">
      <c r="A125" s="88"/>
      <c r="B125"/>
      <c r="C125"/>
      <c r="D125"/>
      <c r="E125"/>
      <c r="F125"/>
      <c r="G125"/>
      <c r="H125" s="88"/>
      <c r="I125" s="88"/>
      <c r="J125" s="88"/>
      <c r="K125" s="88"/>
      <c r="L125" s="88"/>
      <c r="M125" s="88"/>
      <c r="N125" s="88"/>
      <c r="O125" s="88"/>
      <c r="P125" s="88"/>
      <c r="Q125" s="88"/>
      <c r="R125" s="88"/>
      <c r="S125" s="88"/>
      <c r="T125" s="88"/>
      <c r="U125" s="88"/>
      <c r="V125" s="88"/>
      <c r="W125" s="88"/>
      <c r="X125" s="88"/>
      <c r="Y125" s="88"/>
      <c r="Z125" s="88"/>
      <c r="AA125" s="88"/>
      <c r="AB125" s="88"/>
      <c r="AC125" s="88"/>
    </row>
    <row r="126" spans="1:29" ht="25.15" customHeight="1" x14ac:dyDescent="0.25">
      <c r="A126" s="88"/>
      <c r="B126"/>
      <c r="C126"/>
      <c r="D126"/>
      <c r="E126"/>
      <c r="F126"/>
      <c r="G126"/>
      <c r="H126" s="88"/>
      <c r="I126" s="88"/>
      <c r="J126" s="88"/>
      <c r="K126" s="88"/>
      <c r="L126" s="88"/>
      <c r="M126" s="88"/>
      <c r="N126" s="88"/>
      <c r="O126" s="88"/>
      <c r="P126" s="88"/>
      <c r="Q126" s="88"/>
      <c r="R126" s="88"/>
      <c r="S126" s="88"/>
      <c r="T126" s="88"/>
      <c r="U126" s="88"/>
      <c r="V126" s="88"/>
      <c r="W126" s="88"/>
      <c r="X126" s="88"/>
      <c r="Y126" s="88"/>
      <c r="Z126" s="88"/>
      <c r="AA126" s="88"/>
      <c r="AB126" s="88"/>
      <c r="AC126" s="88"/>
    </row>
    <row r="127" spans="1:29" ht="25.15" customHeight="1" x14ac:dyDescent="0.25">
      <c r="A127" s="88"/>
      <c r="B127"/>
      <c r="C127"/>
      <c r="D127"/>
      <c r="E127"/>
      <c r="F127"/>
      <c r="G127"/>
      <c r="H127" s="88"/>
      <c r="I127" s="88"/>
      <c r="J127" s="88"/>
      <c r="K127" s="88"/>
      <c r="L127" s="88"/>
      <c r="M127" s="88"/>
      <c r="N127" s="88"/>
      <c r="O127" s="88"/>
      <c r="P127" s="88"/>
      <c r="Q127" s="88"/>
      <c r="R127" s="88"/>
      <c r="S127" s="88"/>
      <c r="T127" s="88"/>
      <c r="U127" s="88"/>
      <c r="V127" s="88"/>
      <c r="W127" s="88"/>
      <c r="X127" s="88"/>
      <c r="Y127" s="88"/>
      <c r="Z127" s="88"/>
      <c r="AA127" s="88"/>
      <c r="AB127" s="88"/>
      <c r="AC127" s="88"/>
    </row>
    <row r="128" spans="1:29" ht="25.15" customHeight="1" x14ac:dyDescent="0.25">
      <c r="A128" s="88"/>
      <c r="B128"/>
      <c r="C128"/>
      <c r="D128"/>
      <c r="E128"/>
      <c r="F128"/>
      <c r="G128"/>
      <c r="H128" s="88"/>
      <c r="I128" s="88"/>
      <c r="J128" s="88"/>
      <c r="K128" s="88"/>
      <c r="L128" s="88"/>
      <c r="M128" s="88"/>
      <c r="N128" s="88"/>
      <c r="O128" s="88"/>
      <c r="P128" s="88"/>
      <c r="Q128" s="88"/>
      <c r="R128" s="88"/>
      <c r="S128" s="88"/>
      <c r="T128" s="88"/>
      <c r="U128" s="88"/>
      <c r="V128" s="88"/>
      <c r="W128" s="88"/>
      <c r="X128" s="88"/>
      <c r="Y128" s="88"/>
      <c r="Z128" s="88"/>
      <c r="AA128" s="88"/>
      <c r="AB128" s="88"/>
      <c r="AC128" s="88"/>
    </row>
    <row r="129" spans="1:29" ht="25.15" customHeight="1" x14ac:dyDescent="0.25">
      <c r="A129" s="88"/>
      <c r="B129"/>
      <c r="C129"/>
      <c r="D129"/>
      <c r="E129"/>
      <c r="F129"/>
      <c r="G129"/>
      <c r="H129" s="88"/>
      <c r="I129" s="88"/>
      <c r="J129" s="88"/>
      <c r="K129" s="88"/>
      <c r="L129" s="88"/>
      <c r="M129" s="88"/>
      <c r="N129" s="88"/>
      <c r="O129" s="88"/>
      <c r="P129" s="88"/>
      <c r="Q129" s="88"/>
      <c r="R129" s="88"/>
      <c r="S129" s="88"/>
      <c r="T129" s="88"/>
      <c r="U129" s="88"/>
      <c r="V129" s="88"/>
      <c r="W129" s="88"/>
      <c r="X129" s="88"/>
      <c r="Y129" s="88"/>
      <c r="Z129" s="88"/>
      <c r="AA129" s="88"/>
      <c r="AB129" s="88"/>
      <c r="AC129" s="88"/>
    </row>
    <row r="130" spans="1:29" ht="25.15" customHeight="1" x14ac:dyDescent="0.25">
      <c r="A130" s="88"/>
      <c r="B130"/>
      <c r="C130"/>
      <c r="D130"/>
      <c r="E130"/>
      <c r="F130"/>
      <c r="G130"/>
      <c r="H130" s="88"/>
      <c r="I130" s="88"/>
      <c r="J130" s="88"/>
      <c r="K130" s="88"/>
      <c r="L130" s="88"/>
      <c r="M130" s="88"/>
      <c r="N130" s="88"/>
      <c r="O130" s="88"/>
      <c r="P130" s="88"/>
      <c r="Q130" s="88"/>
      <c r="R130" s="88"/>
      <c r="S130" s="88"/>
      <c r="T130" s="88"/>
      <c r="U130" s="88"/>
      <c r="V130" s="88"/>
      <c r="W130" s="88"/>
      <c r="X130" s="88"/>
      <c r="Y130" s="88"/>
      <c r="Z130" s="88"/>
      <c r="AA130" s="88"/>
      <c r="AB130" s="88"/>
      <c r="AC130" s="88"/>
    </row>
    <row r="131" spans="1:29" ht="25.15" customHeight="1" x14ac:dyDescent="0.25">
      <c r="A131" s="88"/>
      <c r="B131"/>
      <c r="C131"/>
      <c r="D131"/>
      <c r="E131"/>
      <c r="F131"/>
      <c r="G131"/>
      <c r="H131" s="88"/>
      <c r="I131" s="88"/>
      <c r="J131" s="88"/>
      <c r="K131" s="88"/>
      <c r="L131" s="88"/>
      <c r="M131" s="88"/>
      <c r="N131" s="88"/>
      <c r="O131" s="88"/>
      <c r="P131" s="88"/>
      <c r="Q131" s="88"/>
      <c r="R131" s="88"/>
      <c r="S131" s="88"/>
      <c r="T131" s="88"/>
      <c r="U131" s="88"/>
      <c r="V131" s="88"/>
      <c r="W131" s="88"/>
      <c r="X131" s="88"/>
      <c r="Y131" s="88"/>
      <c r="Z131" s="88"/>
      <c r="AA131" s="88"/>
      <c r="AB131" s="88"/>
      <c r="AC131" s="88"/>
    </row>
    <row r="132" spans="1:29" ht="25.15" customHeight="1" x14ac:dyDescent="0.25">
      <c r="A132" s="88"/>
      <c r="B132"/>
      <c r="C132"/>
      <c r="D132"/>
      <c r="E132"/>
      <c r="F132"/>
      <c r="G132"/>
      <c r="H132" s="88"/>
      <c r="I132" s="88"/>
      <c r="J132" s="88"/>
      <c r="K132" s="88"/>
      <c r="L132" s="88"/>
      <c r="M132" s="88"/>
      <c r="N132" s="88"/>
      <c r="O132" s="88"/>
      <c r="P132" s="88"/>
      <c r="Q132" s="88"/>
      <c r="R132" s="88"/>
      <c r="S132" s="88"/>
      <c r="T132" s="88"/>
      <c r="U132" s="88"/>
      <c r="V132" s="88"/>
      <c r="W132" s="88"/>
      <c r="X132" s="88"/>
      <c r="Y132" s="88"/>
      <c r="Z132" s="88"/>
      <c r="AA132" s="88"/>
      <c r="AB132" s="88"/>
      <c r="AC132" s="88"/>
    </row>
    <row r="133" spans="1:29" ht="25.15" customHeight="1" x14ac:dyDescent="0.25">
      <c r="A133" s="88"/>
      <c r="B133"/>
      <c r="C133"/>
      <c r="D133"/>
      <c r="E133"/>
      <c r="F133"/>
      <c r="G133"/>
      <c r="H133" s="88"/>
      <c r="I133" s="88"/>
      <c r="J133" s="88"/>
      <c r="K133" s="88"/>
      <c r="L133" s="88"/>
      <c r="M133" s="88"/>
      <c r="N133" s="88"/>
      <c r="O133" s="88"/>
      <c r="P133" s="88"/>
      <c r="Q133" s="88"/>
      <c r="R133" s="88"/>
      <c r="S133" s="88"/>
      <c r="T133" s="88"/>
      <c r="U133" s="88"/>
      <c r="V133" s="88"/>
      <c r="W133" s="88"/>
      <c r="X133" s="88"/>
      <c r="Y133" s="88"/>
      <c r="Z133" s="88"/>
      <c r="AA133" s="88"/>
      <c r="AB133" s="88"/>
      <c r="AC133" s="88"/>
    </row>
    <row r="134" spans="1:29" ht="25.15" customHeight="1" x14ac:dyDescent="0.25">
      <c r="A134" s="88"/>
      <c r="B134"/>
      <c r="C134"/>
      <c r="D134"/>
      <c r="E134"/>
      <c r="F134"/>
      <c r="G134"/>
      <c r="H134" s="88"/>
      <c r="I134" s="88"/>
      <c r="J134" s="88"/>
      <c r="K134" s="88"/>
      <c r="L134" s="88"/>
      <c r="M134" s="88"/>
      <c r="N134" s="88"/>
      <c r="O134" s="88"/>
      <c r="P134" s="88"/>
      <c r="Q134" s="88"/>
      <c r="R134" s="88"/>
      <c r="S134" s="88"/>
      <c r="T134" s="88"/>
      <c r="U134" s="88"/>
      <c r="V134" s="88"/>
      <c r="W134" s="88"/>
      <c r="X134" s="88"/>
      <c r="Y134" s="88"/>
      <c r="Z134" s="88"/>
      <c r="AA134" s="88"/>
      <c r="AB134" s="88"/>
      <c r="AC134" s="88"/>
    </row>
    <row r="135" spans="1:29" ht="25.15" customHeight="1" x14ac:dyDescent="0.25">
      <c r="A135" s="88"/>
      <c r="B135"/>
      <c r="C135"/>
      <c r="D135"/>
      <c r="E135"/>
      <c r="F135"/>
      <c r="G135"/>
      <c r="H135" s="88"/>
      <c r="I135" s="88"/>
      <c r="J135" s="88"/>
      <c r="K135" s="88"/>
      <c r="L135" s="88"/>
      <c r="M135" s="88"/>
      <c r="N135" s="88"/>
      <c r="O135" s="88"/>
      <c r="P135" s="88"/>
      <c r="Q135" s="88"/>
      <c r="R135" s="88"/>
      <c r="S135" s="88"/>
      <c r="T135" s="88"/>
      <c r="U135" s="88"/>
      <c r="V135" s="88"/>
      <c r="W135" s="88"/>
      <c r="X135" s="88"/>
      <c r="Y135" s="88"/>
      <c r="Z135" s="88"/>
      <c r="AA135" s="88"/>
      <c r="AB135" s="88"/>
      <c r="AC135" s="88"/>
    </row>
    <row r="136" spans="1:29" ht="25.15" customHeight="1" x14ac:dyDescent="0.25">
      <c r="A136" s="88"/>
      <c r="B136"/>
      <c r="C136"/>
      <c r="D136"/>
      <c r="E136"/>
      <c r="F136"/>
      <c r="G136"/>
      <c r="H136" s="88"/>
      <c r="I136" s="88"/>
      <c r="J136" s="88"/>
      <c r="K136" s="88"/>
      <c r="L136" s="88"/>
      <c r="M136" s="88"/>
      <c r="N136" s="88"/>
      <c r="O136" s="88"/>
      <c r="P136" s="88"/>
      <c r="Q136" s="88"/>
      <c r="R136" s="88"/>
      <c r="S136" s="88"/>
      <c r="T136" s="88"/>
      <c r="U136" s="88"/>
      <c r="V136" s="88"/>
      <c r="W136" s="88"/>
      <c r="X136" s="88"/>
      <c r="Y136" s="88"/>
      <c r="Z136" s="88"/>
      <c r="AA136" s="88"/>
      <c r="AB136" s="88"/>
      <c r="AC136" s="88"/>
    </row>
    <row r="137" spans="1:29" ht="25.15" customHeight="1" x14ac:dyDescent="0.25">
      <c r="A137" s="88"/>
      <c r="B137"/>
      <c r="C137"/>
      <c r="D137"/>
      <c r="E137"/>
      <c r="F137"/>
      <c r="G137"/>
      <c r="H137" s="88"/>
      <c r="I137" s="88"/>
      <c r="J137" s="88"/>
      <c r="K137" s="88"/>
      <c r="L137" s="88"/>
      <c r="M137" s="88"/>
      <c r="N137" s="88"/>
      <c r="O137" s="88"/>
      <c r="P137" s="88"/>
      <c r="Q137" s="88"/>
      <c r="R137" s="88"/>
      <c r="S137" s="88"/>
      <c r="T137" s="88"/>
      <c r="U137" s="88"/>
      <c r="V137" s="88"/>
      <c r="W137" s="88"/>
      <c r="X137" s="88"/>
      <c r="Y137" s="88"/>
      <c r="Z137" s="88"/>
      <c r="AA137" s="88"/>
      <c r="AB137" s="88"/>
      <c r="AC137" s="88"/>
    </row>
    <row r="138" spans="1:29" ht="25.15" customHeight="1" x14ac:dyDescent="0.25">
      <c r="A138" s="88"/>
      <c r="B138"/>
      <c r="C138"/>
      <c r="D138"/>
      <c r="E138"/>
      <c r="F138"/>
      <c r="G138"/>
      <c r="H138" s="88"/>
      <c r="I138" s="88"/>
      <c r="J138" s="88"/>
      <c r="K138" s="88"/>
      <c r="L138" s="88"/>
      <c r="M138" s="88"/>
      <c r="N138" s="88"/>
      <c r="O138" s="88"/>
      <c r="P138" s="88"/>
      <c r="Q138" s="88"/>
      <c r="R138" s="88"/>
      <c r="S138" s="88"/>
      <c r="T138" s="88"/>
      <c r="U138" s="88"/>
      <c r="V138" s="88"/>
      <c r="W138" s="88"/>
      <c r="X138" s="88"/>
      <c r="Y138" s="88"/>
      <c r="Z138" s="88"/>
      <c r="AA138" s="88"/>
      <c r="AB138" s="88"/>
      <c r="AC138" s="88"/>
    </row>
    <row r="139" spans="1:29" ht="25.15" customHeight="1" x14ac:dyDescent="0.25">
      <c r="A139" s="88"/>
      <c r="B139"/>
      <c r="C139"/>
      <c r="D139"/>
      <c r="E139"/>
      <c r="F139"/>
      <c r="G139"/>
      <c r="H139" s="88"/>
      <c r="I139" s="88"/>
      <c r="J139" s="88"/>
      <c r="K139" s="88"/>
      <c r="L139" s="88"/>
      <c r="M139" s="88"/>
      <c r="N139" s="88"/>
      <c r="O139" s="88"/>
      <c r="P139" s="88"/>
      <c r="Q139" s="88"/>
      <c r="R139" s="88"/>
      <c r="S139" s="88"/>
      <c r="T139" s="88"/>
      <c r="U139" s="88"/>
      <c r="V139" s="88"/>
      <c r="W139" s="88"/>
      <c r="X139" s="88"/>
      <c r="Y139" s="88"/>
      <c r="Z139" s="88"/>
      <c r="AA139" s="88"/>
      <c r="AB139" s="88"/>
      <c r="AC139" s="88"/>
    </row>
    <row r="140" spans="1:29" ht="25.15" customHeight="1" x14ac:dyDescent="0.25">
      <c r="A140" s="88"/>
      <c r="B140"/>
      <c r="C140"/>
      <c r="D140"/>
      <c r="E140"/>
      <c r="F140"/>
      <c r="G140"/>
      <c r="H140" s="88"/>
      <c r="I140" s="88"/>
      <c r="J140" s="88"/>
      <c r="K140" s="88"/>
      <c r="L140" s="88"/>
      <c r="M140" s="88"/>
      <c r="N140" s="88"/>
      <c r="O140" s="88"/>
      <c r="P140" s="88"/>
      <c r="Q140" s="88"/>
      <c r="R140" s="88"/>
      <c r="S140" s="88"/>
      <c r="T140" s="88"/>
      <c r="U140" s="88"/>
      <c r="V140" s="88"/>
      <c r="W140" s="88"/>
      <c r="X140" s="88"/>
      <c r="Y140" s="88"/>
      <c r="Z140" s="88"/>
      <c r="AA140" s="88"/>
      <c r="AB140" s="88"/>
      <c r="AC140" s="88"/>
    </row>
    <row r="141" spans="1:29" ht="25.15" customHeight="1" x14ac:dyDescent="0.25">
      <c r="A141" s="88"/>
      <c r="B141"/>
      <c r="C141"/>
      <c r="D141"/>
      <c r="E141"/>
      <c r="F141"/>
      <c r="G141"/>
      <c r="H141" s="88"/>
      <c r="I141" s="88"/>
      <c r="J141" s="88"/>
      <c r="K141" s="88"/>
      <c r="L141" s="88"/>
      <c r="M141" s="88"/>
      <c r="N141" s="88"/>
      <c r="O141" s="88"/>
      <c r="P141" s="88"/>
      <c r="Q141" s="88"/>
      <c r="R141" s="88"/>
      <c r="S141" s="88"/>
      <c r="T141" s="88"/>
      <c r="U141" s="88"/>
      <c r="V141" s="88"/>
      <c r="W141" s="88"/>
      <c r="X141" s="88"/>
      <c r="Y141" s="88"/>
      <c r="Z141" s="88"/>
      <c r="AA141" s="88"/>
      <c r="AB141" s="88"/>
      <c r="AC141" s="88"/>
    </row>
    <row r="142" spans="1:29" ht="25.15" customHeight="1" x14ac:dyDescent="0.25">
      <c r="A142" s="88"/>
      <c r="B142"/>
      <c r="C142"/>
      <c r="D142"/>
      <c r="E142"/>
      <c r="F142"/>
      <c r="G142"/>
      <c r="H142" s="88"/>
      <c r="I142" s="88"/>
      <c r="J142" s="88"/>
      <c r="K142" s="88"/>
      <c r="L142" s="88"/>
      <c r="M142" s="88"/>
      <c r="N142" s="88"/>
      <c r="O142" s="88"/>
      <c r="P142" s="88"/>
      <c r="Q142" s="88"/>
      <c r="R142" s="88"/>
      <c r="S142" s="88"/>
      <c r="T142" s="88"/>
      <c r="U142" s="88"/>
      <c r="V142" s="88"/>
      <c r="W142" s="88"/>
      <c r="X142" s="88"/>
      <c r="Y142" s="88"/>
      <c r="Z142" s="88"/>
      <c r="AA142" s="88"/>
      <c r="AB142" s="88"/>
      <c r="AC142" s="88"/>
    </row>
    <row r="143" spans="1:29" ht="25.15" customHeight="1" x14ac:dyDescent="0.25">
      <c r="A143" s="88"/>
      <c r="B143"/>
      <c r="C143"/>
      <c r="D143"/>
      <c r="E143"/>
      <c r="F143"/>
      <c r="G143"/>
      <c r="H143" s="88"/>
      <c r="I143" s="88"/>
      <c r="J143" s="88"/>
      <c r="K143" s="88"/>
      <c r="L143" s="88"/>
      <c r="M143" s="88"/>
      <c r="N143" s="88"/>
      <c r="O143" s="88"/>
      <c r="P143" s="88"/>
      <c r="Q143" s="88"/>
      <c r="R143" s="88"/>
      <c r="S143" s="88"/>
      <c r="T143" s="88"/>
      <c r="U143" s="88"/>
      <c r="V143" s="88"/>
      <c r="W143" s="88"/>
      <c r="X143" s="88"/>
      <c r="Y143" s="88"/>
      <c r="Z143" s="88"/>
      <c r="AA143" s="88"/>
      <c r="AB143" s="88"/>
      <c r="AC143" s="88"/>
    </row>
    <row r="144" spans="1:29" ht="25.15" customHeight="1" x14ac:dyDescent="0.25">
      <c r="A144" s="88"/>
      <c r="B144"/>
      <c r="C144"/>
      <c r="D144"/>
      <c r="E144"/>
      <c r="F144"/>
      <c r="G144"/>
      <c r="H144" s="88"/>
      <c r="I144" s="88"/>
      <c r="J144" s="88"/>
      <c r="K144" s="88"/>
      <c r="L144" s="88"/>
      <c r="M144" s="88"/>
      <c r="N144" s="88"/>
      <c r="O144" s="88"/>
      <c r="P144" s="88"/>
      <c r="Q144" s="88"/>
      <c r="R144" s="88"/>
      <c r="S144" s="88"/>
      <c r="T144" s="88"/>
      <c r="U144" s="88"/>
      <c r="V144" s="88"/>
      <c r="W144" s="88"/>
      <c r="X144" s="88"/>
      <c r="Y144" s="88"/>
      <c r="Z144" s="88"/>
      <c r="AA144" s="88"/>
      <c r="AB144" s="88"/>
      <c r="AC144" s="88"/>
    </row>
    <row r="145" spans="1:29" ht="25.15" customHeight="1" x14ac:dyDescent="0.25">
      <c r="A145" s="88"/>
      <c r="B145"/>
      <c r="C145"/>
      <c r="D145"/>
      <c r="E145"/>
      <c r="F145"/>
      <c r="G145"/>
      <c r="H145" s="88"/>
      <c r="I145" s="88"/>
      <c r="J145" s="88"/>
      <c r="K145" s="88"/>
      <c r="L145" s="88"/>
      <c r="M145" s="88"/>
      <c r="N145" s="88"/>
      <c r="O145" s="88"/>
      <c r="P145" s="88"/>
      <c r="Q145" s="88"/>
      <c r="R145" s="88"/>
      <c r="S145" s="88"/>
      <c r="T145" s="88"/>
      <c r="U145" s="88"/>
      <c r="V145" s="88"/>
      <c r="W145" s="88"/>
      <c r="X145" s="88"/>
      <c r="Y145" s="88"/>
      <c r="Z145" s="88"/>
      <c r="AA145" s="88"/>
      <c r="AB145" s="88"/>
      <c r="AC145" s="88"/>
    </row>
    <row r="146" spans="1:29" ht="25.15" customHeight="1" x14ac:dyDescent="0.25">
      <c r="A146" s="88"/>
      <c r="B146"/>
      <c r="C146"/>
      <c r="D146"/>
      <c r="E146"/>
      <c r="F146"/>
      <c r="G146"/>
      <c r="H146" s="88"/>
      <c r="I146" s="88"/>
      <c r="J146" s="88"/>
      <c r="K146" s="88"/>
      <c r="L146" s="88"/>
      <c r="M146" s="88"/>
      <c r="N146" s="88"/>
      <c r="O146" s="88"/>
      <c r="P146" s="88"/>
      <c r="Q146" s="88"/>
      <c r="R146" s="88"/>
      <c r="S146" s="88"/>
      <c r="T146" s="88"/>
      <c r="U146" s="88"/>
      <c r="V146" s="88"/>
      <c r="W146" s="88"/>
      <c r="X146" s="88"/>
      <c r="Y146" s="88"/>
      <c r="Z146" s="88"/>
      <c r="AA146" s="88"/>
      <c r="AB146" s="88"/>
      <c r="AC146" s="88"/>
    </row>
    <row r="147" spans="1:29" ht="25.15" customHeight="1" x14ac:dyDescent="0.25">
      <c r="A147" s="88"/>
      <c r="B147"/>
      <c r="C147"/>
      <c r="D147"/>
      <c r="E147"/>
      <c r="F147"/>
      <c r="G147"/>
      <c r="H147" s="88"/>
      <c r="I147" s="88"/>
      <c r="J147" s="88"/>
      <c r="K147" s="88"/>
      <c r="L147" s="88"/>
      <c r="M147" s="88"/>
      <c r="N147" s="88"/>
      <c r="O147" s="88"/>
      <c r="P147" s="88"/>
      <c r="Q147" s="88"/>
      <c r="R147" s="88"/>
      <c r="S147" s="88"/>
      <c r="T147" s="88"/>
      <c r="U147" s="88"/>
      <c r="V147" s="88"/>
      <c r="W147" s="88"/>
      <c r="X147" s="88"/>
      <c r="Y147" s="88"/>
      <c r="Z147" s="88"/>
      <c r="AA147" s="88"/>
      <c r="AB147" s="88"/>
      <c r="AC147" s="88"/>
    </row>
    <row r="148" spans="1:29" ht="25.15" customHeight="1" x14ac:dyDescent="0.25">
      <c r="A148" s="88"/>
      <c r="B148"/>
      <c r="C148"/>
      <c r="D148"/>
      <c r="E148"/>
      <c r="F148"/>
      <c r="G148"/>
      <c r="H148" s="88"/>
      <c r="I148" s="88"/>
      <c r="J148" s="88"/>
      <c r="K148" s="88"/>
      <c r="L148" s="88"/>
      <c r="M148" s="88"/>
      <c r="N148" s="88"/>
      <c r="O148" s="88"/>
      <c r="P148" s="88"/>
      <c r="Q148" s="88"/>
      <c r="R148" s="88"/>
      <c r="S148" s="88"/>
      <c r="T148" s="88"/>
      <c r="U148" s="88"/>
      <c r="V148" s="88"/>
      <c r="W148" s="88"/>
      <c r="X148" s="88"/>
      <c r="Y148" s="88"/>
      <c r="Z148" s="88"/>
      <c r="AA148" s="88"/>
      <c r="AB148" s="88"/>
      <c r="AC148" s="88"/>
    </row>
    <row r="149" spans="1:29" ht="25.15" customHeight="1" x14ac:dyDescent="0.25">
      <c r="A149" s="88"/>
      <c r="B149"/>
      <c r="C149"/>
      <c r="D149"/>
      <c r="E149"/>
      <c r="F149"/>
      <c r="G149"/>
      <c r="H149" s="88"/>
      <c r="I149" s="88"/>
      <c r="J149" s="88"/>
      <c r="K149" s="88"/>
      <c r="L149" s="88"/>
      <c r="M149" s="88"/>
      <c r="N149" s="88"/>
      <c r="O149" s="88"/>
      <c r="P149" s="88"/>
      <c r="Q149" s="88"/>
      <c r="R149" s="88"/>
      <c r="S149" s="88"/>
      <c r="T149" s="88"/>
      <c r="U149" s="88"/>
      <c r="V149" s="88"/>
      <c r="W149" s="88"/>
      <c r="X149" s="88"/>
      <c r="Y149" s="88"/>
      <c r="Z149" s="88"/>
      <c r="AA149" s="88"/>
      <c r="AB149" s="88"/>
      <c r="AC149" s="88"/>
    </row>
    <row r="150" spans="1:29" ht="25.15" customHeight="1" x14ac:dyDescent="0.25">
      <c r="A150" s="88"/>
      <c r="B150"/>
      <c r="C150"/>
      <c r="D150"/>
      <c r="E150"/>
      <c r="F150"/>
      <c r="G150"/>
      <c r="H150" s="88"/>
      <c r="I150" s="88"/>
      <c r="J150" s="88"/>
      <c r="K150" s="88"/>
      <c r="L150" s="88"/>
      <c r="M150" s="88"/>
      <c r="N150" s="88"/>
      <c r="O150" s="88"/>
      <c r="P150" s="88"/>
      <c r="Q150" s="88"/>
      <c r="R150" s="88"/>
      <c r="S150" s="88"/>
      <c r="T150" s="88"/>
      <c r="U150" s="88"/>
      <c r="V150" s="88"/>
      <c r="W150" s="88"/>
      <c r="X150" s="88"/>
      <c r="Y150" s="88"/>
      <c r="Z150" s="88"/>
      <c r="AA150" s="88"/>
      <c r="AB150" s="88"/>
      <c r="AC150" s="88"/>
    </row>
    <row r="151" spans="1:29" ht="25.15" customHeight="1" x14ac:dyDescent="0.25">
      <c r="A151" s="88"/>
      <c r="B151"/>
      <c r="C151"/>
      <c r="D151"/>
      <c r="E151"/>
      <c r="F151"/>
      <c r="G151"/>
      <c r="H151" s="88"/>
      <c r="I151" s="88"/>
      <c r="J151" s="88"/>
      <c r="K151" s="88"/>
      <c r="L151" s="88"/>
      <c r="M151" s="88"/>
      <c r="N151" s="88"/>
      <c r="O151" s="88"/>
      <c r="P151" s="88"/>
      <c r="Q151" s="88"/>
      <c r="R151" s="88"/>
      <c r="S151" s="88"/>
      <c r="T151" s="88"/>
      <c r="U151" s="88"/>
      <c r="V151" s="88"/>
      <c r="W151" s="88"/>
      <c r="X151" s="88"/>
      <c r="Y151" s="88"/>
      <c r="Z151" s="88"/>
      <c r="AA151" s="88"/>
      <c r="AB151" s="88"/>
      <c r="AC151" s="88"/>
    </row>
    <row r="152" spans="1:29" ht="25.15" customHeight="1" x14ac:dyDescent="0.25">
      <c r="A152" s="88"/>
      <c r="B152"/>
      <c r="C152"/>
      <c r="D152"/>
      <c r="E152"/>
      <c r="F152"/>
      <c r="G152"/>
      <c r="H152" s="88"/>
      <c r="I152" s="88"/>
      <c r="J152" s="88"/>
      <c r="K152" s="88"/>
      <c r="L152" s="88"/>
      <c r="M152" s="88"/>
      <c r="N152" s="88"/>
      <c r="O152" s="88"/>
      <c r="P152" s="88"/>
      <c r="Q152" s="88"/>
      <c r="R152" s="88"/>
      <c r="S152" s="88"/>
      <c r="T152" s="88"/>
      <c r="U152" s="88"/>
      <c r="V152" s="88"/>
      <c r="W152" s="88"/>
      <c r="X152" s="88"/>
      <c r="Y152" s="88"/>
      <c r="Z152" s="88"/>
      <c r="AA152" s="88"/>
      <c r="AB152" s="88"/>
      <c r="AC152" s="88"/>
    </row>
    <row r="153" spans="1:29" ht="25.15" customHeight="1" x14ac:dyDescent="0.25">
      <c r="A153" s="88"/>
      <c r="B153"/>
      <c r="C153"/>
      <c r="D153"/>
      <c r="E153"/>
      <c r="F153"/>
      <c r="G153"/>
      <c r="H153" s="88"/>
      <c r="I153" s="88"/>
      <c r="J153" s="88"/>
      <c r="K153" s="88"/>
      <c r="L153" s="88"/>
      <c r="M153" s="88"/>
      <c r="N153" s="88"/>
      <c r="O153" s="88"/>
      <c r="P153" s="88"/>
      <c r="Q153" s="88"/>
      <c r="R153" s="88"/>
      <c r="S153" s="88"/>
      <c r="T153" s="88"/>
      <c r="U153" s="88"/>
      <c r="V153" s="88"/>
      <c r="W153" s="88"/>
      <c r="X153" s="88"/>
      <c r="Y153" s="88"/>
      <c r="Z153" s="88"/>
      <c r="AA153" s="88"/>
      <c r="AB153" s="88"/>
      <c r="AC153" s="88"/>
    </row>
    <row r="154" spans="1:29" ht="25.15" customHeight="1" x14ac:dyDescent="0.25">
      <c r="A154" s="88"/>
      <c r="B154"/>
      <c r="C154"/>
      <c r="D154"/>
      <c r="E154"/>
      <c r="F154"/>
      <c r="G154"/>
      <c r="H154" s="88"/>
      <c r="I154" s="88"/>
      <c r="J154" s="88"/>
      <c r="K154" s="88"/>
      <c r="L154" s="88"/>
      <c r="M154" s="88"/>
      <c r="N154" s="88"/>
      <c r="O154" s="88"/>
      <c r="P154" s="88"/>
      <c r="Q154" s="88"/>
      <c r="R154" s="88"/>
      <c r="S154" s="88"/>
      <c r="T154" s="88"/>
      <c r="U154" s="88"/>
      <c r="V154" s="88"/>
      <c r="W154" s="88"/>
      <c r="X154" s="88"/>
      <c r="Y154" s="88"/>
      <c r="Z154" s="88"/>
      <c r="AA154" s="88"/>
      <c r="AB154" s="88"/>
      <c r="AC154" s="88"/>
    </row>
    <row r="155" spans="1:29" ht="25.15" customHeight="1" x14ac:dyDescent="0.25">
      <c r="A155" s="88"/>
      <c r="B155"/>
      <c r="C155"/>
      <c r="D155"/>
      <c r="E155"/>
      <c r="F155"/>
      <c r="G155"/>
      <c r="H155" s="88"/>
      <c r="I155" s="88"/>
      <c r="J155" s="88"/>
      <c r="K155" s="88"/>
      <c r="L155" s="88"/>
      <c r="M155" s="88"/>
      <c r="N155" s="88"/>
      <c r="O155" s="88"/>
      <c r="P155" s="88"/>
      <c r="Q155" s="88"/>
      <c r="R155" s="88"/>
      <c r="S155" s="88"/>
      <c r="T155" s="88"/>
      <c r="U155" s="88"/>
      <c r="V155" s="88"/>
      <c r="W155" s="88"/>
      <c r="X155" s="88"/>
      <c r="Y155" s="88"/>
      <c r="Z155" s="88"/>
      <c r="AA155" s="88"/>
      <c r="AB155" s="88"/>
      <c r="AC155" s="88"/>
    </row>
    <row r="156" spans="1:29" ht="25.15" customHeight="1" x14ac:dyDescent="0.25">
      <c r="A156" s="88"/>
      <c r="B156"/>
      <c r="C156"/>
      <c r="D156"/>
      <c r="E156"/>
      <c r="F156"/>
      <c r="G156"/>
      <c r="H156" s="88"/>
      <c r="I156" s="88"/>
      <c r="J156" s="88"/>
      <c r="K156" s="88"/>
      <c r="L156" s="88"/>
      <c r="M156" s="88"/>
      <c r="N156" s="88"/>
      <c r="O156" s="88"/>
      <c r="P156" s="88"/>
      <c r="Q156" s="88"/>
      <c r="R156" s="88"/>
      <c r="S156" s="88"/>
      <c r="T156" s="88"/>
      <c r="U156" s="88"/>
      <c r="V156" s="88"/>
      <c r="W156" s="88"/>
      <c r="X156" s="88"/>
      <c r="Y156" s="88"/>
      <c r="Z156" s="88"/>
      <c r="AA156" s="88"/>
      <c r="AB156" s="88"/>
      <c r="AC156" s="88"/>
    </row>
    <row r="157" spans="1:29" ht="25.15" customHeight="1" x14ac:dyDescent="0.25">
      <c r="A157" s="88"/>
      <c r="B157"/>
      <c r="C157"/>
      <c r="D157"/>
      <c r="E157"/>
      <c r="F157"/>
      <c r="G157"/>
      <c r="H157" s="88"/>
      <c r="I157" s="88"/>
      <c r="J157" s="88"/>
      <c r="K157" s="88"/>
      <c r="L157" s="88"/>
      <c r="M157" s="88"/>
      <c r="N157" s="88"/>
      <c r="O157" s="88"/>
      <c r="P157" s="88"/>
      <c r="Q157" s="88"/>
      <c r="R157" s="88"/>
      <c r="S157" s="88"/>
      <c r="T157" s="88"/>
      <c r="U157" s="88"/>
      <c r="V157" s="88"/>
      <c r="W157" s="88"/>
      <c r="X157" s="88"/>
      <c r="Y157" s="88"/>
      <c r="Z157" s="88"/>
      <c r="AA157" s="88"/>
      <c r="AB157" s="88"/>
      <c r="AC157" s="88"/>
    </row>
    <row r="158" spans="1:29" ht="25.15" customHeight="1" x14ac:dyDescent="0.25">
      <c r="A158" s="88"/>
      <c r="B158"/>
      <c r="C158"/>
      <c r="D158"/>
      <c r="E158"/>
      <c r="F158"/>
      <c r="G158"/>
      <c r="H158" s="88"/>
      <c r="I158" s="88"/>
      <c r="J158" s="88"/>
      <c r="K158" s="88"/>
      <c r="L158" s="88"/>
      <c r="M158" s="88"/>
      <c r="N158" s="88"/>
      <c r="O158" s="88"/>
      <c r="P158" s="88"/>
      <c r="Q158" s="88"/>
      <c r="R158" s="88"/>
      <c r="S158" s="88"/>
      <c r="T158" s="88"/>
      <c r="U158" s="88"/>
      <c r="V158" s="88"/>
      <c r="W158" s="88"/>
      <c r="X158" s="88"/>
      <c r="Y158" s="88"/>
      <c r="Z158" s="88"/>
      <c r="AA158" s="88"/>
      <c r="AB158" s="88"/>
      <c r="AC158" s="88"/>
    </row>
    <row r="159" spans="1:29" ht="25.15" customHeight="1" x14ac:dyDescent="0.25">
      <c r="A159" s="88"/>
      <c r="B159"/>
      <c r="C159"/>
      <c r="D159"/>
      <c r="E159"/>
      <c r="F159"/>
      <c r="G159"/>
      <c r="H159" s="88"/>
      <c r="I159" s="88"/>
      <c r="J159" s="88"/>
      <c r="K159" s="88"/>
      <c r="L159" s="88"/>
      <c r="M159" s="88"/>
      <c r="N159" s="88"/>
      <c r="O159" s="88"/>
      <c r="P159" s="88"/>
      <c r="Q159" s="88"/>
      <c r="R159" s="88"/>
      <c r="S159" s="88"/>
      <c r="T159" s="88"/>
      <c r="U159" s="88"/>
      <c r="V159" s="88"/>
      <c r="W159" s="88"/>
      <c r="X159" s="88"/>
      <c r="Y159" s="88"/>
      <c r="Z159" s="88"/>
      <c r="AA159" s="88"/>
      <c r="AB159" s="88"/>
      <c r="AC159" s="88"/>
    </row>
    <row r="160" spans="1:29" ht="25.15" customHeight="1" x14ac:dyDescent="0.25">
      <c r="A160" s="88"/>
      <c r="B160"/>
      <c r="C160"/>
      <c r="D160"/>
      <c r="E160"/>
      <c r="F160"/>
      <c r="G160"/>
      <c r="H160" s="88"/>
      <c r="I160" s="88"/>
      <c r="J160" s="88"/>
      <c r="K160" s="88"/>
      <c r="L160" s="88"/>
      <c r="M160" s="88"/>
      <c r="N160" s="88"/>
      <c r="O160" s="88"/>
      <c r="P160" s="88"/>
      <c r="Q160" s="88"/>
      <c r="R160" s="88"/>
      <c r="S160" s="88"/>
      <c r="T160" s="88"/>
      <c r="U160" s="88"/>
      <c r="V160" s="88"/>
      <c r="W160" s="88"/>
      <c r="X160" s="88"/>
      <c r="Y160" s="88"/>
      <c r="Z160" s="88"/>
      <c r="AA160" s="88"/>
      <c r="AB160" s="88"/>
      <c r="AC160" s="88"/>
    </row>
    <row r="161" spans="1:29" ht="25.15" customHeight="1" x14ac:dyDescent="0.25">
      <c r="A161" s="88"/>
      <c r="B161"/>
      <c r="C161"/>
      <c r="D161"/>
      <c r="E161"/>
      <c r="F161"/>
      <c r="G161"/>
      <c r="H161" s="88"/>
      <c r="I161" s="88"/>
      <c r="J161" s="88"/>
      <c r="K161" s="88"/>
      <c r="L161" s="88"/>
      <c r="M161" s="88"/>
      <c r="N161" s="88"/>
      <c r="O161" s="88"/>
      <c r="P161" s="88"/>
      <c r="Q161" s="88"/>
      <c r="R161" s="88"/>
      <c r="S161" s="88"/>
      <c r="T161" s="88"/>
      <c r="U161" s="88"/>
      <c r="V161" s="88"/>
      <c r="W161" s="88"/>
      <c r="X161" s="88"/>
      <c r="Y161" s="88"/>
      <c r="Z161" s="88"/>
      <c r="AA161" s="88"/>
      <c r="AB161" s="88"/>
      <c r="AC161" s="88"/>
    </row>
    <row r="162" spans="1:29" ht="25.15" customHeight="1" x14ac:dyDescent="0.25">
      <c r="A162" s="88"/>
      <c r="B162"/>
      <c r="C162"/>
      <c r="D162"/>
      <c r="E162"/>
      <c r="F162"/>
      <c r="G162"/>
      <c r="H162" s="88"/>
      <c r="I162" s="88"/>
      <c r="J162" s="88"/>
      <c r="K162" s="88"/>
      <c r="L162" s="88"/>
      <c r="M162" s="88"/>
      <c r="N162" s="88"/>
      <c r="O162" s="88"/>
      <c r="P162" s="88"/>
      <c r="Q162" s="88"/>
      <c r="R162" s="88"/>
      <c r="S162" s="88"/>
      <c r="T162" s="88"/>
      <c r="U162" s="88"/>
      <c r="V162" s="88"/>
      <c r="W162" s="88"/>
      <c r="X162" s="88"/>
      <c r="Y162" s="88"/>
      <c r="Z162" s="88"/>
      <c r="AA162" s="88"/>
      <c r="AB162" s="88"/>
      <c r="AC162" s="88"/>
    </row>
    <row r="163" spans="1:29" ht="25.15" customHeight="1" x14ac:dyDescent="0.25">
      <c r="A163" s="88"/>
      <c r="B163"/>
      <c r="C163"/>
      <c r="D163"/>
      <c r="E163"/>
      <c r="F163"/>
      <c r="G163"/>
      <c r="H163" s="88"/>
      <c r="I163" s="88"/>
      <c r="J163" s="88"/>
      <c r="K163" s="88"/>
      <c r="L163" s="88"/>
      <c r="M163" s="88"/>
      <c r="N163" s="88"/>
      <c r="O163" s="88"/>
      <c r="P163" s="88"/>
      <c r="Q163" s="88"/>
      <c r="R163" s="88"/>
      <c r="S163" s="88"/>
      <c r="T163" s="88"/>
      <c r="U163" s="88"/>
      <c r="V163" s="88"/>
      <c r="W163" s="88"/>
      <c r="X163" s="88"/>
      <c r="Y163" s="88"/>
      <c r="Z163" s="88"/>
      <c r="AA163" s="88"/>
      <c r="AB163" s="88"/>
      <c r="AC163" s="88"/>
    </row>
    <row r="164" spans="1:29" ht="25.15" customHeight="1" x14ac:dyDescent="0.25">
      <c r="A164" s="88"/>
      <c r="B164"/>
      <c r="C164"/>
      <c r="D164"/>
      <c r="E164"/>
      <c r="F164"/>
      <c r="G164"/>
      <c r="H164" s="88"/>
      <c r="I164" s="88"/>
      <c r="J164" s="88"/>
      <c r="K164" s="88"/>
      <c r="L164" s="88"/>
      <c r="M164" s="88"/>
      <c r="N164" s="88"/>
      <c r="O164" s="88"/>
      <c r="P164" s="88"/>
      <c r="Q164" s="88"/>
      <c r="R164" s="88"/>
      <c r="S164" s="88"/>
      <c r="T164" s="88"/>
      <c r="U164" s="88"/>
      <c r="V164" s="88"/>
      <c r="W164" s="88"/>
      <c r="X164" s="88"/>
      <c r="Y164" s="88"/>
      <c r="Z164" s="88"/>
      <c r="AA164" s="88"/>
      <c r="AB164" s="88"/>
      <c r="AC164" s="88"/>
    </row>
    <row r="165" spans="1:29" ht="25.15" customHeight="1" x14ac:dyDescent="0.25">
      <c r="A165" s="88"/>
      <c r="B165"/>
      <c r="C165"/>
      <c r="D165"/>
      <c r="E165"/>
      <c r="F165"/>
      <c r="G165"/>
      <c r="H165" s="88"/>
      <c r="I165" s="88"/>
      <c r="J165" s="88"/>
      <c r="K165" s="88"/>
      <c r="L165" s="88"/>
      <c r="M165" s="88"/>
      <c r="N165" s="88"/>
      <c r="O165" s="88"/>
      <c r="P165" s="88"/>
      <c r="Q165" s="88"/>
      <c r="R165" s="88"/>
      <c r="S165" s="88"/>
      <c r="T165" s="88"/>
      <c r="U165" s="88"/>
      <c r="V165" s="88"/>
      <c r="W165" s="88"/>
      <c r="X165" s="88"/>
      <c r="Y165" s="88"/>
      <c r="Z165" s="88"/>
      <c r="AA165" s="88"/>
      <c r="AB165" s="88"/>
      <c r="AC165" s="88"/>
    </row>
    <row r="166" spans="1:29" ht="25.15" customHeight="1" x14ac:dyDescent="0.25">
      <c r="A166" s="88"/>
      <c r="B166"/>
      <c r="C166"/>
      <c r="D166"/>
      <c r="E166"/>
      <c r="F166"/>
      <c r="G166"/>
      <c r="H166" s="88"/>
      <c r="I166" s="88"/>
      <c r="J166" s="88"/>
      <c r="K166" s="88"/>
      <c r="L166" s="88"/>
      <c r="M166" s="88"/>
      <c r="N166" s="88"/>
      <c r="O166" s="88"/>
      <c r="P166" s="88"/>
      <c r="Q166" s="88"/>
      <c r="R166" s="88"/>
      <c r="S166" s="88"/>
      <c r="T166" s="88"/>
      <c r="U166" s="88"/>
      <c r="V166" s="88"/>
      <c r="W166" s="88"/>
      <c r="X166" s="88"/>
      <c r="Y166" s="88"/>
      <c r="Z166" s="88"/>
      <c r="AA166" s="88"/>
      <c r="AB166" s="88"/>
      <c r="AC166" s="88"/>
    </row>
    <row r="167" spans="1:29" ht="25.15" customHeight="1" x14ac:dyDescent="0.25">
      <c r="A167" s="88"/>
      <c r="B167"/>
      <c r="C167"/>
      <c r="D167"/>
      <c r="E167"/>
      <c r="F167"/>
      <c r="G167"/>
      <c r="H167" s="88"/>
      <c r="I167" s="88"/>
      <c r="J167" s="88"/>
      <c r="K167" s="88"/>
      <c r="L167" s="88"/>
      <c r="M167" s="88"/>
      <c r="N167" s="88"/>
      <c r="O167" s="88"/>
      <c r="P167" s="88"/>
      <c r="Q167" s="88"/>
      <c r="R167" s="88"/>
      <c r="S167" s="88"/>
      <c r="T167" s="88"/>
      <c r="U167" s="88"/>
      <c r="V167" s="88"/>
      <c r="W167" s="88"/>
      <c r="X167" s="88"/>
      <c r="Y167" s="88"/>
      <c r="Z167" s="88"/>
      <c r="AA167" s="88"/>
      <c r="AB167" s="88"/>
      <c r="AC167" s="88"/>
    </row>
    <row r="168" spans="1:29" ht="25.15" customHeight="1" x14ac:dyDescent="0.25">
      <c r="A168" s="88"/>
      <c r="B168"/>
      <c r="C168"/>
      <c r="D168"/>
      <c r="E168"/>
      <c r="F168"/>
      <c r="G168"/>
      <c r="H168" s="88"/>
      <c r="I168" s="88"/>
      <c r="J168" s="88"/>
      <c r="K168" s="88"/>
      <c r="L168" s="88"/>
      <c r="M168" s="88"/>
      <c r="N168" s="88"/>
      <c r="O168" s="88"/>
      <c r="P168" s="88"/>
      <c r="Q168" s="88"/>
      <c r="R168" s="88"/>
      <c r="S168" s="88"/>
      <c r="T168" s="88"/>
      <c r="U168" s="88"/>
      <c r="V168" s="88"/>
      <c r="W168" s="88"/>
      <c r="X168" s="88"/>
      <c r="Y168" s="88"/>
      <c r="Z168" s="88"/>
      <c r="AA168" s="88"/>
      <c r="AB168" s="88"/>
      <c r="AC168" s="88"/>
    </row>
    <row r="169" spans="1:29" ht="25.15" customHeight="1" x14ac:dyDescent="0.25">
      <c r="A169" s="88"/>
      <c r="B169"/>
      <c r="C169"/>
      <c r="D169"/>
      <c r="E169"/>
      <c r="F169"/>
      <c r="G169"/>
      <c r="H169" s="88"/>
      <c r="I169" s="88"/>
      <c r="J169" s="88"/>
      <c r="K169" s="88"/>
      <c r="L169" s="88"/>
      <c r="M169" s="88"/>
      <c r="N169" s="88"/>
      <c r="O169" s="88"/>
      <c r="P169" s="88"/>
      <c r="Q169" s="88"/>
      <c r="R169" s="88"/>
      <c r="S169" s="88"/>
      <c r="T169" s="88"/>
      <c r="U169" s="88"/>
      <c r="V169" s="88"/>
      <c r="W169" s="88"/>
      <c r="X169" s="88"/>
      <c r="Y169" s="88"/>
      <c r="Z169" s="88"/>
      <c r="AA169" s="88"/>
      <c r="AB169" s="88"/>
      <c r="AC169" s="88"/>
    </row>
    <row r="170" spans="1:29" ht="25.15" customHeight="1" x14ac:dyDescent="0.25">
      <c r="A170" s="88"/>
      <c r="B170"/>
      <c r="C170"/>
      <c r="D170"/>
      <c r="E170"/>
      <c r="F170"/>
      <c r="G170"/>
      <c r="H170" s="88"/>
      <c r="I170" s="88"/>
      <c r="J170" s="88"/>
      <c r="K170" s="88"/>
      <c r="L170" s="88"/>
      <c r="M170" s="88"/>
      <c r="N170" s="88"/>
      <c r="O170" s="88"/>
      <c r="P170" s="88"/>
      <c r="Q170" s="88"/>
      <c r="R170" s="88"/>
      <c r="S170" s="88"/>
      <c r="T170" s="88"/>
      <c r="U170" s="88"/>
      <c r="V170" s="88"/>
      <c r="W170" s="88"/>
      <c r="X170" s="88"/>
      <c r="Y170" s="88"/>
      <c r="Z170" s="88"/>
      <c r="AA170" s="88"/>
      <c r="AB170" s="88"/>
      <c r="AC170" s="88"/>
    </row>
    <row r="171" spans="1:29" ht="25.15" customHeight="1" x14ac:dyDescent="0.25">
      <c r="A171" s="88"/>
      <c r="B171"/>
      <c r="C171"/>
      <c r="D171"/>
      <c r="E171"/>
      <c r="F171"/>
      <c r="G171"/>
      <c r="H171" s="88"/>
      <c r="I171" s="88"/>
      <c r="J171" s="88"/>
      <c r="K171" s="88"/>
      <c r="L171" s="88"/>
      <c r="M171" s="88"/>
      <c r="N171" s="88"/>
      <c r="O171" s="88"/>
      <c r="P171" s="88"/>
      <c r="Q171" s="88"/>
      <c r="R171" s="88"/>
      <c r="S171" s="88"/>
      <c r="T171" s="88"/>
      <c r="U171" s="88"/>
      <c r="V171" s="88"/>
      <c r="W171" s="88"/>
      <c r="X171" s="88"/>
      <c r="Y171" s="88"/>
      <c r="Z171" s="88"/>
      <c r="AA171" s="88"/>
      <c r="AB171" s="88"/>
      <c r="AC171" s="88"/>
    </row>
    <row r="172" spans="1:29" ht="25.15" customHeight="1" x14ac:dyDescent="0.25">
      <c r="A172" s="88"/>
      <c r="B172"/>
      <c r="C172"/>
      <c r="D172"/>
      <c r="E172"/>
      <c r="F172"/>
      <c r="G172"/>
      <c r="H172" s="88"/>
      <c r="I172" s="88"/>
      <c r="J172" s="88"/>
      <c r="K172" s="88"/>
      <c r="L172" s="88"/>
      <c r="M172" s="88"/>
      <c r="N172" s="88"/>
      <c r="O172" s="88"/>
      <c r="P172" s="88"/>
      <c r="Q172" s="88"/>
      <c r="R172" s="88"/>
      <c r="S172" s="88"/>
      <c r="T172" s="88"/>
      <c r="U172" s="88"/>
      <c r="V172" s="88"/>
      <c r="W172" s="88"/>
      <c r="X172" s="88"/>
      <c r="Y172" s="88"/>
      <c r="Z172" s="88"/>
      <c r="AA172" s="88"/>
      <c r="AB172" s="88"/>
      <c r="AC172" s="88"/>
    </row>
    <row r="173" spans="1:29" ht="25.15" customHeight="1" x14ac:dyDescent="0.25">
      <c r="A173" s="88"/>
      <c r="B173"/>
      <c r="C173"/>
      <c r="D173"/>
      <c r="E173"/>
      <c r="F173"/>
      <c r="G173"/>
      <c r="H173" s="88"/>
      <c r="I173" s="88"/>
      <c r="J173" s="88"/>
      <c r="K173" s="88"/>
      <c r="L173" s="88"/>
      <c r="M173" s="88"/>
      <c r="N173" s="88"/>
      <c r="O173" s="88"/>
      <c r="P173" s="88"/>
      <c r="Q173" s="88"/>
      <c r="R173" s="88"/>
      <c r="S173" s="88"/>
      <c r="T173" s="88"/>
      <c r="U173" s="88"/>
      <c r="V173" s="88"/>
      <c r="W173" s="88"/>
      <c r="X173" s="88"/>
      <c r="Y173" s="88"/>
      <c r="Z173" s="88"/>
      <c r="AA173" s="88"/>
      <c r="AB173" s="88"/>
      <c r="AC173" s="88"/>
    </row>
    <row r="174" spans="1:29" ht="25.15" customHeight="1" x14ac:dyDescent="0.25">
      <c r="A174" s="88"/>
      <c r="B174"/>
      <c r="C174"/>
      <c r="D174"/>
      <c r="E174"/>
      <c r="F174"/>
      <c r="G174"/>
      <c r="H174" s="88"/>
      <c r="I174" s="88"/>
      <c r="J174" s="88"/>
      <c r="K174" s="88"/>
      <c r="L174" s="88"/>
      <c r="M174" s="88"/>
      <c r="N174" s="88"/>
      <c r="O174" s="88"/>
      <c r="P174" s="88"/>
      <c r="Q174" s="88"/>
      <c r="R174" s="88"/>
      <c r="S174" s="88"/>
      <c r="T174" s="88"/>
      <c r="U174" s="88"/>
      <c r="V174" s="88"/>
      <c r="W174" s="88"/>
      <c r="X174" s="88"/>
      <c r="Y174" s="88"/>
      <c r="Z174" s="88"/>
      <c r="AA174" s="88"/>
      <c r="AB174" s="88"/>
      <c r="AC174" s="88"/>
    </row>
    <row r="175" spans="1:29" ht="25.15" customHeight="1" x14ac:dyDescent="0.25">
      <c r="A175" s="88"/>
      <c r="B175"/>
      <c r="C175"/>
      <c r="D175"/>
      <c r="E175"/>
      <c r="F175"/>
      <c r="G175"/>
      <c r="H175" s="88"/>
      <c r="I175" s="88"/>
      <c r="J175" s="88"/>
      <c r="K175" s="88"/>
      <c r="L175" s="88"/>
      <c r="M175" s="88"/>
      <c r="N175" s="88"/>
      <c r="O175" s="88"/>
      <c r="P175" s="88"/>
      <c r="Q175" s="88"/>
      <c r="R175" s="88"/>
      <c r="S175" s="88"/>
      <c r="T175" s="88"/>
      <c r="U175" s="88"/>
      <c r="V175" s="88"/>
      <c r="W175" s="88"/>
      <c r="X175" s="88"/>
      <c r="Y175" s="88"/>
      <c r="Z175" s="88"/>
      <c r="AA175" s="88"/>
      <c r="AB175" s="88"/>
      <c r="AC175" s="88"/>
    </row>
    <row r="176" spans="1:29" ht="25.15" customHeight="1" x14ac:dyDescent="0.25">
      <c r="A176" s="88"/>
      <c r="B176"/>
      <c r="C176"/>
      <c r="D176"/>
      <c r="E176"/>
      <c r="F176"/>
      <c r="G176"/>
      <c r="H176" s="88"/>
      <c r="I176" s="88"/>
      <c r="J176" s="88"/>
      <c r="K176" s="88"/>
      <c r="L176" s="88"/>
      <c r="M176" s="88"/>
      <c r="N176" s="88"/>
      <c r="O176" s="88"/>
      <c r="P176" s="88"/>
      <c r="Q176" s="88"/>
      <c r="R176" s="88"/>
      <c r="S176" s="88"/>
      <c r="T176" s="88"/>
      <c r="U176" s="88"/>
      <c r="V176" s="88"/>
      <c r="W176" s="88"/>
      <c r="X176" s="88"/>
      <c r="Y176" s="88"/>
      <c r="Z176" s="88"/>
      <c r="AA176" s="88"/>
      <c r="AB176" s="88"/>
      <c r="AC176" s="88"/>
    </row>
    <row r="177" spans="1:29" ht="25.15" customHeight="1" x14ac:dyDescent="0.25">
      <c r="A177" s="88"/>
      <c r="B177"/>
      <c r="C177"/>
      <c r="D177"/>
      <c r="E177"/>
      <c r="F177"/>
      <c r="G177"/>
      <c r="H177" s="88"/>
      <c r="I177" s="88"/>
      <c r="J177" s="88"/>
      <c r="K177" s="88"/>
      <c r="L177" s="88"/>
      <c r="M177" s="88"/>
      <c r="N177" s="88"/>
      <c r="O177" s="88"/>
      <c r="P177" s="88"/>
      <c r="Q177" s="88"/>
      <c r="R177" s="88"/>
      <c r="S177" s="88"/>
      <c r="T177" s="88"/>
      <c r="U177" s="88"/>
      <c r="V177" s="88"/>
      <c r="W177" s="88"/>
      <c r="X177" s="88"/>
      <c r="Y177" s="88"/>
      <c r="Z177" s="88"/>
      <c r="AA177" s="88"/>
      <c r="AB177" s="88"/>
      <c r="AC177" s="88"/>
    </row>
    <row r="178" spans="1:29" ht="25.15" customHeight="1" x14ac:dyDescent="0.25">
      <c r="A178" s="88"/>
      <c r="B178"/>
      <c r="C178"/>
      <c r="D178"/>
      <c r="E178"/>
      <c r="F178"/>
      <c r="G178"/>
      <c r="H178" s="88"/>
      <c r="I178" s="88"/>
      <c r="J178" s="88"/>
      <c r="K178" s="88"/>
      <c r="L178" s="88"/>
      <c r="M178" s="88"/>
      <c r="N178" s="88"/>
      <c r="O178" s="88"/>
      <c r="P178" s="88"/>
      <c r="Q178" s="88"/>
      <c r="R178" s="88"/>
      <c r="S178" s="88"/>
      <c r="T178" s="88"/>
      <c r="U178" s="88"/>
      <c r="V178" s="88"/>
      <c r="W178" s="88"/>
      <c r="X178" s="88"/>
      <c r="Y178" s="88"/>
      <c r="Z178" s="88"/>
      <c r="AA178" s="88"/>
      <c r="AB178" s="88"/>
      <c r="AC178" s="88"/>
    </row>
    <row r="179" spans="1:29" ht="25.15" customHeight="1" x14ac:dyDescent="0.25">
      <c r="A179" s="88"/>
      <c r="B179"/>
      <c r="C179"/>
      <c r="D179"/>
      <c r="E179"/>
      <c r="F179"/>
      <c r="G179"/>
      <c r="H179" s="88"/>
      <c r="I179" s="88"/>
      <c r="J179" s="88"/>
      <c r="K179" s="88"/>
      <c r="L179" s="88"/>
      <c r="M179" s="88"/>
      <c r="N179" s="88"/>
      <c r="O179" s="88"/>
      <c r="P179" s="88"/>
      <c r="Q179" s="88"/>
      <c r="R179" s="88"/>
      <c r="S179" s="88"/>
      <c r="T179" s="88"/>
      <c r="U179" s="88"/>
      <c r="V179" s="88"/>
      <c r="W179" s="88"/>
      <c r="X179" s="88"/>
      <c r="Y179" s="88"/>
      <c r="Z179" s="88"/>
      <c r="AA179" s="88"/>
      <c r="AB179" s="88"/>
      <c r="AC179" s="88"/>
    </row>
    <row r="180" spans="1:29" ht="25.15" customHeight="1" x14ac:dyDescent="0.25">
      <c r="A180" s="88"/>
      <c r="B180"/>
      <c r="C180"/>
      <c r="D180"/>
      <c r="E180"/>
      <c r="F180"/>
      <c r="G180"/>
      <c r="H180" s="88"/>
      <c r="I180" s="88"/>
      <c r="J180" s="88"/>
      <c r="K180" s="88"/>
      <c r="L180" s="88"/>
      <c r="M180" s="88"/>
      <c r="N180" s="88"/>
      <c r="O180" s="88"/>
      <c r="P180" s="88"/>
      <c r="Q180" s="88"/>
      <c r="R180" s="88"/>
      <c r="S180" s="88"/>
      <c r="T180" s="88"/>
      <c r="U180" s="88"/>
      <c r="V180" s="88"/>
      <c r="W180" s="88"/>
      <c r="X180" s="88"/>
      <c r="Y180" s="88"/>
      <c r="Z180" s="88"/>
      <c r="AA180" s="88"/>
      <c r="AB180" s="88"/>
      <c r="AC180" s="88"/>
    </row>
    <row r="181" spans="1:29" ht="25.15" customHeight="1" x14ac:dyDescent="0.25">
      <c r="A181" s="88"/>
      <c r="B181"/>
      <c r="C181"/>
      <c r="D181"/>
      <c r="E181"/>
      <c r="F181"/>
      <c r="G181"/>
      <c r="H181" s="88"/>
      <c r="I181" s="88"/>
      <c r="J181" s="88"/>
      <c r="K181" s="88"/>
      <c r="L181" s="88"/>
      <c r="M181" s="88"/>
      <c r="N181" s="88"/>
      <c r="O181" s="88"/>
      <c r="P181" s="88"/>
      <c r="Q181" s="88"/>
      <c r="R181" s="88"/>
      <c r="S181" s="88"/>
      <c r="T181" s="88"/>
      <c r="U181" s="88"/>
      <c r="V181" s="88"/>
      <c r="W181" s="88"/>
      <c r="X181" s="88"/>
      <c r="Y181" s="88"/>
      <c r="Z181" s="88"/>
      <c r="AA181" s="88"/>
      <c r="AB181" s="88"/>
      <c r="AC181" s="88"/>
    </row>
    <row r="182" spans="1:29" ht="25.15" customHeight="1" x14ac:dyDescent="0.25">
      <c r="A182" s="88"/>
      <c r="B182"/>
      <c r="C182"/>
      <c r="D182"/>
      <c r="E182"/>
      <c r="F182"/>
      <c r="G182"/>
      <c r="H182" s="88"/>
      <c r="I182" s="88"/>
      <c r="J182" s="88"/>
      <c r="K182" s="88"/>
      <c r="L182" s="88"/>
      <c r="M182" s="88"/>
      <c r="N182" s="88"/>
      <c r="O182" s="88"/>
      <c r="P182" s="88"/>
      <c r="Q182" s="88"/>
      <c r="R182" s="88"/>
      <c r="S182" s="88"/>
      <c r="T182" s="88"/>
      <c r="U182" s="88"/>
      <c r="V182" s="88"/>
      <c r="W182" s="88"/>
      <c r="X182" s="88"/>
      <c r="Y182" s="88"/>
      <c r="Z182" s="88"/>
      <c r="AA182" s="88"/>
      <c r="AB182" s="88"/>
      <c r="AC182" s="88"/>
    </row>
    <row r="183" spans="1:29" ht="25.15" customHeight="1" x14ac:dyDescent="0.25">
      <c r="A183" s="88"/>
      <c r="B183"/>
      <c r="C183"/>
      <c r="D183"/>
      <c r="E183"/>
      <c r="F183"/>
      <c r="G183"/>
      <c r="H183" s="88"/>
      <c r="I183" s="88"/>
      <c r="J183" s="88"/>
      <c r="K183" s="88"/>
      <c r="L183" s="88"/>
      <c r="M183" s="88"/>
      <c r="N183" s="88"/>
      <c r="O183" s="88"/>
      <c r="P183" s="88"/>
      <c r="Q183" s="88"/>
      <c r="R183" s="88"/>
      <c r="S183" s="88"/>
      <c r="T183" s="88"/>
      <c r="U183" s="88"/>
      <c r="V183" s="88"/>
      <c r="W183" s="88"/>
      <c r="X183" s="88"/>
      <c r="Y183" s="88"/>
      <c r="Z183" s="88"/>
      <c r="AA183" s="88"/>
      <c r="AB183" s="88"/>
      <c r="AC183" s="88"/>
    </row>
    <row r="184" spans="1:29" ht="25.15" customHeight="1" x14ac:dyDescent="0.25">
      <c r="A184" s="88"/>
      <c r="B184"/>
      <c r="C184"/>
      <c r="D184"/>
      <c r="E184"/>
      <c r="F184"/>
      <c r="G184"/>
      <c r="H184" s="88"/>
      <c r="I184" s="88"/>
      <c r="J184" s="88"/>
      <c r="K184" s="88"/>
      <c r="L184" s="88"/>
      <c r="M184" s="88"/>
      <c r="N184" s="88"/>
      <c r="O184" s="88"/>
      <c r="P184" s="88"/>
      <c r="Q184" s="88"/>
      <c r="R184" s="88"/>
      <c r="S184" s="88"/>
      <c r="T184" s="88"/>
      <c r="U184" s="88"/>
      <c r="V184" s="88"/>
      <c r="W184" s="88"/>
      <c r="X184" s="88"/>
      <c r="Y184" s="88"/>
      <c r="Z184" s="88"/>
      <c r="AA184" s="88"/>
      <c r="AB184" s="88"/>
      <c r="AC184" s="88"/>
    </row>
    <row r="185" spans="1:29" ht="25.15" customHeight="1" x14ac:dyDescent="0.25">
      <c r="A185" s="88"/>
      <c r="B185"/>
      <c r="C185"/>
      <c r="D185"/>
      <c r="E185"/>
      <c r="F185"/>
      <c r="G185"/>
      <c r="H185" s="88"/>
      <c r="I185" s="88"/>
      <c r="J185" s="88"/>
      <c r="K185" s="88"/>
      <c r="L185" s="88"/>
      <c r="M185" s="88"/>
      <c r="N185" s="88"/>
      <c r="O185" s="88"/>
      <c r="P185" s="88"/>
      <c r="Q185" s="88"/>
      <c r="R185" s="88"/>
      <c r="S185" s="88"/>
      <c r="T185" s="88"/>
      <c r="U185" s="88"/>
      <c r="V185" s="88"/>
      <c r="W185" s="88"/>
      <c r="X185" s="88"/>
      <c r="Y185" s="88"/>
      <c r="Z185" s="88"/>
      <c r="AA185" s="88"/>
      <c r="AB185" s="88"/>
      <c r="AC185" s="88"/>
    </row>
    <row r="186" spans="1:29" ht="25.15" customHeight="1" x14ac:dyDescent="0.25">
      <c r="A186" s="88"/>
      <c r="B186"/>
      <c r="C186"/>
      <c r="D186"/>
      <c r="E186"/>
      <c r="F186"/>
      <c r="G186"/>
      <c r="H186" s="88"/>
      <c r="I186" s="88"/>
      <c r="J186" s="88"/>
      <c r="K186" s="88"/>
      <c r="L186" s="88"/>
      <c r="M186" s="88"/>
      <c r="N186" s="88"/>
      <c r="O186" s="88"/>
      <c r="P186" s="88"/>
      <c r="Q186" s="88"/>
      <c r="R186" s="88"/>
      <c r="S186" s="88"/>
      <c r="T186" s="88"/>
      <c r="U186" s="88"/>
      <c r="V186" s="88"/>
      <c r="W186" s="88"/>
      <c r="X186" s="88"/>
      <c r="Y186" s="88"/>
      <c r="Z186" s="88"/>
      <c r="AA186" s="88"/>
      <c r="AB186" s="88"/>
      <c r="AC186" s="88"/>
    </row>
    <row r="187" spans="1:29" ht="25.15" customHeight="1" x14ac:dyDescent="0.25">
      <c r="A187" s="88"/>
      <c r="B187"/>
      <c r="C187"/>
      <c r="D187"/>
      <c r="E187"/>
      <c r="F187"/>
      <c r="G187"/>
      <c r="H187" s="88"/>
      <c r="I187" s="88"/>
      <c r="J187" s="88"/>
      <c r="K187" s="88"/>
      <c r="L187" s="88"/>
      <c r="M187" s="88"/>
      <c r="N187" s="88"/>
      <c r="O187" s="88"/>
      <c r="P187" s="88"/>
      <c r="Q187" s="88"/>
      <c r="R187" s="88"/>
      <c r="S187" s="88"/>
      <c r="T187" s="88"/>
      <c r="U187" s="88"/>
      <c r="V187" s="88"/>
      <c r="W187" s="88"/>
      <c r="X187" s="88"/>
      <c r="Y187" s="88"/>
      <c r="Z187" s="88"/>
      <c r="AA187" s="88"/>
      <c r="AB187" s="88"/>
      <c r="AC187" s="88"/>
    </row>
    <row r="188" spans="1:29" ht="25.15" customHeight="1" x14ac:dyDescent="0.25">
      <c r="A188" s="88"/>
      <c r="B188"/>
      <c r="C188"/>
      <c r="D188"/>
      <c r="E188"/>
      <c r="F188"/>
      <c r="G188"/>
      <c r="H188" s="88"/>
      <c r="I188" s="88"/>
      <c r="J188" s="88"/>
      <c r="K188" s="88"/>
      <c r="L188" s="88"/>
      <c r="M188" s="88"/>
      <c r="N188" s="88"/>
      <c r="O188" s="88"/>
      <c r="P188" s="88"/>
      <c r="Q188" s="88"/>
      <c r="R188" s="88"/>
      <c r="S188" s="88"/>
      <c r="T188" s="88"/>
      <c r="U188" s="88"/>
      <c r="V188" s="88"/>
      <c r="W188" s="88"/>
      <c r="X188" s="88"/>
      <c r="Y188" s="88"/>
      <c r="Z188" s="88"/>
      <c r="AA188" s="88"/>
      <c r="AB188" s="88"/>
      <c r="AC188" s="88"/>
    </row>
    <row r="189" spans="1:29" ht="25.15" customHeight="1" x14ac:dyDescent="0.25">
      <c r="A189" s="88"/>
      <c r="B189"/>
      <c r="C189"/>
      <c r="D189"/>
      <c r="E189"/>
      <c r="F189"/>
      <c r="G189"/>
      <c r="H189" s="88"/>
      <c r="I189" s="88"/>
      <c r="J189" s="88"/>
      <c r="K189" s="88"/>
      <c r="L189" s="88"/>
      <c r="M189" s="88"/>
      <c r="N189" s="88"/>
      <c r="O189" s="88"/>
      <c r="P189" s="88"/>
      <c r="Q189" s="88"/>
      <c r="R189" s="88"/>
      <c r="S189" s="88"/>
      <c r="T189" s="88"/>
      <c r="U189" s="88"/>
      <c r="V189" s="88"/>
      <c r="W189" s="88"/>
      <c r="X189" s="88"/>
      <c r="Y189" s="88"/>
      <c r="Z189" s="88"/>
      <c r="AA189" s="88"/>
      <c r="AB189" s="88"/>
      <c r="AC189" s="88"/>
    </row>
    <row r="190" spans="1:29" ht="25.15" customHeight="1" x14ac:dyDescent="0.25">
      <c r="A190" s="88"/>
      <c r="B190"/>
      <c r="C190"/>
      <c r="D190"/>
      <c r="E190"/>
      <c r="F190"/>
      <c r="G190"/>
      <c r="H190" s="88"/>
      <c r="I190" s="88"/>
      <c r="J190" s="88"/>
      <c r="K190" s="88"/>
      <c r="L190" s="88"/>
      <c r="M190" s="88"/>
      <c r="N190" s="88"/>
      <c r="O190" s="88"/>
      <c r="P190" s="88"/>
      <c r="Q190" s="88"/>
      <c r="R190" s="88"/>
      <c r="S190" s="88"/>
      <c r="T190" s="88"/>
      <c r="U190" s="88"/>
      <c r="V190" s="88"/>
      <c r="W190" s="88"/>
      <c r="X190" s="88"/>
      <c r="Y190" s="88"/>
      <c r="Z190" s="88"/>
      <c r="AA190" s="88"/>
      <c r="AB190" s="88"/>
      <c r="AC190" s="88"/>
    </row>
    <row r="191" spans="1:29" ht="25.15" customHeight="1" x14ac:dyDescent="0.25">
      <c r="A191" s="88"/>
      <c r="B191"/>
      <c r="C191"/>
      <c r="D191"/>
      <c r="E191"/>
      <c r="F191"/>
      <c r="G191"/>
      <c r="H191" s="88"/>
      <c r="I191" s="88"/>
      <c r="J191" s="88"/>
      <c r="K191" s="88"/>
      <c r="L191" s="88"/>
      <c r="M191" s="88"/>
      <c r="N191" s="88"/>
      <c r="O191" s="88"/>
      <c r="P191" s="88"/>
      <c r="Q191" s="88"/>
      <c r="R191" s="88"/>
      <c r="S191" s="88"/>
      <c r="T191" s="88"/>
      <c r="U191" s="88"/>
      <c r="V191" s="88"/>
      <c r="W191" s="88"/>
      <c r="X191" s="88"/>
      <c r="Y191" s="88"/>
      <c r="Z191" s="88"/>
      <c r="AA191" s="88"/>
      <c r="AB191" s="88"/>
      <c r="AC191" s="88"/>
    </row>
    <row r="192" spans="1:29" ht="25.15" customHeight="1" x14ac:dyDescent="0.25">
      <c r="A192" s="88"/>
      <c r="B192"/>
      <c r="C192"/>
      <c r="D192"/>
      <c r="E192"/>
      <c r="F192"/>
      <c r="G192"/>
      <c r="H192" s="88"/>
      <c r="I192" s="88"/>
      <c r="J192" s="88"/>
      <c r="K192" s="88"/>
      <c r="L192" s="88"/>
      <c r="M192" s="88"/>
      <c r="N192" s="88"/>
      <c r="O192" s="88"/>
      <c r="P192" s="88"/>
      <c r="Q192" s="88"/>
      <c r="R192" s="88"/>
      <c r="S192" s="88"/>
      <c r="T192" s="88"/>
      <c r="U192" s="88"/>
      <c r="V192" s="88"/>
      <c r="W192" s="88"/>
      <c r="X192" s="88"/>
      <c r="Y192" s="88"/>
      <c r="Z192" s="88"/>
      <c r="AA192" s="88"/>
      <c r="AB192" s="88"/>
      <c r="AC192" s="88"/>
    </row>
    <row r="193" spans="1:29" ht="25.15" customHeight="1" x14ac:dyDescent="0.25">
      <c r="A193" s="88"/>
      <c r="B193"/>
      <c r="C193"/>
      <c r="D193"/>
      <c r="E193"/>
      <c r="F193"/>
      <c r="G193"/>
      <c r="H193" s="88"/>
      <c r="I193" s="88"/>
      <c r="J193" s="88"/>
      <c r="K193" s="88"/>
      <c r="L193" s="88"/>
      <c r="M193" s="88"/>
      <c r="N193" s="88"/>
      <c r="O193" s="88"/>
      <c r="P193" s="88"/>
      <c r="Q193" s="88"/>
      <c r="R193" s="88"/>
      <c r="S193" s="88"/>
      <c r="T193" s="88"/>
      <c r="U193" s="88"/>
      <c r="V193" s="88"/>
      <c r="W193" s="88"/>
      <c r="X193" s="88"/>
      <c r="Y193" s="88"/>
      <c r="Z193" s="88"/>
      <c r="AA193" s="88"/>
      <c r="AB193" s="88"/>
      <c r="AC193" s="88"/>
    </row>
    <row r="194" spans="1:29" ht="25.15" customHeight="1" x14ac:dyDescent="0.25">
      <c r="A194" s="88"/>
      <c r="B194"/>
      <c r="C194"/>
      <c r="D194"/>
      <c r="E194"/>
      <c r="F194"/>
      <c r="G194"/>
      <c r="H194" s="88"/>
      <c r="I194" s="88"/>
      <c r="J194" s="88"/>
      <c r="K194" s="88"/>
      <c r="L194" s="88"/>
      <c r="M194" s="88"/>
      <c r="N194" s="88"/>
      <c r="O194" s="88"/>
      <c r="P194" s="88"/>
      <c r="Q194" s="88"/>
      <c r="R194" s="88"/>
      <c r="S194" s="88"/>
      <c r="T194" s="88"/>
      <c r="U194" s="88"/>
      <c r="V194" s="88"/>
      <c r="W194" s="88"/>
      <c r="X194" s="88"/>
      <c r="Y194" s="88"/>
      <c r="Z194" s="88"/>
      <c r="AA194" s="88"/>
      <c r="AB194" s="88"/>
      <c r="AC194" s="88"/>
    </row>
    <row r="195" spans="1:29" ht="25.15" customHeight="1" x14ac:dyDescent="0.25">
      <c r="A195" s="88"/>
      <c r="B195"/>
      <c r="C195"/>
      <c r="D195"/>
      <c r="E195"/>
      <c r="F195"/>
      <c r="G195"/>
      <c r="H195" s="88"/>
      <c r="I195" s="88"/>
      <c r="J195" s="88"/>
      <c r="K195" s="88"/>
      <c r="L195" s="88"/>
      <c r="M195" s="88"/>
      <c r="N195" s="88"/>
      <c r="O195" s="88"/>
      <c r="P195" s="88"/>
      <c r="Q195" s="88"/>
      <c r="R195" s="88"/>
      <c r="S195" s="88"/>
      <c r="T195" s="88"/>
      <c r="U195" s="88"/>
      <c r="V195" s="88"/>
      <c r="W195" s="88"/>
      <c r="X195" s="88"/>
      <c r="Y195" s="88"/>
      <c r="Z195" s="88"/>
      <c r="AA195" s="88"/>
      <c r="AB195" s="88"/>
      <c r="AC195" s="88"/>
    </row>
    <row r="196" spans="1:29" ht="25.15" customHeight="1" x14ac:dyDescent="0.25">
      <c r="A196" s="88"/>
      <c r="B196"/>
      <c r="C196"/>
      <c r="D196"/>
      <c r="E196"/>
      <c r="F196"/>
      <c r="G196"/>
      <c r="H196" s="88"/>
      <c r="I196" s="88"/>
      <c r="J196" s="88"/>
      <c r="K196" s="88"/>
      <c r="L196" s="88"/>
      <c r="M196" s="88"/>
      <c r="N196" s="88"/>
      <c r="O196" s="88"/>
      <c r="P196" s="88"/>
      <c r="Q196" s="88"/>
      <c r="R196" s="88"/>
      <c r="S196" s="88"/>
      <c r="T196" s="88"/>
      <c r="U196" s="88"/>
      <c r="V196" s="88"/>
      <c r="W196" s="88"/>
      <c r="X196" s="88"/>
      <c r="Y196" s="88"/>
      <c r="Z196" s="88"/>
      <c r="AA196" s="88"/>
      <c r="AB196" s="88"/>
      <c r="AC196" s="88"/>
    </row>
    <row r="197" spans="1:29" ht="25.15" customHeight="1" x14ac:dyDescent="0.25">
      <c r="A197" s="88"/>
      <c r="B197"/>
      <c r="C197"/>
      <c r="D197"/>
      <c r="E197"/>
      <c r="F197"/>
      <c r="G197"/>
      <c r="H197" s="88"/>
      <c r="I197" s="88"/>
      <c r="J197" s="88"/>
      <c r="K197" s="88"/>
      <c r="L197" s="88"/>
      <c r="M197" s="88"/>
      <c r="N197" s="88"/>
      <c r="O197" s="88"/>
      <c r="P197" s="88"/>
      <c r="Q197" s="88"/>
      <c r="R197" s="88"/>
      <c r="S197" s="88"/>
      <c r="T197" s="88"/>
      <c r="U197" s="88"/>
      <c r="V197" s="88"/>
      <c r="W197" s="88"/>
      <c r="X197" s="88"/>
      <c r="Y197" s="88"/>
      <c r="Z197" s="88"/>
      <c r="AA197" s="88"/>
      <c r="AB197" s="88"/>
      <c r="AC197" s="88"/>
    </row>
    <row r="198" spans="1:29" ht="25.15" customHeight="1" x14ac:dyDescent="0.25">
      <c r="A198" s="88"/>
      <c r="B198"/>
      <c r="C198"/>
      <c r="D198"/>
      <c r="E198"/>
      <c r="F198"/>
      <c r="G198"/>
      <c r="H198" s="88"/>
      <c r="I198" s="88"/>
      <c r="J198" s="88"/>
      <c r="K198" s="88"/>
      <c r="L198" s="88"/>
      <c r="M198" s="88"/>
      <c r="N198" s="88"/>
      <c r="O198" s="88"/>
      <c r="P198" s="88"/>
      <c r="Q198" s="88"/>
      <c r="R198" s="88"/>
      <c r="S198" s="88"/>
      <c r="T198" s="88"/>
      <c r="U198" s="88"/>
      <c r="V198" s="88"/>
      <c r="W198" s="88"/>
      <c r="X198" s="88"/>
      <c r="Y198" s="88"/>
      <c r="Z198" s="88"/>
      <c r="AA198" s="88"/>
      <c r="AB198" s="88"/>
      <c r="AC198" s="88"/>
    </row>
    <row r="199" spans="1:29" ht="25.15" customHeight="1" x14ac:dyDescent="0.25">
      <c r="A199" s="88"/>
      <c r="B199"/>
      <c r="C199"/>
      <c r="D199"/>
      <c r="E199"/>
      <c r="F199"/>
      <c r="G199"/>
      <c r="H199" s="88"/>
      <c r="I199" s="88"/>
      <c r="J199" s="88"/>
      <c r="K199" s="88"/>
      <c r="L199" s="88"/>
      <c r="M199" s="88"/>
      <c r="N199" s="88"/>
      <c r="O199" s="88"/>
      <c r="P199" s="88"/>
      <c r="Q199" s="88"/>
      <c r="R199" s="88"/>
      <c r="S199" s="88"/>
      <c r="T199" s="88"/>
      <c r="U199" s="88"/>
      <c r="V199" s="88"/>
      <c r="W199" s="88"/>
      <c r="X199" s="88"/>
      <c r="Y199" s="88"/>
      <c r="Z199" s="88"/>
      <c r="AA199" s="88"/>
      <c r="AB199" s="88"/>
      <c r="AC199" s="88"/>
    </row>
    <row r="200" spans="1:29" ht="25.15" customHeight="1" x14ac:dyDescent="0.25">
      <c r="A200" s="88"/>
      <c r="B200"/>
      <c r="C200"/>
      <c r="D200"/>
      <c r="E200"/>
      <c r="F200"/>
      <c r="G200"/>
      <c r="H200" s="88"/>
      <c r="I200" s="88"/>
      <c r="J200" s="88"/>
      <c r="K200" s="88"/>
      <c r="L200" s="88"/>
      <c r="M200" s="88"/>
      <c r="N200" s="88"/>
      <c r="O200" s="88"/>
      <c r="P200" s="88"/>
      <c r="Q200" s="88"/>
      <c r="R200" s="88"/>
      <c r="S200" s="88"/>
      <c r="T200" s="88"/>
      <c r="U200" s="88"/>
      <c r="V200" s="88"/>
      <c r="W200" s="88"/>
      <c r="X200" s="88"/>
      <c r="Y200" s="88"/>
      <c r="Z200" s="88"/>
      <c r="AA200" s="88"/>
      <c r="AB200" s="88"/>
      <c r="AC200" s="88"/>
    </row>
    <row r="201" spans="1:29" ht="25.15" customHeight="1" x14ac:dyDescent="0.25">
      <c r="A201" s="88"/>
      <c r="B201"/>
      <c r="C201"/>
      <c r="D201"/>
      <c r="E201"/>
      <c r="F201"/>
      <c r="G201"/>
      <c r="H201" s="88"/>
      <c r="I201" s="88"/>
      <c r="J201" s="88"/>
      <c r="K201" s="88"/>
      <c r="L201" s="88"/>
      <c r="M201" s="88"/>
      <c r="N201" s="88"/>
      <c r="O201" s="88"/>
      <c r="P201" s="88"/>
      <c r="Q201" s="88"/>
      <c r="R201" s="88"/>
      <c r="S201" s="88"/>
      <c r="T201" s="88"/>
      <c r="U201" s="88"/>
      <c r="V201" s="88"/>
      <c r="W201" s="88"/>
      <c r="X201" s="88"/>
      <c r="Y201" s="88"/>
      <c r="Z201" s="88"/>
      <c r="AA201" s="88"/>
      <c r="AB201" s="88"/>
      <c r="AC201" s="88"/>
    </row>
    <row r="202" spans="1:29" ht="25.15" customHeight="1" x14ac:dyDescent="0.25">
      <c r="A202" s="88"/>
      <c r="B202"/>
      <c r="C202"/>
      <c r="D202"/>
      <c r="E202"/>
      <c r="F202"/>
      <c r="G202"/>
      <c r="H202" s="88"/>
      <c r="I202" s="88"/>
      <c r="J202" s="88"/>
      <c r="K202" s="88"/>
      <c r="L202" s="88"/>
      <c r="M202" s="88"/>
      <c r="N202" s="88"/>
      <c r="O202" s="88"/>
      <c r="P202" s="88"/>
      <c r="Q202" s="88"/>
      <c r="R202" s="88"/>
      <c r="S202" s="88"/>
      <c r="T202" s="88"/>
      <c r="U202" s="88"/>
      <c r="V202" s="88"/>
      <c r="W202" s="88"/>
      <c r="X202" s="88"/>
      <c r="Y202" s="88"/>
      <c r="Z202" s="88"/>
      <c r="AA202" s="88"/>
      <c r="AB202" s="88"/>
      <c r="AC202" s="88"/>
    </row>
    <row r="203" spans="1:29" ht="25.15" customHeight="1" x14ac:dyDescent="0.25">
      <c r="A203" s="88"/>
      <c r="B203"/>
      <c r="C203"/>
      <c r="D203"/>
      <c r="E203"/>
      <c r="F203"/>
      <c r="G203"/>
      <c r="H203" s="88"/>
      <c r="I203" s="88"/>
      <c r="J203" s="88"/>
      <c r="K203" s="88"/>
      <c r="L203" s="88"/>
      <c r="M203" s="88"/>
      <c r="N203" s="88"/>
      <c r="O203" s="88"/>
      <c r="P203" s="88"/>
      <c r="Q203" s="88"/>
      <c r="R203" s="88"/>
      <c r="S203" s="88"/>
      <c r="T203" s="88"/>
      <c r="U203" s="88"/>
      <c r="V203" s="88"/>
      <c r="W203" s="88"/>
      <c r="X203" s="88"/>
      <c r="Y203" s="88"/>
      <c r="Z203" s="88"/>
      <c r="AA203" s="88"/>
      <c r="AB203" s="88"/>
      <c r="AC203" s="88"/>
    </row>
    <row r="204" spans="1:29" ht="25.15" customHeight="1" x14ac:dyDescent="0.25">
      <c r="A204" s="88"/>
      <c r="B204"/>
      <c r="C204"/>
      <c r="D204"/>
      <c r="E204"/>
      <c r="F204"/>
      <c r="G204"/>
      <c r="H204" s="88"/>
      <c r="I204" s="88"/>
      <c r="J204" s="88"/>
      <c r="K204" s="88"/>
      <c r="L204" s="88"/>
      <c r="M204" s="88"/>
      <c r="N204" s="88"/>
      <c r="O204" s="88"/>
      <c r="P204" s="88"/>
      <c r="Q204" s="88"/>
      <c r="R204" s="88"/>
      <c r="S204" s="88"/>
      <c r="T204" s="88"/>
      <c r="U204" s="88"/>
      <c r="V204" s="88"/>
      <c r="W204" s="88"/>
      <c r="X204" s="88"/>
      <c r="Y204" s="88"/>
      <c r="Z204" s="88"/>
      <c r="AA204" s="88"/>
      <c r="AB204" s="88"/>
      <c r="AC204" s="88"/>
    </row>
    <row r="205" spans="1:29" ht="25.15" customHeight="1" x14ac:dyDescent="0.25">
      <c r="A205" s="88"/>
      <c r="B205"/>
      <c r="C205"/>
      <c r="D205"/>
      <c r="E205"/>
      <c r="F205"/>
      <c r="G205"/>
      <c r="H205" s="88"/>
      <c r="I205" s="88"/>
      <c r="J205" s="88"/>
      <c r="K205" s="88"/>
      <c r="L205" s="88"/>
      <c r="M205" s="88"/>
      <c r="N205" s="88"/>
      <c r="O205" s="88"/>
      <c r="P205" s="88"/>
      <c r="Q205" s="88"/>
      <c r="R205" s="88"/>
      <c r="S205" s="88"/>
      <c r="T205" s="88"/>
      <c r="U205" s="88"/>
      <c r="V205" s="88"/>
      <c r="W205" s="88"/>
      <c r="X205" s="88"/>
      <c r="Y205" s="88"/>
      <c r="Z205" s="88"/>
      <c r="AA205" s="88"/>
      <c r="AB205" s="88"/>
      <c r="AC205" s="88"/>
    </row>
    <row r="206" spans="1:29" ht="25.15" customHeight="1" x14ac:dyDescent="0.25">
      <c r="A206" s="88"/>
      <c r="B206"/>
      <c r="C206"/>
      <c r="D206"/>
      <c r="E206"/>
      <c r="F206"/>
      <c r="G206"/>
      <c r="H206" s="88"/>
      <c r="I206" s="88"/>
      <c r="J206" s="88"/>
      <c r="K206" s="88"/>
      <c r="L206" s="88"/>
      <c r="M206" s="88"/>
      <c r="N206" s="88"/>
      <c r="O206" s="88"/>
      <c r="P206" s="88"/>
      <c r="Q206" s="88"/>
      <c r="R206" s="88"/>
      <c r="S206" s="88"/>
      <c r="T206" s="88"/>
      <c r="U206" s="88"/>
      <c r="V206" s="88"/>
      <c r="W206" s="88"/>
      <c r="X206" s="88"/>
      <c r="Y206" s="88"/>
      <c r="Z206" s="88"/>
      <c r="AA206" s="88"/>
      <c r="AB206" s="88"/>
      <c r="AC206" s="88"/>
    </row>
    <row r="207" spans="1:29" ht="25.15" customHeight="1" x14ac:dyDescent="0.25">
      <c r="A207" s="88"/>
      <c r="B207"/>
      <c r="C207"/>
      <c r="D207"/>
      <c r="E207"/>
      <c r="F207"/>
      <c r="G207"/>
      <c r="H207" s="88"/>
      <c r="I207" s="88"/>
      <c r="J207" s="88"/>
      <c r="K207" s="88"/>
      <c r="L207" s="88"/>
      <c r="M207" s="88"/>
      <c r="N207" s="88"/>
      <c r="O207" s="88"/>
      <c r="P207" s="88"/>
      <c r="Q207" s="88"/>
      <c r="R207" s="88"/>
      <c r="S207" s="88"/>
      <c r="T207" s="88"/>
      <c r="U207" s="88"/>
      <c r="V207" s="88"/>
      <c r="W207" s="88"/>
      <c r="X207" s="88"/>
      <c r="Y207" s="88"/>
      <c r="Z207" s="88"/>
      <c r="AA207" s="88"/>
      <c r="AB207" s="88"/>
      <c r="AC207" s="88"/>
    </row>
    <row r="208" spans="1:29" ht="25.15" customHeight="1" x14ac:dyDescent="0.25">
      <c r="A208" s="88"/>
      <c r="B208"/>
      <c r="C208"/>
      <c r="D208"/>
      <c r="E208"/>
      <c r="F208"/>
      <c r="G208"/>
      <c r="H208" s="88"/>
      <c r="I208" s="88"/>
      <c r="J208" s="88"/>
      <c r="K208" s="88"/>
      <c r="L208" s="88"/>
      <c r="M208" s="88"/>
      <c r="N208" s="88"/>
      <c r="O208" s="88"/>
      <c r="P208" s="88"/>
      <c r="Q208" s="88"/>
      <c r="R208" s="88"/>
      <c r="S208" s="88"/>
      <c r="T208" s="88"/>
      <c r="U208" s="88"/>
      <c r="V208" s="88"/>
      <c r="W208" s="88"/>
      <c r="X208" s="88"/>
      <c r="Y208" s="88"/>
      <c r="Z208" s="88"/>
      <c r="AA208" s="88"/>
      <c r="AB208" s="88"/>
      <c r="AC208" s="88"/>
    </row>
    <row r="209" spans="1:29" ht="25.15" customHeight="1" x14ac:dyDescent="0.25">
      <c r="A209" s="88"/>
      <c r="B209"/>
      <c r="C209"/>
      <c r="D209"/>
      <c r="E209"/>
      <c r="F209"/>
      <c r="G209"/>
      <c r="H209" s="88"/>
      <c r="I209" s="88"/>
      <c r="J209" s="88"/>
      <c r="K209" s="88"/>
      <c r="L209" s="88"/>
      <c r="M209" s="88"/>
      <c r="N209" s="88"/>
      <c r="O209" s="88"/>
      <c r="P209" s="88"/>
      <c r="Q209" s="88"/>
      <c r="R209" s="88"/>
      <c r="S209" s="88"/>
      <c r="T209" s="88"/>
      <c r="U209" s="88"/>
      <c r="V209" s="88"/>
      <c r="W209" s="88"/>
      <c r="X209" s="88"/>
      <c r="Y209" s="88"/>
      <c r="Z209" s="88"/>
      <c r="AA209" s="88"/>
      <c r="AB209" s="88"/>
      <c r="AC209" s="88"/>
    </row>
    <row r="210" spans="1:29" ht="25.15" customHeight="1" x14ac:dyDescent="0.25">
      <c r="A210" s="88"/>
      <c r="B210"/>
      <c r="C210"/>
      <c r="D210"/>
      <c r="E210"/>
      <c r="F210"/>
      <c r="G210"/>
      <c r="H210" s="88"/>
      <c r="I210" s="88"/>
      <c r="J210" s="88"/>
      <c r="K210" s="88"/>
      <c r="L210" s="88"/>
      <c r="M210" s="88"/>
      <c r="N210" s="88"/>
      <c r="O210" s="88"/>
      <c r="P210" s="88"/>
      <c r="Q210" s="88"/>
      <c r="R210" s="88"/>
      <c r="S210" s="88"/>
      <c r="T210" s="88"/>
      <c r="U210" s="88"/>
      <c r="V210" s="88"/>
      <c r="W210" s="88"/>
      <c r="X210" s="88"/>
      <c r="Y210" s="88"/>
      <c r="Z210" s="88"/>
      <c r="AA210" s="88"/>
      <c r="AB210" s="88"/>
      <c r="AC210" s="88"/>
    </row>
    <row r="211" spans="1:29" ht="25.15" customHeight="1" x14ac:dyDescent="0.25">
      <c r="A211" s="88"/>
      <c r="B211"/>
      <c r="C211"/>
      <c r="D211"/>
      <c r="E211"/>
      <c r="F211"/>
      <c r="G211"/>
      <c r="H211" s="88"/>
      <c r="I211" s="88"/>
      <c r="J211" s="88"/>
      <c r="K211" s="88"/>
      <c r="L211" s="88"/>
      <c r="M211" s="88"/>
      <c r="N211" s="88"/>
      <c r="O211" s="88"/>
      <c r="P211" s="88"/>
      <c r="Q211" s="88"/>
      <c r="R211" s="88"/>
      <c r="S211" s="88"/>
      <c r="T211" s="88"/>
      <c r="U211" s="88"/>
      <c r="V211" s="88"/>
      <c r="W211" s="88"/>
      <c r="X211" s="88"/>
      <c r="Y211" s="88"/>
      <c r="Z211" s="88"/>
      <c r="AA211" s="88"/>
      <c r="AB211" s="88"/>
      <c r="AC211" s="88"/>
    </row>
    <row r="212" spans="1:29" ht="25.15" customHeight="1" x14ac:dyDescent="0.25">
      <c r="A212" s="88"/>
      <c r="B212"/>
      <c r="C212"/>
      <c r="D212"/>
      <c r="E212"/>
      <c r="F212"/>
      <c r="G212"/>
      <c r="H212" s="88"/>
      <c r="I212" s="88"/>
      <c r="J212" s="88"/>
      <c r="K212" s="88"/>
      <c r="L212" s="88"/>
      <c r="M212" s="88"/>
      <c r="N212" s="88"/>
      <c r="O212" s="88"/>
      <c r="P212" s="88"/>
      <c r="Q212" s="88"/>
      <c r="R212" s="88"/>
      <c r="S212" s="88"/>
      <c r="T212" s="88"/>
      <c r="U212" s="88"/>
      <c r="V212" s="88"/>
      <c r="W212" s="88"/>
      <c r="X212" s="88"/>
      <c r="Y212" s="88"/>
      <c r="Z212" s="88"/>
      <c r="AA212" s="88"/>
      <c r="AB212" s="88"/>
      <c r="AC212" s="88"/>
    </row>
    <row r="213" spans="1:29" ht="25.15" customHeight="1" x14ac:dyDescent="0.25">
      <c r="A213" s="88"/>
      <c r="B213"/>
      <c r="C213"/>
      <c r="D213"/>
      <c r="E213"/>
      <c r="F213"/>
      <c r="G213"/>
      <c r="H213" s="88"/>
      <c r="I213" s="88"/>
      <c r="J213" s="88"/>
      <c r="K213" s="88"/>
      <c r="L213" s="88"/>
      <c r="M213" s="88"/>
      <c r="N213" s="88"/>
      <c r="O213" s="88"/>
      <c r="P213" s="88"/>
      <c r="Q213" s="88"/>
      <c r="R213" s="88"/>
      <c r="S213" s="88"/>
      <c r="T213" s="88"/>
      <c r="U213" s="88"/>
      <c r="V213" s="88"/>
      <c r="W213" s="88"/>
      <c r="X213" s="88"/>
      <c r="Y213" s="88"/>
      <c r="Z213" s="88"/>
      <c r="AA213" s="88"/>
      <c r="AB213" s="88"/>
      <c r="AC213" s="88"/>
    </row>
    <row r="214" spans="1:29" ht="25.15" customHeight="1" x14ac:dyDescent="0.25">
      <c r="A214" s="88"/>
      <c r="B214"/>
      <c r="C214"/>
      <c r="D214"/>
      <c r="E214"/>
      <c r="F214"/>
      <c r="G214"/>
      <c r="H214" s="88"/>
      <c r="I214" s="88"/>
      <c r="J214" s="88"/>
      <c r="K214" s="88"/>
      <c r="L214" s="88"/>
      <c r="M214" s="88"/>
      <c r="N214" s="88"/>
      <c r="O214" s="88"/>
      <c r="P214" s="88"/>
      <c r="Q214" s="88"/>
      <c r="R214" s="88"/>
      <c r="S214" s="88"/>
      <c r="T214" s="88"/>
      <c r="U214" s="88"/>
      <c r="V214" s="88"/>
      <c r="W214" s="88"/>
      <c r="X214" s="88"/>
      <c r="Y214" s="88"/>
      <c r="Z214" s="88"/>
      <c r="AA214" s="88"/>
      <c r="AB214" s="88"/>
      <c r="AC214" s="88"/>
    </row>
    <row r="215" spans="1:29" ht="25.15" customHeight="1" x14ac:dyDescent="0.25">
      <c r="A215" s="88"/>
      <c r="B215"/>
      <c r="C215"/>
      <c r="D215"/>
      <c r="E215"/>
      <c r="F215"/>
      <c r="G215"/>
      <c r="H215" s="88"/>
      <c r="I215" s="88"/>
      <c r="J215" s="88"/>
      <c r="K215" s="88"/>
      <c r="L215" s="88"/>
      <c r="M215" s="88"/>
      <c r="N215" s="88"/>
      <c r="O215" s="88"/>
      <c r="P215" s="88"/>
      <c r="Q215" s="88"/>
      <c r="R215" s="88"/>
      <c r="S215" s="88"/>
      <c r="T215" s="88"/>
      <c r="U215" s="88"/>
      <c r="V215" s="88"/>
      <c r="W215" s="88"/>
      <c r="X215" s="88"/>
      <c r="Y215" s="88"/>
      <c r="Z215" s="88"/>
      <c r="AA215" s="88"/>
      <c r="AB215" s="88"/>
      <c r="AC215" s="88"/>
    </row>
    <row r="216" spans="1:29" ht="25.15" customHeight="1" x14ac:dyDescent="0.25">
      <c r="A216" s="88"/>
      <c r="B216"/>
      <c r="C216"/>
      <c r="D216"/>
      <c r="E216"/>
      <c r="F216"/>
      <c r="G216"/>
      <c r="H216" s="88"/>
      <c r="I216" s="88"/>
      <c r="J216" s="88"/>
      <c r="K216" s="88"/>
      <c r="L216" s="88"/>
      <c r="M216" s="88"/>
      <c r="N216" s="88"/>
      <c r="O216" s="88"/>
      <c r="P216" s="88"/>
      <c r="Q216" s="88"/>
      <c r="R216" s="88"/>
      <c r="S216" s="88"/>
      <c r="T216" s="88"/>
      <c r="U216" s="88"/>
      <c r="V216" s="88"/>
      <c r="W216" s="88"/>
      <c r="X216" s="88"/>
      <c r="Y216" s="88"/>
      <c r="Z216" s="88"/>
      <c r="AA216" s="88"/>
      <c r="AB216" s="88"/>
      <c r="AC216" s="88"/>
    </row>
    <row r="217" spans="1:29" ht="25.15" customHeight="1" x14ac:dyDescent="0.25">
      <c r="A217" s="88"/>
      <c r="B217"/>
      <c r="C217"/>
      <c r="D217"/>
      <c r="E217"/>
      <c r="F217"/>
      <c r="G217"/>
      <c r="H217" s="88"/>
      <c r="I217" s="88"/>
      <c r="J217" s="88"/>
      <c r="K217" s="88"/>
      <c r="L217" s="88"/>
      <c r="M217" s="88"/>
      <c r="N217" s="88"/>
      <c r="O217" s="88"/>
      <c r="P217" s="88"/>
      <c r="Q217" s="88"/>
      <c r="R217" s="88"/>
      <c r="S217" s="88"/>
      <c r="T217" s="88"/>
      <c r="U217" s="88"/>
      <c r="V217" s="88"/>
      <c r="W217" s="88"/>
      <c r="X217" s="88"/>
      <c r="Y217" s="88"/>
      <c r="Z217" s="88"/>
      <c r="AA217" s="88"/>
      <c r="AB217" s="88"/>
      <c r="AC217" s="88"/>
    </row>
    <row r="218" spans="1:29" ht="25.15" customHeight="1" x14ac:dyDescent="0.25">
      <c r="A218" s="88"/>
      <c r="B218"/>
      <c r="C218"/>
      <c r="D218"/>
      <c r="E218"/>
      <c r="F218"/>
      <c r="G218"/>
      <c r="H218" s="88"/>
      <c r="I218" s="88"/>
      <c r="J218" s="88"/>
      <c r="K218" s="88"/>
      <c r="L218" s="88"/>
      <c r="M218" s="88"/>
      <c r="N218" s="88"/>
      <c r="O218" s="88"/>
      <c r="P218" s="88"/>
      <c r="Q218" s="88"/>
      <c r="R218" s="88"/>
      <c r="S218" s="88"/>
      <c r="T218" s="88"/>
      <c r="U218" s="88"/>
      <c r="V218" s="88"/>
      <c r="W218" s="88"/>
      <c r="X218" s="88"/>
      <c r="Y218" s="88"/>
      <c r="Z218" s="88"/>
      <c r="AA218" s="88"/>
      <c r="AB218" s="88"/>
      <c r="AC218" s="88"/>
    </row>
    <row r="219" spans="1:29" ht="25.15" customHeight="1" x14ac:dyDescent="0.25">
      <c r="A219" s="88"/>
      <c r="B219"/>
      <c r="C219"/>
      <c r="D219"/>
      <c r="E219"/>
      <c r="F219"/>
      <c r="G219"/>
      <c r="H219" s="88"/>
      <c r="I219" s="88"/>
      <c r="J219" s="88"/>
      <c r="K219" s="88"/>
      <c r="L219" s="88"/>
      <c r="M219" s="88"/>
      <c r="N219" s="88"/>
      <c r="O219" s="88"/>
      <c r="P219" s="88"/>
      <c r="Q219" s="88"/>
      <c r="R219" s="88"/>
      <c r="S219" s="88"/>
      <c r="T219" s="88"/>
      <c r="U219" s="88"/>
      <c r="V219" s="88"/>
      <c r="W219" s="88"/>
      <c r="X219" s="88"/>
      <c r="Y219" s="88"/>
      <c r="Z219" s="88"/>
      <c r="AA219" s="88"/>
      <c r="AB219" s="88"/>
      <c r="AC219" s="88"/>
    </row>
    <row r="220" spans="1:29" ht="25.15" customHeight="1" x14ac:dyDescent="0.25">
      <c r="A220" s="88"/>
      <c r="B220"/>
      <c r="C220"/>
      <c r="D220"/>
      <c r="E220"/>
      <c r="F220"/>
      <c r="G220"/>
      <c r="H220" s="88"/>
      <c r="I220" s="88"/>
      <c r="J220" s="88"/>
      <c r="K220" s="88"/>
      <c r="L220" s="88"/>
      <c r="M220" s="88"/>
      <c r="N220" s="88"/>
      <c r="O220" s="88"/>
      <c r="P220" s="88"/>
      <c r="Q220" s="88"/>
      <c r="R220" s="88"/>
      <c r="S220" s="88"/>
      <c r="T220" s="88"/>
      <c r="U220" s="88"/>
      <c r="V220" s="88"/>
      <c r="W220" s="88"/>
      <c r="X220" s="88"/>
      <c r="Y220" s="88"/>
      <c r="Z220" s="88"/>
      <c r="AA220" s="88"/>
      <c r="AB220" s="88"/>
      <c r="AC220" s="88"/>
    </row>
    <row r="221" spans="1:29" ht="25.15" customHeight="1" x14ac:dyDescent="0.25">
      <c r="A221" s="88"/>
      <c r="B221"/>
      <c r="C221"/>
      <c r="D221"/>
      <c r="E221"/>
      <c r="F221"/>
      <c r="G221"/>
      <c r="H221" s="88"/>
      <c r="I221" s="88"/>
      <c r="J221" s="88"/>
      <c r="K221" s="88"/>
      <c r="L221" s="88"/>
      <c r="M221" s="88"/>
      <c r="N221" s="88"/>
      <c r="O221" s="88"/>
      <c r="P221" s="88"/>
      <c r="Q221" s="88"/>
      <c r="R221" s="88"/>
      <c r="S221" s="88"/>
      <c r="T221" s="88"/>
      <c r="U221" s="88"/>
      <c r="V221" s="88"/>
      <c r="W221" s="88"/>
      <c r="X221" s="88"/>
      <c r="Y221" s="88"/>
      <c r="Z221" s="88"/>
      <c r="AA221" s="88"/>
      <c r="AB221" s="88"/>
      <c r="AC221" s="88"/>
    </row>
    <row r="222" spans="1:29" ht="25.15" customHeight="1" x14ac:dyDescent="0.25">
      <c r="A222" s="88"/>
      <c r="B222"/>
      <c r="C222"/>
      <c r="D222"/>
      <c r="E222"/>
      <c r="F222"/>
      <c r="G222"/>
      <c r="H222" s="88"/>
      <c r="I222" s="88"/>
      <c r="J222" s="88"/>
      <c r="K222" s="88"/>
      <c r="L222" s="88"/>
      <c r="M222" s="88"/>
      <c r="N222" s="88"/>
      <c r="O222" s="88"/>
      <c r="P222" s="88"/>
      <c r="Q222" s="88"/>
      <c r="R222" s="88"/>
      <c r="S222" s="88"/>
      <c r="T222" s="88"/>
      <c r="U222" s="88"/>
      <c r="V222" s="88"/>
      <c r="W222" s="88"/>
      <c r="X222" s="88"/>
      <c r="Y222" s="88"/>
      <c r="Z222" s="88"/>
      <c r="AA222" s="88"/>
      <c r="AB222" s="88"/>
      <c r="AC222" s="88"/>
    </row>
    <row r="223" spans="1:29" ht="25.15" customHeight="1" x14ac:dyDescent="0.25">
      <c r="A223" s="88"/>
      <c r="B223"/>
      <c r="C223"/>
      <c r="D223"/>
      <c r="E223"/>
      <c r="F223"/>
      <c r="G223"/>
      <c r="H223" s="88"/>
      <c r="I223" s="88"/>
      <c r="J223" s="88"/>
      <c r="K223" s="88"/>
      <c r="L223" s="88"/>
      <c r="M223" s="88"/>
      <c r="N223" s="88"/>
      <c r="O223" s="88"/>
      <c r="P223" s="88"/>
      <c r="Q223" s="88"/>
      <c r="R223" s="88"/>
      <c r="S223" s="88"/>
      <c r="T223" s="88"/>
      <c r="U223" s="88"/>
      <c r="V223" s="88"/>
      <c r="W223" s="88"/>
      <c r="X223" s="88"/>
      <c r="Y223" s="88"/>
      <c r="Z223" s="88"/>
      <c r="AA223" s="88"/>
      <c r="AB223" s="88"/>
      <c r="AC223" s="88"/>
    </row>
    <row r="224" spans="1:29" ht="25.15" customHeight="1" x14ac:dyDescent="0.25">
      <c r="A224" s="88"/>
      <c r="B224"/>
      <c r="C224"/>
      <c r="D224"/>
      <c r="E224"/>
      <c r="F224"/>
      <c r="G224"/>
      <c r="H224" s="88"/>
      <c r="I224" s="88"/>
      <c r="J224" s="88"/>
      <c r="K224" s="88"/>
      <c r="L224" s="88"/>
      <c r="M224" s="88"/>
      <c r="N224" s="88"/>
      <c r="O224" s="88"/>
      <c r="P224" s="88"/>
      <c r="Q224" s="88"/>
      <c r="R224" s="88"/>
      <c r="S224" s="88"/>
      <c r="T224" s="88"/>
      <c r="U224" s="88"/>
      <c r="V224" s="88"/>
      <c r="W224" s="88"/>
      <c r="X224" s="88"/>
      <c r="Y224" s="88"/>
      <c r="Z224" s="88"/>
      <c r="AA224" s="88"/>
      <c r="AB224" s="88"/>
      <c r="AC224" s="88"/>
    </row>
    <row r="225" spans="1:29" ht="25.15" customHeight="1" x14ac:dyDescent="0.25">
      <c r="A225" s="88"/>
      <c r="B225"/>
      <c r="C225"/>
      <c r="D225"/>
      <c r="E225"/>
      <c r="F225"/>
      <c r="G225"/>
      <c r="H225" s="88"/>
      <c r="I225" s="88"/>
      <c r="J225" s="88"/>
      <c r="K225" s="88"/>
      <c r="L225" s="88"/>
      <c r="M225" s="88"/>
      <c r="N225" s="88"/>
      <c r="O225" s="88"/>
      <c r="P225" s="88"/>
      <c r="Q225" s="88"/>
      <c r="R225" s="88"/>
      <c r="S225" s="88"/>
      <c r="T225" s="88"/>
      <c r="U225" s="88"/>
      <c r="V225" s="88"/>
      <c r="W225" s="88"/>
      <c r="X225" s="88"/>
      <c r="Y225" s="88"/>
      <c r="Z225" s="88"/>
      <c r="AA225" s="88"/>
      <c r="AB225" s="88"/>
      <c r="AC225" s="88"/>
    </row>
    <row r="226" spans="1:29" ht="25.15" customHeight="1" x14ac:dyDescent="0.25">
      <c r="A226" s="88"/>
      <c r="B226"/>
      <c r="C226"/>
      <c r="D226"/>
      <c r="E226"/>
      <c r="F226"/>
      <c r="G226"/>
      <c r="H226" s="88"/>
      <c r="I226" s="88"/>
      <c r="J226" s="88"/>
      <c r="K226" s="88"/>
      <c r="L226" s="88"/>
      <c r="M226" s="88"/>
      <c r="N226" s="88"/>
      <c r="O226" s="88"/>
      <c r="P226" s="88"/>
      <c r="Q226" s="88"/>
      <c r="R226" s="88"/>
      <c r="S226" s="88"/>
      <c r="T226" s="88"/>
      <c r="U226" s="88"/>
      <c r="V226" s="88"/>
      <c r="W226" s="88"/>
      <c r="X226" s="88"/>
      <c r="Y226" s="88"/>
      <c r="Z226" s="88"/>
      <c r="AA226" s="88"/>
      <c r="AB226" s="88"/>
      <c r="AC226" s="88"/>
    </row>
    <row r="227" spans="1:29" ht="25.15" customHeight="1" x14ac:dyDescent="0.25">
      <c r="A227" s="88"/>
      <c r="B227"/>
      <c r="C227"/>
      <c r="D227"/>
      <c r="E227"/>
      <c r="F227"/>
      <c r="G227"/>
      <c r="H227" s="88"/>
      <c r="I227" s="88"/>
      <c r="J227" s="88"/>
      <c r="K227" s="88"/>
      <c r="L227" s="88"/>
      <c r="M227" s="88"/>
      <c r="N227" s="88"/>
      <c r="O227" s="88"/>
      <c r="P227" s="88"/>
      <c r="Q227" s="88"/>
      <c r="R227" s="88"/>
      <c r="S227" s="88"/>
      <c r="T227" s="88"/>
      <c r="U227" s="88"/>
      <c r="V227" s="88"/>
      <c r="W227" s="88"/>
      <c r="X227" s="88"/>
      <c r="Y227" s="88"/>
      <c r="Z227" s="88"/>
      <c r="AA227" s="88"/>
      <c r="AB227" s="88"/>
      <c r="AC227" s="88"/>
    </row>
    <row r="228" spans="1:29" ht="25.15" customHeight="1" x14ac:dyDescent="0.25">
      <c r="A228" s="88"/>
      <c r="B228"/>
      <c r="C228"/>
      <c r="D228"/>
      <c r="E228"/>
      <c r="F228"/>
      <c r="G228"/>
      <c r="H228" s="88"/>
      <c r="I228" s="88"/>
      <c r="J228" s="88"/>
      <c r="K228" s="88"/>
      <c r="L228" s="88"/>
      <c r="M228" s="88"/>
      <c r="N228" s="88"/>
      <c r="O228" s="88"/>
      <c r="P228" s="88"/>
      <c r="Q228" s="88"/>
      <c r="R228" s="88"/>
      <c r="S228" s="88"/>
      <c r="T228" s="88"/>
      <c r="U228" s="88"/>
      <c r="V228" s="88"/>
      <c r="W228" s="88"/>
      <c r="X228" s="88"/>
      <c r="Y228" s="88"/>
      <c r="Z228" s="88"/>
      <c r="AA228" s="88"/>
      <c r="AB228" s="88"/>
      <c r="AC228" s="88"/>
    </row>
    <row r="229" spans="1:29" ht="25.15" customHeight="1" x14ac:dyDescent="0.25">
      <c r="A229" s="88"/>
      <c r="B229"/>
      <c r="C229"/>
      <c r="D229"/>
      <c r="E229"/>
      <c r="F229"/>
      <c r="G229"/>
      <c r="H229" s="88"/>
      <c r="I229" s="88"/>
      <c r="J229" s="88"/>
      <c r="K229" s="88"/>
      <c r="L229" s="88"/>
      <c r="M229" s="88"/>
      <c r="N229" s="88"/>
      <c r="O229" s="88"/>
      <c r="P229" s="88"/>
      <c r="Q229" s="88"/>
      <c r="R229" s="88"/>
      <c r="S229" s="88"/>
      <c r="T229" s="88"/>
      <c r="U229" s="88"/>
      <c r="V229" s="88"/>
      <c r="W229" s="88"/>
      <c r="X229" s="88"/>
      <c r="Y229" s="88"/>
      <c r="Z229" s="88"/>
      <c r="AA229" s="88"/>
      <c r="AB229" s="88"/>
      <c r="AC229" s="88"/>
    </row>
    <row r="230" spans="1:29" ht="25.15" customHeight="1" x14ac:dyDescent="0.25">
      <c r="A230" s="88"/>
      <c r="B230"/>
      <c r="C230"/>
      <c r="D230"/>
      <c r="E230"/>
      <c r="F230"/>
      <c r="G230"/>
      <c r="H230" s="88"/>
      <c r="I230" s="88"/>
      <c r="J230" s="88"/>
      <c r="K230" s="88"/>
      <c r="L230" s="88"/>
      <c r="M230" s="88"/>
      <c r="N230" s="88"/>
      <c r="O230" s="88"/>
      <c r="P230" s="88"/>
      <c r="Q230" s="88"/>
      <c r="R230" s="88"/>
      <c r="S230" s="88"/>
      <c r="T230" s="88"/>
      <c r="U230" s="88"/>
      <c r="V230" s="88"/>
      <c r="W230" s="88"/>
      <c r="X230" s="88"/>
      <c r="Y230" s="88"/>
      <c r="Z230" s="88"/>
      <c r="AA230" s="88"/>
      <c r="AB230" s="88"/>
      <c r="AC230" s="88"/>
    </row>
    <row r="231" spans="1:29" ht="25.15" customHeight="1" x14ac:dyDescent="0.25">
      <c r="A231" s="88"/>
      <c r="B231"/>
      <c r="C231"/>
      <c r="D231"/>
      <c r="E231"/>
      <c r="F231"/>
      <c r="G231"/>
      <c r="H231" s="88"/>
      <c r="I231" s="88"/>
      <c r="J231" s="88"/>
      <c r="K231" s="88"/>
      <c r="L231" s="88"/>
      <c r="M231" s="88"/>
      <c r="N231" s="88"/>
      <c r="O231" s="88"/>
      <c r="P231" s="88"/>
      <c r="Q231" s="88"/>
      <c r="R231" s="88"/>
      <c r="S231" s="88"/>
      <c r="T231" s="88"/>
      <c r="U231" s="88"/>
      <c r="V231" s="88"/>
      <c r="W231" s="88"/>
      <c r="X231" s="88"/>
      <c r="Y231" s="88"/>
      <c r="Z231" s="88"/>
      <c r="AA231" s="88"/>
      <c r="AB231" s="88"/>
      <c r="AC231" s="88"/>
    </row>
    <row r="232" spans="1:29" ht="25.15" customHeight="1" x14ac:dyDescent="0.25">
      <c r="A232" s="88"/>
      <c r="B232"/>
      <c r="C232"/>
      <c r="D232"/>
      <c r="E232"/>
      <c r="F232"/>
      <c r="G232"/>
      <c r="H232" s="88"/>
      <c r="I232" s="88"/>
      <c r="J232" s="88"/>
      <c r="K232" s="88"/>
      <c r="L232" s="88"/>
      <c r="M232" s="88"/>
      <c r="N232" s="88"/>
      <c r="O232" s="88"/>
      <c r="P232" s="88"/>
      <c r="Q232" s="88"/>
      <c r="R232" s="88"/>
      <c r="S232" s="88"/>
      <c r="T232" s="88"/>
      <c r="U232" s="88"/>
      <c r="V232" s="88"/>
      <c r="W232" s="88"/>
      <c r="X232" s="88"/>
      <c r="Y232" s="88"/>
      <c r="Z232" s="88"/>
      <c r="AA232" s="88"/>
      <c r="AB232" s="88"/>
      <c r="AC232" s="88"/>
    </row>
    <row r="233" spans="1:29" ht="25.15" customHeight="1" x14ac:dyDescent="0.25">
      <c r="A233" s="88"/>
      <c r="B233"/>
      <c r="C233"/>
      <c r="D233"/>
      <c r="E233"/>
      <c r="F233"/>
      <c r="G233"/>
      <c r="H233" s="88"/>
      <c r="I233" s="88"/>
      <c r="J233" s="88"/>
      <c r="K233" s="88"/>
      <c r="L233" s="88"/>
      <c r="M233" s="88"/>
      <c r="N233" s="88"/>
      <c r="O233" s="88"/>
      <c r="P233" s="88"/>
      <c r="Q233" s="88"/>
      <c r="R233" s="88"/>
      <c r="S233" s="88"/>
      <c r="T233" s="88"/>
      <c r="U233" s="88"/>
      <c r="V233" s="88"/>
      <c r="W233" s="88"/>
      <c r="X233" s="88"/>
      <c r="Y233" s="88"/>
      <c r="Z233" s="88"/>
      <c r="AA233" s="88"/>
      <c r="AB233" s="88"/>
      <c r="AC233" s="88"/>
    </row>
    <row r="234" spans="1:29" ht="25.15" customHeight="1" x14ac:dyDescent="0.25">
      <c r="A234" s="88"/>
      <c r="B234"/>
      <c r="C234"/>
      <c r="D234"/>
      <c r="E234"/>
      <c r="F234"/>
      <c r="G234"/>
      <c r="H234" s="88"/>
      <c r="I234" s="88"/>
      <c r="J234" s="88"/>
      <c r="K234" s="88"/>
      <c r="L234" s="88"/>
      <c r="M234" s="88"/>
      <c r="N234" s="88"/>
      <c r="O234" s="88"/>
      <c r="P234" s="88"/>
      <c r="Q234" s="88"/>
      <c r="R234" s="88"/>
      <c r="S234" s="88"/>
      <c r="T234" s="88"/>
      <c r="U234" s="88"/>
      <c r="V234" s="88"/>
      <c r="W234" s="88"/>
      <c r="X234" s="88"/>
      <c r="Y234" s="88"/>
      <c r="Z234" s="88"/>
      <c r="AA234" s="88"/>
      <c r="AB234" s="88"/>
      <c r="AC234" s="88"/>
    </row>
    <row r="235" spans="1:29" ht="25.15" customHeight="1" x14ac:dyDescent="0.25">
      <c r="A235" s="88"/>
      <c r="B235"/>
      <c r="C235"/>
      <c r="D235"/>
      <c r="E235"/>
      <c r="F235"/>
      <c r="G235"/>
      <c r="H235" s="88"/>
      <c r="I235" s="88"/>
      <c r="J235" s="88"/>
      <c r="K235" s="88"/>
      <c r="L235" s="88"/>
      <c r="M235" s="88"/>
      <c r="N235" s="88"/>
      <c r="O235" s="88"/>
      <c r="P235" s="88"/>
      <c r="Q235" s="88"/>
      <c r="R235" s="88"/>
      <c r="S235" s="88"/>
      <c r="T235" s="88"/>
      <c r="U235" s="88"/>
      <c r="V235" s="88"/>
      <c r="W235" s="88"/>
      <c r="X235" s="88"/>
      <c r="Y235" s="88"/>
      <c r="Z235" s="88"/>
      <c r="AA235" s="88"/>
      <c r="AB235" s="88"/>
      <c r="AC235" s="88"/>
    </row>
    <row r="236" spans="1:29" ht="25.15" customHeight="1" x14ac:dyDescent="0.25">
      <c r="A236" s="88"/>
      <c r="B236"/>
      <c r="C236"/>
      <c r="D236"/>
      <c r="E236"/>
      <c r="F236"/>
      <c r="G236"/>
      <c r="H236" s="88"/>
      <c r="I236" s="88"/>
      <c r="J236" s="88"/>
      <c r="K236" s="88"/>
      <c r="L236" s="88"/>
      <c r="M236" s="88"/>
      <c r="N236" s="88"/>
      <c r="O236" s="88"/>
      <c r="P236" s="88"/>
      <c r="Q236" s="88"/>
      <c r="R236" s="88"/>
      <c r="S236" s="88"/>
      <c r="T236" s="88"/>
      <c r="U236" s="88"/>
      <c r="V236" s="88"/>
      <c r="W236" s="88"/>
      <c r="X236" s="88"/>
      <c r="Y236" s="88"/>
      <c r="Z236" s="88"/>
      <c r="AA236" s="88"/>
      <c r="AB236" s="88"/>
      <c r="AC236" s="88"/>
    </row>
    <row r="237" spans="1:29" ht="25.15" customHeight="1" x14ac:dyDescent="0.25">
      <c r="A237" s="88"/>
      <c r="B237"/>
      <c r="C237"/>
      <c r="D237"/>
      <c r="E237"/>
      <c r="F237"/>
      <c r="G237"/>
      <c r="H237" s="88"/>
      <c r="I237" s="88"/>
      <c r="J237" s="88"/>
      <c r="K237" s="88"/>
      <c r="L237" s="88"/>
      <c r="M237" s="88"/>
      <c r="N237" s="88"/>
      <c r="O237" s="88"/>
      <c r="P237" s="88"/>
      <c r="Q237" s="88"/>
      <c r="R237" s="88"/>
      <c r="S237" s="88"/>
      <c r="T237" s="88"/>
      <c r="U237" s="88"/>
      <c r="V237" s="88"/>
      <c r="W237" s="88"/>
      <c r="X237" s="88"/>
      <c r="Y237" s="88"/>
      <c r="Z237" s="88"/>
      <c r="AA237" s="88"/>
      <c r="AB237" s="88"/>
      <c r="AC237" s="88"/>
    </row>
    <row r="238" spans="1:29" ht="25.15" customHeight="1" x14ac:dyDescent="0.25">
      <c r="A238" s="88"/>
      <c r="B238"/>
      <c r="C238"/>
      <c r="D238"/>
      <c r="E238"/>
      <c r="F238"/>
      <c r="G238"/>
      <c r="H238" s="88"/>
      <c r="I238" s="88"/>
      <c r="J238" s="88"/>
      <c r="K238" s="88"/>
      <c r="L238" s="88"/>
      <c r="M238" s="88"/>
      <c r="N238" s="88"/>
      <c r="O238" s="88"/>
      <c r="P238" s="88"/>
      <c r="Q238" s="88"/>
      <c r="R238" s="88"/>
      <c r="S238" s="88"/>
      <c r="T238" s="88"/>
      <c r="U238" s="88"/>
      <c r="V238" s="88"/>
      <c r="W238" s="88"/>
      <c r="X238" s="88"/>
      <c r="Y238" s="88"/>
      <c r="Z238" s="88"/>
      <c r="AA238" s="88"/>
      <c r="AB238" s="88"/>
      <c r="AC238" s="88"/>
    </row>
    <row r="239" spans="1:29" ht="25.15" customHeight="1" x14ac:dyDescent="0.25">
      <c r="A239" s="88"/>
      <c r="B239"/>
      <c r="C239"/>
      <c r="D239"/>
      <c r="E239"/>
      <c r="F239"/>
      <c r="G239"/>
      <c r="H239" s="88"/>
      <c r="I239" s="88"/>
      <c r="J239" s="88"/>
      <c r="K239" s="88"/>
      <c r="L239" s="88"/>
      <c r="M239" s="88"/>
      <c r="N239" s="88"/>
      <c r="O239" s="88"/>
      <c r="P239" s="88"/>
      <c r="Q239" s="88"/>
      <c r="R239" s="88"/>
      <c r="S239" s="88"/>
      <c r="T239" s="88"/>
      <c r="U239" s="88"/>
      <c r="V239" s="88"/>
      <c r="W239" s="88"/>
      <c r="X239" s="88"/>
      <c r="Y239" s="88"/>
      <c r="Z239" s="88"/>
      <c r="AA239" s="88"/>
      <c r="AB239" s="88"/>
      <c r="AC239" s="88"/>
    </row>
    <row r="240" spans="1:29" ht="25.15" customHeight="1" x14ac:dyDescent="0.25">
      <c r="A240" s="88"/>
      <c r="B240"/>
      <c r="C240"/>
      <c r="D240"/>
      <c r="E240"/>
      <c r="F240"/>
      <c r="G240"/>
      <c r="H240" s="88"/>
      <c r="I240" s="88"/>
      <c r="J240" s="88"/>
      <c r="K240" s="88"/>
      <c r="L240" s="88"/>
      <c r="M240" s="88"/>
      <c r="N240" s="88"/>
      <c r="O240" s="88"/>
      <c r="P240" s="88"/>
      <c r="Q240" s="88"/>
      <c r="R240" s="88"/>
      <c r="S240" s="88"/>
      <c r="T240" s="88"/>
      <c r="U240" s="88"/>
      <c r="V240" s="88"/>
      <c r="W240" s="88"/>
      <c r="X240" s="88"/>
      <c r="Y240" s="88"/>
      <c r="Z240" s="88"/>
      <c r="AA240" s="88"/>
      <c r="AB240" s="88"/>
      <c r="AC240" s="88"/>
    </row>
    <row r="241" spans="1:29" ht="25.15" customHeight="1" x14ac:dyDescent="0.25">
      <c r="A241" s="88"/>
      <c r="B241"/>
      <c r="C241"/>
      <c r="D241"/>
      <c r="E241"/>
      <c r="F241"/>
      <c r="G241"/>
      <c r="H241" s="88"/>
      <c r="I241" s="88"/>
      <c r="J241" s="88"/>
      <c r="K241" s="88"/>
      <c r="L241" s="88"/>
      <c r="M241" s="88"/>
      <c r="N241" s="88"/>
      <c r="O241" s="88"/>
      <c r="P241" s="88"/>
      <c r="Q241" s="88"/>
      <c r="R241" s="88"/>
      <c r="S241" s="88"/>
      <c r="T241" s="88"/>
      <c r="U241" s="88"/>
      <c r="V241" s="88"/>
      <c r="W241" s="88"/>
      <c r="X241" s="88"/>
      <c r="Y241" s="88"/>
      <c r="Z241" s="88"/>
      <c r="AA241" s="88"/>
      <c r="AB241" s="88"/>
      <c r="AC241" s="88"/>
    </row>
    <row r="242" spans="1:29" ht="25.15" customHeight="1" x14ac:dyDescent="0.25">
      <c r="A242" s="88"/>
      <c r="B242"/>
      <c r="C242"/>
      <c r="D242"/>
      <c r="E242"/>
      <c r="F242"/>
      <c r="G242"/>
      <c r="H242" s="88"/>
      <c r="I242" s="88"/>
      <c r="J242" s="88"/>
      <c r="K242" s="88"/>
      <c r="L242" s="88"/>
      <c r="M242" s="88"/>
      <c r="N242" s="88"/>
      <c r="O242" s="88"/>
      <c r="P242" s="88"/>
      <c r="Q242" s="88"/>
      <c r="R242" s="88"/>
      <c r="S242" s="88"/>
      <c r="T242" s="88"/>
      <c r="U242" s="88"/>
      <c r="V242" s="88"/>
      <c r="W242" s="88"/>
      <c r="X242" s="88"/>
      <c r="Y242" s="88"/>
      <c r="Z242" s="88"/>
      <c r="AA242" s="88"/>
      <c r="AB242" s="88"/>
      <c r="AC242" s="88"/>
    </row>
    <row r="243" spans="1:29" ht="25.15" customHeight="1" x14ac:dyDescent="0.25">
      <c r="A243" s="88"/>
      <c r="B243"/>
      <c r="C243"/>
      <c r="D243"/>
      <c r="E243"/>
      <c r="F243"/>
      <c r="G243"/>
      <c r="H243" s="88"/>
      <c r="I243" s="88"/>
      <c r="J243" s="88"/>
      <c r="K243" s="88"/>
      <c r="L243" s="88"/>
      <c r="M243" s="88"/>
      <c r="N243" s="88"/>
      <c r="O243" s="88"/>
      <c r="P243" s="88"/>
      <c r="Q243" s="88"/>
      <c r="R243" s="88"/>
      <c r="S243" s="88"/>
      <c r="T243" s="88"/>
      <c r="U243" s="88"/>
      <c r="V243" s="88"/>
      <c r="W243" s="88"/>
      <c r="X243" s="88"/>
      <c r="Y243" s="88"/>
      <c r="Z243" s="88"/>
      <c r="AA243" s="88"/>
      <c r="AB243" s="88"/>
      <c r="AC243" s="88"/>
    </row>
    <row r="244" spans="1:29" ht="25.15" customHeight="1" x14ac:dyDescent="0.25">
      <c r="A244" s="88"/>
      <c r="B244"/>
      <c r="C244"/>
      <c r="D244"/>
      <c r="E244"/>
      <c r="F244"/>
      <c r="G244"/>
      <c r="H244" s="88"/>
      <c r="I244" s="88"/>
      <c r="J244" s="88"/>
      <c r="K244" s="88"/>
      <c r="L244" s="88"/>
      <c r="M244" s="88"/>
      <c r="N244" s="88"/>
      <c r="O244" s="88"/>
      <c r="P244" s="88"/>
      <c r="Q244" s="88"/>
      <c r="R244" s="88"/>
      <c r="S244" s="88"/>
      <c r="T244" s="88"/>
      <c r="U244" s="88"/>
      <c r="V244" s="88"/>
      <c r="W244" s="88"/>
      <c r="X244" s="88"/>
      <c r="Y244" s="88"/>
      <c r="Z244" s="88"/>
      <c r="AA244" s="88"/>
      <c r="AB244" s="88"/>
      <c r="AC244" s="88"/>
    </row>
    <row r="245" spans="1:29" ht="25.15" customHeight="1" x14ac:dyDescent="0.25">
      <c r="A245" s="88"/>
      <c r="B245"/>
      <c r="C245"/>
      <c r="D245"/>
      <c r="E245"/>
      <c r="F245"/>
      <c r="G245"/>
      <c r="H245" s="88"/>
      <c r="I245" s="88"/>
      <c r="J245" s="88"/>
      <c r="K245" s="88"/>
      <c r="L245" s="88"/>
      <c r="M245" s="88"/>
      <c r="N245" s="88"/>
      <c r="O245" s="88"/>
      <c r="P245" s="88"/>
      <c r="Q245" s="88"/>
      <c r="R245" s="88"/>
      <c r="S245" s="88"/>
      <c r="T245" s="88"/>
      <c r="U245" s="88"/>
      <c r="V245" s="88"/>
      <c r="W245" s="88"/>
      <c r="X245" s="88"/>
      <c r="Y245" s="88"/>
      <c r="Z245" s="88"/>
      <c r="AA245" s="88"/>
      <c r="AB245" s="88"/>
      <c r="AC245" s="88"/>
    </row>
    <row r="246" spans="1:29" ht="25.15" customHeight="1" x14ac:dyDescent="0.25">
      <c r="A246" s="88"/>
      <c r="B246"/>
      <c r="C246"/>
      <c r="D246"/>
      <c r="E246"/>
      <c r="F246"/>
      <c r="G246"/>
      <c r="H246" s="88"/>
      <c r="I246" s="88"/>
      <c r="J246" s="88"/>
      <c r="K246" s="88"/>
      <c r="L246" s="88"/>
      <c r="M246" s="88"/>
      <c r="N246" s="88"/>
      <c r="O246" s="88"/>
      <c r="P246" s="88"/>
      <c r="Q246" s="88"/>
      <c r="R246" s="88"/>
      <c r="S246" s="88"/>
      <c r="T246" s="88"/>
      <c r="U246" s="88"/>
      <c r="V246" s="88"/>
      <c r="W246" s="88"/>
      <c r="X246" s="88"/>
      <c r="Y246" s="88"/>
      <c r="Z246" s="88"/>
      <c r="AA246" s="88"/>
      <c r="AB246" s="88"/>
      <c r="AC246" s="88"/>
    </row>
    <row r="247" spans="1:29" ht="25.15" customHeight="1" x14ac:dyDescent="0.25">
      <c r="A247" s="88"/>
      <c r="B247"/>
      <c r="C247"/>
      <c r="D247"/>
      <c r="E247"/>
      <c r="F247"/>
      <c r="G247"/>
      <c r="H247" s="88"/>
      <c r="I247" s="88"/>
      <c r="J247" s="88"/>
      <c r="K247" s="88"/>
      <c r="L247" s="88"/>
      <c r="M247" s="88"/>
      <c r="N247" s="88"/>
      <c r="O247" s="88"/>
      <c r="P247" s="88"/>
      <c r="Q247" s="88"/>
      <c r="R247" s="88"/>
      <c r="S247" s="88"/>
      <c r="T247" s="88"/>
      <c r="U247" s="88"/>
      <c r="V247" s="88"/>
      <c r="W247" s="88"/>
      <c r="X247" s="88"/>
      <c r="Y247" s="88"/>
      <c r="Z247" s="88"/>
      <c r="AA247" s="88"/>
      <c r="AB247" s="88"/>
      <c r="AC247" s="88"/>
    </row>
    <row r="248" spans="1:29" ht="25.15" customHeight="1" x14ac:dyDescent="0.25">
      <c r="A248" s="88"/>
      <c r="B248"/>
      <c r="C248"/>
      <c r="D248"/>
      <c r="E248"/>
      <c r="F248"/>
      <c r="G248"/>
      <c r="H248" s="88"/>
      <c r="I248" s="88"/>
      <c r="J248" s="88"/>
      <c r="K248" s="88"/>
      <c r="L248" s="88"/>
      <c r="M248" s="88"/>
      <c r="N248" s="88"/>
      <c r="O248" s="88"/>
      <c r="P248" s="88"/>
      <c r="Q248" s="88"/>
      <c r="R248" s="88"/>
      <c r="S248" s="88"/>
      <c r="T248" s="88"/>
      <c r="U248" s="88"/>
      <c r="V248" s="88"/>
      <c r="W248" s="88"/>
      <c r="X248" s="88"/>
      <c r="Y248" s="88"/>
      <c r="Z248" s="88"/>
      <c r="AA248" s="88"/>
      <c r="AB248" s="88"/>
      <c r="AC248" s="88"/>
    </row>
    <row r="249" spans="1:29" ht="25.15" customHeight="1" x14ac:dyDescent="0.25">
      <c r="A249" s="88"/>
      <c r="B249"/>
      <c r="C249"/>
      <c r="D249"/>
      <c r="E249"/>
      <c r="F249"/>
      <c r="G249"/>
      <c r="H249" s="88"/>
      <c r="I249" s="88"/>
      <c r="J249" s="88"/>
      <c r="K249" s="88"/>
      <c r="L249" s="88"/>
      <c r="M249" s="88"/>
      <c r="N249" s="88"/>
      <c r="O249" s="88"/>
      <c r="P249" s="88"/>
      <c r="Q249" s="88"/>
      <c r="R249" s="88"/>
      <c r="S249" s="88"/>
      <c r="T249" s="88"/>
      <c r="U249" s="88"/>
      <c r="V249" s="88"/>
      <c r="W249" s="88"/>
      <c r="X249" s="88"/>
      <c r="Y249" s="88"/>
      <c r="Z249" s="88"/>
      <c r="AA249" s="88"/>
      <c r="AB249" s="88"/>
      <c r="AC249" s="88"/>
    </row>
    <row r="250" spans="1:29" ht="25.15" customHeight="1" x14ac:dyDescent="0.25">
      <c r="A250" s="88"/>
      <c r="B250"/>
      <c r="C250"/>
      <c r="D250"/>
      <c r="E250"/>
      <c r="F250"/>
      <c r="G250"/>
      <c r="H250" s="88"/>
      <c r="I250" s="88"/>
      <c r="J250" s="88"/>
      <c r="K250" s="88"/>
      <c r="L250" s="88"/>
      <c r="M250" s="88"/>
      <c r="N250" s="88"/>
      <c r="O250" s="88"/>
      <c r="P250" s="88"/>
      <c r="Q250" s="88"/>
      <c r="R250" s="88"/>
      <c r="S250" s="88"/>
      <c r="T250" s="88"/>
      <c r="U250" s="88"/>
      <c r="V250" s="88"/>
      <c r="W250" s="88"/>
      <c r="X250" s="88"/>
      <c r="Y250" s="88"/>
      <c r="Z250" s="88"/>
      <c r="AA250" s="88"/>
      <c r="AB250" s="88"/>
      <c r="AC250" s="88"/>
    </row>
    <row r="251" spans="1:29" ht="25.15" customHeight="1" x14ac:dyDescent="0.25">
      <c r="A251" s="88"/>
      <c r="B251"/>
      <c r="C251"/>
      <c r="D251"/>
      <c r="E251"/>
      <c r="F251"/>
      <c r="G251"/>
      <c r="H251" s="88"/>
      <c r="I251" s="88"/>
      <c r="J251" s="88"/>
      <c r="K251" s="88"/>
      <c r="L251" s="88"/>
      <c r="M251" s="88"/>
      <c r="N251" s="88"/>
      <c r="O251" s="88"/>
      <c r="P251" s="88"/>
      <c r="Q251" s="88"/>
      <c r="R251" s="88"/>
      <c r="S251" s="88"/>
      <c r="T251" s="88"/>
      <c r="U251" s="88"/>
      <c r="V251" s="88"/>
      <c r="W251" s="88"/>
      <c r="X251" s="88"/>
      <c r="Y251" s="88"/>
      <c r="Z251" s="88"/>
      <c r="AA251" s="88"/>
      <c r="AB251" s="88"/>
      <c r="AC251" s="88"/>
    </row>
    <row r="252" spans="1:29" ht="25.15" customHeight="1" x14ac:dyDescent="0.25">
      <c r="A252" s="88"/>
      <c r="B252"/>
      <c r="C252"/>
      <c r="D252"/>
      <c r="E252"/>
      <c r="F252"/>
      <c r="G252"/>
      <c r="H252" s="88"/>
      <c r="I252" s="88"/>
      <c r="J252" s="88"/>
      <c r="K252" s="88"/>
      <c r="L252" s="88"/>
      <c r="M252" s="88"/>
      <c r="N252" s="88"/>
      <c r="O252" s="88"/>
      <c r="P252" s="88"/>
      <c r="Q252" s="88"/>
      <c r="R252" s="88"/>
      <c r="S252" s="88"/>
      <c r="T252" s="88"/>
      <c r="U252" s="88"/>
      <c r="V252" s="88"/>
      <c r="W252" s="88"/>
      <c r="X252" s="88"/>
      <c r="Y252" s="88"/>
      <c r="Z252" s="88"/>
      <c r="AA252" s="88"/>
      <c r="AB252" s="88"/>
      <c r="AC252" s="88"/>
    </row>
    <row r="253" spans="1:29" ht="25.15" customHeight="1" x14ac:dyDescent="0.25">
      <c r="A253" s="88"/>
      <c r="B253"/>
      <c r="C253"/>
      <c r="D253"/>
      <c r="E253"/>
      <c r="F253"/>
      <c r="G253"/>
      <c r="H253" s="88"/>
      <c r="I253" s="88"/>
      <c r="J253" s="88"/>
      <c r="K253" s="88"/>
      <c r="L253" s="88"/>
      <c r="M253" s="88"/>
      <c r="N253" s="88"/>
      <c r="O253" s="88"/>
      <c r="P253" s="88"/>
      <c r="Q253" s="88"/>
      <c r="R253" s="88"/>
      <c r="S253" s="88"/>
      <c r="T253" s="88"/>
      <c r="U253" s="88"/>
      <c r="V253" s="88"/>
      <c r="W253" s="88"/>
      <c r="X253" s="88"/>
      <c r="Y253" s="88"/>
      <c r="Z253" s="88"/>
      <c r="AA253" s="88"/>
      <c r="AB253" s="88"/>
      <c r="AC253" s="88"/>
    </row>
    <row r="254" spans="1:29" ht="25.15" customHeight="1" x14ac:dyDescent="0.25">
      <c r="A254" s="88"/>
      <c r="B254"/>
      <c r="C254"/>
      <c r="D254"/>
      <c r="E254"/>
      <c r="F254"/>
      <c r="G254"/>
      <c r="H254" s="88"/>
      <c r="I254" s="88"/>
      <c r="J254" s="88"/>
      <c r="K254" s="88"/>
      <c r="L254" s="88"/>
      <c r="M254" s="88"/>
      <c r="N254" s="88"/>
      <c r="O254" s="88"/>
      <c r="P254" s="88"/>
      <c r="Q254" s="88"/>
      <c r="R254" s="88"/>
      <c r="S254" s="88"/>
      <c r="T254" s="88"/>
      <c r="U254" s="88"/>
      <c r="V254" s="88"/>
      <c r="W254" s="88"/>
      <c r="X254" s="88"/>
      <c r="Y254" s="88"/>
      <c r="Z254" s="88"/>
      <c r="AA254" s="88"/>
      <c r="AB254" s="88"/>
      <c r="AC254" s="88"/>
    </row>
    <row r="255" spans="1:29" ht="25.15" customHeight="1" x14ac:dyDescent="0.25">
      <c r="A255" s="88"/>
      <c r="B255"/>
      <c r="C255"/>
      <c r="D255"/>
      <c r="E255"/>
      <c r="F255"/>
      <c r="G255"/>
      <c r="H255" s="88"/>
      <c r="I255" s="88"/>
      <c r="J255" s="88"/>
      <c r="K255" s="88"/>
      <c r="L255" s="88"/>
      <c r="M255" s="88"/>
      <c r="N255" s="88"/>
      <c r="O255" s="88"/>
      <c r="P255" s="88"/>
      <c r="Q255" s="88"/>
      <c r="R255" s="88"/>
      <c r="S255" s="88"/>
      <c r="T255" s="88"/>
      <c r="U255" s="88"/>
      <c r="V255" s="88"/>
      <c r="W255" s="88"/>
      <c r="X255" s="88"/>
      <c r="Y255" s="88"/>
      <c r="Z255" s="88"/>
      <c r="AA255" s="88"/>
      <c r="AB255" s="88"/>
      <c r="AC255" s="88"/>
    </row>
    <row r="256" spans="1:29" ht="25.15" customHeight="1" x14ac:dyDescent="0.25">
      <c r="A256" s="88"/>
      <c r="B256"/>
      <c r="C256"/>
      <c r="D256"/>
      <c r="E256"/>
      <c r="F256"/>
      <c r="G256"/>
      <c r="H256" s="88"/>
      <c r="I256" s="88"/>
      <c r="J256" s="88"/>
      <c r="K256" s="88"/>
      <c r="L256" s="88"/>
      <c r="M256" s="88"/>
      <c r="N256" s="88"/>
      <c r="O256" s="88"/>
      <c r="P256" s="88"/>
      <c r="Q256" s="88"/>
      <c r="R256" s="88"/>
      <c r="S256" s="88"/>
      <c r="T256" s="88"/>
      <c r="U256" s="88"/>
      <c r="V256" s="88"/>
      <c r="W256" s="88"/>
      <c r="X256" s="88"/>
      <c r="Y256" s="88"/>
      <c r="Z256" s="88"/>
      <c r="AA256" s="88"/>
      <c r="AB256" s="88"/>
      <c r="AC256" s="88"/>
    </row>
    <row r="257" spans="1:29" ht="25.15" customHeight="1" x14ac:dyDescent="0.25">
      <c r="A257" s="88"/>
      <c r="B257"/>
      <c r="C257"/>
      <c r="D257"/>
      <c r="E257"/>
      <c r="F257"/>
      <c r="G257"/>
      <c r="H257" s="88"/>
      <c r="I257" s="88"/>
      <c r="J257" s="88"/>
      <c r="K257" s="88"/>
      <c r="L257" s="88"/>
      <c r="M257" s="88"/>
      <c r="N257" s="88"/>
      <c r="O257" s="88"/>
      <c r="P257" s="88"/>
      <c r="Q257" s="88"/>
      <c r="R257" s="88"/>
      <c r="S257" s="88"/>
      <c r="T257" s="88"/>
      <c r="U257" s="88"/>
      <c r="V257" s="88"/>
      <c r="W257" s="88"/>
      <c r="X257" s="88"/>
      <c r="Y257" s="88"/>
      <c r="Z257" s="88"/>
      <c r="AA257" s="88"/>
      <c r="AB257" s="88"/>
      <c r="AC257" s="88"/>
    </row>
    <row r="258" spans="1:29" ht="25.15" customHeight="1" x14ac:dyDescent="0.25">
      <c r="A258" s="88"/>
      <c r="B258"/>
      <c r="C258"/>
      <c r="D258"/>
      <c r="E258"/>
      <c r="F258"/>
      <c r="G258"/>
      <c r="H258" s="88"/>
      <c r="I258" s="88"/>
      <c r="J258" s="88"/>
      <c r="K258" s="88"/>
      <c r="L258" s="88"/>
      <c r="M258" s="88"/>
      <c r="N258" s="88"/>
      <c r="O258" s="88"/>
      <c r="P258" s="88"/>
      <c r="Q258" s="88"/>
      <c r="R258" s="88"/>
      <c r="S258" s="88"/>
      <c r="T258" s="88"/>
      <c r="U258" s="88"/>
      <c r="V258" s="88"/>
      <c r="W258" s="88"/>
      <c r="X258" s="88"/>
      <c r="Y258" s="88"/>
      <c r="Z258" s="88"/>
      <c r="AA258" s="88"/>
      <c r="AB258" s="88"/>
      <c r="AC258" s="88"/>
    </row>
    <row r="259" spans="1:29" ht="25.15" customHeight="1" x14ac:dyDescent="0.25">
      <c r="A259" s="88"/>
      <c r="B259"/>
      <c r="C259"/>
      <c r="D259"/>
      <c r="E259"/>
      <c r="F259"/>
      <c r="G259"/>
      <c r="H259" s="88"/>
      <c r="I259" s="88"/>
      <c r="J259" s="88"/>
      <c r="K259" s="88"/>
      <c r="L259" s="88"/>
      <c r="M259" s="88"/>
      <c r="N259" s="88"/>
      <c r="O259" s="88"/>
      <c r="P259" s="88"/>
      <c r="Q259" s="88"/>
      <c r="R259" s="88"/>
      <c r="S259" s="88"/>
      <c r="T259" s="88"/>
      <c r="U259" s="88"/>
      <c r="V259" s="88"/>
      <c r="W259" s="88"/>
      <c r="X259" s="88"/>
      <c r="Y259" s="88"/>
      <c r="Z259" s="88"/>
      <c r="AA259" s="88"/>
      <c r="AB259" s="88"/>
      <c r="AC259" s="88"/>
    </row>
    <row r="260" spans="1:29" ht="25.15" customHeight="1" x14ac:dyDescent="0.25">
      <c r="A260" s="88"/>
      <c r="B260"/>
      <c r="C260"/>
      <c r="D260"/>
      <c r="E260"/>
      <c r="F260"/>
      <c r="G260"/>
      <c r="H260" s="88"/>
      <c r="I260" s="88"/>
      <c r="J260" s="88"/>
      <c r="K260" s="88"/>
      <c r="L260" s="88"/>
      <c r="M260" s="88"/>
      <c r="N260" s="88"/>
      <c r="O260" s="88"/>
      <c r="P260" s="88"/>
      <c r="Q260" s="88"/>
      <c r="R260" s="88"/>
      <c r="S260" s="88"/>
      <c r="T260" s="88"/>
      <c r="U260" s="88"/>
      <c r="V260" s="88"/>
      <c r="W260" s="88"/>
      <c r="X260" s="88"/>
      <c r="Y260" s="88"/>
      <c r="Z260" s="88"/>
      <c r="AA260" s="88"/>
      <c r="AB260" s="88"/>
      <c r="AC260" s="88"/>
    </row>
    <row r="261" spans="1:29" ht="25.15" customHeight="1" x14ac:dyDescent="0.25">
      <c r="A261" s="88"/>
      <c r="B261"/>
      <c r="C261"/>
      <c r="D261"/>
      <c r="E261"/>
      <c r="F261"/>
      <c r="G261"/>
      <c r="H261" s="88"/>
      <c r="I261" s="88"/>
      <c r="J261" s="88"/>
      <c r="K261" s="88"/>
      <c r="L261" s="88"/>
      <c r="M261" s="88"/>
      <c r="N261" s="88"/>
      <c r="O261" s="88"/>
      <c r="P261" s="88"/>
      <c r="Q261" s="88"/>
      <c r="R261" s="88"/>
      <c r="S261" s="88"/>
      <c r="T261" s="88"/>
      <c r="U261" s="88"/>
      <c r="V261" s="88"/>
      <c r="W261" s="88"/>
      <c r="X261" s="88"/>
      <c r="Y261" s="88"/>
      <c r="Z261" s="88"/>
      <c r="AA261" s="88"/>
      <c r="AB261" s="88"/>
      <c r="AC261" s="88"/>
    </row>
    <row r="262" spans="1:29" ht="25.15" customHeight="1" x14ac:dyDescent="0.25">
      <c r="A262" s="88"/>
      <c r="B262"/>
      <c r="C262"/>
      <c r="D262"/>
      <c r="E262"/>
      <c r="F262"/>
      <c r="G262"/>
      <c r="H262" s="88"/>
      <c r="I262" s="88"/>
      <c r="J262" s="88"/>
      <c r="K262" s="88"/>
      <c r="L262" s="88"/>
      <c r="M262" s="88"/>
      <c r="N262" s="88"/>
      <c r="O262" s="88"/>
      <c r="P262" s="88"/>
      <c r="Q262" s="88"/>
      <c r="R262" s="88"/>
      <c r="S262" s="88"/>
      <c r="T262" s="88"/>
      <c r="U262" s="88"/>
      <c r="V262" s="88"/>
      <c r="W262" s="88"/>
      <c r="X262" s="88"/>
      <c r="Y262" s="88"/>
      <c r="Z262" s="88"/>
      <c r="AA262" s="88"/>
      <c r="AB262" s="88"/>
      <c r="AC262" s="88"/>
    </row>
    <row r="263" spans="1:29" ht="25.15" customHeight="1" x14ac:dyDescent="0.25">
      <c r="A263" s="88"/>
      <c r="B263"/>
      <c r="C263"/>
      <c r="D263"/>
      <c r="E263"/>
      <c r="F263"/>
      <c r="G263"/>
      <c r="H263" s="88"/>
      <c r="I263" s="88"/>
      <c r="J263" s="88"/>
      <c r="K263" s="88"/>
      <c r="L263" s="88"/>
      <c r="M263" s="88"/>
      <c r="N263" s="88"/>
      <c r="O263" s="88"/>
      <c r="P263" s="88"/>
      <c r="Q263" s="88"/>
      <c r="R263" s="88"/>
      <c r="S263" s="88"/>
      <c r="T263" s="88"/>
      <c r="U263" s="88"/>
      <c r="V263" s="88"/>
      <c r="W263" s="88"/>
      <c r="X263" s="88"/>
      <c r="Y263" s="88"/>
      <c r="Z263" s="88"/>
      <c r="AA263" s="88"/>
      <c r="AB263" s="88"/>
      <c r="AC263" s="88"/>
    </row>
    <row r="264" spans="1:29" ht="25.15" customHeight="1" x14ac:dyDescent="0.25">
      <c r="A264" s="88"/>
      <c r="B264"/>
      <c r="C264"/>
      <c r="D264"/>
      <c r="E264"/>
      <c r="F264"/>
      <c r="G264"/>
      <c r="H264" s="88"/>
      <c r="I264" s="88"/>
      <c r="J264" s="88"/>
      <c r="K264" s="88"/>
      <c r="L264" s="88"/>
      <c r="M264" s="88"/>
      <c r="N264" s="88"/>
      <c r="O264" s="88"/>
      <c r="P264" s="88"/>
      <c r="Q264" s="88"/>
      <c r="R264" s="88"/>
      <c r="S264" s="88"/>
      <c r="T264" s="88"/>
      <c r="U264" s="88"/>
      <c r="V264" s="88"/>
      <c r="W264" s="88"/>
      <c r="X264" s="88"/>
      <c r="Y264" s="88"/>
      <c r="Z264" s="88"/>
      <c r="AA264" s="88"/>
      <c r="AB264" s="88"/>
      <c r="AC264" s="88"/>
    </row>
    <row r="265" spans="1:29" ht="25.15" customHeight="1" x14ac:dyDescent="0.25">
      <c r="A265" s="88"/>
      <c r="B265"/>
      <c r="C265"/>
      <c r="D265"/>
      <c r="E265"/>
      <c r="F265"/>
      <c r="G265"/>
      <c r="H265" s="88"/>
      <c r="I265" s="88"/>
      <c r="J265" s="88"/>
      <c r="K265" s="88"/>
      <c r="L265" s="88"/>
      <c r="M265" s="88"/>
      <c r="N265" s="88"/>
      <c r="O265" s="88"/>
      <c r="P265" s="88"/>
      <c r="Q265" s="88"/>
      <c r="R265" s="88"/>
      <c r="S265" s="88"/>
      <c r="T265" s="88"/>
      <c r="U265" s="88"/>
      <c r="V265" s="88"/>
      <c r="W265" s="88"/>
      <c r="X265" s="88"/>
      <c r="Y265" s="88"/>
      <c r="Z265" s="88"/>
      <c r="AA265" s="88"/>
      <c r="AB265" s="88"/>
      <c r="AC265" s="88"/>
    </row>
    <row r="266" spans="1:29" ht="25.15" customHeight="1" x14ac:dyDescent="0.25">
      <c r="A266" s="88"/>
      <c r="B266"/>
      <c r="C266"/>
      <c r="D266"/>
      <c r="E266"/>
      <c r="F266"/>
      <c r="G266"/>
      <c r="H266" s="88"/>
      <c r="I266" s="88"/>
      <c r="J266" s="88"/>
      <c r="K266" s="88"/>
      <c r="L266" s="88"/>
      <c r="M266" s="88"/>
      <c r="N266" s="88"/>
      <c r="O266" s="88"/>
      <c r="P266" s="88"/>
      <c r="Q266" s="88"/>
      <c r="R266" s="88"/>
      <c r="S266" s="88"/>
      <c r="T266" s="88"/>
      <c r="U266" s="88"/>
      <c r="V266" s="88"/>
      <c r="W266" s="88"/>
      <c r="X266" s="88"/>
      <c r="Y266" s="88"/>
      <c r="Z266" s="88"/>
      <c r="AA266" s="88"/>
      <c r="AB266" s="88"/>
      <c r="AC266" s="88"/>
    </row>
    <row r="267" spans="1:29" ht="25.15" customHeight="1" x14ac:dyDescent="0.25">
      <c r="A267" s="88"/>
      <c r="B267"/>
      <c r="C267"/>
      <c r="D267"/>
      <c r="E267"/>
      <c r="F267"/>
      <c r="G267"/>
      <c r="H267" s="88"/>
      <c r="I267" s="88"/>
      <c r="J267" s="88"/>
      <c r="K267" s="88"/>
      <c r="L267" s="88"/>
      <c r="M267" s="88"/>
      <c r="N267" s="88"/>
      <c r="O267" s="88"/>
      <c r="P267" s="88"/>
      <c r="Q267" s="88"/>
      <c r="R267" s="88"/>
      <c r="S267" s="88"/>
      <c r="T267" s="88"/>
      <c r="U267" s="88"/>
      <c r="V267" s="88"/>
      <c r="W267" s="88"/>
      <c r="X267" s="88"/>
      <c r="Y267" s="88"/>
      <c r="Z267" s="88"/>
      <c r="AA267" s="88"/>
      <c r="AB267" s="88"/>
      <c r="AC267" s="88"/>
    </row>
    <row r="268" spans="1:29" ht="25.15" customHeight="1" x14ac:dyDescent="0.25">
      <c r="A268" s="88"/>
      <c r="B268"/>
      <c r="C268"/>
      <c r="D268"/>
      <c r="E268"/>
      <c r="F268"/>
      <c r="G268"/>
      <c r="H268" s="88"/>
      <c r="I268" s="88"/>
      <c r="J268" s="88"/>
      <c r="K268" s="88"/>
      <c r="L268" s="88"/>
      <c r="M268" s="88"/>
      <c r="N268" s="88"/>
      <c r="O268" s="88"/>
      <c r="P268" s="88"/>
      <c r="Q268" s="88"/>
      <c r="R268" s="88"/>
      <c r="S268" s="88"/>
      <c r="T268" s="88"/>
      <c r="U268" s="88"/>
      <c r="V268" s="88"/>
      <c r="W268" s="88"/>
      <c r="X268" s="88"/>
      <c r="Y268" s="88"/>
      <c r="Z268" s="88"/>
      <c r="AA268" s="88"/>
      <c r="AB268" s="88"/>
      <c r="AC268" s="88"/>
    </row>
    <row r="269" spans="1:29" ht="25.15" customHeight="1" x14ac:dyDescent="0.25">
      <c r="A269" s="88"/>
      <c r="B269"/>
      <c r="C269"/>
      <c r="D269"/>
      <c r="E269"/>
      <c r="F269"/>
      <c r="G269"/>
      <c r="H269" s="88"/>
      <c r="I269" s="88"/>
      <c r="J269" s="88"/>
      <c r="K269" s="88"/>
      <c r="L269" s="88"/>
      <c r="M269" s="88"/>
      <c r="N269" s="88"/>
      <c r="O269" s="88"/>
      <c r="P269" s="88"/>
      <c r="Q269" s="88"/>
      <c r="R269" s="88"/>
      <c r="S269" s="88"/>
      <c r="T269" s="88"/>
      <c r="U269" s="88"/>
      <c r="V269" s="88"/>
      <c r="W269" s="88"/>
      <c r="X269" s="88"/>
      <c r="Y269" s="88"/>
      <c r="Z269" s="88"/>
      <c r="AA269" s="88"/>
      <c r="AB269" s="88"/>
      <c r="AC269" s="88"/>
    </row>
    <row r="270" spans="1:29" ht="25.15" customHeight="1" x14ac:dyDescent="0.25">
      <c r="A270" s="88"/>
      <c r="B270"/>
      <c r="C270"/>
      <c r="D270"/>
      <c r="E270"/>
      <c r="F270"/>
      <c r="G270"/>
      <c r="H270" s="88"/>
      <c r="I270" s="88"/>
      <c r="J270" s="88"/>
      <c r="K270" s="88"/>
      <c r="L270" s="88"/>
      <c r="M270" s="88"/>
      <c r="N270" s="88"/>
      <c r="O270" s="88"/>
      <c r="P270" s="88"/>
      <c r="Q270" s="88"/>
      <c r="R270" s="88"/>
      <c r="S270" s="88"/>
      <c r="T270" s="88"/>
      <c r="U270" s="88"/>
      <c r="V270" s="88"/>
      <c r="W270" s="88"/>
      <c r="X270" s="88"/>
      <c r="Y270" s="88"/>
      <c r="Z270" s="88"/>
      <c r="AA270" s="88"/>
      <c r="AB270" s="88"/>
      <c r="AC270" s="88"/>
    </row>
    <row r="271" spans="1:29" ht="25.15" customHeight="1" x14ac:dyDescent="0.25">
      <c r="A271" s="88"/>
      <c r="B271"/>
      <c r="C271"/>
      <c r="D271"/>
      <c r="E271"/>
      <c r="F271"/>
      <c r="G271"/>
      <c r="H271" s="88"/>
      <c r="I271" s="88"/>
      <c r="J271" s="88"/>
      <c r="K271" s="88"/>
      <c r="L271" s="88"/>
      <c r="M271" s="88"/>
      <c r="N271" s="88"/>
      <c r="O271" s="88"/>
      <c r="P271" s="88"/>
      <c r="Q271" s="88"/>
      <c r="R271" s="88"/>
      <c r="S271" s="88"/>
      <c r="T271" s="88"/>
      <c r="U271" s="88"/>
      <c r="V271" s="88"/>
      <c r="W271" s="88"/>
      <c r="X271" s="88"/>
      <c r="Y271" s="88"/>
      <c r="Z271" s="88"/>
      <c r="AA271" s="88"/>
      <c r="AB271" s="88"/>
      <c r="AC271" s="88"/>
    </row>
    <row r="272" spans="1:29" ht="25.15" customHeight="1" x14ac:dyDescent="0.25">
      <c r="A272" s="88"/>
      <c r="B272"/>
      <c r="C272"/>
      <c r="D272"/>
      <c r="E272"/>
      <c r="F272"/>
      <c r="G272"/>
      <c r="H272" s="88"/>
      <c r="I272" s="88"/>
      <c r="J272" s="88"/>
      <c r="K272" s="88"/>
      <c r="L272" s="88"/>
      <c r="M272" s="88"/>
      <c r="N272" s="88"/>
      <c r="O272" s="88"/>
      <c r="P272" s="88"/>
      <c r="Q272" s="88"/>
      <c r="R272" s="88"/>
      <c r="S272" s="88"/>
      <c r="T272" s="88"/>
      <c r="U272" s="88"/>
      <c r="V272" s="88"/>
      <c r="W272" s="88"/>
      <c r="X272" s="88"/>
      <c r="Y272" s="88"/>
      <c r="Z272" s="88"/>
      <c r="AA272" s="88"/>
      <c r="AB272" s="88"/>
      <c r="AC272" s="88"/>
    </row>
    <row r="273" spans="1:29" ht="25.15" customHeight="1" x14ac:dyDescent="0.25">
      <c r="A273" s="88"/>
      <c r="B273"/>
      <c r="C273"/>
      <c r="D273"/>
      <c r="E273"/>
      <c r="F273"/>
      <c r="G273"/>
      <c r="H273" s="88"/>
      <c r="I273" s="88"/>
      <c r="J273" s="88"/>
      <c r="K273" s="88"/>
      <c r="L273" s="88"/>
      <c r="M273" s="88"/>
      <c r="N273" s="88"/>
      <c r="O273" s="88"/>
      <c r="P273" s="88"/>
      <c r="Q273" s="88"/>
      <c r="R273" s="88"/>
      <c r="S273" s="88"/>
      <c r="T273" s="88"/>
      <c r="U273" s="88"/>
      <c r="V273" s="88"/>
      <c r="W273" s="88"/>
      <c r="X273" s="88"/>
      <c r="Y273" s="88"/>
      <c r="Z273" s="88"/>
      <c r="AA273" s="88"/>
      <c r="AB273" s="88"/>
      <c r="AC273" s="88"/>
    </row>
    <row r="274" spans="1:29" ht="25.15" customHeight="1" x14ac:dyDescent="0.25">
      <c r="A274" s="88"/>
      <c r="B274"/>
      <c r="C274"/>
      <c r="D274"/>
      <c r="E274"/>
      <c r="F274"/>
      <c r="G274"/>
      <c r="H274" s="88"/>
      <c r="I274" s="88"/>
      <c r="J274" s="88"/>
      <c r="K274" s="88"/>
      <c r="L274" s="88"/>
      <c r="M274" s="88"/>
      <c r="N274" s="88"/>
      <c r="O274" s="88"/>
      <c r="P274" s="88"/>
      <c r="Q274" s="88"/>
      <c r="R274" s="88"/>
      <c r="S274" s="88"/>
      <c r="T274" s="88"/>
      <c r="U274" s="88"/>
      <c r="V274" s="88"/>
      <c r="W274" s="88"/>
      <c r="X274" s="88"/>
      <c r="Y274" s="88"/>
      <c r="Z274" s="88"/>
      <c r="AA274" s="88"/>
      <c r="AB274" s="88"/>
      <c r="AC274" s="88"/>
    </row>
    <row r="275" spans="1:29" ht="25.15" customHeight="1" x14ac:dyDescent="0.25">
      <c r="A275" s="88"/>
      <c r="B275"/>
      <c r="C275"/>
      <c r="D275"/>
      <c r="E275"/>
      <c r="F275"/>
      <c r="G275"/>
      <c r="H275" s="88"/>
      <c r="I275" s="88"/>
      <c r="J275" s="88"/>
      <c r="K275" s="88"/>
      <c r="L275" s="88"/>
      <c r="M275" s="88"/>
      <c r="N275" s="88"/>
      <c r="O275" s="88"/>
      <c r="P275" s="88"/>
      <c r="Q275" s="88"/>
      <c r="R275" s="88"/>
      <c r="S275" s="88"/>
      <c r="T275" s="88"/>
      <c r="U275" s="88"/>
      <c r="V275" s="88"/>
      <c r="W275" s="88"/>
      <c r="X275" s="88"/>
      <c r="Y275" s="88"/>
      <c r="Z275" s="88"/>
      <c r="AA275" s="88"/>
      <c r="AB275" s="88"/>
      <c r="AC275" s="88"/>
    </row>
    <row r="276" spans="1:29" ht="25.15" customHeight="1" x14ac:dyDescent="0.25">
      <c r="A276" s="88"/>
      <c r="B276"/>
      <c r="C276"/>
      <c r="D276"/>
      <c r="E276"/>
      <c r="F276"/>
      <c r="G276"/>
      <c r="H276" s="88"/>
      <c r="I276" s="88"/>
      <c r="J276" s="88"/>
      <c r="K276" s="88"/>
      <c r="L276" s="88"/>
      <c r="M276" s="88"/>
      <c r="N276" s="88"/>
      <c r="O276" s="88"/>
      <c r="P276" s="88"/>
      <c r="Q276" s="88"/>
      <c r="R276" s="88"/>
      <c r="S276" s="88"/>
      <c r="T276" s="88"/>
      <c r="U276" s="88"/>
      <c r="V276" s="88"/>
      <c r="W276" s="88"/>
      <c r="X276" s="88"/>
      <c r="Y276" s="88"/>
      <c r="Z276" s="88"/>
      <c r="AA276" s="88"/>
      <c r="AB276" s="88"/>
      <c r="AC276" s="88"/>
    </row>
    <row r="277" spans="1:29" ht="25.15" customHeight="1" x14ac:dyDescent="0.25">
      <c r="A277" s="88"/>
      <c r="B277"/>
      <c r="C277"/>
      <c r="D277"/>
      <c r="E277"/>
      <c r="F277"/>
      <c r="G277"/>
      <c r="H277" s="88"/>
      <c r="I277" s="88"/>
      <c r="J277" s="88"/>
      <c r="K277" s="88"/>
      <c r="L277" s="88"/>
      <c r="M277" s="88"/>
      <c r="N277" s="88"/>
      <c r="O277" s="88"/>
      <c r="P277" s="88"/>
      <c r="Q277" s="88"/>
      <c r="R277" s="88"/>
      <c r="S277" s="88"/>
      <c r="T277" s="88"/>
      <c r="U277" s="88"/>
      <c r="V277" s="88"/>
      <c r="W277" s="88"/>
      <c r="X277" s="88"/>
      <c r="Y277" s="88"/>
      <c r="Z277" s="88"/>
      <c r="AA277" s="88"/>
      <c r="AB277" s="88"/>
      <c r="AC277" s="88"/>
    </row>
    <row r="278" spans="1:29" ht="25.15" customHeight="1" x14ac:dyDescent="0.25">
      <c r="A278" s="88"/>
      <c r="B278"/>
      <c r="C278"/>
      <c r="D278"/>
      <c r="E278"/>
      <c r="F278"/>
      <c r="G278"/>
      <c r="H278" s="88"/>
      <c r="I278" s="88"/>
      <c r="J278" s="88"/>
      <c r="K278" s="88"/>
      <c r="L278" s="88"/>
      <c r="M278" s="88"/>
      <c r="N278" s="88"/>
      <c r="O278" s="88"/>
      <c r="P278" s="88"/>
      <c r="Q278" s="88"/>
      <c r="R278" s="88"/>
      <c r="S278" s="88"/>
      <c r="T278" s="88"/>
      <c r="U278" s="88"/>
      <c r="V278" s="88"/>
      <c r="W278" s="88"/>
      <c r="X278" s="88"/>
      <c r="Y278" s="88"/>
      <c r="Z278" s="88"/>
      <c r="AA278" s="88"/>
      <c r="AB278" s="88"/>
      <c r="AC278" s="88"/>
    </row>
    <row r="279" spans="1:29" ht="25.15" customHeight="1" x14ac:dyDescent="0.25">
      <c r="A279" s="88"/>
      <c r="B279"/>
      <c r="C279"/>
      <c r="D279"/>
      <c r="E279"/>
      <c r="F279"/>
      <c r="G279"/>
      <c r="H279" s="88"/>
      <c r="I279" s="88"/>
      <c r="J279" s="88"/>
      <c r="K279" s="88"/>
      <c r="L279" s="88"/>
      <c r="M279" s="88"/>
      <c r="N279" s="88"/>
      <c r="O279" s="88"/>
      <c r="P279" s="88"/>
      <c r="Q279" s="88"/>
      <c r="R279" s="88"/>
      <c r="S279" s="88"/>
      <c r="T279" s="88"/>
      <c r="U279" s="88"/>
      <c r="V279" s="88"/>
      <c r="W279" s="88"/>
      <c r="X279" s="88"/>
      <c r="Y279" s="88"/>
      <c r="Z279" s="88"/>
      <c r="AA279" s="88"/>
      <c r="AB279" s="88"/>
      <c r="AC279" s="88"/>
    </row>
    <row r="280" spans="1:29" ht="25.15" customHeight="1" x14ac:dyDescent="0.25">
      <c r="A280" s="88"/>
      <c r="B280"/>
      <c r="C280"/>
      <c r="D280"/>
      <c r="E280"/>
      <c r="F280"/>
      <c r="G280"/>
      <c r="H280" s="88"/>
      <c r="I280" s="88"/>
      <c r="J280" s="88"/>
      <c r="K280" s="88"/>
      <c r="L280" s="88"/>
      <c r="M280" s="88"/>
      <c r="N280" s="88"/>
      <c r="O280" s="88"/>
      <c r="P280" s="88"/>
      <c r="Q280" s="88"/>
      <c r="R280" s="88"/>
      <c r="S280" s="88"/>
      <c r="T280" s="88"/>
      <c r="U280" s="88"/>
      <c r="V280" s="88"/>
      <c r="W280" s="88"/>
      <c r="X280" s="88"/>
      <c r="Y280" s="88"/>
      <c r="Z280" s="88"/>
      <c r="AA280" s="88"/>
      <c r="AB280" s="88"/>
      <c r="AC280" s="88"/>
    </row>
    <row r="281" spans="1:29" ht="25.15" customHeight="1" x14ac:dyDescent="0.25">
      <c r="A281" s="88"/>
      <c r="B281"/>
      <c r="C281"/>
      <c r="D281"/>
      <c r="E281"/>
      <c r="F281"/>
      <c r="G281"/>
      <c r="H281" s="88"/>
      <c r="I281" s="88"/>
      <c r="J281" s="88"/>
      <c r="K281" s="88"/>
      <c r="L281" s="88"/>
      <c r="M281" s="88"/>
      <c r="N281" s="88"/>
      <c r="O281" s="88"/>
      <c r="P281" s="88"/>
      <c r="Q281" s="88"/>
      <c r="R281" s="88"/>
      <c r="S281" s="88"/>
      <c r="T281" s="88"/>
      <c r="U281" s="88"/>
      <c r="V281" s="88"/>
      <c r="W281" s="88"/>
      <c r="X281" s="88"/>
      <c r="Y281" s="88"/>
      <c r="Z281" s="88"/>
      <c r="AA281" s="88"/>
      <c r="AB281" s="88"/>
      <c r="AC281" s="88"/>
    </row>
    <row r="282" spans="1:29" ht="25.15" customHeight="1" x14ac:dyDescent="0.25">
      <c r="A282" s="88"/>
      <c r="B282"/>
      <c r="C282"/>
      <c r="D282"/>
      <c r="E282"/>
      <c r="F282"/>
      <c r="G282"/>
      <c r="H282" s="88"/>
      <c r="I282" s="88"/>
      <c r="J282" s="88"/>
      <c r="K282" s="88"/>
      <c r="L282" s="88"/>
      <c r="M282" s="88"/>
      <c r="N282" s="88"/>
      <c r="O282" s="88"/>
      <c r="P282" s="88"/>
      <c r="Q282" s="88"/>
      <c r="R282" s="88"/>
      <c r="S282" s="88"/>
      <c r="T282" s="88"/>
      <c r="U282" s="88"/>
      <c r="V282" s="88"/>
      <c r="W282" s="88"/>
      <c r="X282" s="88"/>
      <c r="Y282" s="88"/>
      <c r="Z282" s="88"/>
      <c r="AA282" s="88"/>
      <c r="AB282" s="88"/>
      <c r="AC282" s="88"/>
    </row>
    <row r="283" spans="1:29" ht="25.15" customHeight="1" x14ac:dyDescent="0.25">
      <c r="A283" s="88"/>
      <c r="B283"/>
      <c r="C283"/>
      <c r="D283"/>
      <c r="E283"/>
      <c r="F283"/>
      <c r="G283"/>
      <c r="H283" s="88"/>
      <c r="I283" s="88"/>
      <c r="J283" s="88"/>
      <c r="K283" s="88"/>
      <c r="L283" s="88"/>
      <c r="M283" s="88"/>
      <c r="N283" s="88"/>
      <c r="O283" s="88"/>
      <c r="P283" s="88"/>
      <c r="Q283" s="88"/>
      <c r="R283" s="88"/>
      <c r="S283" s="88"/>
      <c r="T283" s="88"/>
      <c r="U283" s="88"/>
      <c r="V283" s="88"/>
      <c r="W283" s="88"/>
      <c r="X283" s="88"/>
      <c r="Y283" s="88"/>
      <c r="Z283" s="88"/>
      <c r="AA283" s="88"/>
      <c r="AB283" s="88"/>
      <c r="AC283" s="88"/>
    </row>
    <row r="284" spans="1:29" ht="25.15" customHeight="1" x14ac:dyDescent="0.25">
      <c r="A284" s="88"/>
      <c r="B284"/>
      <c r="C284"/>
      <c r="D284"/>
      <c r="E284"/>
      <c r="F284"/>
      <c r="G284"/>
      <c r="H284" s="88"/>
      <c r="I284" s="88"/>
      <c r="J284" s="88"/>
      <c r="K284" s="88"/>
      <c r="L284" s="88"/>
      <c r="M284" s="88"/>
      <c r="N284" s="88"/>
      <c r="O284" s="88"/>
      <c r="P284" s="88"/>
      <c r="Q284" s="88"/>
      <c r="R284" s="88"/>
      <c r="S284" s="88"/>
      <c r="T284" s="88"/>
      <c r="U284" s="88"/>
      <c r="V284" s="88"/>
      <c r="W284" s="88"/>
      <c r="X284" s="88"/>
      <c r="Y284" s="88"/>
      <c r="Z284" s="88"/>
      <c r="AA284" s="88"/>
      <c r="AB284" s="88"/>
      <c r="AC284" s="88"/>
    </row>
    <row r="285" spans="1:29" ht="25.15" customHeight="1" x14ac:dyDescent="0.25">
      <c r="A285" s="88"/>
      <c r="B285"/>
      <c r="C285"/>
      <c r="D285"/>
      <c r="E285"/>
      <c r="F285"/>
      <c r="G285"/>
      <c r="H285" s="88"/>
      <c r="I285" s="88"/>
      <c r="J285" s="88"/>
      <c r="K285" s="88"/>
      <c r="L285" s="88"/>
      <c r="M285" s="88"/>
      <c r="N285" s="88"/>
      <c r="O285" s="88"/>
      <c r="P285" s="88"/>
      <c r="Q285" s="88"/>
      <c r="R285" s="88"/>
      <c r="S285" s="88"/>
      <c r="T285" s="88"/>
      <c r="U285" s="88"/>
      <c r="V285" s="88"/>
      <c r="W285" s="88"/>
      <c r="X285" s="88"/>
      <c r="Y285" s="88"/>
      <c r="Z285" s="88"/>
      <c r="AA285" s="88"/>
      <c r="AB285" s="88"/>
      <c r="AC285" s="88"/>
    </row>
    <row r="286" spans="1:29" ht="25.15" customHeight="1" x14ac:dyDescent="0.25">
      <c r="A286" s="88"/>
      <c r="B286"/>
      <c r="C286"/>
      <c r="D286"/>
      <c r="E286"/>
      <c r="F286"/>
      <c r="G286"/>
      <c r="H286" s="88"/>
      <c r="I286" s="88"/>
      <c r="J286" s="88"/>
      <c r="K286" s="88"/>
      <c r="L286" s="88"/>
      <c r="M286" s="88"/>
      <c r="N286" s="88"/>
      <c r="O286" s="88"/>
      <c r="P286" s="88"/>
      <c r="Q286" s="88"/>
      <c r="R286" s="88"/>
      <c r="S286" s="88"/>
      <c r="T286" s="88"/>
      <c r="U286" s="88"/>
      <c r="V286" s="88"/>
      <c r="W286" s="88"/>
      <c r="X286" s="88"/>
      <c r="Y286" s="88"/>
      <c r="Z286" s="88"/>
      <c r="AA286" s="88"/>
      <c r="AB286" s="88"/>
      <c r="AC286" s="88"/>
    </row>
    <row r="287" spans="1:29" ht="25.15" customHeight="1" x14ac:dyDescent="0.25">
      <c r="A287" s="88"/>
      <c r="B287"/>
      <c r="C287"/>
      <c r="D287"/>
      <c r="E287"/>
      <c r="F287"/>
      <c r="G287"/>
      <c r="H287" s="88"/>
      <c r="I287" s="88"/>
      <c r="J287" s="88"/>
      <c r="K287" s="88"/>
      <c r="L287" s="88"/>
      <c r="M287" s="88"/>
      <c r="N287" s="88"/>
      <c r="O287" s="88"/>
      <c r="P287" s="88"/>
      <c r="Q287" s="88"/>
      <c r="R287" s="88"/>
      <c r="S287" s="88"/>
      <c r="T287" s="88"/>
      <c r="U287" s="88"/>
      <c r="V287" s="88"/>
      <c r="W287" s="88"/>
      <c r="X287" s="88"/>
      <c r="Y287" s="88"/>
      <c r="Z287" s="88"/>
      <c r="AA287" s="88"/>
      <c r="AB287" s="88"/>
      <c r="AC287" s="88"/>
    </row>
    <row r="288" spans="1:29" ht="25.15" customHeight="1" x14ac:dyDescent="0.25">
      <c r="A288" s="88"/>
      <c r="B288"/>
      <c r="C288"/>
      <c r="D288"/>
      <c r="E288"/>
      <c r="F288"/>
      <c r="G288"/>
      <c r="H288" s="88"/>
      <c r="I288" s="88"/>
      <c r="J288" s="88"/>
      <c r="K288" s="88"/>
      <c r="L288" s="88"/>
      <c r="M288" s="88"/>
      <c r="N288" s="88"/>
      <c r="O288" s="88"/>
      <c r="P288" s="88"/>
      <c r="Q288" s="88"/>
      <c r="R288" s="88"/>
      <c r="S288" s="88"/>
      <c r="T288" s="88"/>
      <c r="U288" s="88"/>
      <c r="V288" s="88"/>
      <c r="W288" s="88"/>
      <c r="X288" s="88"/>
      <c r="Y288" s="88"/>
      <c r="Z288" s="88"/>
      <c r="AA288" s="88"/>
      <c r="AB288" s="88"/>
      <c r="AC288" s="88"/>
    </row>
    <row r="289" spans="1:29" ht="25.15" customHeight="1" x14ac:dyDescent="0.25">
      <c r="A289" s="88"/>
      <c r="B289"/>
      <c r="C289"/>
      <c r="D289"/>
      <c r="E289"/>
      <c r="F289"/>
      <c r="G289"/>
      <c r="H289" s="88"/>
      <c r="I289" s="88"/>
      <c r="J289" s="88"/>
      <c r="K289" s="88"/>
      <c r="L289" s="88"/>
      <c r="M289" s="88"/>
      <c r="N289" s="88"/>
      <c r="O289" s="88"/>
      <c r="P289" s="88"/>
      <c r="Q289" s="88"/>
      <c r="R289" s="88"/>
      <c r="S289" s="88"/>
      <c r="T289" s="88"/>
      <c r="U289" s="88"/>
      <c r="V289" s="88"/>
      <c r="W289" s="88"/>
      <c r="X289" s="88"/>
      <c r="Y289" s="88"/>
      <c r="Z289" s="88"/>
      <c r="AA289" s="88"/>
      <c r="AB289" s="88"/>
      <c r="AC289" s="88"/>
    </row>
    <row r="290" spans="1:29" ht="25.15" customHeight="1" x14ac:dyDescent="0.25">
      <c r="A290" s="88"/>
      <c r="B290"/>
      <c r="C290"/>
      <c r="D290"/>
      <c r="E290"/>
      <c r="F290"/>
      <c r="G290"/>
      <c r="H290" s="88"/>
      <c r="I290" s="88"/>
      <c r="J290" s="88"/>
      <c r="K290" s="88"/>
      <c r="L290" s="88"/>
      <c r="M290" s="88"/>
      <c r="N290" s="88"/>
      <c r="O290" s="88"/>
      <c r="P290" s="88"/>
      <c r="Q290" s="88"/>
      <c r="R290" s="88"/>
      <c r="S290" s="88"/>
      <c r="T290" s="88"/>
      <c r="U290" s="88"/>
      <c r="V290" s="88"/>
      <c r="W290" s="88"/>
      <c r="X290" s="88"/>
      <c r="Y290" s="88"/>
      <c r="Z290" s="88"/>
      <c r="AA290" s="88"/>
      <c r="AB290" s="88"/>
      <c r="AC290" s="88"/>
    </row>
    <row r="291" spans="1:29" ht="25.15" customHeight="1" x14ac:dyDescent="0.25">
      <c r="A291" s="88"/>
      <c r="B291"/>
      <c r="C291"/>
      <c r="D291"/>
      <c r="E291"/>
      <c r="F291"/>
      <c r="G291"/>
      <c r="H291" s="88"/>
      <c r="I291" s="88"/>
      <c r="J291" s="88"/>
      <c r="K291" s="88"/>
      <c r="L291" s="88"/>
      <c r="M291" s="88"/>
      <c r="N291" s="88"/>
      <c r="O291" s="88"/>
      <c r="P291" s="88"/>
      <c r="Q291" s="88"/>
      <c r="R291" s="88"/>
      <c r="S291" s="88"/>
      <c r="T291" s="88"/>
      <c r="U291" s="88"/>
      <c r="V291" s="88"/>
      <c r="W291" s="88"/>
      <c r="X291" s="88"/>
      <c r="Y291" s="88"/>
      <c r="Z291" s="88"/>
      <c r="AA291" s="88"/>
      <c r="AB291" s="88"/>
      <c r="AC291" s="88"/>
    </row>
    <row r="292" spans="1:29" ht="25.15" customHeight="1" x14ac:dyDescent="0.25">
      <c r="A292" s="88"/>
      <c r="B292"/>
      <c r="C292"/>
      <c r="D292"/>
      <c r="E292"/>
      <c r="F292"/>
      <c r="G292"/>
      <c r="H292" s="88"/>
      <c r="I292" s="88"/>
      <c r="J292" s="88"/>
      <c r="K292" s="88"/>
      <c r="L292" s="88"/>
      <c r="M292" s="88"/>
      <c r="N292" s="88"/>
      <c r="O292" s="88"/>
      <c r="P292" s="88"/>
      <c r="Q292" s="88"/>
      <c r="R292" s="88"/>
      <c r="S292" s="88"/>
      <c r="T292" s="88"/>
      <c r="U292" s="88"/>
      <c r="V292" s="88"/>
      <c r="W292" s="88"/>
      <c r="X292" s="88"/>
      <c r="Y292" s="88"/>
      <c r="Z292" s="88"/>
      <c r="AA292" s="88"/>
      <c r="AB292" s="88"/>
      <c r="AC292" s="88"/>
    </row>
    <row r="293" spans="1:29" ht="25.15" customHeight="1" x14ac:dyDescent="0.25">
      <c r="A293" s="88"/>
      <c r="B293"/>
      <c r="C293"/>
      <c r="D293"/>
      <c r="E293"/>
      <c r="F293"/>
      <c r="G293"/>
      <c r="H293" s="88"/>
      <c r="I293" s="88"/>
      <c r="J293" s="88"/>
      <c r="K293" s="88"/>
      <c r="L293" s="88"/>
      <c r="M293" s="88"/>
      <c r="N293" s="88"/>
      <c r="O293" s="88"/>
      <c r="P293" s="88"/>
      <c r="Q293" s="88"/>
      <c r="R293" s="88"/>
      <c r="S293" s="88"/>
      <c r="T293" s="88"/>
      <c r="U293" s="88"/>
      <c r="V293" s="88"/>
      <c r="W293" s="88"/>
      <c r="X293" s="88"/>
      <c r="Y293" s="88"/>
      <c r="Z293" s="88"/>
      <c r="AA293" s="88"/>
      <c r="AB293" s="88"/>
      <c r="AC293" s="88"/>
    </row>
    <row r="294" spans="1:29" ht="25.15" customHeight="1" x14ac:dyDescent="0.25">
      <c r="A294" s="88"/>
      <c r="B294"/>
      <c r="C294"/>
      <c r="D294"/>
      <c r="E294"/>
      <c r="F294"/>
      <c r="G294"/>
      <c r="H294" s="88"/>
      <c r="I294" s="88"/>
      <c r="J294" s="88"/>
      <c r="K294" s="88"/>
      <c r="L294" s="88"/>
      <c r="M294" s="88"/>
      <c r="N294" s="88"/>
      <c r="O294" s="88"/>
      <c r="P294" s="88"/>
      <c r="Q294" s="88"/>
      <c r="R294" s="88"/>
      <c r="S294" s="88"/>
      <c r="T294" s="88"/>
      <c r="U294" s="88"/>
      <c r="V294" s="88"/>
      <c r="W294" s="88"/>
      <c r="X294" s="88"/>
      <c r="Y294" s="88"/>
      <c r="Z294" s="88"/>
      <c r="AA294" s="88"/>
      <c r="AB294" s="88"/>
      <c r="AC294" s="88"/>
    </row>
    <row r="295" spans="1:29" ht="25.15" customHeight="1" x14ac:dyDescent="0.25">
      <c r="A295" s="88"/>
      <c r="B295"/>
      <c r="C295"/>
      <c r="D295"/>
      <c r="E295"/>
      <c r="F295"/>
      <c r="G295"/>
      <c r="H295" s="88"/>
      <c r="I295" s="88"/>
      <c r="J295" s="88"/>
      <c r="K295" s="88"/>
      <c r="L295" s="88"/>
      <c r="M295" s="88"/>
      <c r="N295" s="88"/>
      <c r="O295" s="88"/>
      <c r="P295" s="88"/>
      <c r="Q295" s="88"/>
      <c r="R295" s="88"/>
      <c r="S295" s="88"/>
      <c r="T295" s="88"/>
      <c r="U295" s="88"/>
      <c r="V295" s="88"/>
      <c r="W295" s="88"/>
      <c r="X295" s="88"/>
      <c r="Y295" s="88"/>
      <c r="Z295" s="88"/>
      <c r="AA295" s="88"/>
      <c r="AB295" s="88"/>
      <c r="AC295" s="88"/>
    </row>
    <row r="296" spans="1:29" ht="25.15" customHeight="1" x14ac:dyDescent="0.25">
      <c r="A296" s="88"/>
      <c r="B296"/>
      <c r="C296"/>
      <c r="D296"/>
      <c r="E296"/>
      <c r="F296"/>
      <c r="G296"/>
      <c r="H296" s="88"/>
      <c r="I296" s="88"/>
      <c r="J296" s="88"/>
      <c r="K296" s="88"/>
      <c r="L296" s="88"/>
      <c r="M296" s="88"/>
      <c r="N296" s="88"/>
      <c r="O296" s="88"/>
      <c r="P296" s="88"/>
      <c r="Q296" s="88"/>
      <c r="R296" s="88"/>
      <c r="S296" s="88"/>
      <c r="T296" s="88"/>
      <c r="U296" s="88"/>
      <c r="V296" s="88"/>
      <c r="W296" s="88"/>
      <c r="X296" s="88"/>
      <c r="Y296" s="88"/>
      <c r="Z296" s="88"/>
      <c r="AA296" s="88"/>
      <c r="AB296" s="88"/>
      <c r="AC296" s="88"/>
    </row>
    <row r="297" spans="1:29" ht="25.15" customHeight="1" x14ac:dyDescent="0.25">
      <c r="A297" s="88"/>
      <c r="B297"/>
      <c r="C297"/>
      <c r="D297"/>
      <c r="E297"/>
      <c r="F297"/>
      <c r="G297"/>
      <c r="H297" s="88"/>
      <c r="I297" s="88"/>
      <c r="J297" s="88"/>
      <c r="K297" s="88"/>
      <c r="L297" s="88"/>
      <c r="M297" s="88"/>
      <c r="N297" s="88"/>
      <c r="O297" s="88"/>
      <c r="P297" s="88"/>
      <c r="Q297" s="88"/>
      <c r="R297" s="88"/>
      <c r="S297" s="88"/>
      <c r="T297" s="88"/>
      <c r="U297" s="88"/>
      <c r="V297" s="88"/>
      <c r="W297" s="88"/>
      <c r="X297" s="88"/>
      <c r="Y297" s="88"/>
      <c r="Z297" s="88"/>
      <c r="AA297" s="88"/>
      <c r="AB297" s="88"/>
      <c r="AC297" s="88"/>
    </row>
    <row r="298" spans="1:29" ht="25.15" customHeight="1" x14ac:dyDescent="0.25">
      <c r="A298" s="88"/>
      <c r="B298"/>
      <c r="C298"/>
      <c r="D298"/>
      <c r="E298"/>
      <c r="F298"/>
      <c r="G298"/>
      <c r="H298" s="88"/>
      <c r="I298" s="88"/>
      <c r="J298" s="88"/>
      <c r="K298" s="88"/>
      <c r="L298" s="88"/>
      <c r="M298" s="88"/>
      <c r="N298" s="88"/>
      <c r="O298" s="88"/>
      <c r="P298" s="88"/>
      <c r="Q298" s="88"/>
      <c r="R298" s="88"/>
      <c r="S298" s="88"/>
      <c r="T298" s="88"/>
      <c r="U298" s="88"/>
      <c r="V298" s="88"/>
      <c r="W298" s="88"/>
      <c r="X298" s="88"/>
      <c r="Y298" s="88"/>
      <c r="Z298" s="88"/>
      <c r="AA298" s="88"/>
      <c r="AB298" s="88"/>
      <c r="AC298" s="88"/>
    </row>
    <row r="299" spans="1:29" ht="25.15" customHeight="1" x14ac:dyDescent="0.25">
      <c r="A299" s="88"/>
      <c r="B299"/>
      <c r="C299"/>
      <c r="D299"/>
      <c r="E299"/>
      <c r="F299"/>
      <c r="G299"/>
      <c r="H299" s="88"/>
      <c r="I299" s="88"/>
      <c r="J299" s="88"/>
      <c r="K299" s="88"/>
      <c r="L299" s="88"/>
      <c r="M299" s="88"/>
      <c r="N299" s="88"/>
      <c r="O299" s="88"/>
      <c r="P299" s="88"/>
      <c r="Q299" s="88"/>
      <c r="R299" s="88"/>
      <c r="S299" s="88"/>
      <c r="T299" s="88"/>
      <c r="U299" s="88"/>
      <c r="V299" s="88"/>
      <c r="W299" s="88"/>
      <c r="X299" s="88"/>
      <c r="Y299" s="88"/>
      <c r="Z299" s="88"/>
      <c r="AA299" s="88"/>
      <c r="AB299" s="88"/>
      <c r="AC299" s="88"/>
    </row>
    <row r="300" spans="1:29" ht="25.15" customHeight="1" x14ac:dyDescent="0.25">
      <c r="A300" s="88"/>
      <c r="B300"/>
      <c r="C300"/>
      <c r="D300"/>
      <c r="E300"/>
      <c r="F300"/>
      <c r="G300"/>
      <c r="H300" s="88"/>
      <c r="I300" s="88"/>
      <c r="J300" s="88"/>
      <c r="K300" s="88"/>
      <c r="L300" s="88"/>
      <c r="M300" s="88"/>
      <c r="N300" s="88"/>
      <c r="O300" s="88"/>
      <c r="P300" s="88"/>
      <c r="Q300" s="88"/>
      <c r="R300" s="88"/>
      <c r="S300" s="88"/>
      <c r="T300" s="88"/>
      <c r="U300" s="88"/>
      <c r="V300" s="88"/>
      <c r="W300" s="88"/>
      <c r="X300" s="88"/>
      <c r="Y300" s="88"/>
      <c r="Z300" s="88"/>
      <c r="AA300" s="88"/>
      <c r="AB300" s="88"/>
      <c r="AC300" s="88"/>
    </row>
    <row r="301" spans="1:29" ht="25.15" customHeight="1" x14ac:dyDescent="0.25">
      <c r="A301" s="88"/>
      <c r="B301"/>
      <c r="C301"/>
      <c r="D301"/>
      <c r="E301"/>
      <c r="F301"/>
      <c r="G301"/>
      <c r="H301" s="88"/>
      <c r="I301" s="88"/>
      <c r="J301" s="88"/>
      <c r="K301" s="88"/>
      <c r="L301" s="88"/>
      <c r="M301" s="88"/>
      <c r="N301" s="88"/>
      <c r="O301" s="88"/>
      <c r="P301" s="88"/>
      <c r="Q301" s="88"/>
      <c r="R301" s="88"/>
      <c r="S301" s="88"/>
      <c r="T301" s="88"/>
      <c r="U301" s="88"/>
      <c r="V301" s="88"/>
      <c r="W301" s="88"/>
      <c r="X301" s="88"/>
      <c r="Y301" s="88"/>
      <c r="Z301" s="88"/>
      <c r="AA301" s="88"/>
      <c r="AB301" s="88"/>
      <c r="AC301" s="88"/>
    </row>
    <row r="302" spans="1:29" ht="25.15" customHeight="1" x14ac:dyDescent="0.25">
      <c r="A302" s="88"/>
      <c r="B302"/>
      <c r="C302"/>
      <c r="D302"/>
      <c r="E302"/>
      <c r="F302"/>
      <c r="G302"/>
      <c r="H302" s="88"/>
      <c r="I302" s="88"/>
      <c r="J302" s="88"/>
      <c r="K302" s="88"/>
      <c r="L302" s="88"/>
      <c r="M302" s="88"/>
      <c r="N302" s="88"/>
      <c r="O302" s="88"/>
      <c r="P302" s="88"/>
      <c r="Q302" s="88"/>
      <c r="R302" s="88"/>
      <c r="S302" s="88"/>
      <c r="T302" s="88"/>
      <c r="U302" s="88"/>
      <c r="V302" s="88"/>
      <c r="W302" s="88"/>
      <c r="X302" s="88"/>
      <c r="Y302" s="88"/>
      <c r="Z302" s="88"/>
      <c r="AA302" s="88"/>
      <c r="AB302" s="88"/>
      <c r="AC302" s="88"/>
    </row>
    <row r="303" spans="1:29" ht="25.15" customHeight="1" x14ac:dyDescent="0.25">
      <c r="A303" s="88"/>
      <c r="B303"/>
      <c r="C303"/>
      <c r="D303"/>
      <c r="E303"/>
      <c r="F303"/>
      <c r="G303"/>
      <c r="H303" s="88"/>
      <c r="I303" s="88"/>
      <c r="J303" s="88"/>
      <c r="K303" s="88"/>
      <c r="L303" s="88"/>
      <c r="M303" s="88"/>
      <c r="N303" s="88"/>
      <c r="O303" s="88"/>
      <c r="P303" s="88"/>
      <c r="Q303" s="88"/>
      <c r="R303" s="88"/>
      <c r="S303" s="88"/>
      <c r="T303" s="88"/>
      <c r="U303" s="88"/>
      <c r="V303" s="88"/>
      <c r="W303" s="88"/>
      <c r="X303" s="88"/>
      <c r="Y303" s="88"/>
      <c r="Z303" s="88"/>
      <c r="AA303" s="88"/>
      <c r="AB303" s="88"/>
      <c r="AC303" s="88"/>
    </row>
    <row r="304" spans="1:29" ht="25.15" customHeight="1" x14ac:dyDescent="0.25">
      <c r="A304" s="88"/>
      <c r="B304"/>
      <c r="C304"/>
      <c r="D304"/>
      <c r="E304"/>
      <c r="F304"/>
      <c r="G304"/>
      <c r="H304" s="88"/>
      <c r="I304" s="88"/>
      <c r="J304" s="88"/>
      <c r="K304" s="88"/>
      <c r="L304" s="88"/>
      <c r="M304" s="88"/>
      <c r="N304" s="88"/>
      <c r="O304" s="88"/>
      <c r="P304" s="88"/>
      <c r="Q304" s="88"/>
      <c r="R304" s="88"/>
      <c r="S304" s="88"/>
      <c r="T304" s="88"/>
      <c r="U304" s="88"/>
      <c r="V304" s="88"/>
      <c r="W304" s="88"/>
      <c r="X304" s="88"/>
      <c r="Y304" s="88"/>
      <c r="Z304" s="88"/>
      <c r="AA304" s="88"/>
      <c r="AB304" s="88"/>
      <c r="AC304" s="88"/>
    </row>
    <row r="305" spans="1:29" ht="25.15" customHeight="1" x14ac:dyDescent="0.25">
      <c r="A305" s="88"/>
      <c r="B305"/>
      <c r="C305"/>
      <c r="D305"/>
      <c r="E305"/>
      <c r="F305"/>
      <c r="G305"/>
      <c r="H305" s="88"/>
      <c r="I305" s="88"/>
      <c r="J305" s="88"/>
      <c r="K305" s="88"/>
      <c r="L305" s="88"/>
      <c r="M305" s="88"/>
      <c r="N305" s="88"/>
      <c r="O305" s="88"/>
      <c r="P305" s="88"/>
      <c r="Q305" s="88"/>
      <c r="R305" s="88"/>
      <c r="S305" s="88"/>
      <c r="T305" s="88"/>
      <c r="U305" s="88"/>
      <c r="V305" s="88"/>
      <c r="W305" s="88"/>
      <c r="X305" s="88"/>
      <c r="Y305" s="88"/>
      <c r="Z305" s="88"/>
      <c r="AA305" s="88"/>
      <c r="AB305" s="88"/>
      <c r="AC305" s="88"/>
    </row>
    <row r="306" spans="1:29" ht="25.15" customHeight="1" x14ac:dyDescent="0.25">
      <c r="A306" s="88"/>
      <c r="B306"/>
      <c r="C306"/>
      <c r="D306"/>
      <c r="E306"/>
      <c r="F306"/>
      <c r="G306"/>
      <c r="H306" s="88"/>
      <c r="I306" s="88"/>
      <c r="J306" s="88"/>
      <c r="K306" s="88"/>
      <c r="L306" s="88"/>
      <c r="M306" s="88"/>
      <c r="N306" s="88"/>
      <c r="O306" s="88"/>
      <c r="P306" s="88"/>
      <c r="Q306" s="88"/>
      <c r="R306" s="88"/>
      <c r="S306" s="88"/>
      <c r="T306" s="88"/>
      <c r="U306" s="88"/>
      <c r="V306" s="88"/>
      <c r="W306" s="88"/>
      <c r="X306" s="88"/>
      <c r="Y306" s="88"/>
      <c r="Z306" s="88"/>
      <c r="AA306" s="88"/>
      <c r="AB306" s="88"/>
      <c r="AC306" s="88"/>
    </row>
    <row r="307" spans="1:29" ht="25.15" customHeight="1" x14ac:dyDescent="0.25">
      <c r="A307" s="88"/>
      <c r="B307"/>
      <c r="C307"/>
      <c r="D307"/>
      <c r="E307"/>
      <c r="F307"/>
      <c r="G307"/>
      <c r="H307" s="88"/>
      <c r="I307" s="88"/>
      <c r="J307" s="88"/>
      <c r="K307" s="88"/>
      <c r="L307" s="88"/>
      <c r="M307" s="88"/>
      <c r="N307" s="88"/>
      <c r="O307" s="88"/>
      <c r="P307" s="88"/>
      <c r="Q307" s="88"/>
      <c r="R307" s="88"/>
      <c r="S307" s="88"/>
      <c r="T307" s="88"/>
      <c r="U307" s="88"/>
      <c r="V307" s="88"/>
      <c r="W307" s="88"/>
      <c r="X307" s="88"/>
      <c r="Y307" s="88"/>
      <c r="Z307" s="88"/>
      <c r="AA307" s="88"/>
      <c r="AB307" s="88"/>
      <c r="AC307" s="88"/>
    </row>
    <row r="308" spans="1:29" ht="25.15" customHeight="1" x14ac:dyDescent="0.25">
      <c r="A308" s="88"/>
      <c r="B308"/>
      <c r="C308"/>
      <c r="D308"/>
      <c r="E308"/>
      <c r="F308"/>
      <c r="G308"/>
      <c r="H308" s="88"/>
      <c r="I308" s="88"/>
      <c r="J308" s="88"/>
      <c r="K308" s="88"/>
      <c r="L308" s="88"/>
      <c r="M308" s="88"/>
      <c r="N308" s="88"/>
      <c r="O308" s="88"/>
      <c r="P308" s="88"/>
      <c r="Q308" s="88"/>
      <c r="R308" s="88"/>
      <c r="S308" s="88"/>
      <c r="T308" s="88"/>
      <c r="U308" s="88"/>
      <c r="V308" s="88"/>
      <c r="W308" s="88"/>
      <c r="X308" s="88"/>
      <c r="Y308" s="88"/>
      <c r="Z308" s="88"/>
      <c r="AA308" s="88"/>
      <c r="AB308" s="88"/>
      <c r="AC308" s="88"/>
    </row>
    <row r="309" spans="1:29" ht="25.15" customHeight="1" x14ac:dyDescent="0.25">
      <c r="A309" s="88"/>
      <c r="B309"/>
      <c r="C309"/>
      <c r="D309"/>
      <c r="E309"/>
      <c r="F309"/>
      <c r="G309"/>
      <c r="H309" s="88"/>
      <c r="I309" s="88"/>
      <c r="J309" s="88"/>
      <c r="K309" s="88"/>
      <c r="L309" s="88"/>
      <c r="M309" s="88"/>
      <c r="N309" s="88"/>
      <c r="O309" s="88"/>
      <c r="P309" s="88"/>
      <c r="Q309" s="88"/>
      <c r="R309" s="88"/>
      <c r="S309" s="88"/>
      <c r="T309" s="88"/>
      <c r="U309" s="88"/>
      <c r="V309" s="88"/>
      <c r="W309" s="88"/>
      <c r="X309" s="88"/>
      <c r="Y309" s="88"/>
      <c r="Z309" s="88"/>
      <c r="AA309" s="88"/>
      <c r="AB309" s="88"/>
      <c r="AC309" s="88"/>
    </row>
    <row r="310" spans="1:29" ht="25.15" customHeight="1" x14ac:dyDescent="0.25">
      <c r="A310" s="88"/>
      <c r="B310"/>
      <c r="C310"/>
      <c r="D310"/>
      <c r="E310"/>
      <c r="F310"/>
      <c r="G310"/>
      <c r="H310" s="88"/>
      <c r="I310" s="88"/>
      <c r="J310" s="88"/>
      <c r="K310" s="88"/>
      <c r="L310" s="88"/>
      <c r="M310" s="88"/>
      <c r="N310" s="88"/>
      <c r="O310" s="88"/>
      <c r="P310" s="88"/>
      <c r="Q310" s="88"/>
      <c r="R310" s="88"/>
      <c r="S310" s="88"/>
      <c r="T310" s="88"/>
      <c r="U310" s="88"/>
      <c r="V310" s="88"/>
      <c r="W310" s="88"/>
      <c r="X310" s="88"/>
      <c r="Y310" s="88"/>
      <c r="Z310" s="88"/>
      <c r="AA310" s="88"/>
      <c r="AB310" s="88"/>
      <c r="AC310" s="88"/>
    </row>
    <row r="311" spans="1:29" ht="25.15" customHeight="1" x14ac:dyDescent="0.25">
      <c r="A311" s="88"/>
      <c r="B311"/>
      <c r="C311"/>
      <c r="D311"/>
      <c r="E311"/>
      <c r="F311"/>
      <c r="G311"/>
      <c r="H311" s="88"/>
      <c r="I311" s="88"/>
      <c r="J311" s="88"/>
      <c r="K311" s="88"/>
      <c r="L311" s="88"/>
      <c r="M311" s="88"/>
      <c r="N311" s="88"/>
      <c r="O311" s="88"/>
      <c r="P311" s="88"/>
      <c r="Q311" s="88"/>
      <c r="R311" s="88"/>
      <c r="S311" s="88"/>
      <c r="T311" s="88"/>
      <c r="U311" s="88"/>
      <c r="V311" s="88"/>
      <c r="W311" s="88"/>
      <c r="X311" s="88"/>
      <c r="Y311" s="88"/>
      <c r="Z311" s="88"/>
      <c r="AA311" s="88"/>
      <c r="AB311" s="88"/>
      <c r="AC311" s="88"/>
    </row>
    <row r="312" spans="1:29" ht="25.15" customHeight="1" x14ac:dyDescent="0.25">
      <c r="A312" s="88"/>
      <c r="B312"/>
      <c r="C312"/>
      <c r="D312"/>
      <c r="E312"/>
      <c r="F312"/>
      <c r="G312"/>
      <c r="H312" s="88"/>
      <c r="I312" s="88"/>
      <c r="J312" s="88"/>
      <c r="K312" s="88"/>
      <c r="L312" s="88"/>
      <c r="M312" s="88"/>
      <c r="N312" s="88"/>
      <c r="O312" s="88"/>
      <c r="P312" s="88"/>
      <c r="Q312" s="88"/>
      <c r="R312" s="88"/>
      <c r="S312" s="88"/>
      <c r="T312" s="88"/>
      <c r="U312" s="88"/>
      <c r="V312" s="88"/>
      <c r="W312" s="88"/>
      <c r="X312" s="88"/>
      <c r="Y312" s="88"/>
      <c r="Z312" s="88"/>
      <c r="AA312" s="88"/>
      <c r="AB312" s="88"/>
      <c r="AC312" s="88"/>
    </row>
    <row r="313" spans="1:29" ht="25.15" customHeight="1" x14ac:dyDescent="0.25">
      <c r="A313" s="88"/>
      <c r="B313"/>
      <c r="C313"/>
      <c r="D313"/>
      <c r="E313"/>
      <c r="F313"/>
      <c r="G313"/>
      <c r="H313" s="88"/>
      <c r="I313" s="88"/>
      <c r="J313" s="88"/>
      <c r="K313" s="88"/>
      <c r="L313" s="88"/>
      <c r="M313" s="88"/>
      <c r="N313" s="88"/>
      <c r="O313" s="88"/>
      <c r="P313" s="88"/>
      <c r="Q313" s="88"/>
      <c r="R313" s="88"/>
      <c r="S313" s="88"/>
      <c r="T313" s="88"/>
      <c r="U313" s="88"/>
      <c r="V313" s="88"/>
      <c r="W313" s="88"/>
      <c r="X313" s="88"/>
      <c r="Y313" s="88"/>
      <c r="Z313" s="88"/>
      <c r="AA313" s="88"/>
      <c r="AB313" s="88"/>
      <c r="AC313" s="88"/>
    </row>
    <row r="314" spans="1:29" ht="25.15" customHeight="1" x14ac:dyDescent="0.25">
      <c r="A314" s="88"/>
      <c r="B314"/>
      <c r="C314"/>
      <c r="D314"/>
      <c r="E314"/>
      <c r="F314"/>
      <c r="G314"/>
      <c r="H314" s="88"/>
      <c r="I314" s="88"/>
      <c r="J314" s="88"/>
      <c r="K314" s="88"/>
      <c r="L314" s="88"/>
      <c r="M314" s="88"/>
      <c r="N314" s="88"/>
      <c r="O314" s="88"/>
      <c r="P314" s="88"/>
      <c r="Q314" s="88"/>
      <c r="R314" s="88"/>
      <c r="S314" s="88"/>
      <c r="T314" s="88"/>
      <c r="U314" s="88"/>
      <c r="V314" s="88"/>
      <c r="W314" s="88"/>
      <c r="X314" s="88"/>
      <c r="Y314" s="88"/>
      <c r="Z314" s="88"/>
      <c r="AA314" s="88"/>
      <c r="AB314" s="88"/>
      <c r="AC314" s="88"/>
    </row>
    <row r="315" spans="1:29" ht="25.15" customHeight="1" x14ac:dyDescent="0.25">
      <c r="A315" s="88"/>
      <c r="B315"/>
      <c r="C315"/>
      <c r="D315"/>
      <c r="E315"/>
      <c r="F315"/>
      <c r="G315"/>
      <c r="H315" s="88"/>
      <c r="I315" s="88"/>
      <c r="J315" s="88"/>
      <c r="K315" s="88"/>
      <c r="L315" s="88"/>
      <c r="M315" s="88"/>
      <c r="N315" s="88"/>
      <c r="O315" s="88"/>
      <c r="P315" s="88"/>
      <c r="Q315" s="88"/>
      <c r="R315" s="88"/>
      <c r="S315" s="88"/>
      <c r="T315" s="88"/>
      <c r="U315" s="88"/>
      <c r="V315" s="88"/>
      <c r="W315" s="88"/>
      <c r="X315" s="88"/>
      <c r="Y315" s="88"/>
      <c r="Z315" s="88"/>
      <c r="AA315" s="88"/>
      <c r="AB315" s="88"/>
      <c r="AC315" s="88"/>
    </row>
    <row r="316" spans="1:29" ht="25.15" customHeight="1" x14ac:dyDescent="0.25">
      <c r="A316" s="88"/>
      <c r="B316"/>
      <c r="C316"/>
      <c r="D316"/>
      <c r="E316"/>
      <c r="F316"/>
      <c r="G316"/>
      <c r="H316" s="88"/>
      <c r="I316" s="88"/>
      <c r="J316" s="88"/>
      <c r="K316" s="88"/>
      <c r="L316" s="88"/>
      <c r="M316" s="88"/>
      <c r="N316" s="88"/>
      <c r="O316" s="88"/>
      <c r="P316" s="88"/>
      <c r="Q316" s="88"/>
      <c r="R316" s="88"/>
      <c r="S316" s="88"/>
      <c r="T316" s="88"/>
      <c r="U316" s="88"/>
      <c r="V316" s="88"/>
      <c r="W316" s="88"/>
      <c r="X316" s="88"/>
      <c r="Y316" s="88"/>
      <c r="Z316" s="88"/>
      <c r="AA316" s="88"/>
      <c r="AB316" s="88"/>
      <c r="AC316" s="88"/>
    </row>
    <row r="317" spans="1:29" ht="25.15" customHeight="1" x14ac:dyDescent="0.25">
      <c r="A317" s="88"/>
      <c r="B317"/>
      <c r="C317"/>
      <c r="D317"/>
      <c r="E317"/>
      <c r="F317"/>
      <c r="G317"/>
      <c r="H317" s="88"/>
      <c r="I317" s="88"/>
      <c r="J317" s="88"/>
      <c r="K317" s="88"/>
      <c r="L317" s="88"/>
      <c r="M317" s="88"/>
      <c r="N317" s="88"/>
      <c r="O317" s="88"/>
      <c r="P317" s="88"/>
      <c r="Q317" s="88"/>
      <c r="R317" s="88"/>
      <c r="S317" s="88"/>
      <c r="T317" s="88"/>
      <c r="U317" s="88"/>
      <c r="V317" s="88"/>
      <c r="W317" s="88"/>
      <c r="X317" s="88"/>
      <c r="Y317" s="88"/>
      <c r="Z317" s="88"/>
      <c r="AA317" s="88"/>
      <c r="AB317" s="88"/>
      <c r="AC317" s="88"/>
    </row>
    <row r="318" spans="1:29" ht="25.15" customHeight="1" x14ac:dyDescent="0.25">
      <c r="A318" s="88"/>
      <c r="B318"/>
      <c r="C318"/>
      <c r="D318"/>
      <c r="E318"/>
      <c r="F318"/>
      <c r="G318"/>
      <c r="H318" s="88"/>
      <c r="I318" s="88"/>
      <c r="J318" s="88"/>
      <c r="K318" s="88"/>
      <c r="L318" s="88"/>
      <c r="M318" s="88"/>
      <c r="N318" s="88"/>
      <c r="O318" s="88"/>
      <c r="P318" s="88"/>
      <c r="Q318" s="88"/>
      <c r="R318" s="88"/>
      <c r="S318" s="88"/>
      <c r="T318" s="88"/>
      <c r="U318" s="88"/>
      <c r="V318" s="88"/>
      <c r="W318" s="88"/>
      <c r="X318" s="88"/>
      <c r="Y318" s="88"/>
      <c r="Z318" s="88"/>
      <c r="AA318" s="88"/>
      <c r="AB318" s="88"/>
      <c r="AC318" s="88"/>
    </row>
    <row r="319" spans="1:29" ht="25.15" customHeight="1" x14ac:dyDescent="0.25">
      <c r="A319" s="88"/>
      <c r="B319"/>
      <c r="C319"/>
      <c r="D319"/>
      <c r="E319"/>
      <c r="F319"/>
      <c r="G319"/>
      <c r="H319" s="88"/>
      <c r="I319" s="88"/>
      <c r="J319" s="88"/>
      <c r="K319" s="88"/>
      <c r="L319" s="88"/>
      <c r="M319" s="88"/>
      <c r="N319" s="88"/>
      <c r="O319" s="88"/>
      <c r="P319" s="88"/>
      <c r="Q319" s="88"/>
      <c r="R319" s="88"/>
      <c r="S319" s="88"/>
      <c r="T319" s="88"/>
      <c r="U319" s="88"/>
      <c r="V319" s="88"/>
      <c r="W319" s="88"/>
      <c r="X319" s="88"/>
      <c r="Y319" s="88"/>
      <c r="Z319" s="88"/>
      <c r="AA319" s="88"/>
      <c r="AB319" s="88"/>
      <c r="AC319" s="88"/>
    </row>
    <row r="320" spans="1:29" ht="25.15" customHeight="1" x14ac:dyDescent="0.25">
      <c r="A320" s="88"/>
      <c r="B320"/>
      <c r="C320"/>
      <c r="D320"/>
      <c r="E320"/>
      <c r="F320"/>
      <c r="G320"/>
      <c r="H320" s="88"/>
      <c r="I320" s="88"/>
      <c r="J320" s="88"/>
      <c r="K320" s="88"/>
      <c r="L320" s="88"/>
      <c r="M320" s="88"/>
      <c r="N320" s="88"/>
      <c r="O320" s="88"/>
      <c r="P320" s="88"/>
      <c r="Q320" s="88"/>
      <c r="R320" s="88"/>
      <c r="S320" s="88"/>
      <c r="T320" s="88"/>
      <c r="U320" s="88"/>
      <c r="V320" s="88"/>
      <c r="W320" s="88"/>
      <c r="X320" s="88"/>
      <c r="Y320" s="88"/>
      <c r="Z320" s="88"/>
      <c r="AA320" s="88"/>
      <c r="AB320" s="88"/>
      <c r="AC320" s="88"/>
    </row>
    <row r="321" spans="1:29" ht="25.15" customHeight="1" x14ac:dyDescent="0.25">
      <c r="A321" s="88"/>
      <c r="B321"/>
      <c r="C321"/>
      <c r="D321"/>
      <c r="E321"/>
      <c r="F321"/>
      <c r="G321"/>
      <c r="H321" s="88"/>
      <c r="I321" s="88"/>
      <c r="J321" s="88"/>
      <c r="K321" s="88"/>
      <c r="L321" s="88"/>
      <c r="M321" s="88"/>
      <c r="N321" s="88"/>
      <c r="O321" s="88"/>
      <c r="P321" s="88"/>
      <c r="Q321" s="88"/>
      <c r="R321" s="88"/>
      <c r="S321" s="88"/>
      <c r="T321" s="88"/>
      <c r="U321" s="88"/>
      <c r="V321" s="88"/>
      <c r="W321" s="88"/>
      <c r="X321" s="88"/>
      <c r="Y321" s="88"/>
      <c r="Z321" s="88"/>
      <c r="AA321" s="88"/>
      <c r="AB321" s="88"/>
      <c r="AC321" s="88"/>
    </row>
    <row r="322" spans="1:29" ht="25.15" customHeight="1" x14ac:dyDescent="0.25">
      <c r="A322" s="88"/>
      <c r="B322"/>
      <c r="C322"/>
      <c r="D322"/>
      <c r="E322"/>
      <c r="F322"/>
      <c r="G322"/>
      <c r="H322" s="88"/>
      <c r="I322" s="88"/>
      <c r="J322" s="88"/>
      <c r="K322" s="88"/>
      <c r="L322" s="88"/>
      <c r="M322" s="88"/>
      <c r="N322" s="88"/>
      <c r="O322" s="88"/>
      <c r="P322" s="88"/>
      <c r="Q322" s="88"/>
      <c r="R322" s="88"/>
      <c r="S322" s="88"/>
      <c r="T322" s="88"/>
      <c r="U322" s="88"/>
      <c r="V322" s="88"/>
      <c r="W322" s="88"/>
      <c r="X322" s="88"/>
      <c r="Y322" s="88"/>
      <c r="Z322" s="88"/>
      <c r="AA322" s="88"/>
      <c r="AB322" s="88"/>
      <c r="AC322" s="88"/>
    </row>
    <row r="323" spans="1:29" ht="25.15" customHeight="1" x14ac:dyDescent="0.25">
      <c r="A323" s="88"/>
      <c r="B323"/>
      <c r="C323"/>
      <c r="D323"/>
      <c r="E323"/>
      <c r="F323"/>
      <c r="G323"/>
      <c r="H323" s="88"/>
      <c r="I323" s="88"/>
      <c r="J323" s="88"/>
      <c r="K323" s="88"/>
      <c r="L323" s="88"/>
      <c r="M323" s="88"/>
      <c r="N323" s="88"/>
      <c r="O323" s="88"/>
      <c r="P323" s="88"/>
      <c r="Q323" s="88"/>
      <c r="R323" s="88"/>
      <c r="S323" s="88"/>
      <c r="T323" s="88"/>
      <c r="U323" s="88"/>
      <c r="V323" s="88"/>
      <c r="W323" s="88"/>
      <c r="X323" s="88"/>
      <c r="Y323" s="88"/>
      <c r="Z323" s="88"/>
      <c r="AA323" s="88"/>
      <c r="AB323" s="88"/>
      <c r="AC323" s="88"/>
    </row>
    <row r="324" spans="1:29" ht="25.15" customHeight="1" x14ac:dyDescent="0.25">
      <c r="A324" s="88"/>
      <c r="B324"/>
      <c r="C324"/>
      <c r="D324"/>
      <c r="E324"/>
      <c r="F324"/>
      <c r="G324"/>
      <c r="H324" s="88"/>
      <c r="I324" s="88"/>
      <c r="J324" s="88"/>
      <c r="K324" s="88"/>
      <c r="L324" s="88"/>
      <c r="M324" s="88"/>
      <c r="N324" s="88"/>
      <c r="O324" s="88"/>
      <c r="P324" s="88"/>
      <c r="Q324" s="88"/>
      <c r="R324" s="88"/>
      <c r="S324" s="88"/>
      <c r="T324" s="88"/>
      <c r="U324" s="88"/>
      <c r="V324" s="88"/>
      <c r="W324" s="88"/>
      <c r="X324" s="88"/>
      <c r="Y324" s="88"/>
      <c r="Z324" s="88"/>
      <c r="AA324" s="88"/>
      <c r="AB324" s="88"/>
      <c r="AC324" s="88"/>
    </row>
    <row r="325" spans="1:29" ht="25.15" customHeight="1" x14ac:dyDescent="0.25">
      <c r="A325" s="88"/>
      <c r="B325"/>
      <c r="C325"/>
      <c r="D325"/>
      <c r="E325"/>
      <c r="F325"/>
      <c r="G325"/>
      <c r="H325" s="88"/>
      <c r="I325" s="88"/>
      <c r="J325" s="88"/>
      <c r="K325" s="88"/>
      <c r="L325" s="88"/>
      <c r="M325" s="88"/>
      <c r="N325" s="88"/>
      <c r="O325" s="88"/>
      <c r="P325" s="88"/>
      <c r="Q325" s="88"/>
      <c r="R325" s="88"/>
      <c r="S325" s="88"/>
      <c r="T325" s="88"/>
      <c r="U325" s="88"/>
      <c r="V325" s="88"/>
      <c r="W325" s="88"/>
      <c r="X325" s="88"/>
      <c r="Y325" s="88"/>
      <c r="Z325" s="88"/>
      <c r="AA325" s="88"/>
      <c r="AB325" s="88"/>
      <c r="AC325" s="88"/>
    </row>
    <row r="326" spans="1:29" ht="25.15" customHeight="1" x14ac:dyDescent="0.25">
      <c r="A326" s="88"/>
      <c r="B326"/>
      <c r="C326"/>
      <c r="D326"/>
      <c r="E326"/>
      <c r="F326"/>
      <c r="G326"/>
      <c r="H326" s="88"/>
      <c r="I326" s="88"/>
      <c r="J326" s="88"/>
      <c r="K326" s="88"/>
      <c r="L326" s="88"/>
      <c r="M326" s="88"/>
      <c r="N326" s="88"/>
      <c r="O326" s="88"/>
      <c r="P326" s="88"/>
      <c r="Q326" s="88"/>
      <c r="R326" s="88"/>
      <c r="S326" s="88"/>
      <c r="T326" s="88"/>
      <c r="U326" s="88"/>
      <c r="V326" s="88"/>
      <c r="W326" s="88"/>
      <c r="X326" s="88"/>
      <c r="Y326" s="88"/>
      <c r="Z326" s="88"/>
      <c r="AA326" s="88"/>
      <c r="AB326" s="88"/>
      <c r="AC326" s="88"/>
    </row>
    <row r="327" spans="1:29" ht="25.15" customHeight="1" x14ac:dyDescent="0.25">
      <c r="A327" s="88"/>
      <c r="B327"/>
      <c r="C327"/>
      <c r="D327"/>
      <c r="E327"/>
      <c r="F327"/>
      <c r="G327"/>
      <c r="H327" s="88"/>
      <c r="I327" s="88"/>
      <c r="J327" s="88"/>
      <c r="K327" s="88"/>
      <c r="L327" s="88"/>
      <c r="M327" s="88"/>
      <c r="N327" s="88"/>
      <c r="O327" s="88"/>
      <c r="P327" s="88"/>
      <c r="Q327" s="88"/>
      <c r="R327" s="88"/>
      <c r="S327" s="88"/>
      <c r="T327" s="88"/>
      <c r="U327" s="88"/>
      <c r="V327" s="88"/>
      <c r="W327" s="88"/>
      <c r="X327" s="88"/>
      <c r="Y327" s="88"/>
      <c r="Z327" s="88"/>
      <c r="AA327" s="88"/>
      <c r="AB327" s="88"/>
      <c r="AC327" s="88"/>
    </row>
    <row r="328" spans="1:29" ht="25.15" customHeight="1" x14ac:dyDescent="0.25">
      <c r="A328" s="88"/>
      <c r="B328"/>
      <c r="C328"/>
      <c r="D328"/>
      <c r="E328"/>
      <c r="F328"/>
      <c r="G328"/>
      <c r="H328" s="88"/>
      <c r="I328" s="88"/>
      <c r="J328" s="88"/>
      <c r="K328" s="88"/>
      <c r="L328" s="88"/>
      <c r="M328" s="88"/>
      <c r="N328" s="88"/>
      <c r="O328" s="88"/>
      <c r="P328" s="88"/>
      <c r="Q328" s="88"/>
      <c r="R328" s="88"/>
      <c r="S328" s="88"/>
      <c r="T328" s="88"/>
      <c r="U328" s="88"/>
      <c r="V328" s="88"/>
      <c r="W328" s="88"/>
      <c r="X328" s="88"/>
      <c r="Y328" s="88"/>
      <c r="Z328" s="88"/>
      <c r="AA328" s="88"/>
      <c r="AB328" s="88"/>
      <c r="AC328" s="88"/>
    </row>
    <row r="329" spans="1:29" ht="25.15" customHeight="1" x14ac:dyDescent="0.25">
      <c r="A329" s="88"/>
      <c r="B329"/>
      <c r="C329"/>
      <c r="D329"/>
      <c r="E329"/>
      <c r="F329"/>
      <c r="G329"/>
      <c r="H329" s="88"/>
      <c r="I329" s="88"/>
      <c r="J329" s="88"/>
      <c r="K329" s="88"/>
      <c r="L329" s="88"/>
      <c r="M329" s="88"/>
      <c r="N329" s="88"/>
      <c r="O329" s="88"/>
      <c r="P329" s="88"/>
      <c r="Q329" s="88"/>
      <c r="R329" s="88"/>
      <c r="S329" s="88"/>
      <c r="T329" s="88"/>
      <c r="U329" s="88"/>
      <c r="V329" s="88"/>
      <c r="W329" s="88"/>
      <c r="X329" s="88"/>
      <c r="Y329" s="88"/>
      <c r="Z329" s="88"/>
      <c r="AA329" s="88"/>
      <c r="AB329" s="88"/>
      <c r="AC329" s="88"/>
    </row>
    <row r="330" spans="1:29" ht="25.15" customHeight="1" x14ac:dyDescent="0.25">
      <c r="A330" s="88"/>
      <c r="B330"/>
      <c r="C330"/>
      <c r="D330"/>
      <c r="E330"/>
      <c r="F330"/>
      <c r="G330"/>
      <c r="H330" s="88"/>
      <c r="I330" s="88"/>
      <c r="J330" s="88"/>
      <c r="K330" s="88"/>
      <c r="L330" s="88"/>
      <c r="M330" s="88"/>
      <c r="N330" s="88"/>
      <c r="O330" s="88"/>
      <c r="P330" s="88"/>
      <c r="Q330" s="88"/>
      <c r="R330" s="88"/>
      <c r="S330" s="88"/>
      <c r="T330" s="88"/>
      <c r="U330" s="88"/>
      <c r="V330" s="88"/>
      <c r="W330" s="88"/>
      <c r="X330" s="88"/>
      <c r="Y330" s="88"/>
      <c r="Z330" s="88"/>
      <c r="AA330" s="88"/>
      <c r="AB330" s="88"/>
      <c r="AC330" s="88"/>
    </row>
    <row r="331" spans="1:29" ht="25.15" customHeight="1" x14ac:dyDescent="0.25">
      <c r="A331" s="88"/>
      <c r="B331"/>
      <c r="C331"/>
      <c r="D331"/>
      <c r="E331"/>
      <c r="F331"/>
      <c r="G331"/>
      <c r="H331" s="88"/>
      <c r="I331" s="88"/>
      <c r="J331" s="88"/>
      <c r="K331" s="88"/>
      <c r="L331" s="88"/>
      <c r="M331" s="88"/>
      <c r="N331" s="88"/>
      <c r="O331" s="88"/>
      <c r="P331" s="88"/>
      <c r="Q331" s="88"/>
      <c r="R331" s="88"/>
      <c r="S331" s="88"/>
      <c r="T331" s="88"/>
      <c r="U331" s="88"/>
      <c r="V331" s="88"/>
      <c r="W331" s="88"/>
      <c r="X331" s="88"/>
      <c r="Y331" s="88"/>
      <c r="Z331" s="88"/>
      <c r="AA331" s="88"/>
      <c r="AB331" s="88"/>
      <c r="AC331" s="88"/>
    </row>
    <row r="332" spans="1:29" ht="25.15" customHeight="1" x14ac:dyDescent="0.25">
      <c r="A332" s="88"/>
      <c r="B332"/>
      <c r="C332"/>
      <c r="D332"/>
      <c r="E332"/>
      <c r="F332"/>
      <c r="G332"/>
      <c r="H332" s="88"/>
      <c r="I332" s="88"/>
      <c r="J332" s="88"/>
      <c r="K332" s="88"/>
      <c r="L332" s="88"/>
      <c r="M332" s="88"/>
      <c r="N332" s="88"/>
      <c r="O332" s="88"/>
      <c r="P332" s="88"/>
      <c r="Q332" s="88"/>
      <c r="R332" s="88"/>
      <c r="S332" s="88"/>
      <c r="T332" s="88"/>
      <c r="U332" s="88"/>
      <c r="V332" s="88"/>
      <c r="W332" s="88"/>
      <c r="X332" s="88"/>
      <c r="Y332" s="88"/>
      <c r="Z332" s="88"/>
      <c r="AA332" s="88"/>
      <c r="AB332" s="88"/>
      <c r="AC332" s="88"/>
    </row>
    <row r="333" spans="1:29" ht="25.15" customHeight="1" x14ac:dyDescent="0.25">
      <c r="A333" s="88"/>
      <c r="B333"/>
      <c r="C333"/>
      <c r="D333"/>
      <c r="E333"/>
      <c r="F333"/>
      <c r="G333"/>
      <c r="H333" s="88"/>
      <c r="I333" s="88"/>
      <c r="J333" s="88"/>
      <c r="K333" s="88"/>
      <c r="L333" s="88"/>
      <c r="M333" s="88"/>
      <c r="N333" s="88"/>
      <c r="O333" s="88"/>
      <c r="P333" s="88"/>
      <c r="Q333" s="88"/>
      <c r="R333" s="88"/>
      <c r="S333" s="88"/>
      <c r="T333" s="88"/>
      <c r="U333" s="88"/>
      <c r="V333" s="88"/>
      <c r="W333" s="88"/>
      <c r="X333" s="88"/>
      <c r="Y333" s="88"/>
      <c r="Z333" s="88"/>
      <c r="AA333" s="88"/>
      <c r="AB333" s="88"/>
      <c r="AC333" s="88"/>
    </row>
    <row r="334" spans="1:29" ht="25.15" customHeight="1" x14ac:dyDescent="0.25">
      <c r="A334" s="88"/>
      <c r="B334"/>
      <c r="C334"/>
      <c r="D334"/>
      <c r="E334"/>
      <c r="F334"/>
      <c r="G334"/>
      <c r="H334" s="88"/>
      <c r="I334" s="88"/>
      <c r="J334" s="88"/>
      <c r="K334" s="88"/>
      <c r="L334" s="88"/>
      <c r="M334" s="88"/>
      <c r="N334" s="88"/>
      <c r="O334" s="88"/>
      <c r="P334" s="88"/>
      <c r="Q334" s="88"/>
      <c r="R334" s="88"/>
      <c r="S334" s="88"/>
      <c r="T334" s="88"/>
      <c r="U334" s="88"/>
      <c r="V334" s="88"/>
      <c r="W334" s="88"/>
      <c r="X334" s="88"/>
      <c r="Y334" s="88"/>
      <c r="Z334" s="88"/>
      <c r="AA334" s="88"/>
      <c r="AB334" s="88"/>
      <c r="AC334" s="88"/>
    </row>
    <row r="335" spans="1:29" ht="25.15" customHeight="1" x14ac:dyDescent="0.25">
      <c r="A335" s="88"/>
      <c r="B335"/>
      <c r="C335"/>
      <c r="D335"/>
      <c r="E335"/>
      <c r="F335"/>
      <c r="G335"/>
      <c r="H335" s="88"/>
      <c r="I335" s="88"/>
      <c r="J335" s="88"/>
      <c r="K335" s="88"/>
      <c r="L335" s="88"/>
      <c r="M335" s="88"/>
      <c r="N335" s="88"/>
      <c r="O335" s="88"/>
      <c r="P335" s="88"/>
      <c r="Q335" s="88"/>
      <c r="R335" s="88"/>
      <c r="S335" s="88"/>
      <c r="T335" s="88"/>
      <c r="U335" s="88"/>
      <c r="V335" s="88"/>
      <c r="W335" s="88"/>
      <c r="X335" s="88"/>
      <c r="Y335" s="88"/>
      <c r="Z335" s="88"/>
      <c r="AA335" s="88"/>
      <c r="AB335" s="88"/>
      <c r="AC335" s="88"/>
    </row>
    <row r="336" spans="1:29" ht="25.15" customHeight="1" x14ac:dyDescent="0.25">
      <c r="A336" s="88"/>
      <c r="B336"/>
      <c r="C336"/>
      <c r="D336"/>
      <c r="E336"/>
      <c r="F336"/>
      <c r="G336"/>
      <c r="H336" s="88"/>
      <c r="I336" s="88"/>
      <c r="J336" s="88"/>
      <c r="K336" s="88"/>
      <c r="L336" s="88"/>
      <c r="M336" s="88"/>
      <c r="N336" s="88"/>
      <c r="O336" s="88"/>
      <c r="P336" s="88"/>
      <c r="Q336" s="88"/>
      <c r="R336" s="88"/>
      <c r="S336" s="88"/>
      <c r="T336" s="88"/>
      <c r="U336" s="88"/>
      <c r="V336" s="88"/>
      <c r="W336" s="88"/>
      <c r="X336" s="88"/>
      <c r="Y336" s="88"/>
      <c r="Z336" s="88"/>
      <c r="AA336" s="88"/>
      <c r="AB336" s="88"/>
      <c r="AC336" s="88"/>
    </row>
    <row r="337" spans="1:29" ht="25.15" customHeight="1" x14ac:dyDescent="0.25">
      <c r="A337" s="88"/>
      <c r="B337"/>
      <c r="C337"/>
      <c r="D337"/>
      <c r="E337"/>
      <c r="F337"/>
      <c r="G337"/>
      <c r="H337" s="88"/>
      <c r="I337" s="88"/>
      <c r="J337" s="88"/>
      <c r="K337" s="88"/>
      <c r="L337" s="88"/>
      <c r="M337" s="88"/>
      <c r="N337" s="88"/>
      <c r="O337" s="88"/>
      <c r="P337" s="88"/>
      <c r="Q337" s="88"/>
      <c r="R337" s="88"/>
      <c r="S337" s="88"/>
      <c r="T337" s="88"/>
      <c r="U337" s="88"/>
      <c r="V337" s="88"/>
      <c r="W337" s="88"/>
      <c r="X337" s="88"/>
      <c r="Y337" s="88"/>
      <c r="Z337" s="88"/>
      <c r="AA337" s="88"/>
      <c r="AB337" s="88"/>
      <c r="AC337" s="88"/>
    </row>
    <row r="338" spans="1:29" ht="25.15" customHeight="1" x14ac:dyDescent="0.25">
      <c r="A338" s="88"/>
      <c r="B338"/>
      <c r="C338"/>
      <c r="D338"/>
      <c r="E338"/>
      <c r="F338"/>
      <c r="G338"/>
      <c r="H338" s="88"/>
      <c r="I338" s="88"/>
      <c r="J338" s="88"/>
      <c r="K338" s="88"/>
      <c r="L338" s="88"/>
      <c r="M338" s="88"/>
      <c r="N338" s="88"/>
      <c r="O338" s="88"/>
      <c r="P338" s="88"/>
      <c r="Q338" s="88"/>
      <c r="R338" s="88"/>
      <c r="S338" s="88"/>
      <c r="T338" s="88"/>
      <c r="U338" s="88"/>
      <c r="V338" s="88"/>
      <c r="W338" s="88"/>
      <c r="X338" s="88"/>
      <c r="Y338" s="88"/>
      <c r="Z338" s="88"/>
      <c r="AA338" s="88"/>
      <c r="AB338" s="88"/>
      <c r="AC338" s="88"/>
    </row>
    <row r="339" spans="1:29" ht="25.15" customHeight="1" x14ac:dyDescent="0.25">
      <c r="A339" s="88"/>
      <c r="B339"/>
      <c r="C339"/>
      <c r="D339"/>
      <c r="E339"/>
      <c r="F339"/>
      <c r="G339"/>
      <c r="H339" s="88"/>
      <c r="I339" s="88"/>
      <c r="J339" s="88"/>
      <c r="K339" s="88"/>
      <c r="L339" s="88"/>
      <c r="M339" s="88"/>
      <c r="N339" s="88"/>
      <c r="O339" s="88"/>
      <c r="P339" s="88"/>
      <c r="Q339" s="88"/>
      <c r="R339" s="88"/>
      <c r="S339" s="88"/>
      <c r="T339" s="88"/>
      <c r="U339" s="88"/>
      <c r="V339" s="88"/>
      <c r="W339" s="88"/>
      <c r="X339" s="88"/>
      <c r="Y339" s="88"/>
      <c r="Z339" s="88"/>
      <c r="AA339" s="88"/>
      <c r="AB339" s="88"/>
      <c r="AC339" s="88"/>
    </row>
    <row r="340" spans="1:29" ht="25.15" customHeight="1" x14ac:dyDescent="0.25">
      <c r="A340" s="88"/>
      <c r="B340"/>
      <c r="C340"/>
      <c r="D340"/>
      <c r="E340"/>
      <c r="F340"/>
      <c r="G340"/>
      <c r="H340" s="88"/>
      <c r="I340" s="88"/>
      <c r="J340" s="88"/>
      <c r="K340" s="88"/>
      <c r="L340" s="88"/>
      <c r="M340" s="88"/>
      <c r="N340" s="88"/>
      <c r="O340" s="88"/>
      <c r="P340" s="88"/>
      <c r="Q340" s="88"/>
      <c r="R340" s="88"/>
      <c r="S340" s="88"/>
      <c r="T340" s="88"/>
      <c r="U340" s="88"/>
      <c r="V340" s="88"/>
      <c r="W340" s="88"/>
      <c r="X340" s="88"/>
      <c r="Y340" s="88"/>
      <c r="Z340" s="88"/>
      <c r="AA340" s="88"/>
      <c r="AB340" s="88"/>
      <c r="AC340" s="88"/>
    </row>
    <row r="341" spans="1:29" ht="25.15" customHeight="1" x14ac:dyDescent="0.25">
      <c r="A341" s="88"/>
      <c r="B341"/>
      <c r="C341"/>
      <c r="D341"/>
      <c r="E341"/>
      <c r="F341"/>
      <c r="G341"/>
      <c r="H341" s="88"/>
      <c r="I341" s="88"/>
      <c r="J341" s="88"/>
      <c r="K341" s="88"/>
      <c r="L341" s="88"/>
      <c r="M341" s="88"/>
      <c r="N341" s="88"/>
      <c r="O341" s="88"/>
      <c r="P341" s="88"/>
      <c r="Q341" s="88"/>
      <c r="R341" s="88"/>
      <c r="S341" s="88"/>
      <c r="T341" s="88"/>
      <c r="U341" s="88"/>
      <c r="V341" s="88"/>
      <c r="W341" s="88"/>
      <c r="X341" s="88"/>
      <c r="Y341" s="88"/>
      <c r="Z341" s="88"/>
      <c r="AA341" s="88"/>
      <c r="AB341" s="88"/>
      <c r="AC341" s="88"/>
    </row>
    <row r="342" spans="1:29" ht="25.15" customHeight="1" x14ac:dyDescent="0.25">
      <c r="A342" s="88"/>
      <c r="B342"/>
      <c r="C342"/>
      <c r="D342"/>
      <c r="E342"/>
      <c r="F342"/>
      <c r="G342"/>
      <c r="H342" s="88"/>
      <c r="I342" s="88"/>
      <c r="J342" s="88"/>
      <c r="K342" s="88"/>
      <c r="L342" s="88"/>
      <c r="M342" s="88"/>
      <c r="N342" s="88"/>
      <c r="O342" s="88"/>
      <c r="P342" s="88"/>
      <c r="Q342" s="88"/>
      <c r="R342" s="88"/>
      <c r="S342" s="88"/>
      <c r="T342" s="88"/>
      <c r="U342" s="88"/>
      <c r="V342" s="88"/>
      <c r="W342" s="88"/>
      <c r="X342" s="88"/>
      <c r="Y342" s="88"/>
      <c r="Z342" s="88"/>
      <c r="AA342" s="88"/>
      <c r="AB342" s="88"/>
      <c r="AC342" s="88"/>
    </row>
    <row r="343" spans="1:29" ht="25.15" customHeight="1" x14ac:dyDescent="0.25">
      <c r="A343" s="88"/>
      <c r="B343"/>
      <c r="C343"/>
      <c r="D343"/>
      <c r="E343"/>
      <c r="F343"/>
      <c r="G343"/>
      <c r="H343" s="88"/>
      <c r="I343" s="88"/>
      <c r="J343" s="88"/>
      <c r="K343" s="88"/>
      <c r="L343" s="88"/>
      <c r="M343" s="88"/>
      <c r="N343" s="88"/>
      <c r="O343" s="88"/>
      <c r="P343" s="88"/>
      <c r="Q343" s="88"/>
      <c r="R343" s="88"/>
      <c r="S343" s="88"/>
      <c r="T343" s="88"/>
      <c r="U343" s="88"/>
      <c r="V343" s="88"/>
      <c r="W343" s="88"/>
      <c r="X343" s="88"/>
      <c r="Y343" s="88"/>
      <c r="Z343" s="88"/>
      <c r="AA343" s="88"/>
      <c r="AB343" s="88"/>
      <c r="AC343" s="88"/>
    </row>
    <row r="344" spans="1:29" ht="25.15" customHeight="1" x14ac:dyDescent="0.25">
      <c r="A344" s="88"/>
      <c r="B344"/>
      <c r="C344"/>
      <c r="D344"/>
      <c r="E344"/>
      <c r="F344"/>
      <c r="G344"/>
      <c r="H344" s="88"/>
      <c r="I344" s="88"/>
      <c r="J344" s="88"/>
      <c r="K344" s="88"/>
      <c r="L344" s="88"/>
      <c r="M344" s="88"/>
      <c r="N344" s="88"/>
      <c r="O344" s="88"/>
      <c r="P344" s="88"/>
      <c r="Q344" s="88"/>
      <c r="R344" s="88"/>
      <c r="S344" s="88"/>
      <c r="T344" s="88"/>
      <c r="U344" s="88"/>
      <c r="V344" s="88"/>
      <c r="W344" s="88"/>
      <c r="X344" s="88"/>
      <c r="Y344" s="88"/>
      <c r="Z344" s="88"/>
      <c r="AA344" s="88"/>
      <c r="AB344" s="88"/>
      <c r="AC344" s="88"/>
    </row>
    <row r="345" spans="1:29" ht="25.15" customHeight="1" x14ac:dyDescent="0.25">
      <c r="A345" s="88"/>
      <c r="B345"/>
      <c r="C345"/>
      <c r="D345"/>
      <c r="E345"/>
      <c r="F345"/>
      <c r="G345"/>
      <c r="H345" s="88"/>
      <c r="I345" s="88"/>
      <c r="J345" s="88"/>
      <c r="K345" s="88"/>
      <c r="L345" s="88"/>
      <c r="M345" s="88"/>
      <c r="N345" s="88"/>
      <c r="O345" s="88"/>
      <c r="P345" s="88"/>
      <c r="Q345" s="88"/>
      <c r="R345" s="88"/>
      <c r="S345" s="88"/>
      <c r="T345" s="88"/>
      <c r="U345" s="88"/>
      <c r="V345" s="88"/>
      <c r="W345" s="88"/>
      <c r="X345" s="88"/>
      <c r="Y345" s="88"/>
      <c r="Z345" s="88"/>
      <c r="AA345" s="88"/>
      <c r="AB345" s="88"/>
      <c r="AC345" s="88"/>
    </row>
    <row r="346" spans="1:29" ht="25.15" customHeight="1" x14ac:dyDescent="0.25">
      <c r="A346" s="88"/>
      <c r="B346"/>
      <c r="C346"/>
      <c r="D346"/>
      <c r="E346"/>
      <c r="F346"/>
      <c r="G346"/>
      <c r="H346" s="88"/>
      <c r="I346" s="88"/>
      <c r="J346" s="88"/>
      <c r="K346" s="88"/>
      <c r="L346" s="88"/>
      <c r="M346" s="88"/>
      <c r="N346" s="88"/>
      <c r="O346" s="88"/>
      <c r="P346" s="88"/>
      <c r="Q346" s="88"/>
      <c r="R346" s="88"/>
      <c r="S346" s="88"/>
      <c r="T346" s="88"/>
      <c r="U346" s="88"/>
      <c r="V346" s="88"/>
      <c r="W346" s="88"/>
      <c r="X346" s="88"/>
      <c r="Y346" s="88"/>
      <c r="Z346" s="88"/>
      <c r="AA346" s="88"/>
      <c r="AB346" s="88"/>
      <c r="AC346" s="88"/>
    </row>
    <row r="347" spans="1:29" ht="25.15" customHeight="1" x14ac:dyDescent="0.25">
      <c r="A347" s="88"/>
      <c r="B347"/>
      <c r="C347"/>
      <c r="D347"/>
      <c r="E347"/>
      <c r="F347"/>
      <c r="G347"/>
      <c r="H347" s="88"/>
      <c r="I347" s="88"/>
      <c r="J347" s="88"/>
      <c r="K347" s="88"/>
      <c r="L347" s="88"/>
      <c r="M347" s="88"/>
      <c r="N347" s="88"/>
      <c r="O347" s="88"/>
      <c r="P347" s="88"/>
      <c r="Q347" s="88"/>
      <c r="R347" s="88"/>
      <c r="S347" s="88"/>
      <c r="T347" s="88"/>
      <c r="U347" s="88"/>
      <c r="V347" s="88"/>
      <c r="W347" s="88"/>
      <c r="X347" s="88"/>
      <c r="Y347" s="88"/>
      <c r="Z347" s="88"/>
      <c r="AA347" s="88"/>
      <c r="AB347" s="88"/>
      <c r="AC347" s="88"/>
    </row>
    <row r="348" spans="1:29" ht="25.15" customHeight="1" x14ac:dyDescent="0.25">
      <c r="A348" s="88"/>
      <c r="B348"/>
      <c r="C348"/>
      <c r="D348"/>
      <c r="E348"/>
      <c r="F348"/>
      <c r="G348"/>
      <c r="H348" s="88"/>
      <c r="I348" s="88"/>
      <c r="J348" s="88"/>
      <c r="K348" s="88"/>
      <c r="L348" s="88"/>
      <c r="M348" s="88"/>
      <c r="N348" s="88"/>
      <c r="O348" s="88"/>
      <c r="P348" s="88"/>
      <c r="Q348" s="88"/>
      <c r="R348" s="88"/>
      <c r="S348" s="88"/>
      <c r="T348" s="88"/>
      <c r="U348" s="88"/>
      <c r="V348" s="88"/>
      <c r="W348" s="88"/>
      <c r="X348" s="88"/>
      <c r="Y348" s="88"/>
      <c r="Z348" s="88"/>
      <c r="AA348" s="88"/>
      <c r="AB348" s="88"/>
      <c r="AC348" s="88"/>
    </row>
    <row r="349" spans="1:29" ht="25.15" customHeight="1" x14ac:dyDescent="0.25">
      <c r="A349" s="88"/>
      <c r="B349"/>
      <c r="C349"/>
      <c r="D349"/>
      <c r="E349"/>
      <c r="F349"/>
      <c r="G349"/>
      <c r="H349" s="88"/>
      <c r="I349" s="88"/>
      <c r="J349" s="88"/>
      <c r="K349" s="88"/>
      <c r="L349" s="88"/>
      <c r="M349" s="88"/>
      <c r="N349" s="88"/>
      <c r="O349" s="88"/>
      <c r="P349" s="88"/>
      <c r="Q349" s="88"/>
      <c r="R349" s="88"/>
      <c r="S349" s="88"/>
      <c r="T349" s="88"/>
      <c r="U349" s="88"/>
      <c r="V349" s="88"/>
      <c r="W349" s="88"/>
      <c r="X349" s="88"/>
      <c r="Y349" s="88"/>
      <c r="Z349" s="88"/>
      <c r="AA349" s="88"/>
      <c r="AB349" s="88"/>
      <c r="AC349" s="88"/>
    </row>
    <row r="350" spans="1:29" ht="25.15" customHeight="1" x14ac:dyDescent="0.25">
      <c r="A350" s="88"/>
      <c r="B350"/>
      <c r="C350"/>
      <c r="D350"/>
      <c r="E350"/>
      <c r="F350"/>
      <c r="G350"/>
      <c r="H350" s="88"/>
      <c r="I350" s="88"/>
      <c r="J350" s="88"/>
      <c r="K350" s="88"/>
      <c r="L350" s="88"/>
      <c r="M350" s="88"/>
      <c r="N350" s="88"/>
      <c r="O350" s="88"/>
      <c r="P350" s="88"/>
      <c r="Q350" s="88"/>
      <c r="R350" s="88"/>
      <c r="S350" s="88"/>
      <c r="T350" s="88"/>
      <c r="U350" s="88"/>
      <c r="V350" s="88"/>
      <c r="W350" s="88"/>
      <c r="X350" s="88"/>
      <c r="Y350" s="88"/>
      <c r="Z350" s="88"/>
      <c r="AA350" s="88"/>
      <c r="AB350" s="88"/>
      <c r="AC350" s="88"/>
    </row>
    <row r="351" spans="1:29" ht="25.15" customHeight="1" x14ac:dyDescent="0.25">
      <c r="A351" s="88"/>
      <c r="B351"/>
      <c r="C351"/>
      <c r="D351"/>
      <c r="E351"/>
      <c r="F351"/>
      <c r="G351"/>
      <c r="H351" s="88"/>
      <c r="I351" s="88"/>
      <c r="J351" s="88"/>
      <c r="K351" s="88"/>
      <c r="L351" s="88"/>
      <c r="M351" s="88"/>
      <c r="N351" s="88"/>
      <c r="O351" s="88"/>
      <c r="P351" s="88"/>
      <c r="Q351" s="88"/>
      <c r="R351" s="88"/>
      <c r="S351" s="88"/>
      <c r="T351" s="88"/>
      <c r="U351" s="88"/>
      <c r="V351" s="88"/>
      <c r="W351" s="88"/>
      <c r="X351" s="88"/>
      <c r="Y351" s="88"/>
      <c r="Z351" s="88"/>
      <c r="AA351" s="88"/>
      <c r="AB351" s="88"/>
      <c r="AC351" s="88"/>
    </row>
    <row r="352" spans="1:29" ht="25.15" customHeight="1" x14ac:dyDescent="0.25">
      <c r="A352" s="88"/>
      <c r="B352"/>
      <c r="C352"/>
      <c r="D352"/>
      <c r="E352"/>
      <c r="F352"/>
      <c r="G352"/>
      <c r="H352" s="88"/>
      <c r="I352" s="88"/>
      <c r="J352" s="88"/>
      <c r="K352" s="88"/>
      <c r="L352" s="88"/>
      <c r="M352" s="88"/>
      <c r="N352" s="88"/>
      <c r="O352" s="88"/>
      <c r="P352" s="88"/>
      <c r="Q352" s="88"/>
      <c r="R352" s="88"/>
      <c r="S352" s="88"/>
      <c r="T352" s="88"/>
      <c r="U352" s="88"/>
      <c r="V352" s="88"/>
      <c r="W352" s="88"/>
      <c r="X352" s="88"/>
      <c r="Y352" s="88"/>
      <c r="Z352" s="88"/>
      <c r="AA352" s="88"/>
      <c r="AB352" s="88"/>
      <c r="AC352" s="88"/>
    </row>
    <row r="353" spans="1:29" ht="25.15" customHeight="1" x14ac:dyDescent="0.25">
      <c r="A353" s="88"/>
      <c r="B353"/>
      <c r="C353"/>
      <c r="D353"/>
      <c r="E353"/>
      <c r="F353"/>
      <c r="G353"/>
      <c r="H353" s="88"/>
      <c r="I353" s="88"/>
      <c r="J353" s="88"/>
      <c r="K353" s="88"/>
      <c r="L353" s="88"/>
      <c r="M353" s="88"/>
      <c r="N353" s="88"/>
      <c r="O353" s="88"/>
      <c r="P353" s="88"/>
      <c r="Q353" s="88"/>
      <c r="R353" s="88"/>
      <c r="S353" s="88"/>
      <c r="T353" s="88"/>
      <c r="U353" s="88"/>
      <c r="V353" s="88"/>
      <c r="W353" s="88"/>
      <c r="X353" s="88"/>
      <c r="Y353" s="88"/>
      <c r="Z353" s="88"/>
      <c r="AA353" s="88"/>
      <c r="AB353" s="88"/>
      <c r="AC353" s="88"/>
    </row>
    <row r="354" spans="1:29" ht="25.15" customHeight="1" x14ac:dyDescent="0.25">
      <c r="A354" s="88"/>
      <c r="B354"/>
      <c r="C354"/>
      <c r="D354"/>
      <c r="E354"/>
      <c r="F354"/>
      <c r="G354"/>
      <c r="H354" s="88"/>
      <c r="I354" s="88"/>
      <c r="J354" s="88"/>
      <c r="K354" s="88"/>
      <c r="L354" s="88"/>
      <c r="M354" s="88"/>
      <c r="N354" s="88"/>
      <c r="O354" s="88"/>
      <c r="P354" s="88"/>
      <c r="Q354" s="88"/>
      <c r="R354" s="88"/>
      <c r="S354" s="88"/>
      <c r="T354" s="88"/>
      <c r="U354" s="88"/>
      <c r="V354" s="88"/>
      <c r="W354" s="88"/>
      <c r="X354" s="88"/>
      <c r="Y354" s="88"/>
      <c r="Z354" s="88"/>
      <c r="AA354" s="88"/>
      <c r="AB354" s="88"/>
      <c r="AC354" s="88"/>
    </row>
    <row r="355" spans="1:29" ht="25.15" customHeight="1" x14ac:dyDescent="0.25">
      <c r="A355" s="88"/>
      <c r="B355"/>
      <c r="C355"/>
      <c r="D355"/>
      <c r="E355"/>
      <c r="F355"/>
      <c r="G355"/>
      <c r="H355" s="88"/>
      <c r="I355" s="88"/>
      <c r="J355" s="88"/>
      <c r="K355" s="88"/>
      <c r="L355" s="88"/>
      <c r="M355" s="88"/>
      <c r="N355" s="88"/>
      <c r="O355" s="88"/>
      <c r="P355" s="88"/>
      <c r="Q355" s="88"/>
      <c r="R355" s="88"/>
      <c r="S355" s="88"/>
      <c r="T355" s="88"/>
      <c r="U355" s="88"/>
      <c r="V355" s="88"/>
      <c r="W355" s="88"/>
      <c r="X355" s="88"/>
      <c r="Y355" s="88"/>
      <c r="Z355" s="88"/>
      <c r="AA355" s="88"/>
      <c r="AB355" s="88"/>
      <c r="AC355" s="88"/>
    </row>
    <row r="356" spans="1:29" ht="25.15" customHeight="1" x14ac:dyDescent="0.25">
      <c r="A356" s="88"/>
      <c r="B356"/>
      <c r="C356"/>
      <c r="D356"/>
      <c r="E356"/>
      <c r="F356"/>
      <c r="G356"/>
      <c r="H356" s="88"/>
      <c r="I356" s="88"/>
      <c r="J356" s="88"/>
      <c r="K356" s="88"/>
      <c r="L356" s="88"/>
      <c r="M356" s="88"/>
      <c r="N356" s="88"/>
      <c r="O356" s="88"/>
      <c r="P356" s="88"/>
      <c r="Q356" s="88"/>
      <c r="R356" s="88"/>
      <c r="S356" s="88"/>
      <c r="T356" s="88"/>
      <c r="U356" s="88"/>
      <c r="V356" s="88"/>
      <c r="W356" s="88"/>
      <c r="X356" s="88"/>
      <c r="Y356" s="88"/>
      <c r="Z356" s="88"/>
      <c r="AA356" s="88"/>
      <c r="AB356" s="88"/>
      <c r="AC356" s="88"/>
    </row>
    <row r="357" spans="1:29" ht="25.15" customHeight="1" x14ac:dyDescent="0.25">
      <c r="A357" s="88"/>
      <c r="B357"/>
      <c r="C357"/>
      <c r="D357"/>
      <c r="E357"/>
      <c r="F357"/>
      <c r="G357"/>
      <c r="H357" s="88"/>
      <c r="I357" s="88"/>
      <c r="J357" s="88"/>
      <c r="K357" s="88"/>
      <c r="L357" s="88"/>
      <c r="M357" s="88"/>
      <c r="N357" s="88"/>
      <c r="O357" s="88"/>
      <c r="P357" s="88"/>
      <c r="Q357" s="88"/>
      <c r="R357" s="88"/>
      <c r="S357" s="88"/>
      <c r="T357" s="88"/>
      <c r="U357" s="88"/>
      <c r="V357" s="88"/>
      <c r="W357" s="88"/>
      <c r="X357" s="88"/>
      <c r="Y357" s="88"/>
      <c r="Z357" s="88"/>
      <c r="AA357" s="88"/>
      <c r="AB357" s="88"/>
      <c r="AC357" s="88"/>
    </row>
    <row r="358" spans="1:29" ht="25.15" customHeight="1" x14ac:dyDescent="0.25">
      <c r="A358" s="88"/>
      <c r="B358"/>
      <c r="C358"/>
      <c r="D358"/>
      <c r="E358"/>
      <c r="F358"/>
      <c r="G358"/>
      <c r="H358" s="88"/>
      <c r="I358" s="88"/>
      <c r="J358" s="88"/>
      <c r="K358" s="88"/>
      <c r="L358" s="88"/>
      <c r="M358" s="88"/>
      <c r="N358" s="88"/>
      <c r="O358" s="88"/>
      <c r="P358" s="88"/>
      <c r="Q358" s="88"/>
      <c r="R358" s="88"/>
      <c r="S358" s="88"/>
      <c r="T358" s="88"/>
      <c r="U358" s="88"/>
      <c r="V358" s="88"/>
      <c r="W358" s="88"/>
      <c r="X358" s="88"/>
      <c r="Y358" s="88"/>
      <c r="Z358" s="88"/>
      <c r="AA358" s="88"/>
      <c r="AB358" s="88"/>
      <c r="AC358" s="88"/>
    </row>
    <row r="359" spans="1:29" ht="25.15" customHeight="1" x14ac:dyDescent="0.25">
      <c r="A359" s="88"/>
      <c r="B359"/>
      <c r="C359"/>
      <c r="D359"/>
      <c r="E359"/>
      <c r="F359"/>
      <c r="G359"/>
      <c r="H359" s="88"/>
      <c r="I359" s="88"/>
      <c r="J359" s="88"/>
      <c r="K359" s="88"/>
      <c r="L359" s="88"/>
      <c r="M359" s="88"/>
      <c r="N359" s="88"/>
      <c r="O359" s="88"/>
      <c r="P359" s="88"/>
      <c r="Q359" s="88"/>
      <c r="R359" s="88"/>
      <c r="S359" s="88"/>
      <c r="T359" s="88"/>
      <c r="U359" s="88"/>
      <c r="V359" s="88"/>
      <c r="W359" s="88"/>
      <c r="X359" s="88"/>
      <c r="Y359" s="88"/>
      <c r="Z359" s="88"/>
      <c r="AA359" s="88"/>
      <c r="AB359" s="88"/>
      <c r="AC359" s="88"/>
    </row>
    <row r="360" spans="1:29" ht="25.15" customHeight="1" x14ac:dyDescent="0.25">
      <c r="A360" s="88"/>
      <c r="B360"/>
      <c r="C360"/>
      <c r="D360"/>
      <c r="E360"/>
      <c r="F360"/>
      <c r="G360"/>
      <c r="H360" s="88"/>
      <c r="I360" s="88"/>
      <c r="J360" s="88"/>
      <c r="K360" s="88"/>
      <c r="L360" s="88"/>
      <c r="M360" s="88"/>
      <c r="N360" s="88"/>
      <c r="O360" s="88"/>
      <c r="P360" s="88"/>
      <c r="Q360" s="88"/>
      <c r="R360" s="88"/>
      <c r="S360" s="88"/>
      <c r="T360" s="88"/>
      <c r="U360" s="88"/>
      <c r="V360" s="88"/>
      <c r="W360" s="88"/>
      <c r="X360" s="88"/>
      <c r="Y360" s="88"/>
      <c r="Z360" s="88"/>
      <c r="AA360" s="88"/>
      <c r="AB360" s="88"/>
      <c r="AC360" s="88"/>
    </row>
    <row r="361" spans="1:29" ht="25.15" customHeight="1" x14ac:dyDescent="0.25">
      <c r="A361" s="88"/>
      <c r="B361"/>
      <c r="C361"/>
      <c r="D361"/>
      <c r="E361"/>
      <c r="F361"/>
      <c r="G361"/>
      <c r="H361" s="88"/>
      <c r="I361" s="88"/>
      <c r="J361" s="88"/>
      <c r="K361" s="88"/>
      <c r="L361" s="88"/>
      <c r="M361" s="88"/>
      <c r="N361" s="88"/>
      <c r="O361" s="88"/>
      <c r="P361" s="88"/>
      <c r="Q361" s="88"/>
      <c r="R361" s="88"/>
      <c r="S361" s="88"/>
      <c r="T361" s="88"/>
      <c r="U361" s="88"/>
      <c r="V361" s="88"/>
      <c r="W361" s="88"/>
      <c r="X361" s="88"/>
      <c r="Y361" s="88"/>
      <c r="Z361" s="88"/>
      <c r="AA361" s="88"/>
      <c r="AB361" s="88"/>
      <c r="AC361" s="88"/>
    </row>
    <row r="362" spans="1:29" ht="25.15" customHeight="1" x14ac:dyDescent="0.25">
      <c r="A362" s="88"/>
      <c r="B362"/>
      <c r="C362"/>
      <c r="D362"/>
      <c r="E362"/>
      <c r="F362"/>
      <c r="G362"/>
      <c r="H362" s="88"/>
      <c r="I362" s="88"/>
      <c r="J362" s="88"/>
      <c r="K362" s="88"/>
      <c r="L362" s="88"/>
      <c r="M362" s="88"/>
      <c r="N362" s="88"/>
      <c r="O362" s="88"/>
      <c r="P362" s="88"/>
      <c r="Q362" s="88"/>
      <c r="R362" s="88"/>
      <c r="S362" s="88"/>
      <c r="T362" s="88"/>
      <c r="U362" s="88"/>
      <c r="V362" s="88"/>
      <c r="W362" s="88"/>
      <c r="X362" s="88"/>
      <c r="Y362" s="88"/>
      <c r="Z362" s="88"/>
      <c r="AA362" s="88"/>
      <c r="AB362" s="88"/>
      <c r="AC362" s="88"/>
    </row>
    <row r="363" spans="1:29" ht="25.15" customHeight="1" x14ac:dyDescent="0.25">
      <c r="A363" s="88"/>
      <c r="B363"/>
      <c r="C363"/>
      <c r="D363"/>
      <c r="E363"/>
      <c r="F363"/>
      <c r="G363"/>
      <c r="H363" s="88"/>
      <c r="I363" s="88"/>
      <c r="J363" s="88"/>
      <c r="K363" s="88"/>
      <c r="L363" s="88"/>
      <c r="M363" s="88"/>
      <c r="N363" s="88"/>
      <c r="O363" s="88"/>
      <c r="P363" s="88"/>
      <c r="Q363" s="88"/>
      <c r="R363" s="88"/>
      <c r="S363" s="88"/>
      <c r="T363" s="88"/>
      <c r="U363" s="88"/>
      <c r="V363" s="88"/>
      <c r="W363" s="88"/>
      <c r="X363" s="88"/>
      <c r="Y363" s="88"/>
      <c r="Z363" s="88"/>
      <c r="AA363" s="88"/>
      <c r="AB363" s="88"/>
      <c r="AC363" s="88"/>
    </row>
    <row r="364" spans="1:29" ht="25.15" customHeight="1" x14ac:dyDescent="0.25">
      <c r="A364" s="88"/>
      <c r="B364"/>
      <c r="C364"/>
      <c r="D364"/>
      <c r="E364"/>
      <c r="F364"/>
      <c r="G364"/>
      <c r="H364" s="88"/>
      <c r="I364" s="88"/>
      <c r="J364" s="88"/>
      <c r="K364" s="88"/>
      <c r="L364" s="88"/>
      <c r="M364" s="88"/>
      <c r="N364" s="88"/>
      <c r="O364" s="88"/>
      <c r="P364" s="88"/>
      <c r="Q364" s="88"/>
      <c r="R364" s="88"/>
      <c r="S364" s="88"/>
      <c r="T364" s="88"/>
      <c r="U364" s="88"/>
      <c r="V364" s="88"/>
      <c r="W364" s="88"/>
      <c r="X364" s="88"/>
      <c r="Y364" s="88"/>
      <c r="Z364" s="88"/>
      <c r="AA364" s="88"/>
      <c r="AB364" s="88"/>
      <c r="AC364" s="88"/>
    </row>
    <row r="365" spans="1:29" ht="25.15" customHeight="1" x14ac:dyDescent="0.25">
      <c r="A365" s="88"/>
      <c r="B365"/>
      <c r="C365"/>
      <c r="D365"/>
      <c r="E365"/>
      <c r="F365"/>
      <c r="G365"/>
      <c r="H365" s="88"/>
      <c r="I365" s="123"/>
      <c r="J365" s="123"/>
      <c r="K365" s="123"/>
      <c r="L365" s="123"/>
      <c r="M365" s="123"/>
      <c r="N365" s="123"/>
      <c r="O365" s="123"/>
      <c r="P365" s="123"/>
      <c r="Q365" s="123"/>
      <c r="R365" s="123"/>
      <c r="S365" s="123"/>
      <c r="T365" s="123"/>
      <c r="U365" s="123"/>
      <c r="V365" s="123"/>
      <c r="W365" s="123"/>
      <c r="X365" s="123"/>
      <c r="Y365" s="123"/>
      <c r="Z365" s="123"/>
      <c r="AA365" s="123"/>
      <c r="AB365" s="123"/>
      <c r="AC365" s="123"/>
    </row>
    <row r="366" spans="1:29" x14ac:dyDescent="0.25">
      <c r="B366"/>
      <c r="C366"/>
      <c r="D366"/>
      <c r="E366"/>
      <c r="F366"/>
      <c r="G366"/>
    </row>
    <row r="367" spans="1:29" x14ac:dyDescent="0.25">
      <c r="B367"/>
      <c r="C367"/>
      <c r="D367"/>
      <c r="E367"/>
      <c r="F367"/>
      <c r="G367"/>
    </row>
    <row r="368" spans="1:29" x14ac:dyDescent="0.25">
      <c r="B368"/>
      <c r="C368"/>
      <c r="D368"/>
      <c r="E368"/>
      <c r="F368"/>
      <c r="G368"/>
    </row>
    <row r="369" spans="2:7" x14ac:dyDescent="0.25">
      <c r="B369"/>
      <c r="C369"/>
      <c r="D369"/>
      <c r="E369"/>
      <c r="F369"/>
      <c r="G369"/>
    </row>
    <row r="370" spans="2:7" x14ac:dyDescent="0.25">
      <c r="B370"/>
      <c r="C370"/>
      <c r="D370"/>
      <c r="E370"/>
      <c r="F370"/>
      <c r="G370"/>
    </row>
  </sheetData>
  <sheetProtection selectLockedCells="1"/>
  <mergeCells count="37">
    <mergeCell ref="Q2:R2"/>
    <mergeCell ref="V2:W2"/>
    <mergeCell ref="T2:U2"/>
    <mergeCell ref="C2:F2"/>
    <mergeCell ref="J5:J6"/>
    <mergeCell ref="J3:K3"/>
    <mergeCell ref="O2:P2"/>
    <mergeCell ref="M3:N3"/>
    <mergeCell ref="K6:L6"/>
    <mergeCell ref="K5:L5"/>
    <mergeCell ref="AB5:AB6"/>
    <mergeCell ref="AC5:AC6"/>
    <mergeCell ref="R5:V5"/>
    <mergeCell ref="W5:AA5"/>
    <mergeCell ref="M5:Q5"/>
    <mergeCell ref="K18:L18"/>
    <mergeCell ref="K10:L10"/>
    <mergeCell ref="K11:L11"/>
    <mergeCell ref="K12:L12"/>
    <mergeCell ref="K13:L13"/>
    <mergeCell ref="K14:L14"/>
    <mergeCell ref="K7:L7"/>
    <mergeCell ref="K8:L8"/>
    <mergeCell ref="K9:L9"/>
    <mergeCell ref="T27:U27"/>
    <mergeCell ref="T29:U29"/>
    <mergeCell ref="J29:K29"/>
    <mergeCell ref="J27:K27"/>
    <mergeCell ref="K15:L15"/>
    <mergeCell ref="K23:L23"/>
    <mergeCell ref="K24:L24"/>
    <mergeCell ref="K22:L22"/>
    <mergeCell ref="K19:L19"/>
    <mergeCell ref="K20:L20"/>
    <mergeCell ref="K21:L21"/>
    <mergeCell ref="K16:L16"/>
    <mergeCell ref="K17:L17"/>
  </mergeCells>
  <conditionalFormatting sqref="AB5">
    <cfRule type="cellIs" dxfId="13" priority="50" operator="equal">
      <formula>"check"</formula>
    </cfRule>
  </conditionalFormatting>
  <conditionalFormatting sqref="K6:K15 K17:K20 M6:AA6">
    <cfRule type="cellIs" dxfId="12" priority="53" operator="equal">
      <formula>"check"</formula>
    </cfRule>
  </conditionalFormatting>
  <conditionalFormatting sqref="K5 R5 W5 M5">
    <cfRule type="cellIs" dxfId="11" priority="61" operator="equal">
      <formula>"check"</formula>
    </cfRule>
  </conditionalFormatting>
  <conditionalFormatting sqref="K16 K21:K24">
    <cfRule type="cellIs" dxfId="10" priority="52" operator="equal">
      <formula>"check"</formula>
    </cfRule>
  </conditionalFormatting>
  <conditionalFormatting sqref="AC5">
    <cfRule type="cellIs" dxfId="9" priority="51" operator="equal">
      <formula>"check"</formula>
    </cfRule>
  </conditionalFormatting>
  <conditionalFormatting sqref="O33:O47">
    <cfRule type="cellIs" dxfId="8" priority="47" operator="equal">
      <formula>"check"</formula>
    </cfRule>
  </conditionalFormatting>
  <conditionalFormatting sqref="N33:N35">
    <cfRule type="cellIs" dxfId="7" priority="48" operator="equal">
      <formula>"check"</formula>
    </cfRule>
  </conditionalFormatting>
  <conditionalFormatting sqref="O32:S32">
    <cfRule type="cellIs" dxfId="6" priority="46" operator="equal">
      <formula>"check"</formula>
    </cfRule>
  </conditionalFormatting>
  <conditionalFormatting sqref="J5">
    <cfRule type="cellIs" dxfId="5" priority="45" operator="equal">
      <formula>"check"</formula>
    </cfRule>
  </conditionalFormatting>
  <conditionalFormatting sqref="AB7:AB22 R7:V12">
    <cfRule type="cellIs" dxfId="4" priority="3" operator="equal">
      <formula>"check"</formula>
    </cfRule>
  </conditionalFormatting>
  <conditionalFormatting sqref="AB23:AB24">
    <cfRule type="cellIs" dxfId="3" priority="11" operator="equal">
      <formula>"check"</formula>
    </cfRule>
  </conditionalFormatting>
  <conditionalFormatting sqref="X12:AA12">
    <cfRule type="cellIs" dxfId="2" priority="9" operator="equal">
      <formula>"check"</formula>
    </cfRule>
  </conditionalFormatting>
  <conditionalFormatting sqref="AC7:AC24">
    <cfRule type="iconSet" priority="12">
      <iconSet iconSet="3Symbols">
        <cfvo type="percent" val="0"/>
        <cfvo type="percent" val="33"/>
        <cfvo type="percent" val="67"/>
      </iconSet>
    </cfRule>
  </conditionalFormatting>
  <conditionalFormatting sqref="M7:Q24">
    <cfRule type="cellIs" dxfId="1" priority="2" operator="equal">
      <formula>"check"</formula>
    </cfRule>
  </conditionalFormatting>
  <conditionalFormatting sqref="R13:AA24">
    <cfRule type="cellIs" dxfId="0" priority="1" operator="equal">
      <formula>"check"</formula>
    </cfRule>
  </conditionalFormatting>
  <dataValidations count="2">
    <dataValidation type="list" allowBlank="1" showInputMessage="1" showErrorMessage="1" sqref="S3">
      <formula1>INDIRECT($Q$3)</formula1>
    </dataValidation>
    <dataValidation type="list" allowBlank="1" showInputMessage="1" showErrorMessage="1" sqref="U3">
      <formula1>INDIRECT(SUBSTITUTE($O$3&amp;$S$3," ",""))</formula1>
    </dataValidation>
  </dataValidations>
  <pageMargins left="0.7" right="0.7" top="0.75" bottom="0.75" header="0.3" footer="0.3"/>
  <pageSetup scale="23" orientation="portrait" r:id="rId1"/>
  <colBreaks count="1" manualBreakCount="1">
    <brk id="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Button2_Click" altText="Complete">
                <anchor moveWithCells="1" sizeWithCells="1">
                  <from>
                    <xdr:col>8</xdr:col>
                    <xdr:colOff>819150</xdr:colOff>
                    <xdr:row>1</xdr:row>
                    <xdr:rowOff>228600</xdr:rowOff>
                  </from>
                  <to>
                    <xdr:col>10</xdr:col>
                    <xdr:colOff>304800</xdr:colOff>
                    <xdr:row>1</xdr:row>
                    <xdr:rowOff>552450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showInputMessage="1" showErrorMessage="1">
          <x14:formula1>
            <xm:f>Data_donotedit!$F$2:$F$9</xm:f>
          </x14:formula1>
          <xm:sqref>L3</xm:sqref>
        </x14:dataValidation>
        <x14:dataValidation type="list" allowBlank="1" showInputMessage="1" showErrorMessage="1">
          <x14:formula1>
            <xm:f>Data_donotedit!$C$2:$C$5</xm:f>
          </x14:formula1>
          <xm:sqref>AA2:AB2 X3</xm:sqref>
        </x14:dataValidation>
        <x14:dataValidation type="list" allowBlank="1" showInputMessage="1" showErrorMessage="1">
          <x14:formula1>
            <xm:f>Data_donotedit!$A$2:$A$10</xm:f>
          </x14:formula1>
          <xm:sqref>O3</xm:sqref>
        </x14:dataValidation>
        <x14:dataValidation type="list" allowBlank="1" showInputMessage="1" showErrorMessage="1">
          <x14:formula1>
            <xm:f>Data_donotedit!$D$2:$D$20</xm:f>
          </x14:formula1>
          <xm:sqref>Q3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B1504"/>
  <sheetViews>
    <sheetView topLeftCell="D234" workbookViewId="0">
      <selection activeCell="AY239" sqref="AY239"/>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4" ht="30" x14ac:dyDescent="0.25">
      <c r="A1" t="s">
        <v>1448</v>
      </c>
      <c r="C1" t="s">
        <v>1445</v>
      </c>
      <c r="D1" t="s">
        <v>166</v>
      </c>
      <c r="E1" t="s">
        <v>1444</v>
      </c>
      <c r="F1" t="s">
        <v>1447</v>
      </c>
      <c r="I1" s="67" t="s">
        <v>1461</v>
      </c>
      <c r="J1" s="67" t="s">
        <v>1462</v>
      </c>
      <c r="K1" s="67" t="s">
        <v>1463</v>
      </c>
      <c r="L1" s="67" t="s">
        <v>1464</v>
      </c>
      <c r="M1" s="67" t="s">
        <v>1465</v>
      </c>
      <c r="N1" s="67" t="s">
        <v>1466</v>
      </c>
      <c r="O1" s="67" t="s">
        <v>1467</v>
      </c>
      <c r="P1" s="67" t="s">
        <v>1468</v>
      </c>
      <c r="Q1" s="67" t="s">
        <v>1469</v>
      </c>
      <c r="R1" s="67" t="s">
        <v>1470</v>
      </c>
      <c r="S1" s="67" t="s">
        <v>1471</v>
      </c>
      <c r="T1" s="67" t="s">
        <v>1472</v>
      </c>
      <c r="U1" s="67" t="s">
        <v>1473</v>
      </c>
      <c r="V1" s="67" t="s">
        <v>1474</v>
      </c>
      <c r="W1" s="67" t="s">
        <v>1475</v>
      </c>
      <c r="X1" s="67" t="s">
        <v>1476</v>
      </c>
      <c r="Y1" s="67" t="s">
        <v>1477</v>
      </c>
      <c r="Z1" s="67" t="s">
        <v>1478</v>
      </c>
      <c r="AA1" s="67" t="s">
        <v>1479</v>
      </c>
      <c r="AB1" s="67" t="s">
        <v>1480</v>
      </c>
      <c r="AC1" s="67" t="s">
        <v>1481</v>
      </c>
      <c r="AD1" s="67" t="s">
        <v>1482</v>
      </c>
      <c r="AE1" s="67" t="s">
        <v>1483</v>
      </c>
      <c r="AF1" s="67" t="s">
        <v>1484</v>
      </c>
      <c r="AG1" s="67" t="s">
        <v>1485</v>
      </c>
      <c r="AH1" s="67" t="s">
        <v>1486</v>
      </c>
      <c r="AI1" s="67" t="s">
        <v>1487</v>
      </c>
      <c r="AJ1" s="67" t="s">
        <v>1488</v>
      </c>
      <c r="AK1" s="67" t="s">
        <v>1489</v>
      </c>
      <c r="AL1" s="67" t="s">
        <v>1490</v>
      </c>
      <c r="AM1" s="67" t="s">
        <v>1491</v>
      </c>
      <c r="AN1" s="67" t="s">
        <v>1492</v>
      </c>
      <c r="AO1" s="67" t="s">
        <v>1493</v>
      </c>
      <c r="AP1" s="67" t="s">
        <v>1494</v>
      </c>
      <c r="AQ1" s="67" t="s">
        <v>1495</v>
      </c>
      <c r="AR1" s="67" t="s">
        <v>1496</v>
      </c>
      <c r="AS1" s="67" t="s">
        <v>1497</v>
      </c>
      <c r="AV1" s="2" t="s">
        <v>2124</v>
      </c>
      <c r="AW1" s="2" t="s">
        <v>166</v>
      </c>
      <c r="AX1" s="2" t="s">
        <v>165</v>
      </c>
      <c r="AY1" s="2" t="s">
        <v>1444</v>
      </c>
      <c r="AZ1" s="2" t="s">
        <v>2125</v>
      </c>
      <c r="BA1" s="2" t="s">
        <v>2126</v>
      </c>
    </row>
    <row r="2" spans="1:54" x14ac:dyDescent="0.25">
      <c r="A2" s="234" t="s">
        <v>1872</v>
      </c>
      <c r="C2" t="s">
        <v>1449</v>
      </c>
      <c r="D2" t="s">
        <v>1467</v>
      </c>
      <c r="F2" t="s">
        <v>1450</v>
      </c>
      <c r="I2" s="66" t="s">
        <v>1498</v>
      </c>
      <c r="J2" s="66" t="s">
        <v>1515</v>
      </c>
      <c r="K2" s="66" t="s">
        <v>1536</v>
      </c>
      <c r="L2" s="66" t="s">
        <v>1567</v>
      </c>
      <c r="M2" s="66" t="s">
        <v>1588</v>
      </c>
      <c r="N2" s="66" t="s">
        <v>1608</v>
      </c>
      <c r="O2" t="s">
        <v>1877</v>
      </c>
      <c r="P2" s="66" t="s">
        <v>1616</v>
      </c>
      <c r="Q2" s="66" t="s">
        <v>1643</v>
      </c>
      <c r="R2" t="s">
        <v>1900</v>
      </c>
      <c r="S2" t="s">
        <v>1907</v>
      </c>
      <c r="T2" s="66" t="s">
        <v>1661</v>
      </c>
      <c r="U2" t="s">
        <v>1920</v>
      </c>
      <c r="V2" s="66" t="s">
        <v>1926</v>
      </c>
      <c r="W2" s="66" t="s">
        <v>1942</v>
      </c>
      <c r="X2" s="66" t="s">
        <v>1948</v>
      </c>
      <c r="Y2" s="66" t="s">
        <v>1959</v>
      </c>
      <c r="Z2" s="66" t="s">
        <v>1679</v>
      </c>
      <c r="AA2" s="66" t="s">
        <v>1986</v>
      </c>
      <c r="AB2" s="66" t="s">
        <v>2007</v>
      </c>
      <c r="AC2" s="66" t="s">
        <v>2012</v>
      </c>
      <c r="AD2" s="66" t="s">
        <v>1706</v>
      </c>
      <c r="AE2" s="66" t="s">
        <v>2027</v>
      </c>
      <c r="AF2" s="66" t="s">
        <v>1727</v>
      </c>
      <c r="AG2" s="66" t="s">
        <v>2031</v>
      </c>
      <c r="AH2" s="66" t="s">
        <v>2041</v>
      </c>
      <c r="AI2" s="66" t="s">
        <v>1743</v>
      </c>
      <c r="AJ2" s="66" t="s">
        <v>2053</v>
      </c>
      <c r="AK2" s="66" t="s">
        <v>2062</v>
      </c>
      <c r="AL2" s="66" t="s">
        <v>2069</v>
      </c>
      <c r="AM2" s="66" t="s">
        <v>2078</v>
      </c>
      <c r="AN2" s="66" t="s">
        <v>2109</v>
      </c>
      <c r="AO2" s="66" t="s">
        <v>1768</v>
      </c>
      <c r="AP2" s="66" t="s">
        <v>1791</v>
      </c>
      <c r="AQ2" s="66" t="s">
        <v>1814</v>
      </c>
      <c r="AR2" s="66" t="s">
        <v>1830</v>
      </c>
      <c r="AS2" s="66" t="s">
        <v>1847</v>
      </c>
      <c r="AV2" t="s">
        <v>2127</v>
      </c>
      <c r="AW2" t="s">
        <v>1488</v>
      </c>
      <c r="AX2" t="s">
        <v>2053</v>
      </c>
      <c r="AY2" t="s">
        <v>2128</v>
      </c>
      <c r="AZ2" t="s">
        <v>2129</v>
      </c>
      <c r="BA2" t="s">
        <v>1872</v>
      </c>
      <c r="BB2" t="str">
        <f>SUBSTITUTE(SUBSTITUTE(BA2&amp;AX2," ",""),"-","")</f>
        <v>AHNIogAdoOdo</v>
      </c>
    </row>
    <row r="3" spans="1:54" x14ac:dyDescent="0.25">
      <c r="A3" s="234" t="s">
        <v>1873</v>
      </c>
      <c r="C3" t="s">
        <v>1446</v>
      </c>
      <c r="D3" t="s">
        <v>1470</v>
      </c>
      <c r="F3" t="s">
        <v>95</v>
      </c>
      <c r="I3" s="66" t="s">
        <v>1499</v>
      </c>
      <c r="J3" s="66" t="s">
        <v>1516</v>
      </c>
      <c r="K3" s="66" t="s">
        <v>1537</v>
      </c>
      <c r="L3" s="66" t="s">
        <v>1568</v>
      </c>
      <c r="M3" s="66" t="s">
        <v>1589</v>
      </c>
      <c r="N3" s="66" t="s">
        <v>1609</v>
      </c>
      <c r="O3" t="s">
        <v>1878</v>
      </c>
      <c r="P3" s="66" t="s">
        <v>1617</v>
      </c>
      <c r="Q3" s="66" t="s">
        <v>1644</v>
      </c>
      <c r="R3" t="s">
        <v>1901</v>
      </c>
      <c r="S3" t="s">
        <v>1908</v>
      </c>
      <c r="T3" s="66" t="s">
        <v>1662</v>
      </c>
      <c r="U3" t="s">
        <v>1921</v>
      </c>
      <c r="V3" s="66" t="s">
        <v>1927</v>
      </c>
      <c r="W3" s="66" t="s">
        <v>1943</v>
      </c>
      <c r="X3" s="66" t="s">
        <v>1949</v>
      </c>
      <c r="Y3" s="66" t="s">
        <v>1960</v>
      </c>
      <c r="Z3" s="66" t="s">
        <v>1680</v>
      </c>
      <c r="AA3" s="66" t="s">
        <v>1987</v>
      </c>
      <c r="AB3" s="66" t="s">
        <v>2008</v>
      </c>
      <c r="AC3" s="66" t="s">
        <v>2013</v>
      </c>
      <c r="AD3" s="66" t="s">
        <v>1707</v>
      </c>
      <c r="AE3" s="66" t="s">
        <v>2028</v>
      </c>
      <c r="AF3" s="66" t="s">
        <v>1728</v>
      </c>
      <c r="AG3" s="66" t="s">
        <v>2032</v>
      </c>
      <c r="AH3" s="66" t="s">
        <v>2042</v>
      </c>
      <c r="AI3" s="66" t="s">
        <v>1744</v>
      </c>
      <c r="AJ3" s="66" t="s">
        <v>2054</v>
      </c>
      <c r="AK3" s="66" t="s">
        <v>2063</v>
      </c>
      <c r="AL3" s="66" t="s">
        <v>2070</v>
      </c>
      <c r="AM3" s="66" t="s">
        <v>2079</v>
      </c>
      <c r="AN3" s="66" t="s">
        <v>2110</v>
      </c>
      <c r="AO3" s="66" t="s">
        <v>1769</v>
      </c>
      <c r="AP3" s="66" t="s">
        <v>1792</v>
      </c>
      <c r="AQ3" s="66" t="s">
        <v>1815</v>
      </c>
      <c r="AR3" s="66" t="s">
        <v>1831</v>
      </c>
      <c r="AS3" s="66" t="s">
        <v>1848</v>
      </c>
      <c r="AV3" t="s">
        <v>2127</v>
      </c>
      <c r="AW3" t="s">
        <v>1488</v>
      </c>
      <c r="AX3" t="s">
        <v>2053</v>
      </c>
      <c r="AY3" t="s">
        <v>2128</v>
      </c>
      <c r="AZ3" t="s">
        <v>2130</v>
      </c>
      <c r="BA3" t="s">
        <v>1872</v>
      </c>
      <c r="BB3" t="str">
        <f t="shared" ref="BB3:BB66" si="0">SUBSTITUTE(SUBSTITUTE(BA3&amp;AX3," ",""),"-","")</f>
        <v>AHNIogAdoOdo</v>
      </c>
    </row>
    <row r="4" spans="1:54" x14ac:dyDescent="0.25">
      <c r="A4" s="234" t="s">
        <v>1451</v>
      </c>
      <c r="C4" t="s">
        <v>1452</v>
      </c>
      <c r="D4" t="s">
        <v>1471</v>
      </c>
      <c r="F4" t="s">
        <v>92</v>
      </c>
      <c r="I4" s="66" t="s">
        <v>1500</v>
      </c>
      <c r="J4" s="66" t="s">
        <v>1517</v>
      </c>
      <c r="K4" s="66" t="s">
        <v>1538</v>
      </c>
      <c r="L4" s="66" t="s">
        <v>1569</v>
      </c>
      <c r="M4" s="66" t="s">
        <v>1590</v>
      </c>
      <c r="N4" s="66" t="s">
        <v>1610</v>
      </c>
      <c r="O4" t="s">
        <v>1879</v>
      </c>
      <c r="P4" s="66" t="s">
        <v>1618</v>
      </c>
      <c r="Q4" s="66" t="s">
        <v>1645</v>
      </c>
      <c r="R4" t="s">
        <v>1902</v>
      </c>
      <c r="S4" t="s">
        <v>1909</v>
      </c>
      <c r="T4" s="66" t="s">
        <v>1663</v>
      </c>
      <c r="U4" t="s">
        <v>1922</v>
      </c>
      <c r="V4" s="66" t="s">
        <v>1928</v>
      </c>
      <c r="W4" s="66" t="s">
        <v>1944</v>
      </c>
      <c r="X4" s="66" t="s">
        <v>1950</v>
      </c>
      <c r="Y4" s="66" t="s">
        <v>1961</v>
      </c>
      <c r="Z4" s="66" t="s">
        <v>1681</v>
      </c>
      <c r="AA4" s="66" t="s">
        <v>1988</v>
      </c>
      <c r="AB4" s="66" t="s">
        <v>2009</v>
      </c>
      <c r="AC4" s="66" t="s">
        <v>2014</v>
      </c>
      <c r="AD4" s="66" t="s">
        <v>1708</v>
      </c>
      <c r="AE4" s="66" t="s">
        <v>2029</v>
      </c>
      <c r="AF4" s="66" t="s">
        <v>1729</v>
      </c>
      <c r="AG4" s="66" t="s">
        <v>2033</v>
      </c>
      <c r="AH4" s="66" t="s">
        <v>2043</v>
      </c>
      <c r="AI4" s="66" t="s">
        <v>1745</v>
      </c>
      <c r="AJ4" s="66" t="s">
        <v>2055</v>
      </c>
      <c r="AK4" s="66" t="s">
        <v>2064</v>
      </c>
      <c r="AL4" s="66" t="s">
        <v>2071</v>
      </c>
      <c r="AM4" s="66" t="s">
        <v>2080</v>
      </c>
      <c r="AN4" s="66" t="s">
        <v>2111</v>
      </c>
      <c r="AO4" s="66" t="s">
        <v>1770</v>
      </c>
      <c r="AP4" s="66" t="s">
        <v>1793</v>
      </c>
      <c r="AQ4" s="66" t="s">
        <v>1816</v>
      </c>
      <c r="AR4" s="66" t="s">
        <v>1832</v>
      </c>
      <c r="AS4" s="66" t="s">
        <v>1849</v>
      </c>
      <c r="AV4" t="s">
        <v>2127</v>
      </c>
      <c r="AW4" t="s">
        <v>1488</v>
      </c>
      <c r="AX4" t="s">
        <v>2053</v>
      </c>
      <c r="AY4" t="s">
        <v>2128</v>
      </c>
      <c r="AZ4" t="s">
        <v>2131</v>
      </c>
      <c r="BA4" t="s">
        <v>1872</v>
      </c>
      <c r="BB4" t="str">
        <f t="shared" si="0"/>
        <v>AHNIogAdoOdo</v>
      </c>
    </row>
    <row r="5" spans="1:54" x14ac:dyDescent="0.25">
      <c r="A5" s="234" t="s">
        <v>1443</v>
      </c>
      <c r="C5" t="s">
        <v>1454</v>
      </c>
      <c r="D5" t="s">
        <v>1473</v>
      </c>
      <c r="F5" t="s">
        <v>106</v>
      </c>
      <c r="I5" s="66" t="s">
        <v>1501</v>
      </c>
      <c r="J5" s="66" t="s">
        <v>1518</v>
      </c>
      <c r="K5" s="66" t="s">
        <v>1539</v>
      </c>
      <c r="L5" s="66" t="s">
        <v>1570</v>
      </c>
      <c r="M5" s="66" t="s">
        <v>1591</v>
      </c>
      <c r="N5" s="66" t="s">
        <v>1611</v>
      </c>
      <c r="O5" t="s">
        <v>1880</v>
      </c>
      <c r="P5" s="66" t="s">
        <v>1619</v>
      </c>
      <c r="Q5" s="66" t="s">
        <v>1646</v>
      </c>
      <c r="R5" t="s">
        <v>1903</v>
      </c>
      <c r="S5" t="s">
        <v>1910</v>
      </c>
      <c r="T5" s="66" t="s">
        <v>1664</v>
      </c>
      <c r="U5" t="s">
        <v>1923</v>
      </c>
      <c r="V5" s="66" t="s">
        <v>1929</v>
      </c>
      <c r="W5" s="66" t="s">
        <v>1945</v>
      </c>
      <c r="X5" s="66" t="s">
        <v>1951</v>
      </c>
      <c r="Y5" s="66" t="s">
        <v>1962</v>
      </c>
      <c r="Z5" s="66" t="s">
        <v>1682</v>
      </c>
      <c r="AA5" s="66" t="s">
        <v>1989</v>
      </c>
      <c r="AB5" s="66" t="s">
        <v>2010</v>
      </c>
      <c r="AD5" s="66" t="s">
        <v>1709</v>
      </c>
      <c r="AE5" s="66" t="s">
        <v>2030</v>
      </c>
      <c r="AF5" s="66" t="s">
        <v>1730</v>
      </c>
      <c r="AG5" s="66" t="s">
        <v>2034</v>
      </c>
      <c r="AH5" s="66" t="s">
        <v>2044</v>
      </c>
      <c r="AI5" s="66" t="s">
        <v>1746</v>
      </c>
      <c r="AJ5" s="66" t="s">
        <v>2056</v>
      </c>
      <c r="AK5" s="66" t="s">
        <v>2065</v>
      </c>
      <c r="AL5" s="66" t="s">
        <v>2072</v>
      </c>
      <c r="AM5" s="66" t="s">
        <v>2081</v>
      </c>
      <c r="AN5" s="66" t="s">
        <v>2112</v>
      </c>
      <c r="AO5" s="66" t="s">
        <v>1771</v>
      </c>
      <c r="AP5" s="66" t="s">
        <v>1794</v>
      </c>
      <c r="AQ5" s="66" t="s">
        <v>1817</v>
      </c>
      <c r="AR5" s="66" t="s">
        <v>1833</v>
      </c>
      <c r="AS5" s="66" t="s">
        <v>1850</v>
      </c>
      <c r="AV5" t="s">
        <v>2127</v>
      </c>
      <c r="AW5" t="s">
        <v>1488</v>
      </c>
      <c r="AX5" t="s">
        <v>2054</v>
      </c>
      <c r="AY5" t="s">
        <v>2132</v>
      </c>
      <c r="AZ5" t="s">
        <v>2133</v>
      </c>
      <c r="BA5" t="s">
        <v>1872</v>
      </c>
      <c r="BB5" t="str">
        <f t="shared" si="0"/>
        <v>AHNIogIpokia</v>
      </c>
    </row>
    <row r="6" spans="1:54" x14ac:dyDescent="0.25">
      <c r="A6" s="234" t="s">
        <v>1874</v>
      </c>
      <c r="D6" t="s">
        <v>1474</v>
      </c>
      <c r="F6" t="s">
        <v>104</v>
      </c>
      <c r="I6" s="66" t="s">
        <v>1502</v>
      </c>
      <c r="J6" s="66" t="s">
        <v>1519</v>
      </c>
      <c r="K6" s="66" t="s">
        <v>1540</v>
      </c>
      <c r="L6" s="66" t="s">
        <v>1571</v>
      </c>
      <c r="M6" s="66" t="s">
        <v>1592</v>
      </c>
      <c r="N6" s="66" t="s">
        <v>1612</v>
      </c>
      <c r="O6" t="s">
        <v>1881</v>
      </c>
      <c r="P6" s="66" t="s">
        <v>1620</v>
      </c>
      <c r="Q6" s="66" t="s">
        <v>1647</v>
      </c>
      <c r="R6" t="s">
        <v>1904</v>
      </c>
      <c r="S6" t="s">
        <v>1911</v>
      </c>
      <c r="T6" s="66" t="s">
        <v>1665</v>
      </c>
      <c r="U6" t="s">
        <v>1924</v>
      </c>
      <c r="V6" s="66" t="s">
        <v>1930</v>
      </c>
      <c r="W6" s="66" t="s">
        <v>1946</v>
      </c>
      <c r="X6" s="66" t="s">
        <v>1952</v>
      </c>
      <c r="Y6" s="66" t="s">
        <v>1963</v>
      </c>
      <c r="Z6" s="66" t="s">
        <v>1683</v>
      </c>
      <c r="AA6" s="66" t="s">
        <v>1990</v>
      </c>
      <c r="AB6" s="66" t="s">
        <v>2011</v>
      </c>
      <c r="AD6" s="66" t="s">
        <v>1710</v>
      </c>
      <c r="AE6" s="66" t="s">
        <v>2019</v>
      </c>
      <c r="AF6" s="66" t="s">
        <v>1731</v>
      </c>
      <c r="AG6" s="66" t="s">
        <v>2035</v>
      </c>
      <c r="AH6" s="66" t="s">
        <v>2045</v>
      </c>
      <c r="AI6" s="66" t="s">
        <v>1747</v>
      </c>
      <c r="AJ6" s="66" t="s">
        <v>2057</v>
      </c>
      <c r="AK6" s="66" t="s">
        <v>2066</v>
      </c>
      <c r="AL6" s="66" t="s">
        <v>2073</v>
      </c>
      <c r="AM6" s="66" t="s">
        <v>2082</v>
      </c>
      <c r="AN6" s="66" t="s">
        <v>2113</v>
      </c>
      <c r="AO6" s="66" t="s">
        <v>1772</v>
      </c>
      <c r="AP6" s="66" t="s">
        <v>1795</v>
      </c>
      <c r="AQ6" s="66" t="s">
        <v>1818</v>
      </c>
      <c r="AR6" s="66" t="s">
        <v>1834</v>
      </c>
      <c r="AS6" s="66" t="s">
        <v>1851</v>
      </c>
      <c r="AV6" t="s">
        <v>2127</v>
      </c>
      <c r="AW6" t="s">
        <v>1488</v>
      </c>
      <c r="AX6" t="s">
        <v>2054</v>
      </c>
      <c r="AY6" t="s">
        <v>2134</v>
      </c>
      <c r="AZ6" t="s">
        <v>2135</v>
      </c>
      <c r="BA6" t="s">
        <v>1872</v>
      </c>
      <c r="BB6" t="str">
        <f t="shared" si="0"/>
        <v>AHNIogIpokia</v>
      </c>
    </row>
    <row r="7" spans="1:54" x14ac:dyDescent="0.25">
      <c r="A7" s="234" t="s">
        <v>1453</v>
      </c>
      <c r="D7" t="s">
        <v>1475</v>
      </c>
      <c r="F7" t="s">
        <v>1455</v>
      </c>
      <c r="I7" s="66" t="s">
        <v>1503</v>
      </c>
      <c r="J7" s="66" t="s">
        <v>1520</v>
      </c>
      <c r="K7" s="66" t="s">
        <v>1541</v>
      </c>
      <c r="L7" s="66" t="s">
        <v>1572</v>
      </c>
      <c r="M7" s="66" t="s">
        <v>1593</v>
      </c>
      <c r="N7" s="66" t="s">
        <v>1613</v>
      </c>
      <c r="O7" t="s">
        <v>1882</v>
      </c>
      <c r="P7" s="66" t="s">
        <v>1621</v>
      </c>
      <c r="Q7" s="66" t="s">
        <v>1648</v>
      </c>
      <c r="R7" t="s">
        <v>1905</v>
      </c>
      <c r="S7" t="s">
        <v>1912</v>
      </c>
      <c r="T7" s="66" t="s">
        <v>1666</v>
      </c>
      <c r="U7" t="s">
        <v>1925</v>
      </c>
      <c r="V7" s="66" t="s">
        <v>1931</v>
      </c>
      <c r="W7" s="66" t="s">
        <v>1947</v>
      </c>
      <c r="X7" s="66" t="s">
        <v>1953</v>
      </c>
      <c r="Y7" s="66" t="s">
        <v>1964</v>
      </c>
      <c r="Z7" s="66" t="s">
        <v>1684</v>
      </c>
      <c r="AA7" s="66" t="s">
        <v>1991</v>
      </c>
      <c r="AD7" s="66" t="s">
        <v>1711</v>
      </c>
      <c r="AE7" s="66" t="s">
        <v>2020</v>
      </c>
      <c r="AF7" s="66" t="s">
        <v>1732</v>
      </c>
      <c r="AG7" s="66" t="s">
        <v>2036</v>
      </c>
      <c r="AH7" s="66" t="s">
        <v>2046</v>
      </c>
      <c r="AI7" s="66" t="s">
        <v>1748</v>
      </c>
      <c r="AJ7" s="66" t="s">
        <v>2058</v>
      </c>
      <c r="AK7" s="66" t="s">
        <v>2067</v>
      </c>
      <c r="AL7" s="66" t="s">
        <v>2074</v>
      </c>
      <c r="AM7" s="66" t="s">
        <v>2083</v>
      </c>
      <c r="AN7" s="66" t="s">
        <v>2114</v>
      </c>
      <c r="AO7" s="66" t="s">
        <v>1773</v>
      </c>
      <c r="AP7" s="66" t="s">
        <v>1796</v>
      </c>
      <c r="AQ7" s="66" t="s">
        <v>1819</v>
      </c>
      <c r="AR7" s="66" t="s">
        <v>1835</v>
      </c>
      <c r="AS7" s="66" t="s">
        <v>1852</v>
      </c>
      <c r="AV7" t="s">
        <v>2127</v>
      </c>
      <c r="AW7" t="s">
        <v>1488</v>
      </c>
      <c r="AX7" t="s">
        <v>2055</v>
      </c>
      <c r="AY7" t="s">
        <v>2136</v>
      </c>
      <c r="AZ7" t="s">
        <v>2137</v>
      </c>
      <c r="BA7" t="s">
        <v>1872</v>
      </c>
      <c r="BB7" t="str">
        <f t="shared" si="0"/>
        <v>AHNIogYewaNorth</v>
      </c>
    </row>
    <row r="8" spans="1:54" x14ac:dyDescent="0.25">
      <c r="A8" s="234" t="s">
        <v>1875</v>
      </c>
      <c r="D8" t="s">
        <v>1476</v>
      </c>
      <c r="F8" t="s">
        <v>105</v>
      </c>
      <c r="I8" s="66" t="s">
        <v>1504</v>
      </c>
      <c r="J8" s="66" t="s">
        <v>1521</v>
      </c>
      <c r="K8" s="66" t="s">
        <v>1542</v>
      </c>
      <c r="L8" s="66" t="s">
        <v>1573</v>
      </c>
      <c r="M8" s="66" t="s">
        <v>1594</v>
      </c>
      <c r="N8" s="66" t="s">
        <v>1614</v>
      </c>
      <c r="O8" t="s">
        <v>1883</v>
      </c>
      <c r="P8" s="66" t="s">
        <v>1622</v>
      </c>
      <c r="Q8" s="66" t="s">
        <v>1649</v>
      </c>
      <c r="R8" t="s">
        <v>1906</v>
      </c>
      <c r="S8" t="s">
        <v>1913</v>
      </c>
      <c r="T8" s="66" t="s">
        <v>1667</v>
      </c>
      <c r="V8" s="66" t="s">
        <v>1932</v>
      </c>
      <c r="X8" s="66" t="s">
        <v>1954</v>
      </c>
      <c r="Y8" s="66" t="s">
        <v>1965</v>
      </c>
      <c r="Z8" s="66" t="s">
        <v>1685</v>
      </c>
      <c r="AA8" s="66" t="s">
        <v>1992</v>
      </c>
      <c r="AD8" s="66" t="s">
        <v>1712</v>
      </c>
      <c r="AE8" s="66" t="s">
        <v>2021</v>
      </c>
      <c r="AF8" s="66" t="s">
        <v>1733</v>
      </c>
      <c r="AG8" s="66" t="s">
        <v>2037</v>
      </c>
      <c r="AH8" s="66" t="s">
        <v>2047</v>
      </c>
      <c r="AI8" s="66" t="s">
        <v>1749</v>
      </c>
      <c r="AJ8" s="66" t="s">
        <v>2059</v>
      </c>
      <c r="AK8" s="66" t="s">
        <v>2068</v>
      </c>
      <c r="AL8" s="66" t="s">
        <v>2075</v>
      </c>
      <c r="AM8" s="66" t="s">
        <v>2084</v>
      </c>
      <c r="AN8" s="66" t="s">
        <v>2115</v>
      </c>
      <c r="AO8" s="66" t="s">
        <v>1774</v>
      </c>
      <c r="AP8" s="66" t="s">
        <v>1797</v>
      </c>
      <c r="AQ8" s="66" t="s">
        <v>1820</v>
      </c>
      <c r="AR8" s="66" t="s">
        <v>1836</v>
      </c>
      <c r="AS8" s="66" t="s">
        <v>1853</v>
      </c>
      <c r="AV8" t="s">
        <v>2127</v>
      </c>
      <c r="AW8" t="s">
        <v>1488</v>
      </c>
      <c r="AX8" t="s">
        <v>2055</v>
      </c>
      <c r="AY8" t="s">
        <v>2138</v>
      </c>
      <c r="AZ8" t="s">
        <v>2139</v>
      </c>
      <c r="BA8" t="s">
        <v>1872</v>
      </c>
      <c r="BB8" t="str">
        <f t="shared" si="0"/>
        <v>AHNIogYewaNorth</v>
      </c>
    </row>
    <row r="9" spans="1:54" x14ac:dyDescent="0.25">
      <c r="A9" s="234" t="s">
        <v>1456</v>
      </c>
      <c r="D9" t="s">
        <v>1477</v>
      </c>
      <c r="F9" t="s">
        <v>107</v>
      </c>
      <c r="I9" s="66" t="s">
        <v>1505</v>
      </c>
      <c r="J9" s="66" t="s">
        <v>1522</v>
      </c>
      <c r="K9" s="66" t="s">
        <v>1543</v>
      </c>
      <c r="L9" s="66" t="s">
        <v>1574</v>
      </c>
      <c r="M9" s="66" t="s">
        <v>1595</v>
      </c>
      <c r="N9" s="66" t="s">
        <v>1615</v>
      </c>
      <c r="O9" t="s">
        <v>1884</v>
      </c>
      <c r="P9" s="66" t="s">
        <v>1623</v>
      </c>
      <c r="Q9" s="66" t="s">
        <v>1650</v>
      </c>
      <c r="S9" t="s">
        <v>1914</v>
      </c>
      <c r="T9" s="66" t="s">
        <v>1668</v>
      </c>
      <c r="V9" s="66" t="s">
        <v>1933</v>
      </c>
      <c r="X9" s="66" t="s">
        <v>1955</v>
      </c>
      <c r="Y9" s="66" t="s">
        <v>1966</v>
      </c>
      <c r="Z9" s="66" t="s">
        <v>1686</v>
      </c>
      <c r="AA9" s="66" t="s">
        <v>1993</v>
      </c>
      <c r="AD9" s="66" t="s">
        <v>1713</v>
      </c>
      <c r="AE9" s="66" t="s">
        <v>2022</v>
      </c>
      <c r="AF9" s="66" t="s">
        <v>1734</v>
      </c>
      <c r="AG9" s="66" t="s">
        <v>2038</v>
      </c>
      <c r="AH9" s="66" t="s">
        <v>2048</v>
      </c>
      <c r="AI9" s="66" t="s">
        <v>1750</v>
      </c>
      <c r="AJ9" s="66" t="s">
        <v>2060</v>
      </c>
      <c r="AK9" s="66"/>
      <c r="AL9" s="66" t="s">
        <v>2076</v>
      </c>
      <c r="AM9" s="66" t="s">
        <v>2085</v>
      </c>
      <c r="AN9" s="66" t="s">
        <v>2116</v>
      </c>
      <c r="AO9" s="66" t="s">
        <v>1775</v>
      </c>
      <c r="AP9" s="66" t="s">
        <v>1798</v>
      </c>
      <c r="AQ9" s="66" t="s">
        <v>1821</v>
      </c>
      <c r="AR9" s="66" t="s">
        <v>1837</v>
      </c>
      <c r="AS9" s="66" t="s">
        <v>1854</v>
      </c>
      <c r="AV9" t="s">
        <v>2127</v>
      </c>
      <c r="AW9" t="s">
        <v>1488</v>
      </c>
      <c r="AX9" t="s">
        <v>2056</v>
      </c>
      <c r="AY9" t="s">
        <v>2140</v>
      </c>
      <c r="AZ9" t="s">
        <v>2141</v>
      </c>
      <c r="BA9" t="s">
        <v>1872</v>
      </c>
      <c r="BB9" t="str">
        <f t="shared" si="0"/>
        <v>AHNIogYewaSouth</v>
      </c>
    </row>
    <row r="10" spans="1:54" x14ac:dyDescent="0.25">
      <c r="A10" s="234" t="s">
        <v>1876</v>
      </c>
      <c r="D10" t="s">
        <v>1479</v>
      </c>
      <c r="I10" s="66" t="s">
        <v>1506</v>
      </c>
      <c r="J10" s="66" t="s">
        <v>1523</v>
      </c>
      <c r="K10" s="66" t="s">
        <v>1544</v>
      </c>
      <c r="L10" s="66" t="s">
        <v>1575</v>
      </c>
      <c r="M10" s="66" t="s">
        <v>1596</v>
      </c>
      <c r="O10" t="s">
        <v>1885</v>
      </c>
      <c r="P10" s="66" t="s">
        <v>1624</v>
      </c>
      <c r="Q10" s="66" t="s">
        <v>1651</v>
      </c>
      <c r="S10" t="s">
        <v>1915</v>
      </c>
      <c r="T10" s="66" t="s">
        <v>1669</v>
      </c>
      <c r="V10" s="66" t="s">
        <v>1934</v>
      </c>
      <c r="X10" s="66" t="s">
        <v>1956</v>
      </c>
      <c r="Y10" s="66" t="s">
        <v>1967</v>
      </c>
      <c r="Z10" s="66" t="s">
        <v>1687</v>
      </c>
      <c r="AA10" s="66" t="s">
        <v>1994</v>
      </c>
      <c r="AD10" s="66" t="s">
        <v>1714</v>
      </c>
      <c r="AE10" s="66" t="s">
        <v>2023</v>
      </c>
      <c r="AF10" s="66" t="s">
        <v>1735</v>
      </c>
      <c r="AG10" s="66" t="s">
        <v>2039</v>
      </c>
      <c r="AH10" s="66" t="s">
        <v>2049</v>
      </c>
      <c r="AI10" s="66" t="s">
        <v>1751</v>
      </c>
      <c r="AJ10" s="66" t="s">
        <v>2061</v>
      </c>
      <c r="AK10" s="66"/>
      <c r="AL10" s="66" t="s">
        <v>2077</v>
      </c>
      <c r="AM10" s="66" t="s">
        <v>2086</v>
      </c>
      <c r="AN10" s="66" t="s">
        <v>2117</v>
      </c>
      <c r="AO10" s="66" t="s">
        <v>1776</v>
      </c>
      <c r="AP10" s="66" t="s">
        <v>1799</v>
      </c>
      <c r="AQ10" s="66" t="s">
        <v>1822</v>
      </c>
      <c r="AR10" s="66" t="s">
        <v>1838</v>
      </c>
      <c r="AS10" s="66" t="s">
        <v>1855</v>
      </c>
      <c r="AV10" t="s">
        <v>2127</v>
      </c>
      <c r="AW10" t="s">
        <v>1488</v>
      </c>
      <c r="AX10" t="s">
        <v>2056</v>
      </c>
      <c r="AY10" t="s">
        <v>2142</v>
      </c>
      <c r="AZ10" t="s">
        <v>2143</v>
      </c>
      <c r="BA10" t="s">
        <v>1872</v>
      </c>
      <c r="BB10" t="str">
        <f t="shared" si="0"/>
        <v>AHNIogYewaSouth</v>
      </c>
    </row>
    <row r="11" spans="1:54" x14ac:dyDescent="0.25">
      <c r="D11" t="s">
        <v>1480</v>
      </c>
      <c r="I11" s="66" t="s">
        <v>1507</v>
      </c>
      <c r="J11" s="66" t="s">
        <v>1524</v>
      </c>
      <c r="K11" s="66" t="s">
        <v>1545</v>
      </c>
      <c r="L11" s="66" t="s">
        <v>1576</v>
      </c>
      <c r="M11" s="66" t="s">
        <v>1597</v>
      </c>
      <c r="O11" t="s">
        <v>1886</v>
      </c>
      <c r="P11" s="66" t="s">
        <v>1625</v>
      </c>
      <c r="Q11" s="66" t="s">
        <v>1652</v>
      </c>
      <c r="S11" t="s">
        <v>1916</v>
      </c>
      <c r="T11" s="66" t="s">
        <v>1670</v>
      </c>
      <c r="V11" s="66" t="s">
        <v>1935</v>
      </c>
      <c r="X11" s="66" t="s">
        <v>1957</v>
      </c>
      <c r="Y11" s="66" t="s">
        <v>1968</v>
      </c>
      <c r="Z11" s="66" t="s">
        <v>1688</v>
      </c>
      <c r="AA11" s="66" t="s">
        <v>1995</v>
      </c>
      <c r="AD11" s="66" t="s">
        <v>1715</v>
      </c>
      <c r="AE11" s="66" t="s">
        <v>2024</v>
      </c>
      <c r="AF11" s="66" t="s">
        <v>1736</v>
      </c>
      <c r="AG11" s="66" t="s">
        <v>2040</v>
      </c>
      <c r="AH11" s="66" t="s">
        <v>2050</v>
      </c>
      <c r="AI11" s="66" t="s">
        <v>1752</v>
      </c>
      <c r="AK11" s="66"/>
      <c r="AL11" s="66"/>
      <c r="AM11" s="66" t="s">
        <v>2087</v>
      </c>
      <c r="AN11" s="66" t="s">
        <v>2118</v>
      </c>
      <c r="AO11" s="66" t="s">
        <v>1777</v>
      </c>
      <c r="AP11" s="66" t="s">
        <v>1800</v>
      </c>
      <c r="AQ11" s="66" t="s">
        <v>1823</v>
      </c>
      <c r="AR11" s="66" t="s">
        <v>1839</v>
      </c>
      <c r="AS11" s="66" t="s">
        <v>1856</v>
      </c>
      <c r="AV11" t="s">
        <v>2127</v>
      </c>
      <c r="AW11" t="s">
        <v>1491</v>
      </c>
      <c r="AX11" t="s">
        <v>2078</v>
      </c>
      <c r="AY11" t="s">
        <v>2144</v>
      </c>
      <c r="AZ11" t="s">
        <v>2145</v>
      </c>
      <c r="BA11" t="s">
        <v>1872</v>
      </c>
      <c r="BB11" t="str">
        <f t="shared" si="0"/>
        <v>AHNIoyAtisbo</v>
      </c>
    </row>
    <row r="12" spans="1:54" x14ac:dyDescent="0.25">
      <c r="D12" t="s">
        <v>1481</v>
      </c>
      <c r="I12" s="66" t="s">
        <v>1508</v>
      </c>
      <c r="J12" s="66" t="s">
        <v>1525</v>
      </c>
      <c r="K12" s="66" t="s">
        <v>1546</v>
      </c>
      <c r="L12" s="66" t="s">
        <v>1577</v>
      </c>
      <c r="M12" s="66" t="s">
        <v>1598</v>
      </c>
      <c r="O12" t="s">
        <v>1887</v>
      </c>
      <c r="P12" s="66" t="s">
        <v>1626</v>
      </c>
      <c r="Q12" s="66" t="s">
        <v>1653</v>
      </c>
      <c r="S12" t="s">
        <v>1917</v>
      </c>
      <c r="T12" s="66" t="s">
        <v>1671</v>
      </c>
      <c r="V12" s="66" t="s">
        <v>1936</v>
      </c>
      <c r="X12" s="66" t="s">
        <v>1958</v>
      </c>
      <c r="Y12" s="66" t="s">
        <v>1969</v>
      </c>
      <c r="Z12" s="66" t="s">
        <v>1689</v>
      </c>
      <c r="AA12" s="66" t="s">
        <v>1996</v>
      </c>
      <c r="AD12" s="66" t="s">
        <v>1716</v>
      </c>
      <c r="AE12" s="66" t="s">
        <v>2025</v>
      </c>
      <c r="AF12" s="66" t="s">
        <v>1737</v>
      </c>
      <c r="AH12" s="66" t="s">
        <v>2051</v>
      </c>
      <c r="AI12" s="66" t="s">
        <v>1753</v>
      </c>
      <c r="AK12" s="66"/>
      <c r="AL12" s="66"/>
      <c r="AM12" s="66" t="s">
        <v>2088</v>
      </c>
      <c r="AN12" s="66" t="s">
        <v>2119</v>
      </c>
      <c r="AO12" s="66" t="s">
        <v>1778</v>
      </c>
      <c r="AP12" s="66" t="s">
        <v>1801</v>
      </c>
      <c r="AQ12" s="66" t="s">
        <v>1824</v>
      </c>
      <c r="AR12" s="66" t="s">
        <v>1840</v>
      </c>
      <c r="AS12" s="66" t="s">
        <v>1857</v>
      </c>
      <c r="AV12" t="s">
        <v>2127</v>
      </c>
      <c r="AW12" t="s">
        <v>1491</v>
      </c>
      <c r="AX12" t="s">
        <v>2078</v>
      </c>
      <c r="AY12" t="s">
        <v>2146</v>
      </c>
      <c r="AZ12" t="s">
        <v>2147</v>
      </c>
      <c r="BA12" t="s">
        <v>1872</v>
      </c>
      <c r="BB12" t="str">
        <f t="shared" si="0"/>
        <v>AHNIoyAtisbo</v>
      </c>
    </row>
    <row r="13" spans="1:54" x14ac:dyDescent="0.25">
      <c r="D13" t="s">
        <v>1483</v>
      </c>
      <c r="I13" s="66" t="s">
        <v>1509</v>
      </c>
      <c r="J13" s="66" t="s">
        <v>1526</v>
      </c>
      <c r="K13" s="66" t="s">
        <v>1547</v>
      </c>
      <c r="L13" s="66" t="s">
        <v>1578</v>
      </c>
      <c r="M13" s="66" t="s">
        <v>1599</v>
      </c>
      <c r="O13" t="s">
        <v>1888</v>
      </c>
      <c r="P13" s="66" t="s">
        <v>1627</v>
      </c>
      <c r="Q13" s="66" t="s">
        <v>1654</v>
      </c>
      <c r="S13" t="s">
        <v>1918</v>
      </c>
      <c r="T13" s="66" t="s">
        <v>1672</v>
      </c>
      <c r="V13" s="66" t="s">
        <v>1937</v>
      </c>
      <c r="Y13" s="66" t="s">
        <v>1970</v>
      </c>
      <c r="Z13" s="66" t="s">
        <v>1690</v>
      </c>
      <c r="AA13" s="66" t="s">
        <v>1997</v>
      </c>
      <c r="AD13" s="66" t="s">
        <v>1717</v>
      </c>
      <c r="AE13" s="66" t="s">
        <v>2026</v>
      </c>
      <c r="AF13" s="66" t="s">
        <v>1738</v>
      </c>
      <c r="AH13" s="66" t="s">
        <v>2052</v>
      </c>
      <c r="AI13" s="66" t="s">
        <v>1754</v>
      </c>
      <c r="AK13" s="66"/>
      <c r="AL13" s="66"/>
      <c r="AM13" s="66" t="s">
        <v>2089</v>
      </c>
      <c r="AN13" s="66" t="s">
        <v>2120</v>
      </c>
      <c r="AO13" s="66" t="s">
        <v>1779</v>
      </c>
      <c r="AP13" s="66" t="s">
        <v>1802</v>
      </c>
      <c r="AQ13" s="66" t="s">
        <v>1825</v>
      </c>
      <c r="AR13" s="66" t="s">
        <v>1841</v>
      </c>
      <c r="AS13" s="66" t="s">
        <v>1858</v>
      </c>
      <c r="AV13" t="s">
        <v>2127</v>
      </c>
      <c r="AW13" t="s">
        <v>1491</v>
      </c>
      <c r="AX13" t="s">
        <v>2078</v>
      </c>
      <c r="AY13" t="s">
        <v>2148</v>
      </c>
      <c r="AZ13" t="s">
        <v>2149</v>
      </c>
      <c r="BA13" t="s">
        <v>1872</v>
      </c>
      <c r="BB13" t="str">
        <f t="shared" si="0"/>
        <v>AHNIoyAtisbo</v>
      </c>
    </row>
    <row r="14" spans="1:54" x14ac:dyDescent="0.25">
      <c r="D14" t="s">
        <v>1485</v>
      </c>
      <c r="I14" s="66" t="s">
        <v>1510</v>
      </c>
      <c r="J14" s="66" t="s">
        <v>1527</v>
      </c>
      <c r="K14" s="66" t="s">
        <v>1548</v>
      </c>
      <c r="L14" s="66" t="s">
        <v>1579</v>
      </c>
      <c r="M14" s="66" t="s">
        <v>1600</v>
      </c>
      <c r="O14" t="s">
        <v>1889</v>
      </c>
      <c r="P14" s="66" t="s">
        <v>1628</v>
      </c>
      <c r="Q14" s="66" t="s">
        <v>1655</v>
      </c>
      <c r="S14" t="s">
        <v>1919</v>
      </c>
      <c r="T14" s="66" t="s">
        <v>1673</v>
      </c>
      <c r="V14" s="66" t="s">
        <v>1938</v>
      </c>
      <c r="Y14" s="66" t="s">
        <v>1971</v>
      </c>
      <c r="Z14" s="66" t="s">
        <v>1691</v>
      </c>
      <c r="AA14" s="66" t="s">
        <v>1998</v>
      </c>
      <c r="AD14" s="66" t="s">
        <v>1718</v>
      </c>
      <c r="AE14" s="66" t="s">
        <v>2027</v>
      </c>
      <c r="AF14" s="66" t="s">
        <v>1739</v>
      </c>
      <c r="AH14" s="66"/>
      <c r="AI14" s="66" t="s">
        <v>1755</v>
      </c>
      <c r="AK14" s="66"/>
      <c r="AL14" s="66"/>
      <c r="AM14" s="66" t="s">
        <v>2090</v>
      </c>
      <c r="AN14" s="66" t="s">
        <v>2121</v>
      </c>
      <c r="AO14" s="66" t="s">
        <v>1780</v>
      </c>
      <c r="AP14" s="66" t="s">
        <v>1803</v>
      </c>
      <c r="AQ14" s="66" t="s">
        <v>1826</v>
      </c>
      <c r="AR14" s="66" t="s">
        <v>1842</v>
      </c>
      <c r="AS14" s="66" t="s">
        <v>1859</v>
      </c>
      <c r="AV14" t="s">
        <v>2127</v>
      </c>
      <c r="AW14" t="s">
        <v>1491</v>
      </c>
      <c r="AX14" t="s">
        <v>2078</v>
      </c>
      <c r="AY14" t="s">
        <v>2150</v>
      </c>
      <c r="AZ14" t="s">
        <v>2151</v>
      </c>
      <c r="BA14" t="s">
        <v>1872</v>
      </c>
      <c r="BB14" t="str">
        <f t="shared" si="0"/>
        <v>AHNIoyAtisbo</v>
      </c>
    </row>
    <row r="15" spans="1:54" x14ac:dyDescent="0.25">
      <c r="D15" t="s">
        <v>1486</v>
      </c>
      <c r="I15" s="66" t="s">
        <v>1511</v>
      </c>
      <c r="J15" s="66" t="s">
        <v>1528</v>
      </c>
      <c r="K15" s="66" t="s">
        <v>1549</v>
      </c>
      <c r="L15" s="66" t="s">
        <v>1580</v>
      </c>
      <c r="M15" s="66" t="s">
        <v>1601</v>
      </c>
      <c r="O15" t="s">
        <v>1890</v>
      </c>
      <c r="P15" s="66" t="s">
        <v>1629</v>
      </c>
      <c r="Q15" s="66" t="s">
        <v>1656</v>
      </c>
      <c r="T15" s="66" t="s">
        <v>1674</v>
      </c>
      <c r="V15" s="66" t="s">
        <v>1939</v>
      </c>
      <c r="Y15" s="66" t="s">
        <v>1972</v>
      </c>
      <c r="Z15" s="66" t="s">
        <v>1692</v>
      </c>
      <c r="AA15" s="66" t="s">
        <v>1999</v>
      </c>
      <c r="AD15" s="66" t="s">
        <v>1719</v>
      </c>
      <c r="AE15" s="66" t="s">
        <v>2028</v>
      </c>
      <c r="AF15" s="66" t="s">
        <v>1740</v>
      </c>
      <c r="AI15" s="66" t="s">
        <v>1756</v>
      </c>
      <c r="AK15" s="66"/>
      <c r="AL15" s="66"/>
      <c r="AM15" s="66" t="s">
        <v>2091</v>
      </c>
      <c r="AN15" s="66" t="s">
        <v>2122</v>
      </c>
      <c r="AO15" s="66" t="s">
        <v>1781</v>
      </c>
      <c r="AP15" s="66" t="s">
        <v>1804</v>
      </c>
      <c r="AQ15" s="66" t="s">
        <v>1827</v>
      </c>
      <c r="AR15" s="66" t="s">
        <v>1843</v>
      </c>
      <c r="AS15" s="66" t="s">
        <v>1860</v>
      </c>
      <c r="AV15" t="s">
        <v>2127</v>
      </c>
      <c r="AW15" t="s">
        <v>1491</v>
      </c>
      <c r="AX15" t="s">
        <v>2078</v>
      </c>
      <c r="AY15" t="s">
        <v>2152</v>
      </c>
      <c r="AZ15" t="s">
        <v>2153</v>
      </c>
      <c r="BA15" t="s">
        <v>1872</v>
      </c>
      <c r="BB15" t="str">
        <f t="shared" si="0"/>
        <v>AHNIoyAtisbo</v>
      </c>
    </row>
    <row r="16" spans="1:54" x14ac:dyDescent="0.25">
      <c r="D16" t="s">
        <v>1488</v>
      </c>
      <c r="I16" s="66" t="s">
        <v>1512</v>
      </c>
      <c r="J16" s="66" t="s">
        <v>1529</v>
      </c>
      <c r="K16" s="66" t="s">
        <v>1550</v>
      </c>
      <c r="L16" s="66" t="s">
        <v>1581</v>
      </c>
      <c r="M16" s="66" t="s">
        <v>1602</v>
      </c>
      <c r="O16" t="s">
        <v>1891</v>
      </c>
      <c r="P16" s="66" t="s">
        <v>1630</v>
      </c>
      <c r="Q16" s="66" t="s">
        <v>1657</v>
      </c>
      <c r="T16" s="66" t="s">
        <v>1675</v>
      </c>
      <c r="V16" s="66" t="s">
        <v>1940</v>
      </c>
      <c r="Y16" s="66" t="s">
        <v>1973</v>
      </c>
      <c r="Z16" s="66" t="s">
        <v>1693</v>
      </c>
      <c r="AA16" s="66" t="s">
        <v>2000</v>
      </c>
      <c r="AD16" s="66" t="s">
        <v>1720</v>
      </c>
      <c r="AE16" s="66" t="s">
        <v>2029</v>
      </c>
      <c r="AF16" s="66" t="s">
        <v>1741</v>
      </c>
      <c r="AI16" s="66" t="s">
        <v>1757</v>
      </c>
      <c r="AK16" s="66"/>
      <c r="AL16" s="66"/>
      <c r="AM16" s="66" t="s">
        <v>2092</v>
      </c>
      <c r="AN16" s="66" t="s">
        <v>2123</v>
      </c>
      <c r="AO16" s="66" t="s">
        <v>1782</v>
      </c>
      <c r="AP16" s="66" t="s">
        <v>1805</v>
      </c>
      <c r="AQ16" s="66" t="s">
        <v>1828</v>
      </c>
      <c r="AR16" s="66" t="s">
        <v>1844</v>
      </c>
      <c r="AV16" t="s">
        <v>2127</v>
      </c>
      <c r="AW16" t="s">
        <v>1491</v>
      </c>
      <c r="AX16" t="s">
        <v>2078</v>
      </c>
      <c r="AY16" t="s">
        <v>2154</v>
      </c>
      <c r="AZ16" t="s">
        <v>2155</v>
      </c>
      <c r="BA16" t="s">
        <v>1872</v>
      </c>
      <c r="BB16" t="str">
        <f t="shared" si="0"/>
        <v>AHNIoyAtisbo</v>
      </c>
    </row>
    <row r="17" spans="4:54" x14ac:dyDescent="0.25">
      <c r="D17" t="s">
        <v>1489</v>
      </c>
      <c r="I17" s="66" t="s">
        <v>1513</v>
      </c>
      <c r="J17" s="66" t="s">
        <v>1530</v>
      </c>
      <c r="K17" s="66" t="s">
        <v>1551</v>
      </c>
      <c r="L17" s="66" t="s">
        <v>1582</v>
      </c>
      <c r="M17" s="66" t="s">
        <v>1603</v>
      </c>
      <c r="O17" t="s">
        <v>1892</v>
      </c>
      <c r="P17" s="66" t="s">
        <v>1631</v>
      </c>
      <c r="Q17" s="66" t="s">
        <v>1658</v>
      </c>
      <c r="T17" s="66" t="s">
        <v>1676</v>
      </c>
      <c r="V17" s="66" t="s">
        <v>1941</v>
      </c>
      <c r="Y17" s="66" t="s">
        <v>1974</v>
      </c>
      <c r="Z17" s="66" t="s">
        <v>1694</v>
      </c>
      <c r="AA17" s="66" t="s">
        <v>2001</v>
      </c>
      <c r="AD17" s="66" t="s">
        <v>1721</v>
      </c>
      <c r="AE17" s="66" t="s">
        <v>2030</v>
      </c>
      <c r="AF17" s="66" t="s">
        <v>1742</v>
      </c>
      <c r="AI17" s="66" t="s">
        <v>1758</v>
      </c>
      <c r="AK17" s="66"/>
      <c r="AL17" s="66"/>
      <c r="AM17" s="66" t="s">
        <v>2093</v>
      </c>
      <c r="AN17" s="66"/>
      <c r="AO17" s="66" t="s">
        <v>1783</v>
      </c>
      <c r="AP17" s="66" t="s">
        <v>1806</v>
      </c>
      <c r="AQ17" s="66" t="s">
        <v>1829</v>
      </c>
      <c r="AR17" s="66" t="s">
        <v>1845</v>
      </c>
      <c r="AV17" t="s">
        <v>2127</v>
      </c>
      <c r="AW17" t="s">
        <v>1491</v>
      </c>
      <c r="AX17" t="s">
        <v>2079</v>
      </c>
      <c r="AY17" t="s">
        <v>2156</v>
      </c>
      <c r="AZ17" t="s">
        <v>2157</v>
      </c>
      <c r="BA17" t="s">
        <v>1872</v>
      </c>
      <c r="BB17" t="str">
        <f t="shared" si="0"/>
        <v>AHNIoyIrepo</v>
      </c>
    </row>
    <row r="18" spans="4:54" x14ac:dyDescent="0.25">
      <c r="D18" t="s">
        <v>1490</v>
      </c>
      <c r="I18" s="66" t="s">
        <v>1514</v>
      </c>
      <c r="J18" s="66" t="s">
        <v>1531</v>
      </c>
      <c r="K18" s="66" t="s">
        <v>1552</v>
      </c>
      <c r="L18" s="66" t="s">
        <v>1583</v>
      </c>
      <c r="M18" s="66" t="s">
        <v>1604</v>
      </c>
      <c r="O18" t="s">
        <v>1893</v>
      </c>
      <c r="P18" s="66" t="s">
        <v>1632</v>
      </c>
      <c r="Q18" s="66" t="s">
        <v>1659</v>
      </c>
      <c r="T18" s="66" t="s">
        <v>1677</v>
      </c>
      <c r="Y18" s="66" t="s">
        <v>1975</v>
      </c>
      <c r="Z18" s="66" t="s">
        <v>1695</v>
      </c>
      <c r="AA18" s="66" t="s">
        <v>2002</v>
      </c>
      <c r="AD18" s="66" t="s">
        <v>1722</v>
      </c>
      <c r="AI18" s="66" t="s">
        <v>1759</v>
      </c>
      <c r="AK18" s="66"/>
      <c r="AL18" s="66"/>
      <c r="AM18" s="66" t="s">
        <v>2094</v>
      </c>
      <c r="AN18" s="66"/>
      <c r="AO18" s="66" t="s">
        <v>1784</v>
      </c>
      <c r="AP18" s="66" t="s">
        <v>1807</v>
      </c>
      <c r="AR18" s="66" t="s">
        <v>1846</v>
      </c>
      <c r="AV18" t="s">
        <v>2127</v>
      </c>
      <c r="AW18" t="s">
        <v>1491</v>
      </c>
      <c r="AX18" t="s">
        <v>2079</v>
      </c>
      <c r="AY18" t="s">
        <v>2158</v>
      </c>
      <c r="AZ18" t="s">
        <v>2159</v>
      </c>
      <c r="BA18" t="s">
        <v>1872</v>
      </c>
      <c r="BB18" t="str">
        <f t="shared" si="0"/>
        <v>AHNIoyIrepo</v>
      </c>
    </row>
    <row r="19" spans="4:54" x14ac:dyDescent="0.25">
      <c r="D19" t="s">
        <v>1491</v>
      </c>
      <c r="J19" s="66" t="s">
        <v>1532</v>
      </c>
      <c r="K19" s="66" t="s">
        <v>1553</v>
      </c>
      <c r="L19" s="66" t="s">
        <v>1584</v>
      </c>
      <c r="M19" s="66" t="s">
        <v>1605</v>
      </c>
      <c r="O19" t="s">
        <v>1894</v>
      </c>
      <c r="P19" s="66" t="s">
        <v>1633</v>
      </c>
      <c r="Q19" s="66" t="s">
        <v>1660</v>
      </c>
      <c r="T19" s="66" t="s">
        <v>1678</v>
      </c>
      <c r="Y19" s="66" t="s">
        <v>1976</v>
      </c>
      <c r="Z19" s="66" t="s">
        <v>1696</v>
      </c>
      <c r="AA19" s="66" t="s">
        <v>2003</v>
      </c>
      <c r="AD19" s="66" t="s">
        <v>1723</v>
      </c>
      <c r="AI19" s="66" t="s">
        <v>1760</v>
      </c>
      <c r="AK19" s="66"/>
      <c r="AL19" s="66"/>
      <c r="AM19" s="66" t="s">
        <v>2095</v>
      </c>
      <c r="AO19" s="66" t="s">
        <v>1785</v>
      </c>
      <c r="AP19" s="66" t="s">
        <v>1808</v>
      </c>
      <c r="AV19" t="s">
        <v>2127</v>
      </c>
      <c r="AW19" t="s">
        <v>1491</v>
      </c>
      <c r="AX19" t="s">
        <v>2079</v>
      </c>
      <c r="AY19" t="s">
        <v>2160</v>
      </c>
      <c r="AZ19" t="s">
        <v>2161</v>
      </c>
      <c r="BA19" t="s">
        <v>1872</v>
      </c>
      <c r="BB19" t="str">
        <f t="shared" si="0"/>
        <v>AHNIoyIrepo</v>
      </c>
    </row>
    <row r="20" spans="4:54" x14ac:dyDescent="0.25">
      <c r="D20" t="s">
        <v>1492</v>
      </c>
      <c r="J20" s="66" t="s">
        <v>1533</v>
      </c>
      <c r="K20" s="66" t="s">
        <v>1554</v>
      </c>
      <c r="L20" s="66" t="s">
        <v>1585</v>
      </c>
      <c r="M20" s="66" t="s">
        <v>1606</v>
      </c>
      <c r="O20" t="s">
        <v>1895</v>
      </c>
      <c r="P20" s="66" t="s">
        <v>1634</v>
      </c>
      <c r="Y20" s="66" t="s">
        <v>1977</v>
      </c>
      <c r="Z20" s="66" t="s">
        <v>1697</v>
      </c>
      <c r="AA20" s="66" t="s">
        <v>2004</v>
      </c>
      <c r="AD20" s="66" t="s">
        <v>1724</v>
      </c>
      <c r="AI20" s="66" t="s">
        <v>1761</v>
      </c>
      <c r="AL20" s="66"/>
      <c r="AM20" s="66" t="s">
        <v>2096</v>
      </c>
      <c r="AO20" s="66" t="s">
        <v>1786</v>
      </c>
      <c r="AP20" s="66" t="s">
        <v>1809</v>
      </c>
      <c r="AV20" t="s">
        <v>2127</v>
      </c>
      <c r="AW20" t="s">
        <v>1491</v>
      </c>
      <c r="AX20" t="s">
        <v>2079</v>
      </c>
      <c r="AY20" t="s">
        <v>2162</v>
      </c>
      <c r="AZ20" t="s">
        <v>2163</v>
      </c>
      <c r="BA20" t="s">
        <v>1872</v>
      </c>
      <c r="BB20" t="str">
        <f t="shared" si="0"/>
        <v>AHNIoyIrepo</v>
      </c>
    </row>
    <row r="21" spans="4:54" x14ac:dyDescent="0.25">
      <c r="D21" s="65"/>
      <c r="J21" s="66" t="s">
        <v>1534</v>
      </c>
      <c r="K21" s="66" t="s">
        <v>1555</v>
      </c>
      <c r="L21" s="66" t="s">
        <v>1586</v>
      </c>
      <c r="M21" s="66" t="s">
        <v>1607</v>
      </c>
      <c r="O21" t="s">
        <v>1896</v>
      </c>
      <c r="P21" s="66" t="s">
        <v>1635</v>
      </c>
      <c r="Y21" s="66" t="s">
        <v>1978</v>
      </c>
      <c r="Z21" s="66" t="s">
        <v>1698</v>
      </c>
      <c r="AA21" s="66" t="s">
        <v>2005</v>
      </c>
      <c r="AD21" s="66" t="s">
        <v>1725</v>
      </c>
      <c r="AE21" s="66"/>
      <c r="AI21" s="66" t="s">
        <v>1762</v>
      </c>
      <c r="AL21" s="66"/>
      <c r="AM21" s="66" t="s">
        <v>2097</v>
      </c>
      <c r="AO21" s="66" t="s">
        <v>1787</v>
      </c>
      <c r="AP21" s="66" t="s">
        <v>1810</v>
      </c>
      <c r="AV21" t="s">
        <v>2127</v>
      </c>
      <c r="AW21" t="s">
        <v>1491</v>
      </c>
      <c r="AX21" t="s">
        <v>2080</v>
      </c>
      <c r="AY21" t="s">
        <v>2164</v>
      </c>
      <c r="AZ21" t="s">
        <v>2165</v>
      </c>
      <c r="BA21" t="s">
        <v>1872</v>
      </c>
      <c r="BB21" t="str">
        <f t="shared" si="0"/>
        <v>AHNIoyIseyin</v>
      </c>
    </row>
    <row r="22" spans="4:54" x14ac:dyDescent="0.25">
      <c r="D22" s="65"/>
      <c r="J22" s="66" t="s">
        <v>1535</v>
      </c>
      <c r="K22" s="66" t="s">
        <v>1556</v>
      </c>
      <c r="L22" s="66" t="s">
        <v>1587</v>
      </c>
      <c r="O22" t="s">
        <v>1897</v>
      </c>
      <c r="P22" s="66" t="s">
        <v>1636</v>
      </c>
      <c r="Y22" s="66" t="s">
        <v>1979</v>
      </c>
      <c r="Z22" s="66" t="s">
        <v>1699</v>
      </c>
      <c r="AA22" s="66" t="s">
        <v>2006</v>
      </c>
      <c r="AD22" s="66" t="s">
        <v>1726</v>
      </c>
      <c r="AE22" s="66"/>
      <c r="AI22" s="66" t="s">
        <v>1763</v>
      </c>
      <c r="AL22" s="66"/>
      <c r="AM22" s="66" t="s">
        <v>2098</v>
      </c>
      <c r="AO22" s="66" t="s">
        <v>1788</v>
      </c>
      <c r="AP22" s="66" t="s">
        <v>1811</v>
      </c>
      <c r="AV22" t="s">
        <v>2127</v>
      </c>
      <c r="AW22" t="s">
        <v>1491</v>
      </c>
      <c r="AX22" t="s">
        <v>2080</v>
      </c>
      <c r="AY22" t="s">
        <v>2166</v>
      </c>
      <c r="AZ22" t="s">
        <v>2167</v>
      </c>
      <c r="BA22" t="s">
        <v>1872</v>
      </c>
      <c r="BB22" t="str">
        <f t="shared" si="0"/>
        <v>AHNIoyIseyin</v>
      </c>
    </row>
    <row r="23" spans="4:54" x14ac:dyDescent="0.25">
      <c r="D23" s="65"/>
      <c r="K23" s="66" t="s">
        <v>1557</v>
      </c>
      <c r="O23" t="s">
        <v>1898</v>
      </c>
      <c r="P23" s="66" t="s">
        <v>1637</v>
      </c>
      <c r="Y23" s="66" t="s">
        <v>1980</v>
      </c>
      <c r="Z23" s="66" t="s">
        <v>1700</v>
      </c>
      <c r="AE23" s="66"/>
      <c r="AI23" s="66" t="s">
        <v>1764</v>
      </c>
      <c r="AL23" s="66"/>
      <c r="AM23" s="66" t="s">
        <v>2099</v>
      </c>
      <c r="AO23" s="66" t="s">
        <v>1789</v>
      </c>
      <c r="AP23" s="66" t="s">
        <v>1812</v>
      </c>
      <c r="AV23" t="s">
        <v>2127</v>
      </c>
      <c r="AW23" t="s">
        <v>1491</v>
      </c>
      <c r="AX23" t="s">
        <v>2080</v>
      </c>
      <c r="AY23" t="s">
        <v>2168</v>
      </c>
      <c r="AZ23" t="s">
        <v>2169</v>
      </c>
      <c r="BA23" t="s">
        <v>1872</v>
      </c>
      <c r="BB23" t="str">
        <f t="shared" si="0"/>
        <v>AHNIoyIseyin</v>
      </c>
    </row>
    <row r="24" spans="4:54" x14ac:dyDescent="0.25">
      <c r="D24" s="65"/>
      <c r="K24" s="66" t="s">
        <v>1558</v>
      </c>
      <c r="O24" t="s">
        <v>1899</v>
      </c>
      <c r="P24" s="66" t="s">
        <v>1638</v>
      </c>
      <c r="Y24" s="66" t="s">
        <v>1981</v>
      </c>
      <c r="Z24" s="66" t="s">
        <v>1701</v>
      </c>
      <c r="AE24" s="66"/>
      <c r="AI24" s="66" t="s">
        <v>1765</v>
      </c>
      <c r="AL24" s="66"/>
      <c r="AM24" s="66" t="s">
        <v>2100</v>
      </c>
      <c r="AO24" s="66" t="s">
        <v>1790</v>
      </c>
      <c r="AP24" s="66" t="s">
        <v>1813</v>
      </c>
      <c r="AV24" t="s">
        <v>2127</v>
      </c>
      <c r="AW24" t="s">
        <v>1491</v>
      </c>
      <c r="AX24" t="s">
        <v>2080</v>
      </c>
      <c r="AY24" t="s">
        <v>2170</v>
      </c>
      <c r="AZ24" t="s">
        <v>2171</v>
      </c>
      <c r="BA24" t="s">
        <v>1872</v>
      </c>
      <c r="BB24" t="str">
        <f t="shared" si="0"/>
        <v>AHNIoyIseyin</v>
      </c>
    </row>
    <row r="25" spans="4:54" x14ac:dyDescent="0.25">
      <c r="D25" s="65"/>
      <c r="K25" s="66" t="s">
        <v>1559</v>
      </c>
      <c r="P25" s="66" t="s">
        <v>1639</v>
      </c>
      <c r="Y25" s="66" t="s">
        <v>1982</v>
      </c>
      <c r="Z25" s="66" t="s">
        <v>1702</v>
      </c>
      <c r="AE25" s="66"/>
      <c r="AI25" s="66" t="s">
        <v>1766</v>
      </c>
      <c r="AL25" s="66"/>
      <c r="AM25" s="66" t="s">
        <v>2101</v>
      </c>
      <c r="AV25" t="s">
        <v>2127</v>
      </c>
      <c r="AW25" t="s">
        <v>1491</v>
      </c>
      <c r="AX25" t="s">
        <v>2080</v>
      </c>
      <c r="AY25" t="s">
        <v>2172</v>
      </c>
      <c r="AZ25" t="s">
        <v>2173</v>
      </c>
      <c r="BA25" t="s">
        <v>1872</v>
      </c>
      <c r="BB25" t="str">
        <f t="shared" si="0"/>
        <v>AHNIoyIseyin</v>
      </c>
    </row>
    <row r="26" spans="4:54" x14ac:dyDescent="0.25">
      <c r="D26" s="65"/>
      <c r="K26" s="66" t="s">
        <v>1560</v>
      </c>
      <c r="P26" s="66" t="s">
        <v>1640</v>
      </c>
      <c r="Y26" s="66" t="s">
        <v>1983</v>
      </c>
      <c r="Z26" s="66" t="s">
        <v>1703</v>
      </c>
      <c r="AE26" s="66"/>
      <c r="AI26" s="66" t="s">
        <v>1767</v>
      </c>
      <c r="AL26" s="66"/>
      <c r="AM26" s="66" t="s">
        <v>2102</v>
      </c>
      <c r="AV26" t="s">
        <v>2127</v>
      </c>
      <c r="AW26" t="s">
        <v>1491</v>
      </c>
      <c r="AX26" t="s">
        <v>2080</v>
      </c>
      <c r="AY26" t="s">
        <v>2174</v>
      </c>
      <c r="AZ26" t="s">
        <v>2175</v>
      </c>
      <c r="BA26" t="s">
        <v>1872</v>
      </c>
      <c r="BB26" t="str">
        <f t="shared" si="0"/>
        <v>AHNIoyIseyin</v>
      </c>
    </row>
    <row r="27" spans="4:54" x14ac:dyDescent="0.25">
      <c r="D27" s="65"/>
      <c r="K27" s="66" t="s">
        <v>1561</v>
      </c>
      <c r="P27" s="66" t="s">
        <v>1641</v>
      </c>
      <c r="Y27" s="66" t="s">
        <v>1984</v>
      </c>
      <c r="Z27" s="66" t="s">
        <v>1704</v>
      </c>
      <c r="AE27" s="66"/>
      <c r="AL27" s="66"/>
      <c r="AM27" s="66" t="s">
        <v>2103</v>
      </c>
      <c r="AV27" t="s">
        <v>2127</v>
      </c>
      <c r="AW27" t="s">
        <v>1491</v>
      </c>
      <c r="AX27" t="s">
        <v>2081</v>
      </c>
      <c r="AY27" t="s">
        <v>2176</v>
      </c>
      <c r="AZ27" t="s">
        <v>2177</v>
      </c>
      <c r="BA27" t="s">
        <v>1872</v>
      </c>
      <c r="BB27" t="str">
        <f t="shared" si="0"/>
        <v>AHNIoyIwajowa</v>
      </c>
    </row>
    <row r="28" spans="4:54" x14ac:dyDescent="0.25">
      <c r="D28" s="65"/>
      <c r="K28" s="66" t="s">
        <v>1562</v>
      </c>
      <c r="P28" s="66" t="s">
        <v>1642</v>
      </c>
      <c r="Y28" s="66" t="s">
        <v>1985</v>
      </c>
      <c r="Z28" s="66" t="s">
        <v>1705</v>
      </c>
      <c r="AE28" s="66"/>
      <c r="AL28" s="66"/>
      <c r="AM28" s="66" t="s">
        <v>2104</v>
      </c>
      <c r="AV28" t="s">
        <v>2127</v>
      </c>
      <c r="AW28" t="s">
        <v>1491</v>
      </c>
      <c r="AX28" t="s">
        <v>2081</v>
      </c>
      <c r="AY28" t="s">
        <v>2178</v>
      </c>
      <c r="AZ28" t="s">
        <v>2179</v>
      </c>
      <c r="BA28" t="s">
        <v>1872</v>
      </c>
      <c r="BB28" t="str">
        <f t="shared" si="0"/>
        <v>AHNIoyIwajowa</v>
      </c>
    </row>
    <row r="29" spans="4:54" x14ac:dyDescent="0.25">
      <c r="D29" s="65"/>
      <c r="K29" s="66" t="s">
        <v>1563</v>
      </c>
      <c r="AE29" s="66"/>
      <c r="AL29" s="66"/>
      <c r="AM29" s="66" t="s">
        <v>2105</v>
      </c>
      <c r="AV29" t="s">
        <v>2127</v>
      </c>
      <c r="AW29" t="s">
        <v>1491</v>
      </c>
      <c r="AX29" t="s">
        <v>2081</v>
      </c>
      <c r="AY29" t="s">
        <v>2180</v>
      </c>
      <c r="AZ29" t="s">
        <v>2181</v>
      </c>
      <c r="BA29" t="s">
        <v>1872</v>
      </c>
      <c r="BB29" t="str">
        <f t="shared" si="0"/>
        <v>AHNIoyIwajowa</v>
      </c>
    </row>
    <row r="30" spans="4:54" x14ac:dyDescent="0.25">
      <c r="D30" s="65"/>
      <c r="K30" s="66" t="s">
        <v>1564</v>
      </c>
      <c r="AE30" s="66"/>
      <c r="AL30" s="66"/>
      <c r="AM30" s="66" t="s">
        <v>2106</v>
      </c>
      <c r="AV30" t="s">
        <v>2127</v>
      </c>
      <c r="AW30" t="s">
        <v>1491</v>
      </c>
      <c r="AX30" t="s">
        <v>2082</v>
      </c>
      <c r="AY30" t="s">
        <v>2182</v>
      </c>
      <c r="AZ30" t="s">
        <v>2183</v>
      </c>
      <c r="BA30" t="s">
        <v>1872</v>
      </c>
      <c r="BB30" t="str">
        <f t="shared" si="0"/>
        <v>AHNIoyKajola</v>
      </c>
    </row>
    <row r="31" spans="4:54" x14ac:dyDescent="0.25">
      <c r="D31" s="65"/>
      <c r="K31" s="66" t="s">
        <v>1565</v>
      </c>
      <c r="AE31" s="66"/>
      <c r="AL31" s="66"/>
      <c r="AM31" s="66" t="s">
        <v>2107</v>
      </c>
      <c r="AV31" t="s">
        <v>2127</v>
      </c>
      <c r="AW31" t="s">
        <v>1491</v>
      </c>
      <c r="AX31" t="s">
        <v>2082</v>
      </c>
      <c r="AY31" t="s">
        <v>2184</v>
      </c>
      <c r="AZ31" t="s">
        <v>2185</v>
      </c>
      <c r="BA31" t="s">
        <v>1872</v>
      </c>
      <c r="BB31" t="str">
        <f t="shared" si="0"/>
        <v>AHNIoyKajola</v>
      </c>
    </row>
    <row r="32" spans="4:54" x14ac:dyDescent="0.25">
      <c r="D32" s="65"/>
      <c r="K32" s="66" t="s">
        <v>1566</v>
      </c>
      <c r="AE32" s="66"/>
      <c r="AM32" s="66" t="s">
        <v>2108</v>
      </c>
      <c r="AV32" t="s">
        <v>2127</v>
      </c>
      <c r="AW32" t="s">
        <v>1491</v>
      </c>
      <c r="AX32" t="s">
        <v>2082</v>
      </c>
      <c r="AY32" t="s">
        <v>2186</v>
      </c>
      <c r="AZ32" t="s">
        <v>2187</v>
      </c>
      <c r="BA32" t="s">
        <v>1872</v>
      </c>
      <c r="BB32" t="str">
        <f t="shared" si="0"/>
        <v>AHNIoyKajola</v>
      </c>
    </row>
    <row r="33" spans="4:54" x14ac:dyDescent="0.25">
      <c r="D33" s="65"/>
      <c r="AE33" s="66"/>
      <c r="AM33" s="66"/>
      <c r="AV33" t="s">
        <v>2127</v>
      </c>
      <c r="AW33" t="s">
        <v>1491</v>
      </c>
      <c r="AX33" t="s">
        <v>2082</v>
      </c>
      <c r="AY33" t="s">
        <v>2188</v>
      </c>
      <c r="AZ33" t="s">
        <v>2189</v>
      </c>
      <c r="BA33" t="s">
        <v>1872</v>
      </c>
      <c r="BB33" t="str">
        <f t="shared" si="0"/>
        <v>AHNIoyKajola</v>
      </c>
    </row>
    <row r="34" spans="4:54" x14ac:dyDescent="0.25">
      <c r="D34" s="65"/>
      <c r="AE34" s="66"/>
      <c r="AM34" s="66"/>
      <c r="AV34" t="s">
        <v>2127</v>
      </c>
      <c r="AW34" t="s">
        <v>1491</v>
      </c>
      <c r="AX34" t="s">
        <v>2082</v>
      </c>
      <c r="AY34" t="s">
        <v>2190</v>
      </c>
      <c r="AZ34" t="s">
        <v>2191</v>
      </c>
      <c r="BA34" t="s">
        <v>1872</v>
      </c>
      <c r="BB34" t="str">
        <f t="shared" si="0"/>
        <v>AHNIoyKajola</v>
      </c>
    </row>
    <row r="35" spans="4:54" x14ac:dyDescent="0.25">
      <c r="D35" s="65"/>
      <c r="AE35" s="66"/>
      <c r="AV35" t="s">
        <v>2127</v>
      </c>
      <c r="AW35" t="s">
        <v>1491</v>
      </c>
      <c r="AX35" t="s">
        <v>2083</v>
      </c>
      <c r="AY35" t="s">
        <v>2192</v>
      </c>
      <c r="AZ35" t="s">
        <v>2193</v>
      </c>
      <c r="BA35" t="s">
        <v>1872</v>
      </c>
      <c r="BB35" t="str">
        <f t="shared" si="0"/>
        <v>AHNIoyOgoOluwa</v>
      </c>
    </row>
    <row r="36" spans="4:54" x14ac:dyDescent="0.25">
      <c r="D36" s="65"/>
      <c r="AE36" s="66"/>
      <c r="AV36" t="s">
        <v>2127</v>
      </c>
      <c r="AW36" t="s">
        <v>1491</v>
      </c>
      <c r="AX36" t="s">
        <v>2083</v>
      </c>
      <c r="AY36" t="s">
        <v>2194</v>
      </c>
      <c r="AZ36" t="s">
        <v>2195</v>
      </c>
      <c r="BA36" t="s">
        <v>1872</v>
      </c>
      <c r="BB36" t="str">
        <f t="shared" si="0"/>
        <v>AHNIoyOgoOluwa</v>
      </c>
    </row>
    <row r="37" spans="4:54" x14ac:dyDescent="0.25">
      <c r="D37" s="65"/>
      <c r="AV37" t="s">
        <v>2127</v>
      </c>
      <c r="AW37" t="s">
        <v>1491</v>
      </c>
      <c r="AX37" t="s">
        <v>2084</v>
      </c>
      <c r="AY37" t="s">
        <v>2196</v>
      </c>
      <c r="AZ37" t="s">
        <v>2197</v>
      </c>
      <c r="BA37" t="s">
        <v>1872</v>
      </c>
      <c r="BB37" t="str">
        <f t="shared" si="0"/>
        <v>AHNIoyOlorunsogo</v>
      </c>
    </row>
    <row r="38" spans="4:54" x14ac:dyDescent="0.25">
      <c r="D38" s="65"/>
      <c r="AV38" t="s">
        <v>2127</v>
      </c>
      <c r="AW38" t="s">
        <v>1491</v>
      </c>
      <c r="AX38" t="s">
        <v>2084</v>
      </c>
      <c r="AY38" t="s">
        <v>2198</v>
      </c>
      <c r="AZ38" t="s">
        <v>2199</v>
      </c>
      <c r="BA38" t="s">
        <v>1872</v>
      </c>
      <c r="BB38" t="str">
        <f t="shared" si="0"/>
        <v>AHNIoyOlorunsogo</v>
      </c>
    </row>
    <row r="39" spans="4:54" x14ac:dyDescent="0.25">
      <c r="D39" s="65"/>
      <c r="AV39" t="s">
        <v>2127</v>
      </c>
      <c r="AW39" t="s">
        <v>1491</v>
      </c>
      <c r="AX39" t="s">
        <v>2085</v>
      </c>
      <c r="AY39" t="s">
        <v>2200</v>
      </c>
      <c r="AZ39" t="s">
        <v>2201</v>
      </c>
      <c r="BA39" t="s">
        <v>1872</v>
      </c>
      <c r="BB39" t="str">
        <f t="shared" si="0"/>
        <v>AHNIoyOrelope</v>
      </c>
    </row>
    <row r="40" spans="4:54" x14ac:dyDescent="0.25">
      <c r="AV40" t="s">
        <v>2127</v>
      </c>
      <c r="AW40" t="s">
        <v>1491</v>
      </c>
      <c r="AX40" t="s">
        <v>2085</v>
      </c>
      <c r="AY40" t="s">
        <v>2202</v>
      </c>
      <c r="AZ40" t="s">
        <v>2203</v>
      </c>
      <c r="BA40" t="s">
        <v>1872</v>
      </c>
      <c r="BB40" t="str">
        <f t="shared" si="0"/>
        <v>AHNIoyOrelope</v>
      </c>
    </row>
    <row r="41" spans="4:54" x14ac:dyDescent="0.25">
      <c r="AV41" t="s">
        <v>2127</v>
      </c>
      <c r="AW41" t="s">
        <v>1491</v>
      </c>
      <c r="AX41" t="s">
        <v>2086</v>
      </c>
      <c r="AY41" t="s">
        <v>2204</v>
      </c>
      <c r="AZ41" t="s">
        <v>2205</v>
      </c>
      <c r="BA41" t="s">
        <v>1872</v>
      </c>
      <c r="BB41" t="str">
        <f t="shared" si="0"/>
        <v>AHNIoyOriIre</v>
      </c>
    </row>
    <row r="42" spans="4:54" x14ac:dyDescent="0.25">
      <c r="AV42" t="s">
        <v>2127</v>
      </c>
      <c r="AW42" t="s">
        <v>1491</v>
      </c>
      <c r="AX42" t="s">
        <v>2087</v>
      </c>
      <c r="AY42" t="s">
        <v>2206</v>
      </c>
      <c r="AZ42" t="s">
        <v>2207</v>
      </c>
      <c r="BA42" t="s">
        <v>1872</v>
      </c>
      <c r="BB42" t="str">
        <f t="shared" si="0"/>
        <v>AHNIoySakiEast</v>
      </c>
    </row>
    <row r="43" spans="4:54" x14ac:dyDescent="0.25">
      <c r="AV43" t="s">
        <v>2127</v>
      </c>
      <c r="AW43" t="s">
        <v>1491</v>
      </c>
      <c r="AX43" t="s">
        <v>2087</v>
      </c>
      <c r="AY43" t="s">
        <v>2208</v>
      </c>
      <c r="AZ43" t="s">
        <v>2209</v>
      </c>
      <c r="BA43" t="s">
        <v>1872</v>
      </c>
      <c r="BB43" t="str">
        <f t="shared" si="0"/>
        <v>AHNIoySakiEast</v>
      </c>
    </row>
    <row r="44" spans="4:54" x14ac:dyDescent="0.25">
      <c r="AV44" t="s">
        <v>2127</v>
      </c>
      <c r="AW44" t="s">
        <v>1491</v>
      </c>
      <c r="AX44" t="s">
        <v>2087</v>
      </c>
      <c r="AY44" t="s">
        <v>2210</v>
      </c>
      <c r="AZ44" t="s">
        <v>2211</v>
      </c>
      <c r="BA44" t="s">
        <v>1872</v>
      </c>
      <c r="BB44" t="str">
        <f t="shared" si="0"/>
        <v>AHNIoySakiEast</v>
      </c>
    </row>
    <row r="45" spans="4:54" x14ac:dyDescent="0.25">
      <c r="AV45" t="s">
        <v>2127</v>
      </c>
      <c r="AW45" t="s">
        <v>1485</v>
      </c>
      <c r="AX45" t="s">
        <v>2031</v>
      </c>
      <c r="AY45" t="s">
        <v>2212</v>
      </c>
      <c r="AZ45" t="s">
        <v>2213</v>
      </c>
      <c r="BA45" t="s">
        <v>1873</v>
      </c>
      <c r="BB45" t="str">
        <f t="shared" si="0"/>
        <v>APINlaAlimosho</v>
      </c>
    </row>
    <row r="46" spans="4:54" x14ac:dyDescent="0.25">
      <c r="AV46" t="s">
        <v>2127</v>
      </c>
      <c r="AW46" t="s">
        <v>1485</v>
      </c>
      <c r="AX46" t="s">
        <v>2031</v>
      </c>
      <c r="AY46" t="s">
        <v>2214</v>
      </c>
      <c r="AZ46" t="s">
        <v>2215</v>
      </c>
      <c r="BA46" t="s">
        <v>1873</v>
      </c>
      <c r="BB46" t="str">
        <f t="shared" si="0"/>
        <v>APINlaAlimosho</v>
      </c>
    </row>
    <row r="47" spans="4:54" x14ac:dyDescent="0.25">
      <c r="AV47" t="s">
        <v>2127</v>
      </c>
      <c r="AW47" t="s">
        <v>1485</v>
      </c>
      <c r="AX47" t="s">
        <v>2031</v>
      </c>
      <c r="AY47" t="s">
        <v>2216</v>
      </c>
      <c r="AZ47" t="s">
        <v>2217</v>
      </c>
      <c r="BA47" t="s">
        <v>1873</v>
      </c>
      <c r="BB47" t="str">
        <f t="shared" si="0"/>
        <v>APINlaAlimosho</v>
      </c>
    </row>
    <row r="48" spans="4:54" x14ac:dyDescent="0.25">
      <c r="AV48" t="s">
        <v>2127</v>
      </c>
      <c r="AW48" t="s">
        <v>1485</v>
      </c>
      <c r="AX48" t="s">
        <v>2031</v>
      </c>
      <c r="AY48" t="s">
        <v>2218</v>
      </c>
      <c r="AZ48" t="s">
        <v>2219</v>
      </c>
      <c r="BA48" t="s">
        <v>1873</v>
      </c>
      <c r="BB48" t="str">
        <f t="shared" si="0"/>
        <v>APINlaAlimosho</v>
      </c>
    </row>
    <row r="49" spans="48:54" x14ac:dyDescent="0.25">
      <c r="AV49" t="s">
        <v>2127</v>
      </c>
      <c r="AW49" t="s">
        <v>1485</v>
      </c>
      <c r="AX49" t="s">
        <v>2031</v>
      </c>
      <c r="AY49" t="s">
        <v>2220</v>
      </c>
      <c r="AZ49" t="s">
        <v>2221</v>
      </c>
      <c r="BA49" t="s">
        <v>1873</v>
      </c>
      <c r="BB49" t="str">
        <f t="shared" si="0"/>
        <v>APINlaAlimosho</v>
      </c>
    </row>
    <row r="50" spans="48:54" x14ac:dyDescent="0.25">
      <c r="AV50" t="s">
        <v>2127</v>
      </c>
      <c r="AW50" t="s">
        <v>1485</v>
      </c>
      <c r="AX50" t="s">
        <v>2031</v>
      </c>
      <c r="AY50" t="s">
        <v>2222</v>
      </c>
      <c r="AZ50" t="s">
        <v>2223</v>
      </c>
      <c r="BA50" t="s">
        <v>1873</v>
      </c>
      <c r="BB50" t="str">
        <f t="shared" si="0"/>
        <v>APINlaAlimosho</v>
      </c>
    </row>
    <row r="51" spans="48:54" x14ac:dyDescent="0.25">
      <c r="AV51" t="s">
        <v>2127</v>
      </c>
      <c r="AW51" t="s">
        <v>1485</v>
      </c>
      <c r="AX51" t="s">
        <v>2031</v>
      </c>
      <c r="AY51" t="s">
        <v>2224</v>
      </c>
      <c r="AZ51" t="s">
        <v>2225</v>
      </c>
      <c r="BA51" t="s">
        <v>1873</v>
      </c>
      <c r="BB51" t="str">
        <f t="shared" si="0"/>
        <v>APINlaAlimosho</v>
      </c>
    </row>
    <row r="52" spans="48:54" x14ac:dyDescent="0.25">
      <c r="AV52" t="s">
        <v>2127</v>
      </c>
      <c r="AW52" t="s">
        <v>1485</v>
      </c>
      <c r="AX52" t="s">
        <v>2031</v>
      </c>
      <c r="AY52" t="s">
        <v>2226</v>
      </c>
      <c r="AZ52" t="s">
        <v>2227</v>
      </c>
      <c r="BA52" t="s">
        <v>1873</v>
      </c>
      <c r="BB52" t="str">
        <f t="shared" si="0"/>
        <v>APINlaAlimosho</v>
      </c>
    </row>
    <row r="53" spans="48:54" x14ac:dyDescent="0.25">
      <c r="AV53" t="s">
        <v>2127</v>
      </c>
      <c r="AW53" t="s">
        <v>1485</v>
      </c>
      <c r="AX53" t="s">
        <v>2031</v>
      </c>
      <c r="AY53" t="s">
        <v>2228</v>
      </c>
      <c r="AZ53" t="s">
        <v>2229</v>
      </c>
      <c r="BA53" t="s">
        <v>1873</v>
      </c>
      <c r="BB53" t="str">
        <f t="shared" si="0"/>
        <v>APINlaAlimosho</v>
      </c>
    </row>
    <row r="54" spans="48:54" x14ac:dyDescent="0.25">
      <c r="AV54" t="s">
        <v>2127</v>
      </c>
      <c r="AW54" t="s">
        <v>1485</v>
      </c>
      <c r="AX54" t="s">
        <v>2031</v>
      </c>
      <c r="AY54" t="s">
        <v>2230</v>
      </c>
      <c r="AZ54" t="s">
        <v>2231</v>
      </c>
      <c r="BA54" t="s">
        <v>1873</v>
      </c>
      <c r="BB54" t="str">
        <f t="shared" si="0"/>
        <v>APINlaAlimosho</v>
      </c>
    </row>
    <row r="55" spans="48:54" x14ac:dyDescent="0.25">
      <c r="AV55" t="s">
        <v>2127</v>
      </c>
      <c r="AW55" t="s">
        <v>1485</v>
      </c>
      <c r="AX55" t="s">
        <v>2031</v>
      </c>
      <c r="AY55" t="s">
        <v>2232</v>
      </c>
      <c r="AZ55" t="s">
        <v>2233</v>
      </c>
      <c r="BA55" t="s">
        <v>1873</v>
      </c>
      <c r="BB55" t="str">
        <f t="shared" si="0"/>
        <v>APINlaAlimosho</v>
      </c>
    </row>
    <row r="56" spans="48:54" x14ac:dyDescent="0.25">
      <c r="AV56" t="s">
        <v>2127</v>
      </c>
      <c r="AW56" t="s">
        <v>1485</v>
      </c>
      <c r="AX56" t="s">
        <v>2031</v>
      </c>
      <c r="AY56" t="s">
        <v>2234</v>
      </c>
      <c r="AZ56" t="s">
        <v>2235</v>
      </c>
      <c r="BA56" t="s">
        <v>1873</v>
      </c>
      <c r="BB56" t="str">
        <f t="shared" si="0"/>
        <v>APINlaAlimosho</v>
      </c>
    </row>
    <row r="57" spans="48:54" x14ac:dyDescent="0.25">
      <c r="AV57" t="s">
        <v>2127</v>
      </c>
      <c r="AW57" t="s">
        <v>1485</v>
      </c>
      <c r="AX57" t="s">
        <v>2031</v>
      </c>
      <c r="AY57" t="s">
        <v>2236</v>
      </c>
      <c r="AZ57" t="s">
        <v>2237</v>
      </c>
      <c r="BA57" t="s">
        <v>1873</v>
      </c>
      <c r="BB57" t="str">
        <f t="shared" si="0"/>
        <v>APINlaAlimosho</v>
      </c>
    </row>
    <row r="58" spans="48:54" x14ac:dyDescent="0.25">
      <c r="AV58" t="s">
        <v>2127</v>
      </c>
      <c r="AW58" t="s">
        <v>1485</v>
      </c>
      <c r="AX58" t="s">
        <v>2031</v>
      </c>
      <c r="AY58" t="s">
        <v>2238</v>
      </c>
      <c r="AZ58" t="s">
        <v>2239</v>
      </c>
      <c r="BA58" t="s">
        <v>1873</v>
      </c>
      <c r="BB58" t="str">
        <f t="shared" si="0"/>
        <v>APINlaAlimosho</v>
      </c>
    </row>
    <row r="59" spans="48:54" x14ac:dyDescent="0.25">
      <c r="AV59" t="s">
        <v>2127</v>
      </c>
      <c r="AW59" t="s">
        <v>1485</v>
      </c>
      <c r="AX59" t="s">
        <v>2031</v>
      </c>
      <c r="AY59" t="s">
        <v>2240</v>
      </c>
      <c r="AZ59" t="s">
        <v>2241</v>
      </c>
      <c r="BA59" t="s">
        <v>1873</v>
      </c>
      <c r="BB59" t="str">
        <f t="shared" si="0"/>
        <v>APINlaAlimosho</v>
      </c>
    </row>
    <row r="60" spans="48:54" x14ac:dyDescent="0.25">
      <c r="AV60" t="s">
        <v>2127</v>
      </c>
      <c r="AW60" t="s">
        <v>1485</v>
      </c>
      <c r="AX60" t="s">
        <v>2031</v>
      </c>
      <c r="AY60" t="s">
        <v>2242</v>
      </c>
      <c r="AZ60" t="s">
        <v>2243</v>
      </c>
      <c r="BA60" t="s">
        <v>1873</v>
      </c>
      <c r="BB60" t="str">
        <f t="shared" si="0"/>
        <v>APINlaAlimosho</v>
      </c>
    </row>
    <row r="61" spans="48:54" x14ac:dyDescent="0.25">
      <c r="AV61" t="s">
        <v>2127</v>
      </c>
      <c r="AW61" t="s">
        <v>1485</v>
      </c>
      <c r="AX61" t="s">
        <v>2031</v>
      </c>
      <c r="AY61" t="s">
        <v>2244</v>
      </c>
      <c r="AZ61" t="s">
        <v>2245</v>
      </c>
      <c r="BA61" t="s">
        <v>1873</v>
      </c>
      <c r="BB61" t="str">
        <f t="shared" si="0"/>
        <v>APINlaAlimosho</v>
      </c>
    </row>
    <row r="62" spans="48:54" x14ac:dyDescent="0.25">
      <c r="AV62" t="s">
        <v>2127</v>
      </c>
      <c r="AW62" t="s">
        <v>1485</v>
      </c>
      <c r="AX62" t="s">
        <v>2031</v>
      </c>
      <c r="AY62" t="s">
        <v>2246</v>
      </c>
      <c r="AZ62" t="s">
        <v>2247</v>
      </c>
      <c r="BA62" t="s">
        <v>1873</v>
      </c>
      <c r="BB62" t="str">
        <f t="shared" si="0"/>
        <v>APINlaAlimosho</v>
      </c>
    </row>
    <row r="63" spans="48:54" x14ac:dyDescent="0.25">
      <c r="AV63" t="s">
        <v>2127</v>
      </c>
      <c r="AW63" t="s">
        <v>1485</v>
      </c>
      <c r="AX63" t="s">
        <v>2031</v>
      </c>
      <c r="AY63" t="s">
        <v>2248</v>
      </c>
      <c r="AZ63" t="s">
        <v>2249</v>
      </c>
      <c r="BA63" t="s">
        <v>1873</v>
      </c>
      <c r="BB63" t="str">
        <f t="shared" si="0"/>
        <v>APINlaAlimosho</v>
      </c>
    </row>
    <row r="64" spans="48:54" x14ac:dyDescent="0.25">
      <c r="AV64" t="s">
        <v>2127</v>
      </c>
      <c r="AW64" t="s">
        <v>1485</v>
      </c>
      <c r="AX64" t="s">
        <v>2031</v>
      </c>
      <c r="AY64" t="s">
        <v>2250</v>
      </c>
      <c r="AZ64" t="s">
        <v>2251</v>
      </c>
      <c r="BA64" t="s">
        <v>1873</v>
      </c>
      <c r="BB64" t="str">
        <f t="shared" si="0"/>
        <v>APINlaAlimosho</v>
      </c>
    </row>
    <row r="65" spans="3:54" x14ac:dyDescent="0.25">
      <c r="AV65" t="s">
        <v>2127</v>
      </c>
      <c r="AW65" t="s">
        <v>1485</v>
      </c>
      <c r="AX65" t="s">
        <v>2031</v>
      </c>
      <c r="AY65" t="s">
        <v>2252</v>
      </c>
      <c r="AZ65" t="s">
        <v>2253</v>
      </c>
      <c r="BA65" t="s">
        <v>1873</v>
      </c>
      <c r="BB65" t="str">
        <f t="shared" si="0"/>
        <v>APINlaAlimosho</v>
      </c>
    </row>
    <row r="66" spans="3:54" x14ac:dyDescent="0.25">
      <c r="AV66" t="s">
        <v>2127</v>
      </c>
      <c r="AW66" t="s">
        <v>1485</v>
      </c>
      <c r="AX66" t="s">
        <v>2031</v>
      </c>
      <c r="AY66" t="s">
        <v>2254</v>
      </c>
      <c r="AZ66" t="s">
        <v>2255</v>
      </c>
      <c r="BA66" t="s">
        <v>1873</v>
      </c>
      <c r="BB66" t="str">
        <f t="shared" si="0"/>
        <v>APINlaAlimosho</v>
      </c>
    </row>
    <row r="67" spans="3:54" x14ac:dyDescent="0.25">
      <c r="AV67" t="s">
        <v>2127</v>
      </c>
      <c r="AW67" t="s">
        <v>1485</v>
      </c>
      <c r="AX67" t="s">
        <v>2031</v>
      </c>
      <c r="AY67" t="s">
        <v>2256</v>
      </c>
      <c r="AZ67" t="s">
        <v>2257</v>
      </c>
      <c r="BA67" t="s">
        <v>1873</v>
      </c>
      <c r="BB67" t="str">
        <f t="shared" ref="BB67:BB130" si="1">SUBSTITUTE(SUBSTITUTE(BA67&amp;AX67," ",""),"-","")</f>
        <v>APINlaAlimosho</v>
      </c>
    </row>
    <row r="68" spans="3:54" x14ac:dyDescent="0.25">
      <c r="AV68" t="s">
        <v>2127</v>
      </c>
      <c r="AW68" t="s">
        <v>1485</v>
      </c>
      <c r="AX68" t="s">
        <v>2031</v>
      </c>
      <c r="AY68" t="s">
        <v>2258</v>
      </c>
      <c r="AZ68" t="s">
        <v>2259</v>
      </c>
      <c r="BA68" t="s">
        <v>1873</v>
      </c>
      <c r="BB68" t="str">
        <f t="shared" si="1"/>
        <v>APINlaAlimosho</v>
      </c>
    </row>
    <row r="69" spans="3:54" x14ac:dyDescent="0.25">
      <c r="AV69" t="s">
        <v>2127</v>
      </c>
      <c r="AW69" t="s">
        <v>1485</v>
      </c>
      <c r="AX69" t="s">
        <v>2031</v>
      </c>
      <c r="AY69" t="s">
        <v>2260</v>
      </c>
      <c r="AZ69" t="s">
        <v>2261</v>
      </c>
      <c r="BA69" t="s">
        <v>1873</v>
      </c>
      <c r="BB69" t="str">
        <f t="shared" si="1"/>
        <v>APINlaAlimosho</v>
      </c>
    </row>
    <row r="70" spans="3:54" x14ac:dyDescent="0.25">
      <c r="AV70" t="s">
        <v>2127</v>
      </c>
      <c r="AW70" t="s">
        <v>1485</v>
      </c>
      <c r="AX70" t="s">
        <v>2031</v>
      </c>
      <c r="AY70" t="s">
        <v>2262</v>
      </c>
      <c r="AZ70" t="s">
        <v>2263</v>
      </c>
      <c r="BA70" t="s">
        <v>1873</v>
      </c>
      <c r="BB70" t="str">
        <f t="shared" si="1"/>
        <v>APINlaAlimosho</v>
      </c>
    </row>
    <row r="71" spans="3:54" x14ac:dyDescent="0.25">
      <c r="AV71" t="s">
        <v>2127</v>
      </c>
      <c r="AW71" t="s">
        <v>1485</v>
      </c>
      <c r="AX71" t="s">
        <v>2031</v>
      </c>
      <c r="AY71" t="s">
        <v>2264</v>
      </c>
      <c r="AZ71" t="s">
        <v>2265</v>
      </c>
      <c r="BA71" t="s">
        <v>1873</v>
      </c>
      <c r="BB71" t="str">
        <f t="shared" si="1"/>
        <v>APINlaAlimosho</v>
      </c>
    </row>
    <row r="72" spans="3:54" x14ac:dyDescent="0.25">
      <c r="AV72" t="s">
        <v>2127</v>
      </c>
      <c r="AW72" t="s">
        <v>1485</v>
      </c>
      <c r="AX72" t="s">
        <v>2031</v>
      </c>
      <c r="AY72" t="s">
        <v>2266</v>
      </c>
      <c r="AZ72" t="s">
        <v>2267</v>
      </c>
      <c r="BA72" t="s">
        <v>1873</v>
      </c>
      <c r="BB72" t="str">
        <f t="shared" si="1"/>
        <v>APINlaAlimosho</v>
      </c>
    </row>
    <row r="73" spans="3:54" x14ac:dyDescent="0.25">
      <c r="AV73" t="s">
        <v>2127</v>
      </c>
      <c r="AW73" t="s">
        <v>1485</v>
      </c>
      <c r="AX73" t="s">
        <v>2031</v>
      </c>
      <c r="AY73" t="s">
        <v>2268</v>
      </c>
      <c r="AZ73" t="s">
        <v>2269</v>
      </c>
      <c r="BA73" t="s">
        <v>1873</v>
      </c>
      <c r="BB73" t="str">
        <f t="shared" si="1"/>
        <v>APINlaAlimosho</v>
      </c>
    </row>
    <row r="74" spans="3:54" x14ac:dyDescent="0.25">
      <c r="AV74" t="s">
        <v>2127</v>
      </c>
      <c r="AW74" t="s">
        <v>1485</v>
      </c>
      <c r="AX74" t="s">
        <v>2031</v>
      </c>
      <c r="AY74" t="s">
        <v>2270</v>
      </c>
      <c r="AZ74" t="s">
        <v>2271</v>
      </c>
      <c r="BA74" t="s">
        <v>1873</v>
      </c>
      <c r="BB74" t="str">
        <f t="shared" si="1"/>
        <v>APINlaAlimosho</v>
      </c>
    </row>
    <row r="75" spans="3:54" x14ac:dyDescent="0.25">
      <c r="AV75" t="s">
        <v>2127</v>
      </c>
      <c r="AW75" t="s">
        <v>1485</v>
      </c>
      <c r="AX75" t="s">
        <v>2031</v>
      </c>
      <c r="AY75" t="s">
        <v>2272</v>
      </c>
      <c r="AZ75" t="s">
        <v>2273</v>
      </c>
      <c r="BA75" t="s">
        <v>1873</v>
      </c>
      <c r="BB75" t="str">
        <f t="shared" si="1"/>
        <v>APINlaAlimosho</v>
      </c>
    </row>
    <row r="76" spans="3:54" x14ac:dyDescent="0.25">
      <c r="AV76" t="s">
        <v>2127</v>
      </c>
      <c r="AW76" t="s">
        <v>1485</v>
      </c>
      <c r="AX76" t="s">
        <v>2031</v>
      </c>
      <c r="AY76" t="s">
        <v>2274</v>
      </c>
      <c r="AZ76" t="s">
        <v>2275</v>
      </c>
      <c r="BA76" t="s">
        <v>1873</v>
      </c>
      <c r="BB76" t="str">
        <f t="shared" si="1"/>
        <v>APINlaAlimosho</v>
      </c>
    </row>
    <row r="77" spans="3:54" x14ac:dyDescent="0.25">
      <c r="C77" t="str">
        <f>SUBSTITUTE(Worksheet!O3&amp;Worksheet!S3," ","")</f>
        <v>CCCRNebAbakaliki</v>
      </c>
      <c r="AV77" t="s">
        <v>2127</v>
      </c>
      <c r="AW77" t="s">
        <v>1485</v>
      </c>
      <c r="AX77" t="s">
        <v>2031</v>
      </c>
      <c r="AY77" t="s">
        <v>2276</v>
      </c>
      <c r="AZ77" t="s">
        <v>2277</v>
      </c>
      <c r="BA77" t="s">
        <v>1873</v>
      </c>
      <c r="BB77" t="str">
        <f t="shared" si="1"/>
        <v>APINlaAlimosho</v>
      </c>
    </row>
    <row r="78" spans="3:54" x14ac:dyDescent="0.25">
      <c r="AV78" t="s">
        <v>2127</v>
      </c>
      <c r="AW78" t="s">
        <v>1485</v>
      </c>
      <c r="AX78" t="s">
        <v>2031</v>
      </c>
      <c r="AY78" t="s">
        <v>2278</v>
      </c>
      <c r="AZ78" t="s">
        <v>2279</v>
      </c>
      <c r="BA78" t="s">
        <v>1873</v>
      </c>
      <c r="BB78" t="str">
        <f t="shared" si="1"/>
        <v>APINlaAlimosho</v>
      </c>
    </row>
    <row r="79" spans="3:54" x14ac:dyDescent="0.25">
      <c r="AV79" t="s">
        <v>2127</v>
      </c>
      <c r="AW79" t="s">
        <v>1485</v>
      </c>
      <c r="AX79" t="s">
        <v>2031</v>
      </c>
      <c r="AY79" t="s">
        <v>2280</v>
      </c>
      <c r="AZ79" t="s">
        <v>2281</v>
      </c>
      <c r="BA79" t="s">
        <v>1873</v>
      </c>
      <c r="BB79" t="str">
        <f t="shared" si="1"/>
        <v>APINlaAlimosho</v>
      </c>
    </row>
    <row r="80" spans="3:54" x14ac:dyDescent="0.25">
      <c r="AV80" t="s">
        <v>2127</v>
      </c>
      <c r="AW80" t="s">
        <v>1485</v>
      </c>
      <c r="AX80" t="s">
        <v>2031</v>
      </c>
      <c r="AY80" t="s">
        <v>2282</v>
      </c>
      <c r="AZ80" t="s">
        <v>2283</v>
      </c>
      <c r="BA80" t="s">
        <v>1873</v>
      </c>
      <c r="BB80" t="str">
        <f t="shared" si="1"/>
        <v>APINlaAlimosho</v>
      </c>
    </row>
    <row r="81" spans="48:54" x14ac:dyDescent="0.25">
      <c r="AV81" t="s">
        <v>2127</v>
      </c>
      <c r="AW81" t="s">
        <v>1485</v>
      </c>
      <c r="AX81" t="s">
        <v>2031</v>
      </c>
      <c r="AY81" t="s">
        <v>2284</v>
      </c>
      <c r="AZ81" t="s">
        <v>2285</v>
      </c>
      <c r="BA81" t="s">
        <v>1873</v>
      </c>
      <c r="BB81" t="str">
        <f t="shared" si="1"/>
        <v>APINlaAlimosho</v>
      </c>
    </row>
    <row r="82" spans="48:54" x14ac:dyDescent="0.25">
      <c r="AV82" t="s">
        <v>2127</v>
      </c>
      <c r="AW82" t="s">
        <v>1485</v>
      </c>
      <c r="AX82" t="s">
        <v>2031</v>
      </c>
      <c r="AY82" t="s">
        <v>2286</v>
      </c>
      <c r="AZ82" t="s">
        <v>2287</v>
      </c>
      <c r="BA82" t="s">
        <v>1873</v>
      </c>
      <c r="BB82" t="str">
        <f t="shared" si="1"/>
        <v>APINlaAlimosho</v>
      </c>
    </row>
    <row r="83" spans="48:54" x14ac:dyDescent="0.25">
      <c r="AV83" t="s">
        <v>2127</v>
      </c>
      <c r="AW83" t="s">
        <v>1485</v>
      </c>
      <c r="AX83" t="s">
        <v>2031</v>
      </c>
      <c r="AY83" t="s">
        <v>2288</v>
      </c>
      <c r="AZ83" t="s">
        <v>2289</v>
      </c>
      <c r="BA83" t="s">
        <v>1873</v>
      </c>
      <c r="BB83" t="str">
        <f t="shared" si="1"/>
        <v>APINlaAlimosho</v>
      </c>
    </row>
    <row r="84" spans="48:54" x14ac:dyDescent="0.25">
      <c r="AV84" t="s">
        <v>2127</v>
      </c>
      <c r="AW84" t="s">
        <v>1485</v>
      </c>
      <c r="AX84" t="s">
        <v>2031</v>
      </c>
      <c r="AY84" t="s">
        <v>2290</v>
      </c>
      <c r="AZ84" t="s">
        <v>2291</v>
      </c>
      <c r="BA84" t="s">
        <v>1873</v>
      </c>
      <c r="BB84" t="str">
        <f t="shared" si="1"/>
        <v>APINlaAlimosho</v>
      </c>
    </row>
    <row r="85" spans="48:54" x14ac:dyDescent="0.25">
      <c r="AV85" t="s">
        <v>2127</v>
      </c>
      <c r="AW85" t="s">
        <v>1485</v>
      </c>
      <c r="AX85" t="s">
        <v>2031</v>
      </c>
      <c r="AY85" t="s">
        <v>2292</v>
      </c>
      <c r="AZ85" t="s">
        <v>2293</v>
      </c>
      <c r="BA85" t="s">
        <v>1873</v>
      </c>
      <c r="BB85" t="str">
        <f t="shared" si="1"/>
        <v>APINlaAlimosho</v>
      </c>
    </row>
    <row r="86" spans="48:54" x14ac:dyDescent="0.25">
      <c r="AV86" t="s">
        <v>2127</v>
      </c>
      <c r="AW86" t="s">
        <v>1485</v>
      </c>
      <c r="AX86" t="s">
        <v>2032</v>
      </c>
      <c r="AY86" t="s">
        <v>2294</v>
      </c>
      <c r="AZ86" t="s">
        <v>2295</v>
      </c>
      <c r="BA86" t="s">
        <v>1873</v>
      </c>
      <c r="BB86" t="str">
        <f t="shared" si="1"/>
        <v>APINlaAmuwoOdofin</v>
      </c>
    </row>
    <row r="87" spans="48:54" x14ac:dyDescent="0.25">
      <c r="AV87" t="s">
        <v>2127</v>
      </c>
      <c r="AW87" t="s">
        <v>1485</v>
      </c>
      <c r="AX87" t="s">
        <v>2032</v>
      </c>
      <c r="AY87" t="s">
        <v>2296</v>
      </c>
      <c r="AZ87" t="s">
        <v>2297</v>
      </c>
      <c r="BA87" t="s">
        <v>1873</v>
      </c>
      <c r="BB87" t="str">
        <f t="shared" si="1"/>
        <v>APINlaAmuwoOdofin</v>
      </c>
    </row>
    <row r="88" spans="48:54" x14ac:dyDescent="0.25">
      <c r="AV88" t="s">
        <v>2127</v>
      </c>
      <c r="AW88" t="s">
        <v>1485</v>
      </c>
      <c r="AX88" t="s">
        <v>2032</v>
      </c>
      <c r="AY88" t="s">
        <v>2298</v>
      </c>
      <c r="AZ88" t="s">
        <v>2299</v>
      </c>
      <c r="BA88" t="s">
        <v>1873</v>
      </c>
      <c r="BB88" t="str">
        <f t="shared" si="1"/>
        <v>APINlaAmuwoOdofin</v>
      </c>
    </row>
    <row r="89" spans="48:54" x14ac:dyDescent="0.25">
      <c r="AV89" t="s">
        <v>2127</v>
      </c>
      <c r="AW89" t="s">
        <v>1485</v>
      </c>
      <c r="AX89" t="s">
        <v>2032</v>
      </c>
      <c r="AY89" t="s">
        <v>2300</v>
      </c>
      <c r="AZ89" t="s">
        <v>2301</v>
      </c>
      <c r="BA89" t="s">
        <v>1873</v>
      </c>
      <c r="BB89" t="str">
        <f t="shared" si="1"/>
        <v>APINlaAmuwoOdofin</v>
      </c>
    </row>
    <row r="90" spans="48:54" x14ac:dyDescent="0.25">
      <c r="AV90" t="s">
        <v>2127</v>
      </c>
      <c r="AW90" t="s">
        <v>1485</v>
      </c>
      <c r="AX90" t="s">
        <v>2032</v>
      </c>
      <c r="AY90" t="s">
        <v>2302</v>
      </c>
      <c r="AZ90" t="s">
        <v>2303</v>
      </c>
      <c r="BA90" t="s">
        <v>1873</v>
      </c>
      <c r="BB90" t="str">
        <f t="shared" si="1"/>
        <v>APINlaAmuwoOdofin</v>
      </c>
    </row>
    <row r="91" spans="48:54" x14ac:dyDescent="0.25">
      <c r="AV91" t="s">
        <v>2127</v>
      </c>
      <c r="AW91" t="s">
        <v>1485</v>
      </c>
      <c r="AX91" t="s">
        <v>2032</v>
      </c>
      <c r="AY91" t="s">
        <v>2304</v>
      </c>
      <c r="AZ91" t="s">
        <v>2305</v>
      </c>
      <c r="BA91" t="s">
        <v>1873</v>
      </c>
      <c r="BB91" t="str">
        <f t="shared" si="1"/>
        <v>APINlaAmuwoOdofin</v>
      </c>
    </row>
    <row r="92" spans="48:54" x14ac:dyDescent="0.25">
      <c r="AV92" t="s">
        <v>2127</v>
      </c>
      <c r="AW92" t="s">
        <v>1485</v>
      </c>
      <c r="AX92" t="s">
        <v>2032</v>
      </c>
      <c r="AY92" t="s">
        <v>2306</v>
      </c>
      <c r="AZ92" t="s">
        <v>2307</v>
      </c>
      <c r="BA92" t="s">
        <v>1873</v>
      </c>
      <c r="BB92" t="str">
        <f t="shared" si="1"/>
        <v>APINlaAmuwoOdofin</v>
      </c>
    </row>
    <row r="93" spans="48:54" x14ac:dyDescent="0.25">
      <c r="AV93" t="s">
        <v>2127</v>
      </c>
      <c r="AW93" t="s">
        <v>1485</v>
      </c>
      <c r="AX93" t="s">
        <v>2032</v>
      </c>
      <c r="AY93" t="s">
        <v>2308</v>
      </c>
      <c r="AZ93" t="s">
        <v>2309</v>
      </c>
      <c r="BA93" t="s">
        <v>1873</v>
      </c>
      <c r="BB93" t="str">
        <f t="shared" si="1"/>
        <v>APINlaAmuwoOdofin</v>
      </c>
    </row>
    <row r="94" spans="48:54" x14ac:dyDescent="0.25">
      <c r="AV94" t="s">
        <v>2127</v>
      </c>
      <c r="AW94" t="s">
        <v>1485</v>
      </c>
      <c r="AX94" t="s">
        <v>2032</v>
      </c>
      <c r="AY94" t="s">
        <v>2310</v>
      </c>
      <c r="AZ94" t="s">
        <v>2311</v>
      </c>
      <c r="BA94" t="s">
        <v>1873</v>
      </c>
      <c r="BB94" t="str">
        <f t="shared" si="1"/>
        <v>APINlaAmuwoOdofin</v>
      </c>
    </row>
    <row r="95" spans="48:54" x14ac:dyDescent="0.25">
      <c r="AV95" t="s">
        <v>2127</v>
      </c>
      <c r="AW95" t="s">
        <v>1485</v>
      </c>
      <c r="AX95" t="s">
        <v>2033</v>
      </c>
      <c r="AY95" t="s">
        <v>2312</v>
      </c>
      <c r="AZ95" t="s">
        <v>2313</v>
      </c>
      <c r="BA95" t="s">
        <v>1873</v>
      </c>
      <c r="BB95" t="str">
        <f t="shared" si="1"/>
        <v>APINlaEpe</v>
      </c>
    </row>
    <row r="96" spans="48:54" x14ac:dyDescent="0.25">
      <c r="AV96" t="s">
        <v>2127</v>
      </c>
      <c r="AW96" t="s">
        <v>1485</v>
      </c>
      <c r="AX96" t="s">
        <v>2033</v>
      </c>
      <c r="AY96" t="s">
        <v>2314</v>
      </c>
      <c r="AZ96" t="s">
        <v>2315</v>
      </c>
      <c r="BA96" t="s">
        <v>1873</v>
      </c>
      <c r="BB96" t="str">
        <f t="shared" si="1"/>
        <v>APINlaEpe</v>
      </c>
    </row>
    <row r="97" spans="48:54" x14ac:dyDescent="0.25">
      <c r="AV97" t="s">
        <v>2127</v>
      </c>
      <c r="AW97" t="s">
        <v>1485</v>
      </c>
      <c r="AX97" t="s">
        <v>2033</v>
      </c>
      <c r="AY97" t="s">
        <v>2316</v>
      </c>
      <c r="AZ97" t="s">
        <v>2317</v>
      </c>
      <c r="BA97" t="s">
        <v>1873</v>
      </c>
      <c r="BB97" t="str">
        <f t="shared" si="1"/>
        <v>APINlaEpe</v>
      </c>
    </row>
    <row r="98" spans="48:54" x14ac:dyDescent="0.25">
      <c r="AV98" t="s">
        <v>2127</v>
      </c>
      <c r="AW98" t="s">
        <v>1485</v>
      </c>
      <c r="AX98" t="s">
        <v>2033</v>
      </c>
      <c r="AY98" t="s">
        <v>2318</v>
      </c>
      <c r="AZ98" t="s">
        <v>2319</v>
      </c>
      <c r="BA98" t="s">
        <v>1873</v>
      </c>
      <c r="BB98" t="str">
        <f t="shared" si="1"/>
        <v>APINlaEpe</v>
      </c>
    </row>
    <row r="99" spans="48:54" x14ac:dyDescent="0.25">
      <c r="AV99" t="s">
        <v>2127</v>
      </c>
      <c r="AW99" t="s">
        <v>1485</v>
      </c>
      <c r="AX99" t="s">
        <v>2034</v>
      </c>
      <c r="AY99" t="s">
        <v>2320</v>
      </c>
      <c r="AZ99" t="s">
        <v>2321</v>
      </c>
      <c r="BA99" t="s">
        <v>1873</v>
      </c>
      <c r="BB99" t="str">
        <f t="shared" si="1"/>
        <v>APINlaEtiOsa</v>
      </c>
    </row>
    <row r="100" spans="48:54" x14ac:dyDescent="0.25">
      <c r="AV100" t="s">
        <v>2127</v>
      </c>
      <c r="AW100" t="s">
        <v>1485</v>
      </c>
      <c r="AX100" t="s">
        <v>2034</v>
      </c>
      <c r="AY100" t="s">
        <v>2322</v>
      </c>
      <c r="AZ100" t="s">
        <v>2323</v>
      </c>
      <c r="BA100" t="s">
        <v>1873</v>
      </c>
      <c r="BB100" t="str">
        <f t="shared" si="1"/>
        <v>APINlaEtiOsa</v>
      </c>
    </row>
    <row r="101" spans="48:54" x14ac:dyDescent="0.25">
      <c r="AV101" t="s">
        <v>2127</v>
      </c>
      <c r="AW101" t="s">
        <v>1485</v>
      </c>
      <c r="AX101" t="s">
        <v>2034</v>
      </c>
      <c r="AY101" t="s">
        <v>2324</v>
      </c>
      <c r="AZ101" t="s">
        <v>2325</v>
      </c>
      <c r="BA101" t="s">
        <v>1873</v>
      </c>
      <c r="BB101" t="str">
        <f t="shared" si="1"/>
        <v>APINlaEtiOsa</v>
      </c>
    </row>
    <row r="102" spans="48:54" x14ac:dyDescent="0.25">
      <c r="AV102" t="s">
        <v>2127</v>
      </c>
      <c r="AW102" t="s">
        <v>1485</v>
      </c>
      <c r="AX102" t="s">
        <v>2034</v>
      </c>
      <c r="AY102" t="s">
        <v>2326</v>
      </c>
      <c r="AZ102" t="s">
        <v>2327</v>
      </c>
      <c r="BA102" t="s">
        <v>1873</v>
      </c>
      <c r="BB102" t="str">
        <f t="shared" si="1"/>
        <v>APINlaEtiOsa</v>
      </c>
    </row>
    <row r="103" spans="48:54" x14ac:dyDescent="0.25">
      <c r="AV103" t="s">
        <v>2127</v>
      </c>
      <c r="AW103" t="s">
        <v>1485</v>
      </c>
      <c r="AX103" t="s">
        <v>2034</v>
      </c>
      <c r="AY103" t="s">
        <v>2328</v>
      </c>
      <c r="AZ103" t="s">
        <v>2329</v>
      </c>
      <c r="BA103" t="s">
        <v>1873</v>
      </c>
      <c r="BB103" t="str">
        <f t="shared" si="1"/>
        <v>APINlaEtiOsa</v>
      </c>
    </row>
    <row r="104" spans="48:54" x14ac:dyDescent="0.25">
      <c r="AV104" t="s">
        <v>2127</v>
      </c>
      <c r="AW104" t="s">
        <v>1485</v>
      </c>
      <c r="AX104" t="s">
        <v>2034</v>
      </c>
      <c r="AY104" t="s">
        <v>2330</v>
      </c>
      <c r="AZ104" t="s">
        <v>2331</v>
      </c>
      <c r="BA104" t="s">
        <v>1873</v>
      </c>
      <c r="BB104" t="str">
        <f t="shared" si="1"/>
        <v>APINlaEtiOsa</v>
      </c>
    </row>
    <row r="105" spans="48:54" x14ac:dyDescent="0.25">
      <c r="AV105" t="s">
        <v>2127</v>
      </c>
      <c r="AW105" t="s">
        <v>1485</v>
      </c>
      <c r="AX105" t="s">
        <v>2034</v>
      </c>
      <c r="AY105" t="s">
        <v>2332</v>
      </c>
      <c r="AZ105" t="s">
        <v>2333</v>
      </c>
      <c r="BA105" t="s">
        <v>1873</v>
      </c>
      <c r="BB105" t="str">
        <f t="shared" si="1"/>
        <v>APINlaEtiOsa</v>
      </c>
    </row>
    <row r="106" spans="48:54" x14ac:dyDescent="0.25">
      <c r="AV106" t="s">
        <v>2127</v>
      </c>
      <c r="AW106" t="s">
        <v>1485</v>
      </c>
      <c r="AX106" t="s">
        <v>2035</v>
      </c>
      <c r="AY106" t="s">
        <v>2334</v>
      </c>
      <c r="AZ106" t="s">
        <v>2335</v>
      </c>
      <c r="BA106" t="s">
        <v>1873</v>
      </c>
      <c r="BB106" t="str">
        <f t="shared" si="1"/>
        <v>APINlaIbeju</v>
      </c>
    </row>
    <row r="107" spans="48:54" x14ac:dyDescent="0.25">
      <c r="AV107" t="s">
        <v>2127</v>
      </c>
      <c r="AW107" t="s">
        <v>1485</v>
      </c>
      <c r="AX107" t="s">
        <v>2035</v>
      </c>
      <c r="AY107" t="s">
        <v>2334</v>
      </c>
      <c r="AZ107" t="s">
        <v>2336</v>
      </c>
      <c r="BA107" t="s">
        <v>1873</v>
      </c>
      <c r="BB107" t="str">
        <f t="shared" si="1"/>
        <v>APINlaIbeju</v>
      </c>
    </row>
    <row r="108" spans="48:54" x14ac:dyDescent="0.25">
      <c r="AV108" t="s">
        <v>2127</v>
      </c>
      <c r="AW108" t="s">
        <v>1485</v>
      </c>
      <c r="AX108" t="s">
        <v>2035</v>
      </c>
      <c r="AY108" t="s">
        <v>2334</v>
      </c>
      <c r="AZ108" t="s">
        <v>2337</v>
      </c>
      <c r="BA108" t="s">
        <v>1873</v>
      </c>
      <c r="BB108" t="str">
        <f t="shared" si="1"/>
        <v>APINlaIbeju</v>
      </c>
    </row>
    <row r="109" spans="48:54" x14ac:dyDescent="0.25">
      <c r="AV109" t="s">
        <v>2127</v>
      </c>
      <c r="AW109" t="s">
        <v>1485</v>
      </c>
      <c r="AX109" t="s">
        <v>2035</v>
      </c>
      <c r="AY109" t="s">
        <v>2334</v>
      </c>
      <c r="AZ109" t="s">
        <v>2338</v>
      </c>
      <c r="BA109" t="s">
        <v>1873</v>
      </c>
      <c r="BB109" t="str">
        <f t="shared" si="1"/>
        <v>APINlaIbeju</v>
      </c>
    </row>
    <row r="110" spans="48:54" x14ac:dyDescent="0.25">
      <c r="AV110" t="s">
        <v>2127</v>
      </c>
      <c r="AW110" t="s">
        <v>1485</v>
      </c>
      <c r="AX110" t="s">
        <v>2036</v>
      </c>
      <c r="AY110" t="s">
        <v>2339</v>
      </c>
      <c r="AZ110" t="s">
        <v>2340</v>
      </c>
      <c r="BA110" t="s">
        <v>1873</v>
      </c>
      <c r="BB110" t="str">
        <f t="shared" si="1"/>
        <v>APINlaIfakoIjaiye</v>
      </c>
    </row>
    <row r="111" spans="48:54" x14ac:dyDescent="0.25">
      <c r="AV111" t="s">
        <v>2127</v>
      </c>
      <c r="AW111" t="s">
        <v>1485</v>
      </c>
      <c r="AX111" t="s">
        <v>2036</v>
      </c>
      <c r="AY111" t="s">
        <v>2341</v>
      </c>
      <c r="AZ111" t="s">
        <v>2342</v>
      </c>
      <c r="BA111" t="s">
        <v>1873</v>
      </c>
      <c r="BB111" t="str">
        <f t="shared" si="1"/>
        <v>APINlaIfakoIjaiye</v>
      </c>
    </row>
    <row r="112" spans="48:54" x14ac:dyDescent="0.25">
      <c r="AV112" t="s">
        <v>2127</v>
      </c>
      <c r="AW112" t="s">
        <v>1485</v>
      </c>
      <c r="AX112" t="s">
        <v>2036</v>
      </c>
      <c r="AY112" t="s">
        <v>2343</v>
      </c>
      <c r="AZ112" t="s">
        <v>2344</v>
      </c>
      <c r="BA112" t="s">
        <v>1873</v>
      </c>
      <c r="BB112" t="str">
        <f t="shared" si="1"/>
        <v>APINlaIfakoIjaiye</v>
      </c>
    </row>
    <row r="113" spans="48:54" x14ac:dyDescent="0.25">
      <c r="AV113" t="s">
        <v>2127</v>
      </c>
      <c r="AW113" t="s">
        <v>1485</v>
      </c>
      <c r="AX113" t="s">
        <v>2036</v>
      </c>
      <c r="AY113" t="s">
        <v>2345</v>
      </c>
      <c r="AZ113" t="s">
        <v>2346</v>
      </c>
      <c r="BA113" t="s">
        <v>1873</v>
      </c>
      <c r="BB113" t="str">
        <f t="shared" si="1"/>
        <v>APINlaIfakoIjaiye</v>
      </c>
    </row>
    <row r="114" spans="48:54" x14ac:dyDescent="0.25">
      <c r="AV114" t="s">
        <v>2127</v>
      </c>
      <c r="AW114" t="s">
        <v>1485</v>
      </c>
      <c r="AX114" t="s">
        <v>2036</v>
      </c>
      <c r="AY114" t="s">
        <v>2347</v>
      </c>
      <c r="AZ114" t="s">
        <v>2348</v>
      </c>
      <c r="BA114" t="s">
        <v>1873</v>
      </c>
      <c r="BB114" t="str">
        <f t="shared" si="1"/>
        <v>APINlaIfakoIjaiye</v>
      </c>
    </row>
    <row r="115" spans="48:54" x14ac:dyDescent="0.25">
      <c r="AV115" t="s">
        <v>2127</v>
      </c>
      <c r="AW115" t="s">
        <v>1485</v>
      </c>
      <c r="AX115" t="s">
        <v>2036</v>
      </c>
      <c r="AY115" t="s">
        <v>2349</v>
      </c>
      <c r="AZ115" t="s">
        <v>2350</v>
      </c>
      <c r="BA115" t="s">
        <v>1873</v>
      </c>
      <c r="BB115" t="str">
        <f t="shared" si="1"/>
        <v>APINlaIfakoIjaiye</v>
      </c>
    </row>
    <row r="116" spans="48:54" x14ac:dyDescent="0.25">
      <c r="AV116" t="s">
        <v>2127</v>
      </c>
      <c r="AW116" t="s">
        <v>1485</v>
      </c>
      <c r="AX116" t="s">
        <v>2036</v>
      </c>
      <c r="AY116" t="s">
        <v>2351</v>
      </c>
      <c r="AZ116" t="s">
        <v>2352</v>
      </c>
      <c r="BA116" t="s">
        <v>1873</v>
      </c>
      <c r="BB116" t="str">
        <f t="shared" si="1"/>
        <v>APINlaIfakoIjaiye</v>
      </c>
    </row>
    <row r="117" spans="48:54" x14ac:dyDescent="0.25">
      <c r="AV117" t="s">
        <v>2127</v>
      </c>
      <c r="AW117" t="s">
        <v>1485</v>
      </c>
      <c r="AX117" t="s">
        <v>2036</v>
      </c>
      <c r="AY117" t="s">
        <v>2353</v>
      </c>
      <c r="AZ117" t="s">
        <v>2354</v>
      </c>
      <c r="BA117" t="s">
        <v>1873</v>
      </c>
      <c r="BB117" t="str">
        <f t="shared" si="1"/>
        <v>APINlaIfakoIjaiye</v>
      </c>
    </row>
    <row r="118" spans="48:54" x14ac:dyDescent="0.25">
      <c r="AV118" t="s">
        <v>2127</v>
      </c>
      <c r="AW118" t="s">
        <v>1485</v>
      </c>
      <c r="AX118" t="s">
        <v>2036</v>
      </c>
      <c r="AY118" t="s">
        <v>2355</v>
      </c>
      <c r="AZ118" t="s">
        <v>2356</v>
      </c>
      <c r="BA118" t="s">
        <v>1873</v>
      </c>
      <c r="BB118" t="str">
        <f t="shared" si="1"/>
        <v>APINlaIfakoIjaiye</v>
      </c>
    </row>
    <row r="119" spans="48:54" x14ac:dyDescent="0.25">
      <c r="AV119" t="s">
        <v>2127</v>
      </c>
      <c r="AW119" t="s">
        <v>1485</v>
      </c>
      <c r="AX119" t="s">
        <v>2036</v>
      </c>
      <c r="AY119" t="s">
        <v>2357</v>
      </c>
      <c r="AZ119" t="s">
        <v>2358</v>
      </c>
      <c r="BA119" t="s">
        <v>1873</v>
      </c>
      <c r="BB119" t="str">
        <f t="shared" si="1"/>
        <v>APINlaIfakoIjaiye</v>
      </c>
    </row>
    <row r="120" spans="48:54" x14ac:dyDescent="0.25">
      <c r="AV120" t="s">
        <v>2127</v>
      </c>
      <c r="AW120" t="s">
        <v>1485</v>
      </c>
      <c r="AX120" t="s">
        <v>2036</v>
      </c>
      <c r="AY120" t="s">
        <v>2359</v>
      </c>
      <c r="AZ120" t="s">
        <v>2360</v>
      </c>
      <c r="BA120" t="s">
        <v>1873</v>
      </c>
      <c r="BB120" t="str">
        <f t="shared" si="1"/>
        <v>APINlaIfakoIjaiye</v>
      </c>
    </row>
    <row r="121" spans="48:54" x14ac:dyDescent="0.25">
      <c r="AV121" t="s">
        <v>2127</v>
      </c>
      <c r="AW121" t="s">
        <v>1485</v>
      </c>
      <c r="AX121" t="s">
        <v>2036</v>
      </c>
      <c r="AY121" t="s">
        <v>2361</v>
      </c>
      <c r="AZ121" t="s">
        <v>2362</v>
      </c>
      <c r="BA121" t="s">
        <v>1873</v>
      </c>
      <c r="BB121" t="str">
        <f t="shared" si="1"/>
        <v>APINlaIfakoIjaiye</v>
      </c>
    </row>
    <row r="122" spans="48:54" x14ac:dyDescent="0.25">
      <c r="AV122" t="s">
        <v>2127</v>
      </c>
      <c r="AW122" t="s">
        <v>1485</v>
      </c>
      <c r="AX122" t="s">
        <v>2037</v>
      </c>
      <c r="AY122" t="s">
        <v>2363</v>
      </c>
      <c r="AZ122" t="s">
        <v>2364</v>
      </c>
      <c r="BA122" t="s">
        <v>1873</v>
      </c>
      <c r="BB122" t="str">
        <f t="shared" si="1"/>
        <v>APINlaIkeja</v>
      </c>
    </row>
    <row r="123" spans="48:54" x14ac:dyDescent="0.25">
      <c r="AV123" t="s">
        <v>2127</v>
      </c>
      <c r="AW123" t="s">
        <v>1485</v>
      </c>
      <c r="AX123" t="s">
        <v>2037</v>
      </c>
      <c r="AY123" t="s">
        <v>2365</v>
      </c>
      <c r="AZ123" t="s">
        <v>2366</v>
      </c>
      <c r="BA123" t="s">
        <v>1873</v>
      </c>
      <c r="BB123" t="str">
        <f t="shared" si="1"/>
        <v>APINlaIkeja</v>
      </c>
    </row>
    <row r="124" spans="48:54" x14ac:dyDescent="0.25">
      <c r="AV124" t="s">
        <v>2127</v>
      </c>
      <c r="AW124" t="s">
        <v>1485</v>
      </c>
      <c r="AX124" t="s">
        <v>2037</v>
      </c>
      <c r="AY124" t="s">
        <v>2367</v>
      </c>
      <c r="AZ124" t="s">
        <v>2368</v>
      </c>
      <c r="BA124" t="s">
        <v>1873</v>
      </c>
      <c r="BB124" t="str">
        <f t="shared" si="1"/>
        <v>APINlaIkeja</v>
      </c>
    </row>
    <row r="125" spans="48:54" x14ac:dyDescent="0.25">
      <c r="AV125" t="s">
        <v>2127</v>
      </c>
      <c r="AW125" t="s">
        <v>1485</v>
      </c>
      <c r="AX125" t="s">
        <v>2037</v>
      </c>
      <c r="AY125" t="s">
        <v>2369</v>
      </c>
      <c r="AZ125" t="s">
        <v>2370</v>
      </c>
      <c r="BA125" t="s">
        <v>1873</v>
      </c>
      <c r="BB125" t="str">
        <f t="shared" si="1"/>
        <v>APINlaIkeja</v>
      </c>
    </row>
    <row r="126" spans="48:54" x14ac:dyDescent="0.25">
      <c r="AV126" t="s">
        <v>2127</v>
      </c>
      <c r="AW126" t="s">
        <v>1485</v>
      </c>
      <c r="AX126" t="s">
        <v>2037</v>
      </c>
      <c r="AY126" t="s">
        <v>2371</v>
      </c>
      <c r="AZ126" t="s">
        <v>2372</v>
      </c>
      <c r="BA126" t="s">
        <v>1873</v>
      </c>
      <c r="BB126" t="str">
        <f t="shared" si="1"/>
        <v>APINlaIkeja</v>
      </c>
    </row>
    <row r="127" spans="48:54" x14ac:dyDescent="0.25">
      <c r="AV127" t="s">
        <v>2127</v>
      </c>
      <c r="AW127" t="s">
        <v>1485</v>
      </c>
      <c r="AX127" t="s">
        <v>2037</v>
      </c>
      <c r="AY127" t="s">
        <v>2373</v>
      </c>
      <c r="AZ127" t="s">
        <v>2374</v>
      </c>
      <c r="BA127" t="s">
        <v>1873</v>
      </c>
      <c r="BB127" t="str">
        <f t="shared" si="1"/>
        <v>APINlaIkeja</v>
      </c>
    </row>
    <row r="128" spans="48:54" x14ac:dyDescent="0.25">
      <c r="AV128" t="s">
        <v>2127</v>
      </c>
      <c r="AW128" t="s">
        <v>1485</v>
      </c>
      <c r="AX128" t="s">
        <v>2037</v>
      </c>
      <c r="AY128" t="s">
        <v>2375</v>
      </c>
      <c r="AZ128" t="s">
        <v>2376</v>
      </c>
      <c r="BA128" t="s">
        <v>1873</v>
      </c>
      <c r="BB128" t="str">
        <f t="shared" si="1"/>
        <v>APINlaIkeja</v>
      </c>
    </row>
    <row r="129" spans="48:54" x14ac:dyDescent="0.25">
      <c r="AV129" t="s">
        <v>2127</v>
      </c>
      <c r="AW129" t="s">
        <v>1485</v>
      </c>
      <c r="AX129" t="s">
        <v>2037</v>
      </c>
      <c r="AY129" t="s">
        <v>2377</v>
      </c>
      <c r="AZ129" t="s">
        <v>2378</v>
      </c>
      <c r="BA129" t="s">
        <v>1873</v>
      </c>
      <c r="BB129" t="str">
        <f t="shared" si="1"/>
        <v>APINlaIkeja</v>
      </c>
    </row>
    <row r="130" spans="48:54" x14ac:dyDescent="0.25">
      <c r="AV130" t="s">
        <v>2127</v>
      </c>
      <c r="AW130" t="s">
        <v>1485</v>
      </c>
      <c r="AX130" t="s">
        <v>2037</v>
      </c>
      <c r="AY130" t="s">
        <v>2379</v>
      </c>
      <c r="AZ130" t="s">
        <v>2380</v>
      </c>
      <c r="BA130" t="s">
        <v>1873</v>
      </c>
      <c r="BB130" t="str">
        <f t="shared" si="1"/>
        <v>APINlaIkeja</v>
      </c>
    </row>
    <row r="131" spans="48:54" x14ac:dyDescent="0.25">
      <c r="AV131" t="s">
        <v>2127</v>
      </c>
      <c r="AW131" t="s">
        <v>1485</v>
      </c>
      <c r="AX131" t="s">
        <v>2037</v>
      </c>
      <c r="AY131" t="s">
        <v>2381</v>
      </c>
      <c r="AZ131" t="s">
        <v>2382</v>
      </c>
      <c r="BA131" t="s">
        <v>1873</v>
      </c>
      <c r="BB131" t="str">
        <f t="shared" ref="BB131:BB194" si="2">SUBSTITUTE(SUBSTITUTE(BA131&amp;AX131," ",""),"-","")</f>
        <v>APINlaIkeja</v>
      </c>
    </row>
    <row r="132" spans="48:54" x14ac:dyDescent="0.25">
      <c r="AV132" t="s">
        <v>2127</v>
      </c>
      <c r="AW132" t="s">
        <v>1485</v>
      </c>
      <c r="AX132" t="s">
        <v>2037</v>
      </c>
      <c r="AY132" t="s">
        <v>2383</v>
      </c>
      <c r="AZ132" t="s">
        <v>2384</v>
      </c>
      <c r="BA132" t="s">
        <v>1873</v>
      </c>
      <c r="BB132" t="str">
        <f t="shared" si="2"/>
        <v>APINlaIkeja</v>
      </c>
    </row>
    <row r="133" spans="48:54" x14ac:dyDescent="0.25">
      <c r="AV133" t="s">
        <v>2127</v>
      </c>
      <c r="AW133" t="s">
        <v>1485</v>
      </c>
      <c r="AX133" t="s">
        <v>2037</v>
      </c>
      <c r="AY133" t="s">
        <v>2385</v>
      </c>
      <c r="AZ133" t="s">
        <v>2386</v>
      </c>
      <c r="BA133" t="s">
        <v>1873</v>
      </c>
      <c r="BB133" t="str">
        <f t="shared" si="2"/>
        <v>APINlaIkeja</v>
      </c>
    </row>
    <row r="134" spans="48:54" x14ac:dyDescent="0.25">
      <c r="AV134" t="s">
        <v>2127</v>
      </c>
      <c r="AW134" t="s">
        <v>1485</v>
      </c>
      <c r="AX134" t="s">
        <v>2037</v>
      </c>
      <c r="AY134" t="s">
        <v>2387</v>
      </c>
      <c r="AZ134" t="s">
        <v>2388</v>
      </c>
      <c r="BA134" t="s">
        <v>1873</v>
      </c>
      <c r="BB134" t="str">
        <f t="shared" si="2"/>
        <v>APINlaIkeja</v>
      </c>
    </row>
    <row r="135" spans="48:54" x14ac:dyDescent="0.25">
      <c r="AV135" t="s">
        <v>2127</v>
      </c>
      <c r="AW135" t="s">
        <v>1485</v>
      </c>
      <c r="AX135" t="s">
        <v>2037</v>
      </c>
      <c r="AY135" t="s">
        <v>2389</v>
      </c>
      <c r="AZ135" t="s">
        <v>2390</v>
      </c>
      <c r="BA135" t="s">
        <v>1873</v>
      </c>
      <c r="BB135" t="str">
        <f t="shared" si="2"/>
        <v>APINlaIkeja</v>
      </c>
    </row>
    <row r="136" spans="48:54" x14ac:dyDescent="0.25">
      <c r="AV136" t="s">
        <v>2127</v>
      </c>
      <c r="AW136" t="s">
        <v>1485</v>
      </c>
      <c r="AX136" t="s">
        <v>2037</v>
      </c>
      <c r="AY136" t="s">
        <v>2391</v>
      </c>
      <c r="AZ136" t="s">
        <v>2392</v>
      </c>
      <c r="BA136" t="s">
        <v>1873</v>
      </c>
      <c r="BB136" t="str">
        <f t="shared" si="2"/>
        <v>APINlaIkeja</v>
      </c>
    </row>
    <row r="137" spans="48:54" x14ac:dyDescent="0.25">
      <c r="AV137" t="s">
        <v>2127</v>
      </c>
      <c r="AW137" t="s">
        <v>1485</v>
      </c>
      <c r="AX137" t="s">
        <v>2037</v>
      </c>
      <c r="AY137" t="s">
        <v>2393</v>
      </c>
      <c r="AZ137" t="s">
        <v>2394</v>
      </c>
      <c r="BA137" t="s">
        <v>1873</v>
      </c>
      <c r="BB137" t="str">
        <f t="shared" si="2"/>
        <v>APINlaIkeja</v>
      </c>
    </row>
    <row r="138" spans="48:54" x14ac:dyDescent="0.25">
      <c r="AV138" t="s">
        <v>2127</v>
      </c>
      <c r="AW138" t="s">
        <v>1485</v>
      </c>
      <c r="AX138" t="s">
        <v>2038</v>
      </c>
      <c r="AY138" t="s">
        <v>2395</v>
      </c>
      <c r="AZ138" t="s">
        <v>2396</v>
      </c>
      <c r="BA138" t="s">
        <v>1873</v>
      </c>
      <c r="BB138" t="str">
        <f t="shared" si="2"/>
        <v>APINlaIkorodu</v>
      </c>
    </row>
    <row r="139" spans="48:54" x14ac:dyDescent="0.25">
      <c r="AV139" t="s">
        <v>2127</v>
      </c>
      <c r="AW139" t="s">
        <v>1485</v>
      </c>
      <c r="AX139" t="s">
        <v>2038</v>
      </c>
      <c r="AY139" t="s">
        <v>2397</v>
      </c>
      <c r="AZ139" t="s">
        <v>2398</v>
      </c>
      <c r="BA139" t="s">
        <v>1873</v>
      </c>
      <c r="BB139" t="str">
        <f t="shared" si="2"/>
        <v>APINlaIkorodu</v>
      </c>
    </row>
    <row r="140" spans="48:54" x14ac:dyDescent="0.25">
      <c r="AV140" t="s">
        <v>2127</v>
      </c>
      <c r="AW140" t="s">
        <v>1485</v>
      </c>
      <c r="AX140" t="s">
        <v>2038</v>
      </c>
      <c r="AY140" t="s">
        <v>2399</v>
      </c>
      <c r="AZ140" t="s">
        <v>2400</v>
      </c>
      <c r="BA140" t="s">
        <v>1873</v>
      </c>
      <c r="BB140" t="str">
        <f t="shared" si="2"/>
        <v>APINlaIkorodu</v>
      </c>
    </row>
    <row r="141" spans="48:54" x14ac:dyDescent="0.25">
      <c r="AV141" t="s">
        <v>2127</v>
      </c>
      <c r="AW141" t="s">
        <v>1485</v>
      </c>
      <c r="AX141" t="s">
        <v>2038</v>
      </c>
      <c r="AY141" t="s">
        <v>2401</v>
      </c>
      <c r="AZ141" t="s">
        <v>2402</v>
      </c>
      <c r="BA141" t="s">
        <v>1873</v>
      </c>
      <c r="BB141" t="str">
        <f t="shared" si="2"/>
        <v>APINlaIkorodu</v>
      </c>
    </row>
    <row r="142" spans="48:54" x14ac:dyDescent="0.25">
      <c r="AV142" t="s">
        <v>2127</v>
      </c>
      <c r="AW142" t="s">
        <v>1485</v>
      </c>
      <c r="AX142" t="s">
        <v>2038</v>
      </c>
      <c r="AY142" t="s">
        <v>2403</v>
      </c>
      <c r="AZ142" t="s">
        <v>2404</v>
      </c>
      <c r="BA142" t="s">
        <v>1873</v>
      </c>
      <c r="BB142" t="str">
        <f t="shared" si="2"/>
        <v>APINlaIkorodu</v>
      </c>
    </row>
    <row r="143" spans="48:54" x14ac:dyDescent="0.25">
      <c r="AV143" t="s">
        <v>2127</v>
      </c>
      <c r="AW143" t="s">
        <v>1485</v>
      </c>
      <c r="AX143" t="s">
        <v>2038</v>
      </c>
      <c r="AY143" t="s">
        <v>2405</v>
      </c>
      <c r="AZ143" t="s">
        <v>2406</v>
      </c>
      <c r="BA143" t="s">
        <v>1873</v>
      </c>
      <c r="BB143" t="str">
        <f t="shared" si="2"/>
        <v>APINlaIkorodu</v>
      </c>
    </row>
    <row r="144" spans="48:54" x14ac:dyDescent="0.25">
      <c r="AV144" t="s">
        <v>2127</v>
      </c>
      <c r="AW144" t="s">
        <v>1485</v>
      </c>
      <c r="AX144" t="s">
        <v>2038</v>
      </c>
      <c r="AY144" t="s">
        <v>2407</v>
      </c>
      <c r="AZ144" t="s">
        <v>2408</v>
      </c>
      <c r="BA144" t="s">
        <v>1873</v>
      </c>
      <c r="BB144" t="str">
        <f t="shared" si="2"/>
        <v>APINlaIkorodu</v>
      </c>
    </row>
    <row r="145" spans="48:54" x14ac:dyDescent="0.25">
      <c r="AV145" t="s">
        <v>2127</v>
      </c>
      <c r="AW145" t="s">
        <v>1485</v>
      </c>
      <c r="AX145" t="s">
        <v>2038</v>
      </c>
      <c r="AY145" t="s">
        <v>2409</v>
      </c>
      <c r="AZ145" t="s">
        <v>2410</v>
      </c>
      <c r="BA145" t="s">
        <v>1873</v>
      </c>
      <c r="BB145" t="str">
        <f t="shared" si="2"/>
        <v>APINlaIkorodu</v>
      </c>
    </row>
    <row r="146" spans="48:54" x14ac:dyDescent="0.25">
      <c r="AV146" t="s">
        <v>2127</v>
      </c>
      <c r="AW146" t="s">
        <v>1485</v>
      </c>
      <c r="AX146" t="s">
        <v>2038</v>
      </c>
      <c r="AY146" t="s">
        <v>2411</v>
      </c>
      <c r="AZ146" t="s">
        <v>2412</v>
      </c>
      <c r="BA146" t="s">
        <v>1873</v>
      </c>
      <c r="BB146" t="str">
        <f t="shared" si="2"/>
        <v>APINlaIkorodu</v>
      </c>
    </row>
    <row r="147" spans="48:54" x14ac:dyDescent="0.25">
      <c r="AV147" t="s">
        <v>2127</v>
      </c>
      <c r="AW147" t="s">
        <v>1485</v>
      </c>
      <c r="AX147" t="s">
        <v>2039</v>
      </c>
      <c r="AY147" t="s">
        <v>2413</v>
      </c>
      <c r="AZ147" t="s">
        <v>2414</v>
      </c>
      <c r="BA147" t="s">
        <v>1873</v>
      </c>
      <c r="BB147" t="str">
        <f t="shared" si="2"/>
        <v>APINlaMushin</v>
      </c>
    </row>
    <row r="148" spans="48:54" x14ac:dyDescent="0.25">
      <c r="AV148" t="s">
        <v>2127</v>
      </c>
      <c r="AW148" t="s">
        <v>1485</v>
      </c>
      <c r="AX148" t="s">
        <v>2039</v>
      </c>
      <c r="AY148" t="s">
        <v>2415</v>
      </c>
      <c r="AZ148" t="s">
        <v>2416</v>
      </c>
      <c r="BA148" t="s">
        <v>1873</v>
      </c>
      <c r="BB148" t="str">
        <f t="shared" si="2"/>
        <v>APINlaMushin</v>
      </c>
    </row>
    <row r="149" spans="48:54" x14ac:dyDescent="0.25">
      <c r="AV149" t="s">
        <v>2127</v>
      </c>
      <c r="AW149" t="s">
        <v>1485</v>
      </c>
      <c r="AX149" t="s">
        <v>2039</v>
      </c>
      <c r="AY149" t="s">
        <v>2417</v>
      </c>
      <c r="AZ149" t="s">
        <v>2418</v>
      </c>
      <c r="BA149" t="s">
        <v>1873</v>
      </c>
      <c r="BB149" t="str">
        <f t="shared" si="2"/>
        <v>APINlaMushin</v>
      </c>
    </row>
    <row r="150" spans="48:54" x14ac:dyDescent="0.25">
      <c r="AV150" t="s">
        <v>2127</v>
      </c>
      <c r="AW150" t="s">
        <v>1485</v>
      </c>
      <c r="AX150" t="s">
        <v>2039</v>
      </c>
      <c r="AY150" t="s">
        <v>2419</v>
      </c>
      <c r="AZ150" t="s">
        <v>2420</v>
      </c>
      <c r="BA150" t="s">
        <v>1873</v>
      </c>
      <c r="BB150" t="str">
        <f t="shared" si="2"/>
        <v>APINlaMushin</v>
      </c>
    </row>
    <row r="151" spans="48:54" x14ac:dyDescent="0.25">
      <c r="AV151" t="s">
        <v>2127</v>
      </c>
      <c r="AW151" t="s">
        <v>1485</v>
      </c>
      <c r="AX151" t="s">
        <v>2039</v>
      </c>
      <c r="AY151" t="s">
        <v>2421</v>
      </c>
      <c r="AZ151" t="s">
        <v>2422</v>
      </c>
      <c r="BA151" t="s">
        <v>1873</v>
      </c>
      <c r="BB151" t="str">
        <f t="shared" si="2"/>
        <v>APINlaMushin</v>
      </c>
    </row>
    <row r="152" spans="48:54" x14ac:dyDescent="0.25">
      <c r="AV152" t="s">
        <v>2127</v>
      </c>
      <c r="AW152" t="s">
        <v>1485</v>
      </c>
      <c r="AX152" t="s">
        <v>2039</v>
      </c>
      <c r="AY152" t="s">
        <v>2423</v>
      </c>
      <c r="AZ152" t="s">
        <v>2424</v>
      </c>
      <c r="BA152" t="s">
        <v>1873</v>
      </c>
      <c r="BB152" t="str">
        <f t="shared" si="2"/>
        <v>APINlaMushin</v>
      </c>
    </row>
    <row r="153" spans="48:54" x14ac:dyDescent="0.25">
      <c r="AV153" t="s">
        <v>2127</v>
      </c>
      <c r="AW153" t="s">
        <v>1485</v>
      </c>
      <c r="AX153" t="s">
        <v>2039</v>
      </c>
      <c r="AY153" t="s">
        <v>2425</v>
      </c>
      <c r="AZ153" t="s">
        <v>2426</v>
      </c>
      <c r="BA153" t="s">
        <v>1873</v>
      </c>
      <c r="BB153" t="str">
        <f t="shared" si="2"/>
        <v>APINlaMushin</v>
      </c>
    </row>
    <row r="154" spans="48:54" x14ac:dyDescent="0.25">
      <c r="AV154" t="s">
        <v>2127</v>
      </c>
      <c r="AW154" t="s">
        <v>1485</v>
      </c>
      <c r="AX154" t="s">
        <v>2039</v>
      </c>
      <c r="AY154" t="s">
        <v>2427</v>
      </c>
      <c r="AZ154" t="s">
        <v>2428</v>
      </c>
      <c r="BA154" t="s">
        <v>1873</v>
      </c>
      <c r="BB154" t="str">
        <f t="shared" si="2"/>
        <v>APINlaMushin</v>
      </c>
    </row>
    <row r="155" spans="48:54" x14ac:dyDescent="0.25">
      <c r="AV155" t="s">
        <v>2127</v>
      </c>
      <c r="AW155" t="s">
        <v>1485</v>
      </c>
      <c r="AX155" t="s">
        <v>2039</v>
      </c>
      <c r="AY155" t="s">
        <v>2429</v>
      </c>
      <c r="AZ155" t="s">
        <v>2430</v>
      </c>
      <c r="BA155" t="s">
        <v>1873</v>
      </c>
      <c r="BB155" t="str">
        <f t="shared" si="2"/>
        <v>APINlaMushin</v>
      </c>
    </row>
    <row r="156" spans="48:54" x14ac:dyDescent="0.25">
      <c r="AV156" t="s">
        <v>2127</v>
      </c>
      <c r="AW156" t="s">
        <v>1485</v>
      </c>
      <c r="AX156" t="s">
        <v>2039</v>
      </c>
      <c r="AY156" t="s">
        <v>2431</v>
      </c>
      <c r="AZ156" t="s">
        <v>2432</v>
      </c>
      <c r="BA156" t="s">
        <v>1873</v>
      </c>
      <c r="BB156" t="str">
        <f t="shared" si="2"/>
        <v>APINlaMushin</v>
      </c>
    </row>
    <row r="157" spans="48:54" x14ac:dyDescent="0.25">
      <c r="AV157" t="s">
        <v>2127</v>
      </c>
      <c r="AW157" t="s">
        <v>1485</v>
      </c>
      <c r="AX157" t="s">
        <v>2039</v>
      </c>
      <c r="AY157" t="s">
        <v>2433</v>
      </c>
      <c r="AZ157" t="s">
        <v>2434</v>
      </c>
      <c r="BA157" t="s">
        <v>1873</v>
      </c>
      <c r="BB157" t="str">
        <f t="shared" si="2"/>
        <v>APINlaMushin</v>
      </c>
    </row>
    <row r="158" spans="48:54" x14ac:dyDescent="0.25">
      <c r="AV158" t="s">
        <v>2127</v>
      </c>
      <c r="AW158" t="s">
        <v>1485</v>
      </c>
      <c r="AX158" t="s">
        <v>2039</v>
      </c>
      <c r="AY158" t="s">
        <v>2435</v>
      </c>
      <c r="AZ158" t="s">
        <v>2436</v>
      </c>
      <c r="BA158" t="s">
        <v>1873</v>
      </c>
      <c r="BB158" t="str">
        <f t="shared" si="2"/>
        <v>APINlaMushin</v>
      </c>
    </row>
    <row r="159" spans="48:54" x14ac:dyDescent="0.25">
      <c r="AV159" t="s">
        <v>2127</v>
      </c>
      <c r="AW159" t="s">
        <v>1485</v>
      </c>
      <c r="AX159" t="s">
        <v>2039</v>
      </c>
      <c r="AY159" t="s">
        <v>2437</v>
      </c>
      <c r="AZ159" t="s">
        <v>2438</v>
      </c>
      <c r="BA159" t="s">
        <v>1873</v>
      </c>
      <c r="BB159" t="str">
        <f t="shared" si="2"/>
        <v>APINlaMushin</v>
      </c>
    </row>
    <row r="160" spans="48:54" x14ac:dyDescent="0.25">
      <c r="AV160" t="s">
        <v>2127</v>
      </c>
      <c r="AW160" t="s">
        <v>1485</v>
      </c>
      <c r="AX160" t="s">
        <v>2039</v>
      </c>
      <c r="AY160" t="s">
        <v>2439</v>
      </c>
      <c r="AZ160" t="s">
        <v>2440</v>
      </c>
      <c r="BA160" t="s">
        <v>1873</v>
      </c>
      <c r="BB160" t="str">
        <f t="shared" si="2"/>
        <v>APINlaMushin</v>
      </c>
    </row>
    <row r="161" spans="48:54" x14ac:dyDescent="0.25">
      <c r="AV161" t="s">
        <v>2127</v>
      </c>
      <c r="AW161" t="s">
        <v>1485</v>
      </c>
      <c r="AX161" t="s">
        <v>2040</v>
      </c>
      <c r="AY161" t="s">
        <v>2441</v>
      </c>
      <c r="AZ161" t="s">
        <v>2442</v>
      </c>
      <c r="BA161" t="s">
        <v>1873</v>
      </c>
      <c r="BB161" t="str">
        <f t="shared" si="2"/>
        <v>APINlaOshodiIsolo</v>
      </c>
    </row>
    <row r="162" spans="48:54" x14ac:dyDescent="0.25">
      <c r="AV162" t="s">
        <v>2127</v>
      </c>
      <c r="AW162" t="s">
        <v>1485</v>
      </c>
      <c r="AX162" t="s">
        <v>2040</v>
      </c>
      <c r="AY162" t="s">
        <v>2443</v>
      </c>
      <c r="AZ162" t="s">
        <v>2444</v>
      </c>
      <c r="BA162" t="s">
        <v>1873</v>
      </c>
      <c r="BB162" t="str">
        <f t="shared" si="2"/>
        <v>APINlaOshodiIsolo</v>
      </c>
    </row>
    <row r="163" spans="48:54" x14ac:dyDescent="0.25">
      <c r="AV163" t="s">
        <v>2127</v>
      </c>
      <c r="AW163" t="s">
        <v>1485</v>
      </c>
      <c r="AX163" t="s">
        <v>2040</v>
      </c>
      <c r="AY163" t="s">
        <v>2445</v>
      </c>
      <c r="AZ163" t="s">
        <v>2446</v>
      </c>
      <c r="BA163" t="s">
        <v>1873</v>
      </c>
      <c r="BB163" t="str">
        <f t="shared" si="2"/>
        <v>APINlaOshodiIsolo</v>
      </c>
    </row>
    <row r="164" spans="48:54" x14ac:dyDescent="0.25">
      <c r="AV164" t="s">
        <v>2127</v>
      </c>
      <c r="AW164" t="s">
        <v>1485</v>
      </c>
      <c r="AX164" t="s">
        <v>2040</v>
      </c>
      <c r="AY164" t="s">
        <v>2447</v>
      </c>
      <c r="AZ164" t="s">
        <v>2448</v>
      </c>
      <c r="BA164" t="s">
        <v>1873</v>
      </c>
      <c r="BB164" t="str">
        <f t="shared" si="2"/>
        <v>APINlaOshodiIsolo</v>
      </c>
    </row>
    <row r="165" spans="48:54" x14ac:dyDescent="0.25">
      <c r="AV165" t="s">
        <v>2127</v>
      </c>
      <c r="AW165" t="s">
        <v>1485</v>
      </c>
      <c r="AX165" t="s">
        <v>2040</v>
      </c>
      <c r="AY165" t="s">
        <v>2449</v>
      </c>
      <c r="AZ165" t="s">
        <v>2450</v>
      </c>
      <c r="BA165" t="s">
        <v>1873</v>
      </c>
      <c r="BB165" t="str">
        <f t="shared" si="2"/>
        <v>APINlaOshodiIsolo</v>
      </c>
    </row>
    <row r="166" spans="48:54" x14ac:dyDescent="0.25">
      <c r="AV166" t="s">
        <v>2127</v>
      </c>
      <c r="AW166" t="s">
        <v>1485</v>
      </c>
      <c r="AX166" t="s">
        <v>2040</v>
      </c>
      <c r="AY166" t="s">
        <v>2451</v>
      </c>
      <c r="AZ166" t="s">
        <v>2452</v>
      </c>
      <c r="BA166" t="s">
        <v>1873</v>
      </c>
      <c r="BB166" t="str">
        <f t="shared" si="2"/>
        <v>APINlaOshodiIsolo</v>
      </c>
    </row>
    <row r="167" spans="48:54" x14ac:dyDescent="0.25">
      <c r="AV167" t="s">
        <v>2127</v>
      </c>
      <c r="AW167" t="s">
        <v>1485</v>
      </c>
      <c r="AX167" t="s">
        <v>2040</v>
      </c>
      <c r="AY167" t="s">
        <v>2453</v>
      </c>
      <c r="AZ167" t="s">
        <v>2454</v>
      </c>
      <c r="BA167" t="s">
        <v>1873</v>
      </c>
      <c r="BB167" t="str">
        <f t="shared" si="2"/>
        <v>APINlaOshodiIsolo</v>
      </c>
    </row>
    <row r="168" spans="48:54" x14ac:dyDescent="0.25">
      <c r="AV168" t="s">
        <v>2127</v>
      </c>
      <c r="AW168" t="s">
        <v>1485</v>
      </c>
      <c r="AX168" t="s">
        <v>2040</v>
      </c>
      <c r="AY168" t="s">
        <v>2455</v>
      </c>
      <c r="AZ168" t="s">
        <v>2456</v>
      </c>
      <c r="BA168" t="s">
        <v>1873</v>
      </c>
      <c r="BB168" t="str">
        <f t="shared" si="2"/>
        <v>APINlaOshodiIsolo</v>
      </c>
    </row>
    <row r="169" spans="48:54" x14ac:dyDescent="0.25">
      <c r="AV169" t="s">
        <v>2127</v>
      </c>
      <c r="AW169" t="s">
        <v>1485</v>
      </c>
      <c r="AX169" t="s">
        <v>2040</v>
      </c>
      <c r="AY169" t="s">
        <v>2457</v>
      </c>
      <c r="AZ169" t="s">
        <v>2458</v>
      </c>
      <c r="BA169" t="s">
        <v>1873</v>
      </c>
      <c r="BB169" t="str">
        <f t="shared" si="2"/>
        <v>APINlaOshodiIsolo</v>
      </c>
    </row>
    <row r="170" spans="48:54" x14ac:dyDescent="0.25">
      <c r="AV170" t="s">
        <v>2127</v>
      </c>
      <c r="AW170" t="s">
        <v>1485</v>
      </c>
      <c r="AX170" t="s">
        <v>2040</v>
      </c>
      <c r="AY170" t="s">
        <v>2459</v>
      </c>
      <c r="AZ170" t="s">
        <v>2460</v>
      </c>
      <c r="BA170" t="s">
        <v>1873</v>
      </c>
      <c r="BB170" t="str">
        <f t="shared" si="2"/>
        <v>APINlaOshodiIsolo</v>
      </c>
    </row>
    <row r="171" spans="48:54" x14ac:dyDescent="0.25">
      <c r="AV171" t="s">
        <v>2127</v>
      </c>
      <c r="AW171" t="s">
        <v>1485</v>
      </c>
      <c r="AX171" t="s">
        <v>2040</v>
      </c>
      <c r="AY171" t="s">
        <v>2461</v>
      </c>
      <c r="AZ171" t="s">
        <v>2462</v>
      </c>
      <c r="BA171" t="s">
        <v>1873</v>
      </c>
      <c r="BB171" t="str">
        <f t="shared" si="2"/>
        <v>APINlaOshodiIsolo</v>
      </c>
    </row>
    <row r="172" spans="48:54" x14ac:dyDescent="0.25">
      <c r="AV172" t="s">
        <v>2127</v>
      </c>
      <c r="AW172" t="s">
        <v>1485</v>
      </c>
      <c r="AX172" t="s">
        <v>2040</v>
      </c>
      <c r="AY172" t="s">
        <v>2463</v>
      </c>
      <c r="AZ172" t="s">
        <v>2464</v>
      </c>
      <c r="BA172" t="s">
        <v>1873</v>
      </c>
      <c r="BB172" t="str">
        <f t="shared" si="2"/>
        <v>APINlaOshodiIsolo</v>
      </c>
    </row>
    <row r="173" spans="48:54" x14ac:dyDescent="0.25">
      <c r="AV173" t="s">
        <v>2127</v>
      </c>
      <c r="AW173" t="s">
        <v>1485</v>
      </c>
      <c r="AX173" t="s">
        <v>2040</v>
      </c>
      <c r="AY173" t="s">
        <v>2465</v>
      </c>
      <c r="AZ173" t="s">
        <v>2466</v>
      </c>
      <c r="BA173" t="s">
        <v>1873</v>
      </c>
      <c r="BB173" t="str">
        <f t="shared" si="2"/>
        <v>APINlaOshodiIsolo</v>
      </c>
    </row>
    <row r="174" spans="48:54" x14ac:dyDescent="0.25">
      <c r="AV174" t="s">
        <v>2127</v>
      </c>
      <c r="AW174" t="s">
        <v>1485</v>
      </c>
      <c r="AX174" t="s">
        <v>2040</v>
      </c>
      <c r="AY174" t="s">
        <v>2467</v>
      </c>
      <c r="AZ174" t="s">
        <v>2468</v>
      </c>
      <c r="BA174" t="s">
        <v>1873</v>
      </c>
      <c r="BB174" t="str">
        <f t="shared" si="2"/>
        <v>APINlaOshodiIsolo</v>
      </c>
    </row>
    <row r="175" spans="48:54" x14ac:dyDescent="0.25">
      <c r="AV175" t="s">
        <v>2127</v>
      </c>
      <c r="AW175" t="s">
        <v>1491</v>
      </c>
      <c r="AX175" t="s">
        <v>2088</v>
      </c>
      <c r="AY175" t="s">
        <v>2469</v>
      </c>
      <c r="AZ175" t="s">
        <v>2470</v>
      </c>
      <c r="BA175" t="s">
        <v>1873</v>
      </c>
      <c r="BB175" t="str">
        <f t="shared" si="2"/>
        <v>APINoyAfijio</v>
      </c>
    </row>
    <row r="176" spans="48:54" x14ac:dyDescent="0.25">
      <c r="AV176" t="s">
        <v>2127</v>
      </c>
      <c r="AW176" t="s">
        <v>1491</v>
      </c>
      <c r="AX176" t="s">
        <v>2089</v>
      </c>
      <c r="AY176" t="s">
        <v>2471</v>
      </c>
      <c r="AZ176" t="s">
        <v>2472</v>
      </c>
      <c r="BA176" t="s">
        <v>1873</v>
      </c>
      <c r="BB176" t="str">
        <f t="shared" si="2"/>
        <v>APINoyAkinyele</v>
      </c>
    </row>
    <row r="177" spans="48:54" x14ac:dyDescent="0.25">
      <c r="AV177" t="s">
        <v>2127</v>
      </c>
      <c r="AW177" t="s">
        <v>1491</v>
      </c>
      <c r="AX177" t="s">
        <v>2090</v>
      </c>
      <c r="AY177" t="s">
        <v>2473</v>
      </c>
      <c r="AZ177" t="s">
        <v>2474</v>
      </c>
      <c r="BA177" t="s">
        <v>1873</v>
      </c>
      <c r="BB177" t="str">
        <f t="shared" si="2"/>
        <v>APINoyAtiba</v>
      </c>
    </row>
    <row r="178" spans="48:54" x14ac:dyDescent="0.25">
      <c r="AV178" t="s">
        <v>2127</v>
      </c>
      <c r="AW178" t="s">
        <v>1491</v>
      </c>
      <c r="AX178" t="s">
        <v>2091</v>
      </c>
      <c r="AY178" t="s">
        <v>2475</v>
      </c>
      <c r="AZ178" t="s">
        <v>2476</v>
      </c>
      <c r="BA178" t="s">
        <v>1873</v>
      </c>
      <c r="BB178" t="str">
        <f t="shared" si="2"/>
        <v>APINoyIbadanNorth</v>
      </c>
    </row>
    <row r="179" spans="48:54" x14ac:dyDescent="0.25">
      <c r="AV179" t="s">
        <v>2127</v>
      </c>
      <c r="AW179" t="s">
        <v>1491</v>
      </c>
      <c r="AX179" t="s">
        <v>2091</v>
      </c>
      <c r="AY179" t="s">
        <v>2477</v>
      </c>
      <c r="AZ179" t="s">
        <v>2478</v>
      </c>
      <c r="BA179" t="s">
        <v>1873</v>
      </c>
      <c r="BB179" t="str">
        <f t="shared" si="2"/>
        <v>APINoyIbadanNorth</v>
      </c>
    </row>
    <row r="180" spans="48:54" x14ac:dyDescent="0.25">
      <c r="AV180" t="s">
        <v>2127</v>
      </c>
      <c r="AW180" t="s">
        <v>1491</v>
      </c>
      <c r="AX180" t="s">
        <v>2091</v>
      </c>
      <c r="AY180" t="s">
        <v>2479</v>
      </c>
      <c r="AZ180" t="s">
        <v>2480</v>
      </c>
      <c r="BA180" t="s">
        <v>1873</v>
      </c>
      <c r="BB180" t="str">
        <f t="shared" si="2"/>
        <v>APINoyIbadanNorth</v>
      </c>
    </row>
    <row r="181" spans="48:54" x14ac:dyDescent="0.25">
      <c r="AV181" t="s">
        <v>2127</v>
      </c>
      <c r="AW181" t="s">
        <v>1491</v>
      </c>
      <c r="AX181" t="s">
        <v>2091</v>
      </c>
      <c r="AY181" t="s">
        <v>2481</v>
      </c>
      <c r="AZ181" t="s">
        <v>2482</v>
      </c>
      <c r="BA181" t="s">
        <v>1873</v>
      </c>
      <c r="BB181" t="str">
        <f t="shared" si="2"/>
        <v>APINoyIbadanNorth</v>
      </c>
    </row>
    <row r="182" spans="48:54" x14ac:dyDescent="0.25">
      <c r="AV182" t="s">
        <v>2127</v>
      </c>
      <c r="AW182" t="s">
        <v>1491</v>
      </c>
      <c r="AX182" t="s">
        <v>2091</v>
      </c>
      <c r="AY182" t="s">
        <v>2483</v>
      </c>
      <c r="AZ182" t="s">
        <v>2484</v>
      </c>
      <c r="BA182" t="s">
        <v>1873</v>
      </c>
      <c r="BB182" t="str">
        <f t="shared" si="2"/>
        <v>APINoyIbadanNorth</v>
      </c>
    </row>
    <row r="183" spans="48:54" x14ac:dyDescent="0.25">
      <c r="AV183" t="s">
        <v>2127</v>
      </c>
      <c r="AW183" t="s">
        <v>1491</v>
      </c>
      <c r="AX183" t="s">
        <v>2092</v>
      </c>
      <c r="AY183" t="s">
        <v>2485</v>
      </c>
      <c r="AZ183" t="s">
        <v>2486</v>
      </c>
      <c r="BA183" t="s">
        <v>1873</v>
      </c>
      <c r="BB183" t="str">
        <f t="shared" si="2"/>
        <v>APINoyIbadanNorthEast</v>
      </c>
    </row>
    <row r="184" spans="48:54" x14ac:dyDescent="0.25">
      <c r="AV184" t="s">
        <v>2127</v>
      </c>
      <c r="AW184" t="s">
        <v>1491</v>
      </c>
      <c r="AX184" t="s">
        <v>2092</v>
      </c>
      <c r="AY184" t="s">
        <v>2487</v>
      </c>
      <c r="AZ184" t="s">
        <v>2488</v>
      </c>
      <c r="BA184" t="s">
        <v>1873</v>
      </c>
      <c r="BB184" t="str">
        <f t="shared" si="2"/>
        <v>APINoyIbadanNorthEast</v>
      </c>
    </row>
    <row r="185" spans="48:54" x14ac:dyDescent="0.25">
      <c r="AV185" t="s">
        <v>2127</v>
      </c>
      <c r="AW185" t="s">
        <v>1491</v>
      </c>
      <c r="AX185" t="s">
        <v>2093</v>
      </c>
      <c r="AY185" t="s">
        <v>2489</v>
      </c>
      <c r="AZ185" t="s">
        <v>2490</v>
      </c>
      <c r="BA185" t="s">
        <v>1873</v>
      </c>
      <c r="BB185" t="str">
        <f t="shared" si="2"/>
        <v>APINoyIbadanNorthWest</v>
      </c>
    </row>
    <row r="186" spans="48:54" x14ac:dyDescent="0.25">
      <c r="AV186" t="s">
        <v>2127</v>
      </c>
      <c r="AW186" t="s">
        <v>1491</v>
      </c>
      <c r="AX186" t="s">
        <v>2093</v>
      </c>
      <c r="AY186" t="s">
        <v>2491</v>
      </c>
      <c r="AZ186" t="s">
        <v>2492</v>
      </c>
      <c r="BA186" t="s">
        <v>1873</v>
      </c>
      <c r="BB186" t="str">
        <f t="shared" si="2"/>
        <v>APINoyIbadanNorthWest</v>
      </c>
    </row>
    <row r="187" spans="48:54" x14ac:dyDescent="0.25">
      <c r="AV187" t="s">
        <v>2127</v>
      </c>
      <c r="AW187" t="s">
        <v>1491</v>
      </c>
      <c r="AX187" t="s">
        <v>2094</v>
      </c>
      <c r="AY187" t="s">
        <v>2493</v>
      </c>
      <c r="AZ187" t="s">
        <v>2494</v>
      </c>
      <c r="BA187" t="s">
        <v>1873</v>
      </c>
      <c r="BB187" t="str">
        <f t="shared" si="2"/>
        <v>APINoyIbadanSouthEast</v>
      </c>
    </row>
    <row r="188" spans="48:54" x14ac:dyDescent="0.25">
      <c r="AV188" t="s">
        <v>2127</v>
      </c>
      <c r="AW188" t="s">
        <v>1491</v>
      </c>
      <c r="AX188" t="s">
        <v>2094</v>
      </c>
      <c r="AY188" t="s">
        <v>2495</v>
      </c>
      <c r="AZ188" t="s">
        <v>2496</v>
      </c>
      <c r="BA188" t="s">
        <v>1873</v>
      </c>
      <c r="BB188" t="str">
        <f t="shared" si="2"/>
        <v>APINoyIbadanSouthEast</v>
      </c>
    </row>
    <row r="189" spans="48:54" x14ac:dyDescent="0.25">
      <c r="AV189" t="s">
        <v>2127</v>
      </c>
      <c r="AW189" t="s">
        <v>1491</v>
      </c>
      <c r="AX189" t="s">
        <v>2094</v>
      </c>
      <c r="AY189" t="s">
        <v>2497</v>
      </c>
      <c r="AZ189" t="s">
        <v>2498</v>
      </c>
      <c r="BA189" t="s">
        <v>1873</v>
      </c>
      <c r="BB189" t="str">
        <f t="shared" si="2"/>
        <v>APINoyIbadanSouthEast</v>
      </c>
    </row>
    <row r="190" spans="48:54" x14ac:dyDescent="0.25">
      <c r="AV190" t="s">
        <v>2127</v>
      </c>
      <c r="AW190" t="s">
        <v>1491</v>
      </c>
      <c r="AX190" t="s">
        <v>2094</v>
      </c>
      <c r="AY190" t="s">
        <v>2499</v>
      </c>
      <c r="AZ190" t="s">
        <v>2500</v>
      </c>
      <c r="BA190" t="s">
        <v>1873</v>
      </c>
      <c r="BB190" t="str">
        <f t="shared" si="2"/>
        <v>APINoyIbadanSouthEast</v>
      </c>
    </row>
    <row r="191" spans="48:54" x14ac:dyDescent="0.25">
      <c r="AV191" t="s">
        <v>2127</v>
      </c>
      <c r="AW191" t="s">
        <v>1491</v>
      </c>
      <c r="AX191" t="s">
        <v>2094</v>
      </c>
      <c r="AY191" t="s">
        <v>2501</v>
      </c>
      <c r="AZ191" t="s">
        <v>2502</v>
      </c>
      <c r="BA191" t="s">
        <v>1873</v>
      </c>
      <c r="BB191" t="str">
        <f t="shared" si="2"/>
        <v>APINoyIbadanSouthEast</v>
      </c>
    </row>
    <row r="192" spans="48:54" x14ac:dyDescent="0.25">
      <c r="AV192" t="s">
        <v>2127</v>
      </c>
      <c r="AW192" t="s">
        <v>1491</v>
      </c>
      <c r="AX192" t="s">
        <v>2094</v>
      </c>
      <c r="AY192" t="s">
        <v>2503</v>
      </c>
      <c r="AZ192" t="s">
        <v>2504</v>
      </c>
      <c r="BA192" t="s">
        <v>1873</v>
      </c>
      <c r="BB192" t="str">
        <f t="shared" si="2"/>
        <v>APINoyIbadanSouthEast</v>
      </c>
    </row>
    <row r="193" spans="48:54" x14ac:dyDescent="0.25">
      <c r="AV193" t="s">
        <v>2127</v>
      </c>
      <c r="AW193" t="s">
        <v>1491</v>
      </c>
      <c r="AX193" t="s">
        <v>2095</v>
      </c>
      <c r="AY193" t="s">
        <v>2505</v>
      </c>
      <c r="AZ193" t="s">
        <v>2506</v>
      </c>
      <c r="BA193" t="s">
        <v>1873</v>
      </c>
      <c r="BB193" t="str">
        <f t="shared" si="2"/>
        <v>APINoyIbadanSouthWest</v>
      </c>
    </row>
    <row r="194" spans="48:54" x14ac:dyDescent="0.25">
      <c r="AV194" t="s">
        <v>2127</v>
      </c>
      <c r="AW194" t="s">
        <v>1491</v>
      </c>
      <c r="AX194" t="s">
        <v>2095</v>
      </c>
      <c r="AY194" t="s">
        <v>2507</v>
      </c>
      <c r="AZ194" t="s">
        <v>2508</v>
      </c>
      <c r="BA194" t="s">
        <v>1873</v>
      </c>
      <c r="BB194" t="str">
        <f t="shared" si="2"/>
        <v>APINoyIbadanSouthWest</v>
      </c>
    </row>
    <row r="195" spans="48:54" x14ac:dyDescent="0.25">
      <c r="AV195" t="s">
        <v>2127</v>
      </c>
      <c r="AW195" t="s">
        <v>1491</v>
      </c>
      <c r="AX195" t="s">
        <v>2096</v>
      </c>
      <c r="AY195" t="s">
        <v>2509</v>
      </c>
      <c r="AZ195" t="s">
        <v>2510</v>
      </c>
      <c r="BA195" t="s">
        <v>1873</v>
      </c>
      <c r="BB195" t="str">
        <f t="shared" ref="BB195:BB258" si="3">SUBSTITUTE(SUBSTITUTE(BA195&amp;AX195," ",""),"-","")</f>
        <v>APINoyIbarapaCentral</v>
      </c>
    </row>
    <row r="196" spans="48:54" x14ac:dyDescent="0.25">
      <c r="AV196" t="s">
        <v>2127</v>
      </c>
      <c r="AW196" t="s">
        <v>1491</v>
      </c>
      <c r="AX196" t="s">
        <v>2097</v>
      </c>
      <c r="AY196" t="s">
        <v>2511</v>
      </c>
      <c r="AZ196" t="s">
        <v>2512</v>
      </c>
      <c r="BA196" t="s">
        <v>1873</v>
      </c>
      <c r="BB196" t="str">
        <f t="shared" si="3"/>
        <v>APINoyIdo</v>
      </c>
    </row>
    <row r="197" spans="48:54" x14ac:dyDescent="0.25">
      <c r="AV197" t="s">
        <v>2127</v>
      </c>
      <c r="AW197" t="s">
        <v>1491</v>
      </c>
      <c r="AX197" t="s">
        <v>2098</v>
      </c>
      <c r="AY197" t="s">
        <v>2513</v>
      </c>
      <c r="AZ197" t="s">
        <v>2514</v>
      </c>
      <c r="BA197" t="s">
        <v>1873</v>
      </c>
      <c r="BB197" t="str">
        <f t="shared" si="3"/>
        <v>APINoyItesiwaju</v>
      </c>
    </row>
    <row r="198" spans="48:54" x14ac:dyDescent="0.25">
      <c r="AV198" t="s">
        <v>2127</v>
      </c>
      <c r="AW198" t="s">
        <v>1491</v>
      </c>
      <c r="AX198" t="s">
        <v>2098</v>
      </c>
      <c r="AY198" t="s">
        <v>2515</v>
      </c>
      <c r="AZ198" t="s">
        <v>2516</v>
      </c>
      <c r="BA198" t="s">
        <v>1873</v>
      </c>
      <c r="BB198" t="str">
        <f t="shared" si="3"/>
        <v>APINoyItesiwaju</v>
      </c>
    </row>
    <row r="199" spans="48:54" x14ac:dyDescent="0.25">
      <c r="AV199" t="s">
        <v>2127</v>
      </c>
      <c r="AW199" t="s">
        <v>1491</v>
      </c>
      <c r="AX199" t="s">
        <v>2099</v>
      </c>
      <c r="AY199" t="s">
        <v>2517</v>
      </c>
      <c r="AZ199" t="s">
        <v>2518</v>
      </c>
      <c r="BA199" t="s">
        <v>1873</v>
      </c>
      <c r="BB199" t="str">
        <f t="shared" si="3"/>
        <v>APINoyLagelu</v>
      </c>
    </row>
    <row r="200" spans="48:54" x14ac:dyDescent="0.25">
      <c r="AV200" t="s">
        <v>2127</v>
      </c>
      <c r="AW200" t="s">
        <v>1491</v>
      </c>
      <c r="AX200" t="s">
        <v>2099</v>
      </c>
      <c r="AY200" t="s">
        <v>2519</v>
      </c>
      <c r="AZ200" t="s">
        <v>2520</v>
      </c>
      <c r="BA200" t="s">
        <v>1873</v>
      </c>
      <c r="BB200" t="str">
        <f t="shared" si="3"/>
        <v>APINoyLagelu</v>
      </c>
    </row>
    <row r="201" spans="48:54" x14ac:dyDescent="0.25">
      <c r="AV201" t="s">
        <v>2127</v>
      </c>
      <c r="AW201" t="s">
        <v>1491</v>
      </c>
      <c r="AX201" t="s">
        <v>2100</v>
      </c>
      <c r="AY201" t="s">
        <v>2521</v>
      </c>
      <c r="AZ201" t="s">
        <v>2522</v>
      </c>
      <c r="BA201" t="s">
        <v>1873</v>
      </c>
      <c r="BB201" t="str">
        <f t="shared" si="3"/>
        <v>APINoyOgbomosoNorth</v>
      </c>
    </row>
    <row r="202" spans="48:54" x14ac:dyDescent="0.25">
      <c r="AV202" t="s">
        <v>2127</v>
      </c>
      <c r="AW202" t="s">
        <v>1491</v>
      </c>
      <c r="AX202" t="s">
        <v>2100</v>
      </c>
      <c r="AY202" t="s">
        <v>2523</v>
      </c>
      <c r="AZ202" t="s">
        <v>2524</v>
      </c>
      <c r="BA202" t="s">
        <v>1873</v>
      </c>
      <c r="BB202" t="str">
        <f t="shared" si="3"/>
        <v>APINoyOgbomosoNorth</v>
      </c>
    </row>
    <row r="203" spans="48:54" x14ac:dyDescent="0.25">
      <c r="AV203" t="s">
        <v>2127</v>
      </c>
      <c r="AW203" t="s">
        <v>1491</v>
      </c>
      <c r="AX203" t="s">
        <v>2101</v>
      </c>
      <c r="AY203" t="s">
        <v>2525</v>
      </c>
      <c r="AZ203" t="s">
        <v>2526</v>
      </c>
      <c r="BA203" t="s">
        <v>1873</v>
      </c>
      <c r="BB203" t="str">
        <f t="shared" si="3"/>
        <v>APINoyOgbomosoSouth</v>
      </c>
    </row>
    <row r="204" spans="48:54" x14ac:dyDescent="0.25">
      <c r="AV204" t="s">
        <v>2127</v>
      </c>
      <c r="AW204" t="s">
        <v>1491</v>
      </c>
      <c r="AX204" t="s">
        <v>2102</v>
      </c>
      <c r="AY204" t="s">
        <v>2527</v>
      </c>
      <c r="AZ204" t="s">
        <v>2528</v>
      </c>
      <c r="BA204" t="s">
        <v>1873</v>
      </c>
      <c r="BB204" t="str">
        <f t="shared" si="3"/>
        <v>APINoyOluyole</v>
      </c>
    </row>
    <row r="205" spans="48:54" x14ac:dyDescent="0.25">
      <c r="AV205" t="s">
        <v>2127</v>
      </c>
      <c r="AW205" t="s">
        <v>1491</v>
      </c>
      <c r="AX205" t="s">
        <v>2103</v>
      </c>
      <c r="AY205" t="s">
        <v>2529</v>
      </c>
      <c r="AZ205" t="s">
        <v>2530</v>
      </c>
      <c r="BA205" t="s">
        <v>1873</v>
      </c>
      <c r="BB205" t="str">
        <f t="shared" si="3"/>
        <v>APINoyOnaAra</v>
      </c>
    </row>
    <row r="206" spans="48:54" x14ac:dyDescent="0.25">
      <c r="AV206" t="s">
        <v>2127</v>
      </c>
      <c r="AW206" t="s">
        <v>1491</v>
      </c>
      <c r="AX206" t="s">
        <v>2103</v>
      </c>
      <c r="AY206" t="s">
        <v>2531</v>
      </c>
      <c r="AZ206" t="s">
        <v>2532</v>
      </c>
      <c r="BA206" t="s">
        <v>1873</v>
      </c>
      <c r="BB206" t="str">
        <f t="shared" si="3"/>
        <v>APINoyOnaAra</v>
      </c>
    </row>
    <row r="207" spans="48:54" x14ac:dyDescent="0.25">
      <c r="AV207" t="s">
        <v>2127</v>
      </c>
      <c r="AW207" t="s">
        <v>1491</v>
      </c>
      <c r="AX207" t="s">
        <v>2104</v>
      </c>
      <c r="AY207" t="s">
        <v>2533</v>
      </c>
      <c r="AZ207" t="s">
        <v>2534</v>
      </c>
      <c r="BA207" t="s">
        <v>1873</v>
      </c>
      <c r="BB207" t="str">
        <f t="shared" si="3"/>
        <v>APINoyOyoEast</v>
      </c>
    </row>
    <row r="208" spans="48:54" x14ac:dyDescent="0.25">
      <c r="AV208" t="s">
        <v>2127</v>
      </c>
      <c r="AW208" t="s">
        <v>1491</v>
      </c>
      <c r="AX208" t="s">
        <v>2105</v>
      </c>
      <c r="AY208" t="s">
        <v>2535</v>
      </c>
      <c r="AZ208" t="s">
        <v>2536</v>
      </c>
      <c r="BA208" t="s">
        <v>1873</v>
      </c>
      <c r="BB208" t="str">
        <f t="shared" si="3"/>
        <v>APINoyOyoWest</v>
      </c>
    </row>
    <row r="209" spans="48:54" x14ac:dyDescent="0.25">
      <c r="AV209" t="s">
        <v>2127</v>
      </c>
      <c r="AW209" t="s">
        <v>1491</v>
      </c>
      <c r="AX209" t="s">
        <v>2106</v>
      </c>
      <c r="AY209" t="s">
        <v>2537</v>
      </c>
      <c r="AZ209" t="s">
        <v>2538</v>
      </c>
      <c r="BA209" t="s">
        <v>1873</v>
      </c>
      <c r="BB209" t="str">
        <f t="shared" si="3"/>
        <v>APINoySakiWest</v>
      </c>
    </row>
    <row r="210" spans="48:54" x14ac:dyDescent="0.25">
      <c r="AV210" t="s">
        <v>2127</v>
      </c>
      <c r="AW210" t="s">
        <v>1491</v>
      </c>
      <c r="AX210" t="s">
        <v>2107</v>
      </c>
      <c r="AY210" t="s">
        <v>2539</v>
      </c>
      <c r="AZ210" t="s">
        <v>2540</v>
      </c>
      <c r="BA210" t="s">
        <v>1873</v>
      </c>
      <c r="BB210" t="str">
        <f t="shared" si="3"/>
        <v>APINoySurulere</v>
      </c>
    </row>
    <row r="211" spans="48:54" x14ac:dyDescent="0.25">
      <c r="AV211" t="s">
        <v>2127</v>
      </c>
      <c r="AW211" t="s">
        <v>1492</v>
      </c>
      <c r="AX211" t="s">
        <v>2109</v>
      </c>
      <c r="AY211" t="s">
        <v>2541</v>
      </c>
      <c r="AZ211" t="s">
        <v>2542</v>
      </c>
      <c r="BA211" t="s">
        <v>1873</v>
      </c>
      <c r="BB211" t="str">
        <f t="shared" si="3"/>
        <v>APINplBarkinLadi</v>
      </c>
    </row>
    <row r="212" spans="48:54" x14ac:dyDescent="0.25">
      <c r="AV212" t="s">
        <v>2127</v>
      </c>
      <c r="AW212" t="s">
        <v>1492</v>
      </c>
      <c r="AX212" t="s">
        <v>2110</v>
      </c>
      <c r="AY212" t="s">
        <v>2543</v>
      </c>
      <c r="AZ212" t="s">
        <v>2544</v>
      </c>
      <c r="BA212" t="s">
        <v>1873</v>
      </c>
      <c r="BB212" t="str">
        <f t="shared" si="3"/>
        <v>APINplBassa</v>
      </c>
    </row>
    <row r="213" spans="48:54" x14ac:dyDescent="0.25">
      <c r="AV213" t="s">
        <v>2127</v>
      </c>
      <c r="AW213" t="s">
        <v>1492</v>
      </c>
      <c r="AX213" t="s">
        <v>2111</v>
      </c>
      <c r="AY213" t="s">
        <v>2545</v>
      </c>
      <c r="AZ213" t="s">
        <v>2546</v>
      </c>
      <c r="BA213" t="s">
        <v>1873</v>
      </c>
      <c r="BB213" t="str">
        <f t="shared" si="3"/>
        <v>APINplJosEast</v>
      </c>
    </row>
    <row r="214" spans="48:54" x14ac:dyDescent="0.25">
      <c r="AV214" t="s">
        <v>2127</v>
      </c>
      <c r="AW214" t="s">
        <v>1492</v>
      </c>
      <c r="AX214" t="s">
        <v>2111</v>
      </c>
      <c r="AY214" t="s">
        <v>2547</v>
      </c>
      <c r="AZ214" t="s">
        <v>2548</v>
      </c>
      <c r="BA214" t="s">
        <v>1873</v>
      </c>
      <c r="BB214" t="str">
        <f t="shared" si="3"/>
        <v>APINplJosEast</v>
      </c>
    </row>
    <row r="215" spans="48:54" x14ac:dyDescent="0.25">
      <c r="AV215" t="s">
        <v>2127</v>
      </c>
      <c r="AW215" t="s">
        <v>1492</v>
      </c>
      <c r="AX215" t="s">
        <v>2112</v>
      </c>
      <c r="AY215" t="s">
        <v>2549</v>
      </c>
      <c r="AZ215" t="s">
        <v>2550</v>
      </c>
      <c r="BA215" t="s">
        <v>1873</v>
      </c>
      <c r="BB215" t="str">
        <f t="shared" si="3"/>
        <v>APINplJosNorth</v>
      </c>
    </row>
    <row r="216" spans="48:54" x14ac:dyDescent="0.25">
      <c r="AV216" t="s">
        <v>2127</v>
      </c>
      <c r="AW216" t="s">
        <v>1492</v>
      </c>
      <c r="AX216" t="s">
        <v>2112</v>
      </c>
      <c r="AY216" t="s">
        <v>2551</v>
      </c>
      <c r="AZ216" t="s">
        <v>2552</v>
      </c>
      <c r="BA216" t="s">
        <v>1873</v>
      </c>
      <c r="BB216" t="str">
        <f t="shared" si="3"/>
        <v>APINplJosNorth</v>
      </c>
    </row>
    <row r="217" spans="48:54" x14ac:dyDescent="0.25">
      <c r="AV217" t="s">
        <v>2127</v>
      </c>
      <c r="AW217" t="s">
        <v>1492</v>
      </c>
      <c r="AX217" t="s">
        <v>2112</v>
      </c>
      <c r="AY217" t="s">
        <v>2553</v>
      </c>
      <c r="AZ217" t="s">
        <v>2554</v>
      </c>
      <c r="BA217" t="s">
        <v>1873</v>
      </c>
      <c r="BB217" t="str">
        <f t="shared" si="3"/>
        <v>APINplJosNorth</v>
      </c>
    </row>
    <row r="218" spans="48:54" x14ac:dyDescent="0.25">
      <c r="AV218" t="s">
        <v>2127</v>
      </c>
      <c r="AW218" t="s">
        <v>1492</v>
      </c>
      <c r="AX218" t="s">
        <v>2112</v>
      </c>
      <c r="AY218" t="s">
        <v>2555</v>
      </c>
      <c r="AZ218" t="s">
        <v>2556</v>
      </c>
      <c r="BA218" t="s">
        <v>1873</v>
      </c>
      <c r="BB218" t="str">
        <f t="shared" si="3"/>
        <v>APINplJosNorth</v>
      </c>
    </row>
    <row r="219" spans="48:54" x14ac:dyDescent="0.25">
      <c r="AV219" t="s">
        <v>2127</v>
      </c>
      <c r="AW219" t="s">
        <v>1492</v>
      </c>
      <c r="AX219" t="s">
        <v>2112</v>
      </c>
      <c r="AY219" t="s">
        <v>2557</v>
      </c>
      <c r="AZ219" t="s">
        <v>2558</v>
      </c>
      <c r="BA219" t="s">
        <v>1873</v>
      </c>
      <c r="BB219" t="str">
        <f t="shared" si="3"/>
        <v>APINplJosNorth</v>
      </c>
    </row>
    <row r="220" spans="48:54" x14ac:dyDescent="0.25">
      <c r="AV220" t="s">
        <v>2127</v>
      </c>
      <c r="AW220" t="s">
        <v>1492</v>
      </c>
      <c r="AX220" t="s">
        <v>2112</v>
      </c>
      <c r="AY220" t="s">
        <v>2559</v>
      </c>
      <c r="AZ220" t="s">
        <v>2560</v>
      </c>
      <c r="BA220" t="s">
        <v>1873</v>
      </c>
      <c r="BB220" t="str">
        <f t="shared" si="3"/>
        <v>APINplJosNorth</v>
      </c>
    </row>
    <row r="221" spans="48:54" x14ac:dyDescent="0.25">
      <c r="AV221" t="s">
        <v>2127</v>
      </c>
      <c r="AW221" t="s">
        <v>1492</v>
      </c>
      <c r="AX221" t="s">
        <v>2112</v>
      </c>
      <c r="AY221" t="s">
        <v>2561</v>
      </c>
      <c r="AZ221" t="s">
        <v>2562</v>
      </c>
      <c r="BA221" t="s">
        <v>1873</v>
      </c>
      <c r="BB221" t="str">
        <f t="shared" si="3"/>
        <v>APINplJosNorth</v>
      </c>
    </row>
    <row r="222" spans="48:54" x14ac:dyDescent="0.25">
      <c r="AV222" t="s">
        <v>2127</v>
      </c>
      <c r="AW222" t="s">
        <v>1492</v>
      </c>
      <c r="AX222" t="s">
        <v>2113</v>
      </c>
      <c r="AY222" t="s">
        <v>2563</v>
      </c>
      <c r="AZ222" t="s">
        <v>2564</v>
      </c>
      <c r="BA222" t="s">
        <v>1873</v>
      </c>
      <c r="BB222" t="str">
        <f t="shared" si="3"/>
        <v>APINplJosSouth</v>
      </c>
    </row>
    <row r="223" spans="48:54" x14ac:dyDescent="0.25">
      <c r="AV223" t="s">
        <v>2127</v>
      </c>
      <c r="AW223" t="s">
        <v>1492</v>
      </c>
      <c r="AX223" t="s">
        <v>2113</v>
      </c>
      <c r="AY223" t="s">
        <v>2565</v>
      </c>
      <c r="AZ223" t="s">
        <v>2566</v>
      </c>
      <c r="BA223" t="s">
        <v>1873</v>
      </c>
      <c r="BB223" t="str">
        <f t="shared" si="3"/>
        <v>APINplJosSouth</v>
      </c>
    </row>
    <row r="224" spans="48:54" x14ac:dyDescent="0.25">
      <c r="AV224" t="s">
        <v>2127</v>
      </c>
      <c r="AW224" t="s">
        <v>1492</v>
      </c>
      <c r="AX224" t="s">
        <v>2113</v>
      </c>
      <c r="AY224" t="s">
        <v>2567</v>
      </c>
      <c r="AZ224" t="s">
        <v>2568</v>
      </c>
      <c r="BA224" t="s">
        <v>1873</v>
      </c>
      <c r="BB224" t="str">
        <f t="shared" si="3"/>
        <v>APINplJosSouth</v>
      </c>
    </row>
    <row r="225" spans="48:54" x14ac:dyDescent="0.25">
      <c r="AV225" t="s">
        <v>2127</v>
      </c>
      <c r="AW225" t="s">
        <v>1492</v>
      </c>
      <c r="AX225" t="s">
        <v>2113</v>
      </c>
      <c r="AY225" t="s">
        <v>2569</v>
      </c>
      <c r="AZ225" t="s">
        <v>2570</v>
      </c>
      <c r="BA225" t="s">
        <v>1873</v>
      </c>
      <c r="BB225" t="str">
        <f t="shared" si="3"/>
        <v>APINplJosSouth</v>
      </c>
    </row>
    <row r="226" spans="48:54" x14ac:dyDescent="0.25">
      <c r="AV226" t="s">
        <v>2127</v>
      </c>
      <c r="AW226" t="s">
        <v>1492</v>
      </c>
      <c r="AX226" t="s">
        <v>2114</v>
      </c>
      <c r="AY226" t="s">
        <v>2571</v>
      </c>
      <c r="AZ226" t="s">
        <v>2572</v>
      </c>
      <c r="BA226" t="s">
        <v>1873</v>
      </c>
      <c r="BB226" t="str">
        <f t="shared" si="3"/>
        <v>APINplLangtangNorth</v>
      </c>
    </row>
    <row r="227" spans="48:54" x14ac:dyDescent="0.25">
      <c r="AV227" t="s">
        <v>2127</v>
      </c>
      <c r="AW227" t="s">
        <v>1492</v>
      </c>
      <c r="AX227" t="s">
        <v>2115</v>
      </c>
      <c r="AY227" t="s">
        <v>2573</v>
      </c>
      <c r="AZ227" t="s">
        <v>2574</v>
      </c>
      <c r="BA227" t="s">
        <v>1873</v>
      </c>
      <c r="BB227" t="str">
        <f t="shared" si="3"/>
        <v>APINplMangu</v>
      </c>
    </row>
    <row r="228" spans="48:54" x14ac:dyDescent="0.25">
      <c r="AV228" t="s">
        <v>2127</v>
      </c>
      <c r="AW228" t="s">
        <v>1492</v>
      </c>
      <c r="AX228" t="s">
        <v>2115</v>
      </c>
      <c r="AY228" t="s">
        <v>2575</v>
      </c>
      <c r="AZ228" t="s">
        <v>2576</v>
      </c>
      <c r="BA228" t="s">
        <v>1873</v>
      </c>
      <c r="BB228" t="str">
        <f t="shared" si="3"/>
        <v>APINplMangu</v>
      </c>
    </row>
    <row r="229" spans="48:54" x14ac:dyDescent="0.25">
      <c r="AV229" t="s">
        <v>2127</v>
      </c>
      <c r="AW229" t="s">
        <v>1492</v>
      </c>
      <c r="AX229" t="s">
        <v>2115</v>
      </c>
      <c r="AY229" t="s">
        <v>2577</v>
      </c>
      <c r="AZ229" t="s">
        <v>2578</v>
      </c>
      <c r="BA229" t="s">
        <v>1873</v>
      </c>
      <c r="BB229" t="str">
        <f t="shared" si="3"/>
        <v>APINplMangu</v>
      </c>
    </row>
    <row r="230" spans="48:54" x14ac:dyDescent="0.25">
      <c r="AV230" t="s">
        <v>2127</v>
      </c>
      <c r="AW230" t="s">
        <v>1492</v>
      </c>
      <c r="AX230" t="s">
        <v>2116</v>
      </c>
      <c r="AY230" t="s">
        <v>2579</v>
      </c>
      <c r="AZ230" t="s">
        <v>2580</v>
      </c>
      <c r="BA230" t="s">
        <v>1873</v>
      </c>
      <c r="BB230" t="str">
        <f t="shared" si="3"/>
        <v>APINplPankshin</v>
      </c>
    </row>
    <row r="231" spans="48:54" x14ac:dyDescent="0.25">
      <c r="AV231" t="s">
        <v>2127</v>
      </c>
      <c r="AW231" t="s">
        <v>1492</v>
      </c>
      <c r="AX231" t="s">
        <v>2116</v>
      </c>
      <c r="AY231" t="s">
        <v>2581</v>
      </c>
      <c r="AZ231" t="s">
        <v>2582</v>
      </c>
      <c r="BA231" t="s">
        <v>1873</v>
      </c>
      <c r="BB231" t="str">
        <f t="shared" si="3"/>
        <v>APINplPankshin</v>
      </c>
    </row>
    <row r="232" spans="48:54" x14ac:dyDescent="0.25">
      <c r="AV232" t="s">
        <v>2127</v>
      </c>
      <c r="AW232" t="s">
        <v>1492</v>
      </c>
      <c r="AX232" t="s">
        <v>5106</v>
      </c>
      <c r="AY232" t="s">
        <v>2583</v>
      </c>
      <c r="AZ232" t="s">
        <v>2584</v>
      </c>
      <c r="BA232" t="s">
        <v>1873</v>
      </c>
      <c r="BB232" t="str">
        <f t="shared" si="3"/>
        <v>APINplQuaanPan</v>
      </c>
    </row>
    <row r="233" spans="48:54" x14ac:dyDescent="0.25">
      <c r="AV233" t="s">
        <v>2127</v>
      </c>
      <c r="AW233" t="s">
        <v>1492</v>
      </c>
      <c r="AX233" t="s">
        <v>2118</v>
      </c>
      <c r="AY233" t="s">
        <v>2585</v>
      </c>
      <c r="AZ233" t="s">
        <v>2586</v>
      </c>
      <c r="BA233" t="s">
        <v>1873</v>
      </c>
      <c r="BB233" t="str">
        <f t="shared" si="3"/>
        <v>APINplShendam</v>
      </c>
    </row>
    <row r="234" spans="48:54" x14ac:dyDescent="0.25">
      <c r="AV234" t="s">
        <v>2127</v>
      </c>
      <c r="AW234" t="s">
        <v>1492</v>
      </c>
      <c r="AX234" t="s">
        <v>2118</v>
      </c>
      <c r="AY234" t="s">
        <v>2587</v>
      </c>
      <c r="AZ234" t="s">
        <v>2588</v>
      </c>
      <c r="BA234" t="s">
        <v>1873</v>
      </c>
      <c r="BB234" t="str">
        <f t="shared" si="3"/>
        <v>APINplShendam</v>
      </c>
    </row>
    <row r="235" spans="48:54" x14ac:dyDescent="0.25">
      <c r="AV235" t="s">
        <v>2127</v>
      </c>
      <c r="AW235" t="s">
        <v>1492</v>
      </c>
      <c r="AX235" t="s">
        <v>2118</v>
      </c>
      <c r="AY235" t="s">
        <v>2589</v>
      </c>
      <c r="AZ235" t="s">
        <v>2590</v>
      </c>
      <c r="BA235" t="s">
        <v>1873</v>
      </c>
      <c r="BB235" t="str">
        <f t="shared" si="3"/>
        <v>APINplShendam</v>
      </c>
    </row>
    <row r="236" spans="48:54" x14ac:dyDescent="0.25">
      <c r="AV236" t="s">
        <v>2127</v>
      </c>
      <c r="AW236" t="s">
        <v>1471</v>
      </c>
      <c r="AX236" t="s">
        <v>1907</v>
      </c>
      <c r="AY236" t="s">
        <v>2591</v>
      </c>
      <c r="AZ236" t="s">
        <v>2592</v>
      </c>
      <c r="BA236" t="s">
        <v>1443</v>
      </c>
      <c r="BB236" t="str">
        <f t="shared" si="3"/>
        <v>CCCRNebAbakaliki</v>
      </c>
    </row>
    <row r="237" spans="48:54" x14ac:dyDescent="0.25">
      <c r="AV237" t="s">
        <v>2127</v>
      </c>
      <c r="AW237" t="s">
        <v>1471</v>
      </c>
      <c r="AX237" t="s">
        <v>1907</v>
      </c>
      <c r="AY237" t="s">
        <v>2593</v>
      </c>
      <c r="AZ237" t="s">
        <v>2594</v>
      </c>
      <c r="BA237" t="s">
        <v>1443</v>
      </c>
      <c r="BB237" t="str">
        <f t="shared" si="3"/>
        <v>CCCRNebAbakaliki</v>
      </c>
    </row>
    <row r="238" spans="48:54" x14ac:dyDescent="0.25">
      <c r="AV238" t="s">
        <v>2127</v>
      </c>
      <c r="AW238" t="s">
        <v>1471</v>
      </c>
      <c r="AX238" t="s">
        <v>1907</v>
      </c>
      <c r="AY238" t="s">
        <v>2595</v>
      </c>
      <c r="AZ238" t="s">
        <v>2596</v>
      </c>
      <c r="BA238" t="s">
        <v>1443</v>
      </c>
      <c r="BB238" t="str">
        <f t="shared" si="3"/>
        <v>CCCRNebAbakaliki</v>
      </c>
    </row>
    <row r="239" spans="48:54" x14ac:dyDescent="0.25">
      <c r="AV239" t="s">
        <v>2127</v>
      </c>
      <c r="AW239" t="s">
        <v>1471</v>
      </c>
      <c r="AX239" t="s">
        <v>1907</v>
      </c>
      <c r="AY239" t="s">
        <v>2597</v>
      </c>
      <c r="AZ239" t="s">
        <v>2598</v>
      </c>
      <c r="BA239" t="s">
        <v>1443</v>
      </c>
      <c r="BB239" t="str">
        <f t="shared" si="3"/>
        <v>CCCRNebAbakaliki</v>
      </c>
    </row>
    <row r="240" spans="48:54" x14ac:dyDescent="0.25">
      <c r="AV240" t="s">
        <v>2127</v>
      </c>
      <c r="AW240" t="s">
        <v>1471</v>
      </c>
      <c r="AX240" t="s">
        <v>1907</v>
      </c>
      <c r="AY240" t="s">
        <v>2599</v>
      </c>
      <c r="AZ240" t="s">
        <v>2600</v>
      </c>
      <c r="BA240" t="s">
        <v>1443</v>
      </c>
      <c r="BB240" t="str">
        <f t="shared" si="3"/>
        <v>CCCRNebAbakaliki</v>
      </c>
    </row>
    <row r="241" spans="48:54" x14ac:dyDescent="0.25">
      <c r="AV241" t="s">
        <v>2127</v>
      </c>
      <c r="AW241" t="s">
        <v>1471</v>
      </c>
      <c r="AX241" t="s">
        <v>1907</v>
      </c>
      <c r="AY241" t="s">
        <v>2601</v>
      </c>
      <c r="AZ241" t="s">
        <v>2602</v>
      </c>
      <c r="BA241" t="s">
        <v>1443</v>
      </c>
      <c r="BB241" t="str">
        <f t="shared" si="3"/>
        <v>CCCRNebAbakaliki</v>
      </c>
    </row>
    <row r="242" spans="48:54" x14ac:dyDescent="0.25">
      <c r="AV242" t="s">
        <v>2127</v>
      </c>
      <c r="AW242" t="s">
        <v>1471</v>
      </c>
      <c r="AX242" t="s">
        <v>1907</v>
      </c>
      <c r="AY242" t="s">
        <v>2603</v>
      </c>
      <c r="AZ242" t="s">
        <v>2604</v>
      </c>
      <c r="BA242" t="s">
        <v>1443</v>
      </c>
      <c r="BB242" t="str">
        <f t="shared" si="3"/>
        <v>CCCRNebAbakaliki</v>
      </c>
    </row>
    <row r="243" spans="48:54" x14ac:dyDescent="0.25">
      <c r="AV243" t="s">
        <v>2127</v>
      </c>
      <c r="AW243" t="s">
        <v>1471</v>
      </c>
      <c r="AX243" t="s">
        <v>1908</v>
      </c>
      <c r="AY243" t="s">
        <v>2605</v>
      </c>
      <c r="AZ243" t="s">
        <v>2606</v>
      </c>
      <c r="BA243" t="s">
        <v>1443</v>
      </c>
      <c r="BB243" t="str">
        <f t="shared" si="3"/>
        <v>CCCRNebAfikpoNorth</v>
      </c>
    </row>
    <row r="244" spans="48:54" x14ac:dyDescent="0.25">
      <c r="AV244" t="s">
        <v>2127</v>
      </c>
      <c r="AW244" t="s">
        <v>1471</v>
      </c>
      <c r="AX244" t="s">
        <v>1908</v>
      </c>
      <c r="AY244" t="s">
        <v>2607</v>
      </c>
      <c r="AZ244" t="s">
        <v>2608</v>
      </c>
      <c r="BA244" t="s">
        <v>1443</v>
      </c>
      <c r="BB244" t="str">
        <f t="shared" si="3"/>
        <v>CCCRNebAfikpoNorth</v>
      </c>
    </row>
    <row r="245" spans="48:54" x14ac:dyDescent="0.25">
      <c r="AV245" t="s">
        <v>2127</v>
      </c>
      <c r="AW245" t="s">
        <v>1471</v>
      </c>
      <c r="AX245" t="s">
        <v>1908</v>
      </c>
      <c r="AY245" t="s">
        <v>2609</v>
      </c>
      <c r="AZ245" t="s">
        <v>2610</v>
      </c>
      <c r="BA245" t="s">
        <v>1443</v>
      </c>
      <c r="BB245" t="str">
        <f t="shared" si="3"/>
        <v>CCCRNebAfikpoNorth</v>
      </c>
    </row>
    <row r="246" spans="48:54" x14ac:dyDescent="0.25">
      <c r="AV246" t="s">
        <v>2127</v>
      </c>
      <c r="AW246" t="s">
        <v>1471</v>
      </c>
      <c r="AX246" t="s">
        <v>1908</v>
      </c>
      <c r="AY246" t="s">
        <v>2611</v>
      </c>
      <c r="AZ246" t="s">
        <v>2612</v>
      </c>
      <c r="BA246" t="s">
        <v>1443</v>
      </c>
      <c r="BB246" t="str">
        <f t="shared" si="3"/>
        <v>CCCRNebAfikpoNorth</v>
      </c>
    </row>
    <row r="247" spans="48:54" x14ac:dyDescent="0.25">
      <c r="AV247" t="s">
        <v>2127</v>
      </c>
      <c r="AW247" t="s">
        <v>1471</v>
      </c>
      <c r="AX247" t="s">
        <v>1908</v>
      </c>
      <c r="AY247" t="s">
        <v>2613</v>
      </c>
      <c r="AZ247" t="s">
        <v>2614</v>
      </c>
      <c r="BA247" t="s">
        <v>1443</v>
      </c>
      <c r="BB247" t="str">
        <f t="shared" si="3"/>
        <v>CCCRNebAfikpoNorth</v>
      </c>
    </row>
    <row r="248" spans="48:54" x14ac:dyDescent="0.25">
      <c r="AV248" t="s">
        <v>2127</v>
      </c>
      <c r="AW248" t="s">
        <v>1471</v>
      </c>
      <c r="AX248" t="s">
        <v>1908</v>
      </c>
      <c r="AY248" t="s">
        <v>2615</v>
      </c>
      <c r="AZ248" t="s">
        <v>2616</v>
      </c>
      <c r="BA248" t="s">
        <v>1443</v>
      </c>
      <c r="BB248" t="str">
        <f t="shared" si="3"/>
        <v>CCCRNebAfikpoNorth</v>
      </c>
    </row>
    <row r="249" spans="48:54" x14ac:dyDescent="0.25">
      <c r="AV249" t="s">
        <v>2127</v>
      </c>
      <c r="AW249" t="s">
        <v>1471</v>
      </c>
      <c r="AX249" t="s">
        <v>1908</v>
      </c>
      <c r="AY249" t="s">
        <v>2617</v>
      </c>
      <c r="AZ249" t="s">
        <v>2618</v>
      </c>
      <c r="BA249" t="s">
        <v>1443</v>
      </c>
      <c r="BB249" t="str">
        <f t="shared" si="3"/>
        <v>CCCRNebAfikpoNorth</v>
      </c>
    </row>
    <row r="250" spans="48:54" x14ac:dyDescent="0.25">
      <c r="AV250" t="s">
        <v>2127</v>
      </c>
      <c r="AW250" t="s">
        <v>1471</v>
      </c>
      <c r="AX250" t="s">
        <v>1908</v>
      </c>
      <c r="AY250" t="s">
        <v>2619</v>
      </c>
      <c r="AZ250" t="s">
        <v>2620</v>
      </c>
      <c r="BA250" t="s">
        <v>1443</v>
      </c>
      <c r="BB250" t="str">
        <f t="shared" si="3"/>
        <v>CCCRNebAfikpoNorth</v>
      </c>
    </row>
    <row r="251" spans="48:54" x14ac:dyDescent="0.25">
      <c r="AV251" t="s">
        <v>2127</v>
      </c>
      <c r="AW251" t="s">
        <v>1471</v>
      </c>
      <c r="AX251" t="s">
        <v>1909</v>
      </c>
      <c r="AY251" t="s">
        <v>2621</v>
      </c>
      <c r="AZ251" t="s">
        <v>2622</v>
      </c>
      <c r="BA251" t="s">
        <v>1443</v>
      </c>
      <c r="BB251" t="str">
        <f t="shared" si="3"/>
        <v>CCCRNebAfikpoSouth</v>
      </c>
    </row>
    <row r="252" spans="48:54" x14ac:dyDescent="0.25">
      <c r="AV252" t="s">
        <v>2127</v>
      </c>
      <c r="AW252" t="s">
        <v>1471</v>
      </c>
      <c r="AX252" t="s">
        <v>1909</v>
      </c>
      <c r="AY252" t="s">
        <v>2623</v>
      </c>
      <c r="AZ252" t="s">
        <v>2624</v>
      </c>
      <c r="BA252" t="s">
        <v>1443</v>
      </c>
      <c r="BB252" t="str">
        <f t="shared" si="3"/>
        <v>CCCRNebAfikpoSouth</v>
      </c>
    </row>
    <row r="253" spans="48:54" x14ac:dyDescent="0.25">
      <c r="AV253" t="s">
        <v>2127</v>
      </c>
      <c r="AW253" t="s">
        <v>1471</v>
      </c>
      <c r="AX253" t="s">
        <v>1910</v>
      </c>
      <c r="AY253" t="s">
        <v>2625</v>
      </c>
      <c r="AZ253" t="s">
        <v>2626</v>
      </c>
      <c r="BA253" t="s">
        <v>1443</v>
      </c>
      <c r="BB253" t="str">
        <f t="shared" si="3"/>
        <v>CCCRNebEbonyi</v>
      </c>
    </row>
    <row r="254" spans="48:54" x14ac:dyDescent="0.25">
      <c r="AV254" t="s">
        <v>2127</v>
      </c>
      <c r="AW254" t="s">
        <v>1471</v>
      </c>
      <c r="AX254" t="s">
        <v>1910</v>
      </c>
      <c r="AY254" t="s">
        <v>2627</v>
      </c>
      <c r="AZ254" t="s">
        <v>2628</v>
      </c>
      <c r="BA254" t="s">
        <v>1443</v>
      </c>
      <c r="BB254" t="str">
        <f t="shared" si="3"/>
        <v>CCCRNebEbonyi</v>
      </c>
    </row>
    <row r="255" spans="48:54" x14ac:dyDescent="0.25">
      <c r="AV255" t="s">
        <v>2127</v>
      </c>
      <c r="AW255" t="s">
        <v>1471</v>
      </c>
      <c r="AX255" t="s">
        <v>1910</v>
      </c>
      <c r="AY255" t="s">
        <v>2629</v>
      </c>
      <c r="AZ255" t="s">
        <v>2630</v>
      </c>
      <c r="BA255" t="s">
        <v>1443</v>
      </c>
      <c r="BB255" t="str">
        <f t="shared" si="3"/>
        <v>CCCRNebEbonyi</v>
      </c>
    </row>
    <row r="256" spans="48:54" x14ac:dyDescent="0.25">
      <c r="AV256" t="s">
        <v>2127</v>
      </c>
      <c r="AW256" t="s">
        <v>1471</v>
      </c>
      <c r="AX256" t="s">
        <v>1910</v>
      </c>
      <c r="AY256" t="s">
        <v>2631</v>
      </c>
      <c r="AZ256" t="s">
        <v>2632</v>
      </c>
      <c r="BA256" t="s">
        <v>1443</v>
      </c>
      <c r="BB256" t="str">
        <f t="shared" si="3"/>
        <v>CCCRNebEbonyi</v>
      </c>
    </row>
    <row r="257" spans="48:54" x14ac:dyDescent="0.25">
      <c r="AV257" t="s">
        <v>2127</v>
      </c>
      <c r="AW257" t="s">
        <v>1471</v>
      </c>
      <c r="AX257" t="s">
        <v>1910</v>
      </c>
      <c r="AY257" t="s">
        <v>2633</v>
      </c>
      <c r="AZ257" t="s">
        <v>2634</v>
      </c>
      <c r="BA257" t="s">
        <v>1443</v>
      </c>
      <c r="BB257" t="str">
        <f t="shared" si="3"/>
        <v>CCCRNebEbonyi</v>
      </c>
    </row>
    <row r="258" spans="48:54" x14ac:dyDescent="0.25">
      <c r="AV258" t="s">
        <v>2127</v>
      </c>
      <c r="AW258" t="s">
        <v>1471</v>
      </c>
      <c r="AX258" t="s">
        <v>1910</v>
      </c>
      <c r="AY258" t="s">
        <v>2635</v>
      </c>
      <c r="AZ258" t="s">
        <v>2636</v>
      </c>
      <c r="BA258" t="s">
        <v>1443</v>
      </c>
      <c r="BB258" t="str">
        <f t="shared" si="3"/>
        <v>CCCRNebEbonyi</v>
      </c>
    </row>
    <row r="259" spans="48:54" x14ac:dyDescent="0.25">
      <c r="AV259" t="s">
        <v>2127</v>
      </c>
      <c r="AW259" t="s">
        <v>1471</v>
      </c>
      <c r="AX259" t="s">
        <v>1911</v>
      </c>
      <c r="AY259" t="s">
        <v>2637</v>
      </c>
      <c r="AZ259" t="s">
        <v>2638</v>
      </c>
      <c r="BA259" t="s">
        <v>1443</v>
      </c>
      <c r="BB259" t="str">
        <f t="shared" ref="BB259:BB322" si="4">SUBSTITUTE(SUBSTITUTE(BA259&amp;AX259," ",""),"-","")</f>
        <v>CCCRNebIvo</v>
      </c>
    </row>
    <row r="260" spans="48:54" x14ac:dyDescent="0.25">
      <c r="AV260" t="s">
        <v>2127</v>
      </c>
      <c r="AW260" t="s">
        <v>1471</v>
      </c>
      <c r="AX260" t="s">
        <v>1911</v>
      </c>
      <c r="AY260" t="s">
        <v>2639</v>
      </c>
      <c r="AZ260" t="s">
        <v>2640</v>
      </c>
      <c r="BA260" t="s">
        <v>1443</v>
      </c>
      <c r="BB260" t="str">
        <f t="shared" si="4"/>
        <v>CCCRNebIvo</v>
      </c>
    </row>
    <row r="261" spans="48:54" x14ac:dyDescent="0.25">
      <c r="AV261" t="s">
        <v>2127</v>
      </c>
      <c r="AW261" t="s">
        <v>1471</v>
      </c>
      <c r="AX261" t="s">
        <v>1911</v>
      </c>
      <c r="AY261" t="s">
        <v>2641</v>
      </c>
      <c r="AZ261" t="s">
        <v>2642</v>
      </c>
      <c r="BA261" t="s">
        <v>1443</v>
      </c>
      <c r="BB261" t="str">
        <f t="shared" si="4"/>
        <v>CCCRNebIvo</v>
      </c>
    </row>
    <row r="262" spans="48:54" x14ac:dyDescent="0.25">
      <c r="AV262" t="s">
        <v>2127</v>
      </c>
      <c r="AW262" t="s">
        <v>1471</v>
      </c>
      <c r="AX262" t="s">
        <v>1911</v>
      </c>
      <c r="AY262" t="s">
        <v>2643</v>
      </c>
      <c r="AZ262" t="s">
        <v>2644</v>
      </c>
      <c r="BA262" t="s">
        <v>1443</v>
      </c>
      <c r="BB262" t="str">
        <f t="shared" si="4"/>
        <v>CCCRNebIvo</v>
      </c>
    </row>
    <row r="263" spans="48:54" x14ac:dyDescent="0.25">
      <c r="AV263" t="s">
        <v>2127</v>
      </c>
      <c r="AW263" t="s">
        <v>1471</v>
      </c>
      <c r="AX263" t="s">
        <v>1911</v>
      </c>
      <c r="AY263" t="s">
        <v>2645</v>
      </c>
      <c r="AZ263" t="s">
        <v>2646</v>
      </c>
      <c r="BA263" t="s">
        <v>1443</v>
      </c>
      <c r="BB263" t="str">
        <f t="shared" si="4"/>
        <v>CCCRNebIvo</v>
      </c>
    </row>
    <row r="264" spans="48:54" x14ac:dyDescent="0.25">
      <c r="AV264" t="s">
        <v>2127</v>
      </c>
      <c r="AW264" t="s">
        <v>1471</v>
      </c>
      <c r="AX264" t="s">
        <v>1911</v>
      </c>
      <c r="AY264" t="s">
        <v>2647</v>
      </c>
      <c r="AZ264" t="s">
        <v>2648</v>
      </c>
      <c r="BA264" t="s">
        <v>1443</v>
      </c>
      <c r="BB264" t="str">
        <f t="shared" si="4"/>
        <v>CCCRNebIvo</v>
      </c>
    </row>
    <row r="265" spans="48:54" x14ac:dyDescent="0.25">
      <c r="AV265" t="s">
        <v>2127</v>
      </c>
      <c r="AW265" t="s">
        <v>1471</v>
      </c>
      <c r="AX265" t="s">
        <v>1912</v>
      </c>
      <c r="AY265" t="s">
        <v>2649</v>
      </c>
      <c r="AZ265" t="s">
        <v>2650</v>
      </c>
      <c r="BA265" t="s">
        <v>1443</v>
      </c>
      <c r="BB265" t="str">
        <f t="shared" si="4"/>
        <v>CCCRNebIzzi</v>
      </c>
    </row>
    <row r="266" spans="48:54" x14ac:dyDescent="0.25">
      <c r="AV266" t="s">
        <v>2127</v>
      </c>
      <c r="AW266" t="s">
        <v>1471</v>
      </c>
      <c r="AX266" t="s">
        <v>1912</v>
      </c>
      <c r="AY266" t="s">
        <v>2651</v>
      </c>
      <c r="AZ266" t="s">
        <v>2652</v>
      </c>
      <c r="BA266" t="s">
        <v>1443</v>
      </c>
      <c r="BB266" t="str">
        <f t="shared" si="4"/>
        <v>CCCRNebIzzi</v>
      </c>
    </row>
    <row r="267" spans="48:54" x14ac:dyDescent="0.25">
      <c r="AV267" t="s">
        <v>2127</v>
      </c>
      <c r="AW267" t="s">
        <v>1471</v>
      </c>
      <c r="AX267" t="s">
        <v>1912</v>
      </c>
      <c r="AY267" t="s">
        <v>2653</v>
      </c>
      <c r="AZ267" t="s">
        <v>2654</v>
      </c>
      <c r="BA267" t="s">
        <v>1443</v>
      </c>
      <c r="BB267" t="str">
        <f t="shared" si="4"/>
        <v>CCCRNebIzzi</v>
      </c>
    </row>
    <row r="268" spans="48:54" x14ac:dyDescent="0.25">
      <c r="AV268" t="s">
        <v>2127</v>
      </c>
      <c r="AW268" t="s">
        <v>1471</v>
      </c>
      <c r="AX268" t="s">
        <v>1913</v>
      </c>
      <c r="AY268" t="s">
        <v>2655</v>
      </c>
      <c r="AZ268" t="s">
        <v>2656</v>
      </c>
      <c r="BA268" t="s">
        <v>1443</v>
      </c>
      <c r="BB268" t="str">
        <f t="shared" si="4"/>
        <v>CCCRNebOhaozara</v>
      </c>
    </row>
    <row r="269" spans="48:54" x14ac:dyDescent="0.25">
      <c r="AV269" t="s">
        <v>2127</v>
      </c>
      <c r="AW269" t="s">
        <v>1471</v>
      </c>
      <c r="AX269" t="s">
        <v>1913</v>
      </c>
      <c r="AY269" t="s">
        <v>2657</v>
      </c>
      <c r="AZ269" t="s">
        <v>2658</v>
      </c>
      <c r="BA269" t="s">
        <v>1443</v>
      </c>
      <c r="BB269" t="str">
        <f t="shared" si="4"/>
        <v>CCCRNebOhaozara</v>
      </c>
    </row>
    <row r="270" spans="48:54" x14ac:dyDescent="0.25">
      <c r="AV270" t="s">
        <v>2127</v>
      </c>
      <c r="AW270" t="s">
        <v>1471</v>
      </c>
      <c r="AX270" t="s">
        <v>1913</v>
      </c>
      <c r="AY270" t="s">
        <v>2659</v>
      </c>
      <c r="AZ270" t="s">
        <v>2660</v>
      </c>
      <c r="BA270" t="s">
        <v>1443</v>
      </c>
      <c r="BB270" t="str">
        <f t="shared" si="4"/>
        <v>CCCRNebOhaozara</v>
      </c>
    </row>
    <row r="271" spans="48:54" x14ac:dyDescent="0.25">
      <c r="AV271" t="s">
        <v>2127</v>
      </c>
      <c r="AW271" t="s">
        <v>1471</v>
      </c>
      <c r="AX271" t="s">
        <v>1913</v>
      </c>
      <c r="AY271" t="s">
        <v>2661</v>
      </c>
      <c r="AZ271" t="s">
        <v>2662</v>
      </c>
      <c r="BA271" t="s">
        <v>1443</v>
      </c>
      <c r="BB271" t="str">
        <f t="shared" si="4"/>
        <v>CCCRNebOhaozara</v>
      </c>
    </row>
    <row r="272" spans="48:54" x14ac:dyDescent="0.25">
      <c r="AV272" t="s">
        <v>2127</v>
      </c>
      <c r="AW272" t="s">
        <v>1471</v>
      </c>
      <c r="AX272" t="s">
        <v>1913</v>
      </c>
      <c r="AY272" t="s">
        <v>2663</v>
      </c>
      <c r="AZ272" t="s">
        <v>2664</v>
      </c>
      <c r="BA272" t="s">
        <v>1443</v>
      </c>
      <c r="BB272" t="str">
        <f t="shared" si="4"/>
        <v>CCCRNebOhaozara</v>
      </c>
    </row>
    <row r="273" spans="48:54" x14ac:dyDescent="0.25">
      <c r="AV273" t="s">
        <v>2127</v>
      </c>
      <c r="AW273" t="s">
        <v>1471</v>
      </c>
      <c r="AX273" t="s">
        <v>1914</v>
      </c>
      <c r="AY273" t="s">
        <v>2665</v>
      </c>
      <c r="AZ273" t="s">
        <v>2666</v>
      </c>
      <c r="BA273" t="s">
        <v>1443</v>
      </c>
      <c r="BB273" t="str">
        <f t="shared" si="4"/>
        <v>CCCRNebOhaukwu</v>
      </c>
    </row>
    <row r="274" spans="48:54" x14ac:dyDescent="0.25">
      <c r="AV274" t="s">
        <v>2127</v>
      </c>
      <c r="AW274" t="s">
        <v>1471</v>
      </c>
      <c r="AX274" t="s">
        <v>1914</v>
      </c>
      <c r="AY274" t="s">
        <v>2667</v>
      </c>
      <c r="AZ274" t="s">
        <v>2668</v>
      </c>
      <c r="BA274" t="s">
        <v>1443</v>
      </c>
      <c r="BB274" t="str">
        <f t="shared" si="4"/>
        <v>CCCRNebOhaukwu</v>
      </c>
    </row>
    <row r="275" spans="48:54" x14ac:dyDescent="0.25">
      <c r="AV275" t="s">
        <v>2127</v>
      </c>
      <c r="AW275" t="s">
        <v>1471</v>
      </c>
      <c r="AX275" t="s">
        <v>1914</v>
      </c>
      <c r="AY275" t="s">
        <v>2669</v>
      </c>
      <c r="AZ275" t="s">
        <v>2670</v>
      </c>
      <c r="BA275" t="s">
        <v>1443</v>
      </c>
      <c r="BB275" t="str">
        <f t="shared" si="4"/>
        <v>CCCRNebOhaukwu</v>
      </c>
    </row>
    <row r="276" spans="48:54" x14ac:dyDescent="0.25">
      <c r="AV276" t="s">
        <v>2127</v>
      </c>
      <c r="AW276" t="s">
        <v>1471</v>
      </c>
      <c r="AX276" t="s">
        <v>1914</v>
      </c>
      <c r="AY276" t="s">
        <v>2671</v>
      </c>
      <c r="AZ276" t="s">
        <v>2672</v>
      </c>
      <c r="BA276" t="s">
        <v>1443</v>
      </c>
      <c r="BB276" t="str">
        <f t="shared" si="4"/>
        <v>CCCRNebOhaukwu</v>
      </c>
    </row>
    <row r="277" spans="48:54" x14ac:dyDescent="0.25">
      <c r="AV277" t="s">
        <v>2127</v>
      </c>
      <c r="AW277" t="s">
        <v>1471</v>
      </c>
      <c r="AX277" t="s">
        <v>1914</v>
      </c>
      <c r="AY277" t="s">
        <v>2673</v>
      </c>
      <c r="AZ277" t="s">
        <v>2674</v>
      </c>
      <c r="BA277" t="s">
        <v>1443</v>
      </c>
      <c r="BB277" t="str">
        <f t="shared" si="4"/>
        <v>CCCRNebOhaukwu</v>
      </c>
    </row>
    <row r="278" spans="48:54" x14ac:dyDescent="0.25">
      <c r="AV278" t="s">
        <v>2127</v>
      </c>
      <c r="AW278" t="s">
        <v>1471</v>
      </c>
      <c r="AX278" t="s">
        <v>1915</v>
      </c>
      <c r="AY278" t="s">
        <v>2675</v>
      </c>
      <c r="AZ278" t="s">
        <v>2676</v>
      </c>
      <c r="BA278" t="s">
        <v>1443</v>
      </c>
      <c r="BB278" t="str">
        <f t="shared" si="4"/>
        <v>CCCRNebOnicha</v>
      </c>
    </row>
    <row r="279" spans="48:54" x14ac:dyDescent="0.25">
      <c r="AV279" t="s">
        <v>2127</v>
      </c>
      <c r="AW279" t="s">
        <v>1471</v>
      </c>
      <c r="AX279" t="s">
        <v>1915</v>
      </c>
      <c r="AY279" t="s">
        <v>2677</v>
      </c>
      <c r="AZ279" t="s">
        <v>2678</v>
      </c>
      <c r="BA279" t="s">
        <v>1443</v>
      </c>
      <c r="BB279" t="str">
        <f t="shared" si="4"/>
        <v>CCCRNebOnicha</v>
      </c>
    </row>
    <row r="280" spans="48:54" x14ac:dyDescent="0.25">
      <c r="AV280" t="s">
        <v>2127</v>
      </c>
      <c r="AW280" t="s">
        <v>1471</v>
      </c>
      <c r="AX280" t="s">
        <v>1915</v>
      </c>
      <c r="AY280" t="s">
        <v>2679</v>
      </c>
      <c r="AZ280" t="s">
        <v>2680</v>
      </c>
      <c r="BA280" t="s">
        <v>1443</v>
      </c>
      <c r="BB280" t="str">
        <f t="shared" si="4"/>
        <v>CCCRNebOnicha</v>
      </c>
    </row>
    <row r="281" spans="48:54" x14ac:dyDescent="0.25">
      <c r="AV281" t="s">
        <v>2127</v>
      </c>
      <c r="AW281" t="s">
        <v>1471</v>
      </c>
      <c r="AX281" t="s">
        <v>1915</v>
      </c>
      <c r="AY281" t="s">
        <v>2681</v>
      </c>
      <c r="AZ281" t="s">
        <v>2682</v>
      </c>
      <c r="BA281" t="s">
        <v>1443</v>
      </c>
      <c r="BB281" t="str">
        <f t="shared" si="4"/>
        <v>CCCRNebOnicha</v>
      </c>
    </row>
    <row r="282" spans="48:54" x14ac:dyDescent="0.25">
      <c r="AV282" t="s">
        <v>2127</v>
      </c>
      <c r="AW282" t="s">
        <v>1474</v>
      </c>
      <c r="AX282" t="s">
        <v>1926</v>
      </c>
      <c r="AY282" t="s">
        <v>2683</v>
      </c>
      <c r="AZ282" t="s">
        <v>2684</v>
      </c>
      <c r="BA282" t="s">
        <v>1443</v>
      </c>
      <c r="BB282" t="str">
        <f t="shared" si="4"/>
        <v>CCCRNenEnuguEast</v>
      </c>
    </row>
    <row r="283" spans="48:54" x14ac:dyDescent="0.25">
      <c r="AV283" t="s">
        <v>2127</v>
      </c>
      <c r="AW283" t="s">
        <v>1474</v>
      </c>
      <c r="AX283" t="s">
        <v>1926</v>
      </c>
      <c r="AY283" t="s">
        <v>2685</v>
      </c>
      <c r="AZ283" t="s">
        <v>2686</v>
      </c>
      <c r="BA283" t="s">
        <v>1443</v>
      </c>
      <c r="BB283" t="str">
        <f t="shared" si="4"/>
        <v>CCCRNenEnuguEast</v>
      </c>
    </row>
    <row r="284" spans="48:54" x14ac:dyDescent="0.25">
      <c r="AV284" t="s">
        <v>2127</v>
      </c>
      <c r="AW284" t="s">
        <v>1474</v>
      </c>
      <c r="AX284" t="s">
        <v>1926</v>
      </c>
      <c r="AY284" t="s">
        <v>2687</v>
      </c>
      <c r="AZ284" t="s">
        <v>2688</v>
      </c>
      <c r="BA284" t="s">
        <v>1443</v>
      </c>
      <c r="BB284" t="str">
        <f t="shared" si="4"/>
        <v>CCCRNenEnuguEast</v>
      </c>
    </row>
    <row r="285" spans="48:54" x14ac:dyDescent="0.25">
      <c r="AV285" t="s">
        <v>2127</v>
      </c>
      <c r="AW285" t="s">
        <v>1474</v>
      </c>
      <c r="AX285" t="s">
        <v>1926</v>
      </c>
      <c r="AY285" t="s">
        <v>2689</v>
      </c>
      <c r="AZ285" t="s">
        <v>2690</v>
      </c>
      <c r="BA285" t="s">
        <v>1443</v>
      </c>
      <c r="BB285" t="str">
        <f t="shared" si="4"/>
        <v>CCCRNenEnuguEast</v>
      </c>
    </row>
    <row r="286" spans="48:54" x14ac:dyDescent="0.25">
      <c r="AV286" t="s">
        <v>2127</v>
      </c>
      <c r="AW286" t="s">
        <v>1474</v>
      </c>
      <c r="AX286" t="s">
        <v>1926</v>
      </c>
      <c r="AY286" t="s">
        <v>2691</v>
      </c>
      <c r="AZ286" t="s">
        <v>2692</v>
      </c>
      <c r="BA286" t="s">
        <v>1443</v>
      </c>
      <c r="BB286" t="str">
        <f t="shared" si="4"/>
        <v>CCCRNenEnuguEast</v>
      </c>
    </row>
    <row r="287" spans="48:54" x14ac:dyDescent="0.25">
      <c r="AV287" t="s">
        <v>2127</v>
      </c>
      <c r="AW287" t="s">
        <v>1474</v>
      </c>
      <c r="AX287" t="s">
        <v>1926</v>
      </c>
      <c r="AY287" t="s">
        <v>2693</v>
      </c>
      <c r="AZ287" t="s">
        <v>2694</v>
      </c>
      <c r="BA287" t="s">
        <v>1443</v>
      </c>
      <c r="BB287" t="str">
        <f t="shared" si="4"/>
        <v>CCCRNenEnuguEast</v>
      </c>
    </row>
    <row r="288" spans="48:54" x14ac:dyDescent="0.25">
      <c r="AV288" t="s">
        <v>2127</v>
      </c>
      <c r="AW288" t="s">
        <v>1474</v>
      </c>
      <c r="AX288" t="s">
        <v>1926</v>
      </c>
      <c r="AY288" t="s">
        <v>2695</v>
      </c>
      <c r="AZ288" t="s">
        <v>2696</v>
      </c>
      <c r="BA288" t="s">
        <v>1443</v>
      </c>
      <c r="BB288" t="str">
        <f t="shared" si="4"/>
        <v>CCCRNenEnuguEast</v>
      </c>
    </row>
    <row r="289" spans="48:54" x14ac:dyDescent="0.25">
      <c r="AV289" t="s">
        <v>2127</v>
      </c>
      <c r="AW289" t="s">
        <v>1474</v>
      </c>
      <c r="AX289" t="s">
        <v>1926</v>
      </c>
      <c r="AY289" t="s">
        <v>2697</v>
      </c>
      <c r="AZ289" t="s">
        <v>2698</v>
      </c>
      <c r="BA289" t="s">
        <v>1443</v>
      </c>
      <c r="BB289" t="str">
        <f t="shared" si="4"/>
        <v>CCCRNenEnuguEast</v>
      </c>
    </row>
    <row r="290" spans="48:54" x14ac:dyDescent="0.25">
      <c r="AV290" t="s">
        <v>2127</v>
      </c>
      <c r="AW290" t="s">
        <v>1474</v>
      </c>
      <c r="AX290" t="s">
        <v>1926</v>
      </c>
      <c r="AY290" t="s">
        <v>2699</v>
      </c>
      <c r="AZ290" t="s">
        <v>2700</v>
      </c>
      <c r="BA290" t="s">
        <v>1443</v>
      </c>
      <c r="BB290" t="str">
        <f t="shared" si="4"/>
        <v>CCCRNenEnuguEast</v>
      </c>
    </row>
    <row r="291" spans="48:54" x14ac:dyDescent="0.25">
      <c r="AV291" t="s">
        <v>2127</v>
      </c>
      <c r="AW291" t="s">
        <v>1474</v>
      </c>
      <c r="AX291" t="s">
        <v>1926</v>
      </c>
      <c r="AY291" t="s">
        <v>2701</v>
      </c>
      <c r="AZ291" t="s">
        <v>2702</v>
      </c>
      <c r="BA291" t="s">
        <v>1443</v>
      </c>
      <c r="BB291" t="str">
        <f t="shared" si="4"/>
        <v>CCCRNenEnuguEast</v>
      </c>
    </row>
    <row r="292" spans="48:54" x14ac:dyDescent="0.25">
      <c r="AV292" t="s">
        <v>2127</v>
      </c>
      <c r="AW292" t="s">
        <v>1474</v>
      </c>
      <c r="AX292" t="s">
        <v>1927</v>
      </c>
      <c r="AY292" t="s">
        <v>2703</v>
      </c>
      <c r="AZ292" t="s">
        <v>2704</v>
      </c>
      <c r="BA292" t="s">
        <v>1443</v>
      </c>
      <c r="BB292" t="str">
        <f t="shared" si="4"/>
        <v>CCCRNenEnuguNorth</v>
      </c>
    </row>
    <row r="293" spans="48:54" x14ac:dyDescent="0.25">
      <c r="AV293" t="s">
        <v>2127</v>
      </c>
      <c r="AW293" t="s">
        <v>1474</v>
      </c>
      <c r="AX293" t="s">
        <v>1927</v>
      </c>
      <c r="AY293" t="s">
        <v>2705</v>
      </c>
      <c r="AZ293" t="s">
        <v>2706</v>
      </c>
      <c r="BA293" t="s">
        <v>1443</v>
      </c>
      <c r="BB293" t="str">
        <f t="shared" si="4"/>
        <v>CCCRNenEnuguNorth</v>
      </c>
    </row>
    <row r="294" spans="48:54" x14ac:dyDescent="0.25">
      <c r="AV294" t="s">
        <v>2127</v>
      </c>
      <c r="AW294" t="s">
        <v>1474</v>
      </c>
      <c r="AX294" t="s">
        <v>1927</v>
      </c>
      <c r="AY294" t="s">
        <v>2707</v>
      </c>
      <c r="AZ294" t="s">
        <v>2708</v>
      </c>
      <c r="BA294" t="s">
        <v>1443</v>
      </c>
      <c r="BB294" t="str">
        <f t="shared" si="4"/>
        <v>CCCRNenEnuguNorth</v>
      </c>
    </row>
    <row r="295" spans="48:54" x14ac:dyDescent="0.25">
      <c r="AV295" t="s">
        <v>2127</v>
      </c>
      <c r="AW295" t="s">
        <v>1474</v>
      </c>
      <c r="AX295" t="s">
        <v>1927</v>
      </c>
      <c r="AY295" t="s">
        <v>2709</v>
      </c>
      <c r="AZ295" t="s">
        <v>2710</v>
      </c>
      <c r="BA295" t="s">
        <v>1443</v>
      </c>
      <c r="BB295" t="str">
        <f t="shared" si="4"/>
        <v>CCCRNenEnuguNorth</v>
      </c>
    </row>
    <row r="296" spans="48:54" x14ac:dyDescent="0.25">
      <c r="AV296" t="s">
        <v>2127</v>
      </c>
      <c r="AW296" t="s">
        <v>1474</v>
      </c>
      <c r="AX296" t="s">
        <v>1927</v>
      </c>
      <c r="AY296" t="s">
        <v>2711</v>
      </c>
      <c r="AZ296" t="s">
        <v>2712</v>
      </c>
      <c r="BA296" t="s">
        <v>1443</v>
      </c>
      <c r="BB296" t="str">
        <f t="shared" si="4"/>
        <v>CCCRNenEnuguNorth</v>
      </c>
    </row>
    <row r="297" spans="48:54" x14ac:dyDescent="0.25">
      <c r="AV297" t="s">
        <v>2127</v>
      </c>
      <c r="AW297" t="s">
        <v>1474</v>
      </c>
      <c r="AX297" t="s">
        <v>1927</v>
      </c>
      <c r="AY297" t="s">
        <v>2713</v>
      </c>
      <c r="AZ297" t="s">
        <v>2714</v>
      </c>
      <c r="BA297" t="s">
        <v>1443</v>
      </c>
      <c r="BB297" t="str">
        <f t="shared" si="4"/>
        <v>CCCRNenEnuguNorth</v>
      </c>
    </row>
    <row r="298" spans="48:54" x14ac:dyDescent="0.25">
      <c r="AV298" t="s">
        <v>2127</v>
      </c>
      <c r="AW298" t="s">
        <v>1474</v>
      </c>
      <c r="AX298" t="s">
        <v>1928</v>
      </c>
      <c r="AY298" t="s">
        <v>2715</v>
      </c>
      <c r="AZ298" t="s">
        <v>2716</v>
      </c>
      <c r="BA298" t="s">
        <v>1443</v>
      </c>
      <c r="BB298" t="str">
        <f t="shared" si="4"/>
        <v>CCCRNenEnuguSouth</v>
      </c>
    </row>
    <row r="299" spans="48:54" x14ac:dyDescent="0.25">
      <c r="AV299" t="s">
        <v>2127</v>
      </c>
      <c r="AW299" t="s">
        <v>1474</v>
      </c>
      <c r="AX299" t="s">
        <v>1928</v>
      </c>
      <c r="AY299" t="s">
        <v>2717</v>
      </c>
      <c r="AZ299" t="s">
        <v>2718</v>
      </c>
      <c r="BA299" t="s">
        <v>1443</v>
      </c>
      <c r="BB299" t="str">
        <f t="shared" si="4"/>
        <v>CCCRNenEnuguSouth</v>
      </c>
    </row>
    <row r="300" spans="48:54" x14ac:dyDescent="0.25">
      <c r="AV300" t="s">
        <v>2127</v>
      </c>
      <c r="AW300" t="s">
        <v>1474</v>
      </c>
      <c r="AX300" t="s">
        <v>1928</v>
      </c>
      <c r="AY300" t="s">
        <v>2719</v>
      </c>
      <c r="AZ300" t="s">
        <v>2720</v>
      </c>
      <c r="BA300" t="s">
        <v>1443</v>
      </c>
      <c r="BB300" t="str">
        <f t="shared" si="4"/>
        <v>CCCRNenEnuguSouth</v>
      </c>
    </row>
    <row r="301" spans="48:54" x14ac:dyDescent="0.25">
      <c r="AV301" t="s">
        <v>2127</v>
      </c>
      <c r="AW301" t="s">
        <v>1474</v>
      </c>
      <c r="AX301" t="s">
        <v>1928</v>
      </c>
      <c r="AY301" t="s">
        <v>2721</v>
      </c>
      <c r="AZ301" t="s">
        <v>2722</v>
      </c>
      <c r="BA301" t="s">
        <v>1443</v>
      </c>
      <c r="BB301" t="str">
        <f t="shared" si="4"/>
        <v>CCCRNenEnuguSouth</v>
      </c>
    </row>
    <row r="302" spans="48:54" x14ac:dyDescent="0.25">
      <c r="AV302" t="s">
        <v>2127</v>
      </c>
      <c r="AW302" t="s">
        <v>1474</v>
      </c>
      <c r="AX302" t="s">
        <v>1928</v>
      </c>
      <c r="AY302" t="s">
        <v>2723</v>
      </c>
      <c r="AZ302" t="s">
        <v>2724</v>
      </c>
      <c r="BA302" t="s">
        <v>1443</v>
      </c>
      <c r="BB302" t="str">
        <f t="shared" si="4"/>
        <v>CCCRNenEnuguSouth</v>
      </c>
    </row>
    <row r="303" spans="48:54" x14ac:dyDescent="0.25">
      <c r="AV303" t="s">
        <v>2127</v>
      </c>
      <c r="AW303" t="s">
        <v>1474</v>
      </c>
      <c r="AX303" t="s">
        <v>1928</v>
      </c>
      <c r="AY303" t="s">
        <v>2725</v>
      </c>
      <c r="AZ303" t="s">
        <v>2726</v>
      </c>
      <c r="BA303" t="s">
        <v>1443</v>
      </c>
      <c r="BB303" t="str">
        <f t="shared" si="4"/>
        <v>CCCRNenEnuguSouth</v>
      </c>
    </row>
    <row r="304" spans="48:54" x14ac:dyDescent="0.25">
      <c r="AV304" t="s">
        <v>2127</v>
      </c>
      <c r="AW304" t="s">
        <v>1474</v>
      </c>
      <c r="AX304" t="s">
        <v>1929</v>
      </c>
      <c r="AY304" t="s">
        <v>2727</v>
      </c>
      <c r="AZ304" t="s">
        <v>2728</v>
      </c>
      <c r="BA304" t="s">
        <v>1443</v>
      </c>
      <c r="BB304" t="str">
        <f t="shared" si="4"/>
        <v>CCCRNenIgboEtiti</v>
      </c>
    </row>
    <row r="305" spans="48:54" x14ac:dyDescent="0.25">
      <c r="AV305" t="s">
        <v>2127</v>
      </c>
      <c r="AW305" t="s">
        <v>1474</v>
      </c>
      <c r="AX305" t="s">
        <v>1929</v>
      </c>
      <c r="AY305" t="s">
        <v>2729</v>
      </c>
      <c r="AZ305" t="s">
        <v>2730</v>
      </c>
      <c r="BA305" t="s">
        <v>1443</v>
      </c>
      <c r="BB305" t="str">
        <f t="shared" si="4"/>
        <v>CCCRNenIgboEtiti</v>
      </c>
    </row>
    <row r="306" spans="48:54" x14ac:dyDescent="0.25">
      <c r="AV306" t="s">
        <v>2127</v>
      </c>
      <c r="AW306" t="s">
        <v>1474</v>
      </c>
      <c r="AX306" t="s">
        <v>1929</v>
      </c>
      <c r="AY306" t="s">
        <v>2731</v>
      </c>
      <c r="AZ306" t="s">
        <v>2732</v>
      </c>
      <c r="BA306" t="s">
        <v>1443</v>
      </c>
      <c r="BB306" t="str">
        <f t="shared" si="4"/>
        <v>CCCRNenIgboEtiti</v>
      </c>
    </row>
    <row r="307" spans="48:54" x14ac:dyDescent="0.25">
      <c r="AV307" t="s">
        <v>2127</v>
      </c>
      <c r="AW307" t="s">
        <v>1474</v>
      </c>
      <c r="AX307" t="s">
        <v>1929</v>
      </c>
      <c r="AY307" t="s">
        <v>2733</v>
      </c>
      <c r="AZ307" t="s">
        <v>2734</v>
      </c>
      <c r="BA307" t="s">
        <v>1443</v>
      </c>
      <c r="BB307" t="str">
        <f t="shared" si="4"/>
        <v>CCCRNenIgboEtiti</v>
      </c>
    </row>
    <row r="308" spans="48:54" x14ac:dyDescent="0.25">
      <c r="AV308" t="s">
        <v>2127</v>
      </c>
      <c r="AW308" t="s">
        <v>1474</v>
      </c>
      <c r="AX308" t="s">
        <v>1929</v>
      </c>
      <c r="AY308" t="s">
        <v>2735</v>
      </c>
      <c r="AZ308" t="s">
        <v>2736</v>
      </c>
      <c r="BA308" t="s">
        <v>1443</v>
      </c>
      <c r="BB308" t="str">
        <f t="shared" si="4"/>
        <v>CCCRNenIgboEtiti</v>
      </c>
    </row>
    <row r="309" spans="48:54" x14ac:dyDescent="0.25">
      <c r="AV309" t="s">
        <v>2127</v>
      </c>
      <c r="AW309" t="s">
        <v>1474</v>
      </c>
      <c r="AX309" t="s">
        <v>1930</v>
      </c>
      <c r="AY309" t="s">
        <v>2737</v>
      </c>
      <c r="AZ309" t="s">
        <v>2738</v>
      </c>
      <c r="BA309" t="s">
        <v>1443</v>
      </c>
      <c r="BB309" t="str">
        <f t="shared" si="4"/>
        <v>CCCRNenIgboEzeNorth</v>
      </c>
    </row>
    <row r="310" spans="48:54" x14ac:dyDescent="0.25">
      <c r="AV310" t="s">
        <v>2127</v>
      </c>
      <c r="AW310" t="s">
        <v>1474</v>
      </c>
      <c r="AX310" t="s">
        <v>1930</v>
      </c>
      <c r="AY310" t="s">
        <v>2739</v>
      </c>
      <c r="AZ310" t="s">
        <v>2740</v>
      </c>
      <c r="BA310" t="s">
        <v>1443</v>
      </c>
      <c r="BB310" t="str">
        <f t="shared" si="4"/>
        <v>CCCRNenIgboEzeNorth</v>
      </c>
    </row>
    <row r="311" spans="48:54" x14ac:dyDescent="0.25">
      <c r="AV311" t="s">
        <v>2127</v>
      </c>
      <c r="AW311" t="s">
        <v>1474</v>
      </c>
      <c r="AX311" t="s">
        <v>1930</v>
      </c>
      <c r="AY311" t="s">
        <v>2741</v>
      </c>
      <c r="AZ311" t="s">
        <v>2742</v>
      </c>
      <c r="BA311" t="s">
        <v>1443</v>
      </c>
      <c r="BB311" t="str">
        <f t="shared" si="4"/>
        <v>CCCRNenIgboEzeNorth</v>
      </c>
    </row>
    <row r="312" spans="48:54" x14ac:dyDescent="0.25">
      <c r="AV312" t="s">
        <v>2127</v>
      </c>
      <c r="AW312" t="s">
        <v>1474</v>
      </c>
      <c r="AX312" t="s">
        <v>1930</v>
      </c>
      <c r="AY312" t="s">
        <v>2743</v>
      </c>
      <c r="AZ312" t="s">
        <v>2744</v>
      </c>
      <c r="BA312" t="s">
        <v>1443</v>
      </c>
      <c r="BB312" t="str">
        <f t="shared" si="4"/>
        <v>CCCRNenIgboEzeNorth</v>
      </c>
    </row>
    <row r="313" spans="48:54" x14ac:dyDescent="0.25">
      <c r="AV313" t="s">
        <v>2127</v>
      </c>
      <c r="AW313" t="s">
        <v>1474</v>
      </c>
      <c r="AX313" t="s">
        <v>1930</v>
      </c>
      <c r="AY313" t="s">
        <v>2745</v>
      </c>
      <c r="AZ313" t="s">
        <v>2746</v>
      </c>
      <c r="BA313" t="s">
        <v>1443</v>
      </c>
      <c r="BB313" t="str">
        <f t="shared" si="4"/>
        <v>CCCRNenIgboEzeNorth</v>
      </c>
    </row>
    <row r="314" spans="48:54" x14ac:dyDescent="0.25">
      <c r="AV314" t="s">
        <v>2127</v>
      </c>
      <c r="AW314" t="s">
        <v>1474</v>
      </c>
      <c r="AX314" t="s">
        <v>1930</v>
      </c>
      <c r="AY314" t="s">
        <v>2747</v>
      </c>
      <c r="AZ314" t="s">
        <v>2748</v>
      </c>
      <c r="BA314" t="s">
        <v>1443</v>
      </c>
      <c r="BB314" t="str">
        <f t="shared" si="4"/>
        <v>CCCRNenIgboEzeNorth</v>
      </c>
    </row>
    <row r="315" spans="48:54" x14ac:dyDescent="0.25">
      <c r="AV315" t="s">
        <v>2127</v>
      </c>
      <c r="AW315" t="s">
        <v>1474</v>
      </c>
      <c r="AX315" t="s">
        <v>1930</v>
      </c>
      <c r="AY315" t="s">
        <v>2749</v>
      </c>
      <c r="AZ315" t="s">
        <v>2750</v>
      </c>
      <c r="BA315" t="s">
        <v>1443</v>
      </c>
      <c r="BB315" t="str">
        <f t="shared" si="4"/>
        <v>CCCRNenIgboEzeNorth</v>
      </c>
    </row>
    <row r="316" spans="48:54" x14ac:dyDescent="0.25">
      <c r="AV316" t="s">
        <v>2127</v>
      </c>
      <c r="AW316" t="s">
        <v>1474</v>
      </c>
      <c r="AX316" t="s">
        <v>1931</v>
      </c>
      <c r="AY316" t="s">
        <v>2751</v>
      </c>
      <c r="AZ316" t="s">
        <v>2752</v>
      </c>
      <c r="BA316" t="s">
        <v>1443</v>
      </c>
      <c r="BB316" t="str">
        <f t="shared" si="4"/>
        <v>CCCRNenIgboEzeSouth</v>
      </c>
    </row>
    <row r="317" spans="48:54" x14ac:dyDescent="0.25">
      <c r="AV317" t="s">
        <v>2127</v>
      </c>
      <c r="AW317" t="s">
        <v>1474</v>
      </c>
      <c r="AX317" t="s">
        <v>1931</v>
      </c>
      <c r="AY317" t="s">
        <v>2753</v>
      </c>
      <c r="AZ317" t="s">
        <v>2754</v>
      </c>
      <c r="BA317" t="s">
        <v>1443</v>
      </c>
      <c r="BB317" t="str">
        <f t="shared" si="4"/>
        <v>CCCRNenIgboEzeSouth</v>
      </c>
    </row>
    <row r="318" spans="48:54" x14ac:dyDescent="0.25">
      <c r="AV318" t="s">
        <v>2127</v>
      </c>
      <c r="AW318" t="s">
        <v>1474</v>
      </c>
      <c r="AX318" t="s">
        <v>1931</v>
      </c>
      <c r="AY318" t="s">
        <v>2755</v>
      </c>
      <c r="AZ318" t="s">
        <v>2756</v>
      </c>
      <c r="BA318" t="s">
        <v>1443</v>
      </c>
      <c r="BB318" t="str">
        <f t="shared" si="4"/>
        <v>CCCRNenIgboEzeSouth</v>
      </c>
    </row>
    <row r="319" spans="48:54" x14ac:dyDescent="0.25">
      <c r="AV319" t="s">
        <v>2127</v>
      </c>
      <c r="AW319" t="s">
        <v>1474</v>
      </c>
      <c r="AX319" t="s">
        <v>1932</v>
      </c>
      <c r="AY319" t="s">
        <v>2757</v>
      </c>
      <c r="AZ319" t="s">
        <v>2758</v>
      </c>
      <c r="BA319" t="s">
        <v>1443</v>
      </c>
      <c r="BB319" t="str">
        <f t="shared" si="4"/>
        <v>CCCRNenIsiuzo</v>
      </c>
    </row>
    <row r="320" spans="48:54" x14ac:dyDescent="0.25">
      <c r="AV320" t="s">
        <v>2127</v>
      </c>
      <c r="AW320" t="s">
        <v>1474</v>
      </c>
      <c r="AX320" t="s">
        <v>1932</v>
      </c>
      <c r="AY320" t="s">
        <v>2759</v>
      </c>
      <c r="AZ320" t="s">
        <v>2760</v>
      </c>
      <c r="BA320" t="s">
        <v>1443</v>
      </c>
      <c r="BB320" t="str">
        <f t="shared" si="4"/>
        <v>CCCRNenIsiuzo</v>
      </c>
    </row>
    <row r="321" spans="48:54" x14ac:dyDescent="0.25">
      <c r="AV321" t="s">
        <v>2127</v>
      </c>
      <c r="AW321" t="s">
        <v>1474</v>
      </c>
      <c r="AX321" t="s">
        <v>1932</v>
      </c>
      <c r="AY321" t="s">
        <v>2761</v>
      </c>
      <c r="AZ321" t="s">
        <v>2762</v>
      </c>
      <c r="BA321" t="s">
        <v>1443</v>
      </c>
      <c r="BB321" t="str">
        <f t="shared" si="4"/>
        <v>CCCRNenIsiuzo</v>
      </c>
    </row>
    <row r="322" spans="48:54" x14ac:dyDescent="0.25">
      <c r="AV322" t="s">
        <v>2127</v>
      </c>
      <c r="AW322" t="s">
        <v>1474</v>
      </c>
      <c r="AX322" t="s">
        <v>1932</v>
      </c>
      <c r="AY322" t="s">
        <v>2763</v>
      </c>
      <c r="AZ322" t="s">
        <v>2764</v>
      </c>
      <c r="BA322" t="s">
        <v>1443</v>
      </c>
      <c r="BB322" t="str">
        <f t="shared" si="4"/>
        <v>CCCRNenIsiuzo</v>
      </c>
    </row>
    <row r="323" spans="48:54" x14ac:dyDescent="0.25">
      <c r="AV323" t="s">
        <v>2127</v>
      </c>
      <c r="AW323" t="s">
        <v>1474</v>
      </c>
      <c r="AX323" t="s">
        <v>1932</v>
      </c>
      <c r="AY323" t="s">
        <v>2765</v>
      </c>
      <c r="AZ323" t="s">
        <v>2766</v>
      </c>
      <c r="BA323" t="s">
        <v>1443</v>
      </c>
      <c r="BB323" t="str">
        <f t="shared" ref="BB323:BB386" si="5">SUBSTITUTE(SUBSTITUTE(BA323&amp;AX323," ",""),"-","")</f>
        <v>CCCRNenIsiuzo</v>
      </c>
    </row>
    <row r="324" spans="48:54" x14ac:dyDescent="0.25">
      <c r="AV324" t="s">
        <v>2127</v>
      </c>
      <c r="AW324" t="s">
        <v>1474</v>
      </c>
      <c r="AX324" t="s">
        <v>1933</v>
      </c>
      <c r="AY324" t="s">
        <v>2767</v>
      </c>
      <c r="AZ324" t="s">
        <v>2768</v>
      </c>
      <c r="BA324" t="s">
        <v>1443</v>
      </c>
      <c r="BB324" t="str">
        <f t="shared" si="5"/>
        <v>CCCRNenNkanuEast</v>
      </c>
    </row>
    <row r="325" spans="48:54" x14ac:dyDescent="0.25">
      <c r="AV325" t="s">
        <v>2127</v>
      </c>
      <c r="AW325" t="s">
        <v>1474</v>
      </c>
      <c r="AX325" t="s">
        <v>1934</v>
      </c>
      <c r="AY325" t="s">
        <v>2769</v>
      </c>
      <c r="AZ325" t="s">
        <v>2770</v>
      </c>
      <c r="BA325" t="s">
        <v>1443</v>
      </c>
      <c r="BB325" t="str">
        <f t="shared" si="5"/>
        <v>CCCRNenNkanuWest</v>
      </c>
    </row>
    <row r="326" spans="48:54" x14ac:dyDescent="0.25">
      <c r="AV326" t="s">
        <v>2127</v>
      </c>
      <c r="AW326" t="s">
        <v>1474</v>
      </c>
      <c r="AX326" t="s">
        <v>1934</v>
      </c>
      <c r="AY326" t="s">
        <v>2771</v>
      </c>
      <c r="AZ326" t="s">
        <v>2772</v>
      </c>
      <c r="BA326" t="s">
        <v>1443</v>
      </c>
      <c r="BB326" t="str">
        <f t="shared" si="5"/>
        <v>CCCRNenNkanuWest</v>
      </c>
    </row>
    <row r="327" spans="48:54" x14ac:dyDescent="0.25">
      <c r="AV327" t="s">
        <v>2127</v>
      </c>
      <c r="AW327" t="s">
        <v>1474</v>
      </c>
      <c r="AX327" t="s">
        <v>1934</v>
      </c>
      <c r="AY327" t="s">
        <v>2773</v>
      </c>
      <c r="AZ327" t="s">
        <v>2774</v>
      </c>
      <c r="BA327" t="s">
        <v>1443</v>
      </c>
      <c r="BB327" t="str">
        <f t="shared" si="5"/>
        <v>CCCRNenNkanuWest</v>
      </c>
    </row>
    <row r="328" spans="48:54" x14ac:dyDescent="0.25">
      <c r="AV328" t="s">
        <v>2127</v>
      </c>
      <c r="AW328" t="s">
        <v>1474</v>
      </c>
      <c r="AX328" t="s">
        <v>1935</v>
      </c>
      <c r="AY328" t="s">
        <v>2775</v>
      </c>
      <c r="AZ328" t="s">
        <v>2776</v>
      </c>
      <c r="BA328" t="s">
        <v>1443</v>
      </c>
      <c r="BB328" t="str">
        <f t="shared" si="5"/>
        <v>CCCRNenNsukka</v>
      </c>
    </row>
    <row r="329" spans="48:54" x14ac:dyDescent="0.25">
      <c r="AV329" t="s">
        <v>2127</v>
      </c>
      <c r="AW329" t="s">
        <v>1474</v>
      </c>
      <c r="AX329" t="s">
        <v>1935</v>
      </c>
      <c r="AY329" t="s">
        <v>2777</v>
      </c>
      <c r="AZ329" t="s">
        <v>2778</v>
      </c>
      <c r="BA329" t="s">
        <v>1443</v>
      </c>
      <c r="BB329" t="str">
        <f t="shared" si="5"/>
        <v>CCCRNenNsukka</v>
      </c>
    </row>
    <row r="330" spans="48:54" x14ac:dyDescent="0.25">
      <c r="AV330" t="s">
        <v>2127</v>
      </c>
      <c r="AW330" t="s">
        <v>1474</v>
      </c>
      <c r="AX330" t="s">
        <v>1935</v>
      </c>
      <c r="AY330" t="s">
        <v>2779</v>
      </c>
      <c r="AZ330" t="s">
        <v>2780</v>
      </c>
      <c r="BA330" t="s">
        <v>1443</v>
      </c>
      <c r="BB330" t="str">
        <f t="shared" si="5"/>
        <v>CCCRNenNsukka</v>
      </c>
    </row>
    <row r="331" spans="48:54" x14ac:dyDescent="0.25">
      <c r="AV331" t="s">
        <v>2127</v>
      </c>
      <c r="AW331" t="s">
        <v>1474</v>
      </c>
      <c r="AX331" t="s">
        <v>1935</v>
      </c>
      <c r="AY331" t="s">
        <v>2781</v>
      </c>
      <c r="AZ331" t="s">
        <v>2782</v>
      </c>
      <c r="BA331" t="s">
        <v>1443</v>
      </c>
      <c r="BB331" t="str">
        <f t="shared" si="5"/>
        <v>CCCRNenNsukka</v>
      </c>
    </row>
    <row r="332" spans="48:54" x14ac:dyDescent="0.25">
      <c r="AV332" t="s">
        <v>2127</v>
      </c>
      <c r="AW332" t="s">
        <v>1474</v>
      </c>
      <c r="AX332" t="s">
        <v>1935</v>
      </c>
      <c r="AY332" t="s">
        <v>2783</v>
      </c>
      <c r="AZ332" t="s">
        <v>2784</v>
      </c>
      <c r="BA332" t="s">
        <v>1443</v>
      </c>
      <c r="BB332" t="str">
        <f t="shared" si="5"/>
        <v>CCCRNenNsukka</v>
      </c>
    </row>
    <row r="333" spans="48:54" x14ac:dyDescent="0.25">
      <c r="AV333" t="s">
        <v>2127</v>
      </c>
      <c r="AW333" t="s">
        <v>1474</v>
      </c>
      <c r="AX333" t="s">
        <v>1935</v>
      </c>
      <c r="AY333" t="s">
        <v>2785</v>
      </c>
      <c r="AZ333" t="s">
        <v>2786</v>
      </c>
      <c r="BA333" t="s">
        <v>1443</v>
      </c>
      <c r="BB333" t="str">
        <f t="shared" si="5"/>
        <v>CCCRNenNsukka</v>
      </c>
    </row>
    <row r="334" spans="48:54" x14ac:dyDescent="0.25">
      <c r="AV334" t="s">
        <v>2127</v>
      </c>
      <c r="AW334" t="s">
        <v>1474</v>
      </c>
      <c r="AX334" t="s">
        <v>1935</v>
      </c>
      <c r="AY334" t="s">
        <v>2787</v>
      </c>
      <c r="AZ334" t="s">
        <v>2788</v>
      </c>
      <c r="BA334" t="s">
        <v>1443</v>
      </c>
      <c r="BB334" t="str">
        <f t="shared" si="5"/>
        <v>CCCRNenNsukka</v>
      </c>
    </row>
    <row r="335" spans="48:54" x14ac:dyDescent="0.25">
      <c r="AV335" t="s">
        <v>2127</v>
      </c>
      <c r="AW335" t="s">
        <v>1474</v>
      </c>
      <c r="AX335" t="s">
        <v>1935</v>
      </c>
      <c r="AY335" t="s">
        <v>2789</v>
      </c>
      <c r="AZ335" t="s">
        <v>2790</v>
      </c>
      <c r="BA335" t="s">
        <v>1443</v>
      </c>
      <c r="BB335" t="str">
        <f t="shared" si="5"/>
        <v>CCCRNenNsukka</v>
      </c>
    </row>
    <row r="336" spans="48:54" x14ac:dyDescent="0.25">
      <c r="AV336" t="s">
        <v>2127</v>
      </c>
      <c r="AW336" t="s">
        <v>1474</v>
      </c>
      <c r="AX336" t="s">
        <v>1935</v>
      </c>
      <c r="AY336" t="s">
        <v>2791</v>
      </c>
      <c r="AZ336" t="s">
        <v>2792</v>
      </c>
      <c r="BA336" t="s">
        <v>1443</v>
      </c>
      <c r="BB336" t="str">
        <f t="shared" si="5"/>
        <v>CCCRNenNsukka</v>
      </c>
    </row>
    <row r="337" spans="48:54" x14ac:dyDescent="0.25">
      <c r="AV337" t="s">
        <v>2127</v>
      </c>
      <c r="AW337" t="s">
        <v>1474</v>
      </c>
      <c r="AX337" t="s">
        <v>1935</v>
      </c>
      <c r="AY337" t="s">
        <v>2793</v>
      </c>
      <c r="AZ337" t="s">
        <v>2794</v>
      </c>
      <c r="BA337" t="s">
        <v>1443</v>
      </c>
      <c r="BB337" t="str">
        <f t="shared" si="5"/>
        <v>CCCRNenNsukka</v>
      </c>
    </row>
    <row r="338" spans="48:54" x14ac:dyDescent="0.25">
      <c r="AV338" t="s">
        <v>2127</v>
      </c>
      <c r="AW338" t="s">
        <v>1474</v>
      </c>
      <c r="AX338" t="s">
        <v>1936</v>
      </c>
      <c r="AY338" t="s">
        <v>2795</v>
      </c>
      <c r="AZ338" t="s">
        <v>2796</v>
      </c>
      <c r="BA338" t="s">
        <v>1443</v>
      </c>
      <c r="BB338" t="str">
        <f t="shared" si="5"/>
        <v>CCCRNenUdenu</v>
      </c>
    </row>
    <row r="339" spans="48:54" x14ac:dyDescent="0.25">
      <c r="AV339" t="s">
        <v>2127</v>
      </c>
      <c r="AW339" t="s">
        <v>1474</v>
      </c>
      <c r="AX339" t="s">
        <v>1936</v>
      </c>
      <c r="AY339" t="s">
        <v>2797</v>
      </c>
      <c r="AZ339" t="s">
        <v>2798</v>
      </c>
      <c r="BA339" t="s">
        <v>1443</v>
      </c>
      <c r="BB339" t="str">
        <f t="shared" si="5"/>
        <v>CCCRNenUdenu</v>
      </c>
    </row>
    <row r="340" spans="48:54" x14ac:dyDescent="0.25">
      <c r="AV340" t="s">
        <v>2127</v>
      </c>
      <c r="AW340" t="s">
        <v>1474</v>
      </c>
      <c r="AX340" t="s">
        <v>1936</v>
      </c>
      <c r="AY340" t="s">
        <v>2799</v>
      </c>
      <c r="AZ340" t="s">
        <v>2800</v>
      </c>
      <c r="BA340" t="s">
        <v>1443</v>
      </c>
      <c r="BB340" t="str">
        <f t="shared" si="5"/>
        <v>CCCRNenUdenu</v>
      </c>
    </row>
    <row r="341" spans="48:54" x14ac:dyDescent="0.25">
      <c r="AV341" t="s">
        <v>2127</v>
      </c>
      <c r="AW341" t="s">
        <v>1474</v>
      </c>
      <c r="AX341" t="s">
        <v>1936</v>
      </c>
      <c r="AY341" t="s">
        <v>2801</v>
      </c>
      <c r="AZ341" t="s">
        <v>2802</v>
      </c>
      <c r="BA341" t="s">
        <v>1443</v>
      </c>
      <c r="BB341" t="str">
        <f t="shared" si="5"/>
        <v>CCCRNenUdenu</v>
      </c>
    </row>
    <row r="342" spans="48:54" x14ac:dyDescent="0.25">
      <c r="AV342" t="s">
        <v>2127</v>
      </c>
      <c r="AW342" t="s">
        <v>1474</v>
      </c>
      <c r="AX342" t="s">
        <v>1936</v>
      </c>
      <c r="AY342" t="s">
        <v>2803</v>
      </c>
      <c r="AZ342" t="s">
        <v>2804</v>
      </c>
      <c r="BA342" t="s">
        <v>1443</v>
      </c>
      <c r="BB342" t="str">
        <f t="shared" si="5"/>
        <v>CCCRNenUdenu</v>
      </c>
    </row>
    <row r="343" spans="48:54" x14ac:dyDescent="0.25">
      <c r="AV343" t="s">
        <v>2127</v>
      </c>
      <c r="AW343" t="s">
        <v>1474</v>
      </c>
      <c r="AX343" t="s">
        <v>1936</v>
      </c>
      <c r="AY343" t="s">
        <v>2805</v>
      </c>
      <c r="AZ343" t="s">
        <v>2806</v>
      </c>
      <c r="BA343" t="s">
        <v>1443</v>
      </c>
      <c r="BB343" t="str">
        <f t="shared" si="5"/>
        <v>CCCRNenUdenu</v>
      </c>
    </row>
    <row r="344" spans="48:54" x14ac:dyDescent="0.25">
      <c r="AV344" t="s">
        <v>2127</v>
      </c>
      <c r="AW344" t="s">
        <v>1474</v>
      </c>
      <c r="AX344" t="s">
        <v>1936</v>
      </c>
      <c r="AY344" t="s">
        <v>2807</v>
      </c>
      <c r="AZ344" t="s">
        <v>2808</v>
      </c>
      <c r="BA344" t="s">
        <v>1443</v>
      </c>
      <c r="BB344" t="str">
        <f t="shared" si="5"/>
        <v>CCCRNenUdenu</v>
      </c>
    </row>
    <row r="345" spans="48:54" x14ac:dyDescent="0.25">
      <c r="AV345" t="s">
        <v>2127</v>
      </c>
      <c r="AW345" t="s">
        <v>1474</v>
      </c>
      <c r="AX345" t="s">
        <v>1936</v>
      </c>
      <c r="AY345" t="s">
        <v>2809</v>
      </c>
      <c r="AZ345" t="s">
        <v>2810</v>
      </c>
      <c r="BA345" t="s">
        <v>1443</v>
      </c>
      <c r="BB345" t="str">
        <f t="shared" si="5"/>
        <v>CCCRNenUdenu</v>
      </c>
    </row>
    <row r="346" spans="48:54" x14ac:dyDescent="0.25">
      <c r="AV346" t="s">
        <v>2127</v>
      </c>
      <c r="AW346" t="s">
        <v>1474</v>
      </c>
      <c r="AX346" t="s">
        <v>1936</v>
      </c>
      <c r="AY346" t="s">
        <v>2811</v>
      </c>
      <c r="AZ346" t="s">
        <v>2812</v>
      </c>
      <c r="BA346" t="s">
        <v>1443</v>
      </c>
      <c r="BB346" t="str">
        <f t="shared" si="5"/>
        <v>CCCRNenUdenu</v>
      </c>
    </row>
    <row r="347" spans="48:54" x14ac:dyDescent="0.25">
      <c r="AV347" t="s">
        <v>2127</v>
      </c>
      <c r="AW347" t="s">
        <v>1477</v>
      </c>
      <c r="AX347" t="s">
        <v>1959</v>
      </c>
      <c r="AY347" t="s">
        <v>2813</v>
      </c>
      <c r="AZ347" t="s">
        <v>2814</v>
      </c>
      <c r="BA347" t="s">
        <v>1443</v>
      </c>
      <c r="BB347" t="str">
        <f t="shared" si="5"/>
        <v>CCCRNimAbohMbaise</v>
      </c>
    </row>
    <row r="348" spans="48:54" x14ac:dyDescent="0.25">
      <c r="AV348" t="s">
        <v>2127</v>
      </c>
      <c r="AW348" t="s">
        <v>1477</v>
      </c>
      <c r="AX348" t="s">
        <v>1959</v>
      </c>
      <c r="AY348" t="s">
        <v>2815</v>
      </c>
      <c r="AZ348" t="s">
        <v>2816</v>
      </c>
      <c r="BA348" t="s">
        <v>1443</v>
      </c>
      <c r="BB348" t="str">
        <f t="shared" si="5"/>
        <v>CCCRNimAbohMbaise</v>
      </c>
    </row>
    <row r="349" spans="48:54" x14ac:dyDescent="0.25">
      <c r="AV349" t="s">
        <v>2127</v>
      </c>
      <c r="AW349" t="s">
        <v>1477</v>
      </c>
      <c r="AX349" t="s">
        <v>1959</v>
      </c>
      <c r="AY349" t="s">
        <v>2817</v>
      </c>
      <c r="AZ349" t="s">
        <v>2818</v>
      </c>
      <c r="BA349" t="s">
        <v>1443</v>
      </c>
      <c r="BB349" t="str">
        <f t="shared" si="5"/>
        <v>CCCRNimAbohMbaise</v>
      </c>
    </row>
    <row r="350" spans="48:54" x14ac:dyDescent="0.25">
      <c r="AV350" t="s">
        <v>2127</v>
      </c>
      <c r="AW350" t="s">
        <v>1477</v>
      </c>
      <c r="AX350" t="s">
        <v>1959</v>
      </c>
      <c r="AY350" t="s">
        <v>2819</v>
      </c>
      <c r="AZ350" t="s">
        <v>2820</v>
      </c>
      <c r="BA350" t="s">
        <v>1443</v>
      </c>
      <c r="BB350" t="str">
        <f t="shared" si="5"/>
        <v>CCCRNimAbohMbaise</v>
      </c>
    </row>
    <row r="351" spans="48:54" x14ac:dyDescent="0.25">
      <c r="AV351" t="s">
        <v>2127</v>
      </c>
      <c r="AW351" t="s">
        <v>1477</v>
      </c>
      <c r="AX351" t="s">
        <v>1959</v>
      </c>
      <c r="AY351" t="s">
        <v>2821</v>
      </c>
      <c r="AZ351" t="s">
        <v>2822</v>
      </c>
      <c r="BA351" t="s">
        <v>1443</v>
      </c>
      <c r="BB351" t="str">
        <f t="shared" si="5"/>
        <v>CCCRNimAbohMbaise</v>
      </c>
    </row>
    <row r="352" spans="48:54" x14ac:dyDescent="0.25">
      <c r="AV352" t="s">
        <v>2127</v>
      </c>
      <c r="AW352" t="s">
        <v>1477</v>
      </c>
      <c r="AX352" t="s">
        <v>1960</v>
      </c>
      <c r="AY352" t="s">
        <v>2823</v>
      </c>
      <c r="AZ352" t="s">
        <v>2824</v>
      </c>
      <c r="BA352" t="s">
        <v>1443</v>
      </c>
      <c r="BB352" t="str">
        <f t="shared" si="5"/>
        <v>CCCRNimAhiazuMbaise</v>
      </c>
    </row>
    <row r="353" spans="48:54" x14ac:dyDescent="0.25">
      <c r="AV353" t="s">
        <v>2127</v>
      </c>
      <c r="AW353" t="s">
        <v>1477</v>
      </c>
      <c r="AX353" t="s">
        <v>1960</v>
      </c>
      <c r="AY353" t="s">
        <v>2825</v>
      </c>
      <c r="AZ353" t="s">
        <v>2826</v>
      </c>
      <c r="BA353" t="s">
        <v>1443</v>
      </c>
      <c r="BB353" t="str">
        <f t="shared" si="5"/>
        <v>CCCRNimAhiazuMbaise</v>
      </c>
    </row>
    <row r="354" spans="48:54" x14ac:dyDescent="0.25">
      <c r="AV354" t="s">
        <v>2127</v>
      </c>
      <c r="AW354" t="s">
        <v>1477</v>
      </c>
      <c r="AX354" t="s">
        <v>1960</v>
      </c>
      <c r="AY354" t="s">
        <v>2827</v>
      </c>
      <c r="AZ354" t="s">
        <v>2828</v>
      </c>
      <c r="BA354" t="s">
        <v>1443</v>
      </c>
      <c r="BB354" t="str">
        <f t="shared" si="5"/>
        <v>CCCRNimAhiazuMbaise</v>
      </c>
    </row>
    <row r="355" spans="48:54" x14ac:dyDescent="0.25">
      <c r="AV355" t="s">
        <v>2127</v>
      </c>
      <c r="AW355" t="s">
        <v>1477</v>
      </c>
      <c r="AX355" t="s">
        <v>1961</v>
      </c>
      <c r="AY355" t="s">
        <v>2829</v>
      </c>
      <c r="AZ355" t="s">
        <v>2830</v>
      </c>
      <c r="BA355" t="s">
        <v>1443</v>
      </c>
      <c r="BB355" t="str">
        <f t="shared" si="5"/>
        <v>CCCRNimEzinihitte</v>
      </c>
    </row>
    <row r="356" spans="48:54" x14ac:dyDescent="0.25">
      <c r="AV356" t="s">
        <v>2127</v>
      </c>
      <c r="AW356" t="s">
        <v>1477</v>
      </c>
      <c r="AX356" t="s">
        <v>1961</v>
      </c>
      <c r="AY356" t="s">
        <v>2831</v>
      </c>
      <c r="AZ356" t="s">
        <v>2832</v>
      </c>
      <c r="BA356" t="s">
        <v>1443</v>
      </c>
      <c r="BB356" t="str">
        <f t="shared" si="5"/>
        <v>CCCRNimEzinihitte</v>
      </c>
    </row>
    <row r="357" spans="48:54" x14ac:dyDescent="0.25">
      <c r="AV357" t="s">
        <v>2127</v>
      </c>
      <c r="AW357" t="s">
        <v>1477</v>
      </c>
      <c r="AX357" t="s">
        <v>1961</v>
      </c>
      <c r="AY357" t="s">
        <v>2833</v>
      </c>
      <c r="AZ357" t="s">
        <v>2834</v>
      </c>
      <c r="BA357" t="s">
        <v>1443</v>
      </c>
      <c r="BB357" t="str">
        <f t="shared" si="5"/>
        <v>CCCRNimEzinihitte</v>
      </c>
    </row>
    <row r="358" spans="48:54" x14ac:dyDescent="0.25">
      <c r="AV358" t="s">
        <v>2127</v>
      </c>
      <c r="AW358" t="s">
        <v>1477</v>
      </c>
      <c r="AX358" t="s">
        <v>1962</v>
      </c>
      <c r="AY358" t="s">
        <v>2835</v>
      </c>
      <c r="AZ358" t="s">
        <v>2836</v>
      </c>
      <c r="BA358" t="s">
        <v>1443</v>
      </c>
      <c r="BB358" t="str">
        <f t="shared" si="5"/>
        <v>CCCRNimIdeatoNorth</v>
      </c>
    </row>
    <row r="359" spans="48:54" x14ac:dyDescent="0.25">
      <c r="AV359" t="s">
        <v>2127</v>
      </c>
      <c r="AW359" t="s">
        <v>1477</v>
      </c>
      <c r="AX359" t="s">
        <v>1962</v>
      </c>
      <c r="AY359" t="s">
        <v>2837</v>
      </c>
      <c r="AZ359" t="s">
        <v>2838</v>
      </c>
      <c r="BA359" t="s">
        <v>1443</v>
      </c>
      <c r="BB359" t="str">
        <f t="shared" si="5"/>
        <v>CCCRNimIdeatoNorth</v>
      </c>
    </row>
    <row r="360" spans="48:54" x14ac:dyDescent="0.25">
      <c r="AV360" t="s">
        <v>2127</v>
      </c>
      <c r="AW360" t="s">
        <v>1477</v>
      </c>
      <c r="AX360" t="s">
        <v>1962</v>
      </c>
      <c r="AY360" t="s">
        <v>2839</v>
      </c>
      <c r="AZ360" t="s">
        <v>2840</v>
      </c>
      <c r="BA360" t="s">
        <v>1443</v>
      </c>
      <c r="BB360" t="str">
        <f t="shared" si="5"/>
        <v>CCCRNimIdeatoNorth</v>
      </c>
    </row>
    <row r="361" spans="48:54" x14ac:dyDescent="0.25">
      <c r="AV361" t="s">
        <v>2127</v>
      </c>
      <c r="AW361" t="s">
        <v>1477</v>
      </c>
      <c r="AX361" t="s">
        <v>1962</v>
      </c>
      <c r="AY361" t="s">
        <v>2841</v>
      </c>
      <c r="AZ361" t="s">
        <v>2842</v>
      </c>
      <c r="BA361" t="s">
        <v>1443</v>
      </c>
      <c r="BB361" t="str">
        <f t="shared" si="5"/>
        <v>CCCRNimIdeatoNorth</v>
      </c>
    </row>
    <row r="362" spans="48:54" x14ac:dyDescent="0.25">
      <c r="AV362" t="s">
        <v>2127</v>
      </c>
      <c r="AW362" t="s">
        <v>1477</v>
      </c>
      <c r="AX362" t="s">
        <v>1962</v>
      </c>
      <c r="AY362" t="s">
        <v>2843</v>
      </c>
      <c r="AZ362" t="s">
        <v>2844</v>
      </c>
      <c r="BA362" t="s">
        <v>1443</v>
      </c>
      <c r="BB362" t="str">
        <f t="shared" si="5"/>
        <v>CCCRNimIdeatoNorth</v>
      </c>
    </row>
    <row r="363" spans="48:54" x14ac:dyDescent="0.25">
      <c r="AV363" t="s">
        <v>2127</v>
      </c>
      <c r="AW363" t="s">
        <v>1477</v>
      </c>
      <c r="AX363" t="s">
        <v>1963</v>
      </c>
      <c r="AY363" t="s">
        <v>2845</v>
      </c>
      <c r="AZ363" t="s">
        <v>2846</v>
      </c>
      <c r="BA363" t="s">
        <v>1443</v>
      </c>
      <c r="BB363" t="str">
        <f t="shared" si="5"/>
        <v>CCCRNimIdeatoSouth</v>
      </c>
    </row>
    <row r="364" spans="48:54" x14ac:dyDescent="0.25">
      <c r="AV364" t="s">
        <v>2127</v>
      </c>
      <c r="AW364" t="s">
        <v>1477</v>
      </c>
      <c r="AX364" t="s">
        <v>1964</v>
      </c>
      <c r="AY364" t="s">
        <v>2847</v>
      </c>
      <c r="AZ364" t="s">
        <v>2848</v>
      </c>
      <c r="BA364" t="s">
        <v>1443</v>
      </c>
      <c r="BB364" t="str">
        <f t="shared" si="5"/>
        <v>CCCRNimIkeduru</v>
      </c>
    </row>
    <row r="365" spans="48:54" x14ac:dyDescent="0.25">
      <c r="AV365" t="s">
        <v>2127</v>
      </c>
      <c r="AW365" t="s">
        <v>1477</v>
      </c>
      <c r="AX365" t="s">
        <v>1964</v>
      </c>
      <c r="AY365" t="s">
        <v>2849</v>
      </c>
      <c r="AZ365" t="s">
        <v>2850</v>
      </c>
      <c r="BA365" t="s">
        <v>1443</v>
      </c>
      <c r="BB365" t="str">
        <f t="shared" si="5"/>
        <v>CCCRNimIkeduru</v>
      </c>
    </row>
    <row r="366" spans="48:54" x14ac:dyDescent="0.25">
      <c r="AV366" t="s">
        <v>2127</v>
      </c>
      <c r="AW366" t="s">
        <v>1477</v>
      </c>
      <c r="AX366" t="s">
        <v>1964</v>
      </c>
      <c r="AY366" t="s">
        <v>2851</v>
      </c>
      <c r="AZ366" t="s">
        <v>2852</v>
      </c>
      <c r="BA366" t="s">
        <v>1443</v>
      </c>
      <c r="BB366" t="str">
        <f t="shared" si="5"/>
        <v>CCCRNimIkeduru</v>
      </c>
    </row>
    <row r="367" spans="48:54" x14ac:dyDescent="0.25">
      <c r="AV367" t="s">
        <v>2127</v>
      </c>
      <c r="AW367" t="s">
        <v>1477</v>
      </c>
      <c r="AX367" t="s">
        <v>1965</v>
      </c>
      <c r="AY367" t="s">
        <v>2853</v>
      </c>
      <c r="AZ367" t="s">
        <v>2854</v>
      </c>
      <c r="BA367" t="s">
        <v>1443</v>
      </c>
      <c r="BB367" t="str">
        <f t="shared" si="5"/>
        <v>CCCRNimIsu</v>
      </c>
    </row>
    <row r="368" spans="48:54" x14ac:dyDescent="0.25">
      <c r="AV368" t="s">
        <v>2127</v>
      </c>
      <c r="AW368" t="s">
        <v>1477</v>
      </c>
      <c r="AX368" t="s">
        <v>1965</v>
      </c>
      <c r="AY368" t="s">
        <v>2855</v>
      </c>
      <c r="AZ368" t="s">
        <v>2856</v>
      </c>
      <c r="BA368" t="s">
        <v>1443</v>
      </c>
      <c r="BB368" t="str">
        <f t="shared" si="5"/>
        <v>CCCRNimIsu</v>
      </c>
    </row>
    <row r="369" spans="48:54" x14ac:dyDescent="0.25">
      <c r="AV369" t="s">
        <v>2127</v>
      </c>
      <c r="AW369" t="s">
        <v>1477</v>
      </c>
      <c r="AX369" t="s">
        <v>1965</v>
      </c>
      <c r="AY369" t="s">
        <v>2857</v>
      </c>
      <c r="AZ369" t="s">
        <v>2858</v>
      </c>
      <c r="BA369" t="s">
        <v>1443</v>
      </c>
      <c r="BB369" t="str">
        <f t="shared" si="5"/>
        <v>CCCRNimIsu</v>
      </c>
    </row>
    <row r="370" spans="48:54" x14ac:dyDescent="0.25">
      <c r="AV370" t="s">
        <v>2127</v>
      </c>
      <c r="AW370" t="s">
        <v>1477</v>
      </c>
      <c r="AX370" t="s">
        <v>1966</v>
      </c>
      <c r="AY370" t="s">
        <v>2859</v>
      </c>
      <c r="AZ370" t="s">
        <v>2860</v>
      </c>
      <c r="BA370" t="s">
        <v>1443</v>
      </c>
      <c r="BB370" t="str">
        <f t="shared" si="5"/>
        <v>CCCRNimMbaitoli</v>
      </c>
    </row>
    <row r="371" spans="48:54" x14ac:dyDescent="0.25">
      <c r="AV371" t="s">
        <v>2127</v>
      </c>
      <c r="AW371" t="s">
        <v>1477</v>
      </c>
      <c r="AX371" t="s">
        <v>1966</v>
      </c>
      <c r="AY371" t="s">
        <v>2861</v>
      </c>
      <c r="AZ371" t="s">
        <v>2862</v>
      </c>
      <c r="BA371" t="s">
        <v>1443</v>
      </c>
      <c r="BB371" t="str">
        <f t="shared" si="5"/>
        <v>CCCRNimMbaitoli</v>
      </c>
    </row>
    <row r="372" spans="48:54" x14ac:dyDescent="0.25">
      <c r="AV372" t="s">
        <v>2127</v>
      </c>
      <c r="AW372" t="s">
        <v>1477</v>
      </c>
      <c r="AX372" t="s">
        <v>1966</v>
      </c>
      <c r="AY372" t="s">
        <v>2863</v>
      </c>
      <c r="AZ372" t="s">
        <v>2864</v>
      </c>
      <c r="BA372" t="s">
        <v>1443</v>
      </c>
      <c r="BB372" t="str">
        <f t="shared" si="5"/>
        <v>CCCRNimMbaitoli</v>
      </c>
    </row>
    <row r="373" spans="48:54" x14ac:dyDescent="0.25">
      <c r="AV373" t="s">
        <v>2127</v>
      </c>
      <c r="AW373" t="s">
        <v>1477</v>
      </c>
      <c r="AX373" t="s">
        <v>1966</v>
      </c>
      <c r="AY373" t="s">
        <v>2865</v>
      </c>
      <c r="AZ373" t="s">
        <v>2866</v>
      </c>
      <c r="BA373" t="s">
        <v>1443</v>
      </c>
      <c r="BB373" t="str">
        <f t="shared" si="5"/>
        <v>CCCRNimMbaitoli</v>
      </c>
    </row>
    <row r="374" spans="48:54" x14ac:dyDescent="0.25">
      <c r="AV374" t="s">
        <v>2127</v>
      </c>
      <c r="AW374" t="s">
        <v>1477</v>
      </c>
      <c r="AX374" t="s">
        <v>1967</v>
      </c>
      <c r="AY374" t="s">
        <v>2867</v>
      </c>
      <c r="AZ374" t="s">
        <v>2868</v>
      </c>
      <c r="BA374" t="s">
        <v>1443</v>
      </c>
      <c r="BB374" t="str">
        <f t="shared" si="5"/>
        <v>CCCRNimNgorOkpala</v>
      </c>
    </row>
    <row r="375" spans="48:54" x14ac:dyDescent="0.25">
      <c r="AV375" t="s">
        <v>2127</v>
      </c>
      <c r="AW375" t="s">
        <v>1477</v>
      </c>
      <c r="AX375" t="s">
        <v>1967</v>
      </c>
      <c r="AY375" t="s">
        <v>2869</v>
      </c>
      <c r="AZ375" t="s">
        <v>2870</v>
      </c>
      <c r="BA375" t="s">
        <v>1443</v>
      </c>
      <c r="BB375" t="str">
        <f t="shared" si="5"/>
        <v>CCCRNimNgorOkpala</v>
      </c>
    </row>
    <row r="376" spans="48:54" x14ac:dyDescent="0.25">
      <c r="AV376" t="s">
        <v>2127</v>
      </c>
      <c r="AW376" t="s">
        <v>1477</v>
      </c>
      <c r="AX376" t="s">
        <v>1967</v>
      </c>
      <c r="AY376" t="s">
        <v>2871</v>
      </c>
      <c r="AZ376" t="s">
        <v>2872</v>
      </c>
      <c r="BA376" t="s">
        <v>1443</v>
      </c>
      <c r="BB376" t="str">
        <f t="shared" si="5"/>
        <v>CCCRNimNgorOkpala</v>
      </c>
    </row>
    <row r="377" spans="48:54" x14ac:dyDescent="0.25">
      <c r="AV377" t="s">
        <v>2127</v>
      </c>
      <c r="AW377" t="s">
        <v>1477</v>
      </c>
      <c r="AX377" t="s">
        <v>1967</v>
      </c>
      <c r="AY377" t="s">
        <v>2873</v>
      </c>
      <c r="AZ377" t="s">
        <v>2874</v>
      </c>
      <c r="BA377" t="s">
        <v>1443</v>
      </c>
      <c r="BB377" t="str">
        <f t="shared" si="5"/>
        <v>CCCRNimNgorOkpala</v>
      </c>
    </row>
    <row r="378" spans="48:54" x14ac:dyDescent="0.25">
      <c r="AV378" t="s">
        <v>2127</v>
      </c>
      <c r="AW378" t="s">
        <v>1477</v>
      </c>
      <c r="AX378" t="s">
        <v>1968</v>
      </c>
      <c r="AY378" t="s">
        <v>2875</v>
      </c>
      <c r="AZ378" t="s">
        <v>2876</v>
      </c>
      <c r="BA378" t="s">
        <v>1443</v>
      </c>
      <c r="BB378" t="str">
        <f t="shared" si="5"/>
        <v>CCCRNimNjaba</v>
      </c>
    </row>
    <row r="379" spans="48:54" x14ac:dyDescent="0.25">
      <c r="AV379" t="s">
        <v>2127</v>
      </c>
      <c r="AW379" t="s">
        <v>1477</v>
      </c>
      <c r="AX379" t="s">
        <v>1968</v>
      </c>
      <c r="AY379" t="s">
        <v>2877</v>
      </c>
      <c r="AZ379" t="s">
        <v>2878</v>
      </c>
      <c r="BA379" t="s">
        <v>1443</v>
      </c>
      <c r="BB379" t="str">
        <f t="shared" si="5"/>
        <v>CCCRNimNjaba</v>
      </c>
    </row>
    <row r="380" spans="48:54" x14ac:dyDescent="0.25">
      <c r="AV380" t="s">
        <v>2127</v>
      </c>
      <c r="AW380" t="s">
        <v>1477</v>
      </c>
      <c r="AX380" t="s">
        <v>1969</v>
      </c>
      <c r="AY380" t="s">
        <v>2879</v>
      </c>
      <c r="AZ380" t="s">
        <v>2880</v>
      </c>
      <c r="BA380" t="s">
        <v>1443</v>
      </c>
      <c r="BB380" t="str">
        <f t="shared" si="5"/>
        <v>CCCRNimNkwerre</v>
      </c>
    </row>
    <row r="381" spans="48:54" x14ac:dyDescent="0.25">
      <c r="AV381" t="s">
        <v>2127</v>
      </c>
      <c r="AW381" t="s">
        <v>1477</v>
      </c>
      <c r="AX381" t="s">
        <v>1969</v>
      </c>
      <c r="AY381" t="s">
        <v>2881</v>
      </c>
      <c r="AZ381" t="s">
        <v>2882</v>
      </c>
      <c r="BA381" t="s">
        <v>1443</v>
      </c>
      <c r="BB381" t="str">
        <f t="shared" si="5"/>
        <v>CCCRNimNkwerre</v>
      </c>
    </row>
    <row r="382" spans="48:54" x14ac:dyDescent="0.25">
      <c r="AV382" t="s">
        <v>2127</v>
      </c>
      <c r="AW382" t="s">
        <v>1477</v>
      </c>
      <c r="AX382" t="s">
        <v>1969</v>
      </c>
      <c r="AY382" t="s">
        <v>2883</v>
      </c>
      <c r="AZ382" t="s">
        <v>2884</v>
      </c>
      <c r="BA382" t="s">
        <v>1443</v>
      </c>
      <c r="BB382" t="str">
        <f t="shared" si="5"/>
        <v>CCCRNimNkwerre</v>
      </c>
    </row>
    <row r="383" spans="48:54" x14ac:dyDescent="0.25">
      <c r="AV383" t="s">
        <v>2127</v>
      </c>
      <c r="AW383" t="s">
        <v>1477</v>
      </c>
      <c r="AX383" t="s">
        <v>1969</v>
      </c>
      <c r="AY383" t="s">
        <v>2885</v>
      </c>
      <c r="AZ383" t="s">
        <v>2886</v>
      </c>
      <c r="BA383" t="s">
        <v>1443</v>
      </c>
      <c r="BB383" t="str">
        <f t="shared" si="5"/>
        <v>CCCRNimNkwerre</v>
      </c>
    </row>
    <row r="384" spans="48:54" x14ac:dyDescent="0.25">
      <c r="AV384" t="s">
        <v>2127</v>
      </c>
      <c r="AW384" t="s">
        <v>1477</v>
      </c>
      <c r="AX384" t="s">
        <v>1969</v>
      </c>
      <c r="AY384" t="s">
        <v>2887</v>
      </c>
      <c r="AZ384" t="s">
        <v>2888</v>
      </c>
      <c r="BA384" t="s">
        <v>1443</v>
      </c>
      <c r="BB384" t="str">
        <f t="shared" si="5"/>
        <v>CCCRNimNkwerre</v>
      </c>
    </row>
    <row r="385" spans="48:54" x14ac:dyDescent="0.25">
      <c r="AV385" t="s">
        <v>2127</v>
      </c>
      <c r="AW385" t="s">
        <v>1477</v>
      </c>
      <c r="AX385" t="s">
        <v>1970</v>
      </c>
      <c r="AY385" t="s">
        <v>2889</v>
      </c>
      <c r="AZ385" t="s">
        <v>2890</v>
      </c>
      <c r="BA385" t="s">
        <v>1443</v>
      </c>
      <c r="BB385" t="str">
        <f t="shared" si="5"/>
        <v>CCCRNimNwangele</v>
      </c>
    </row>
    <row r="386" spans="48:54" x14ac:dyDescent="0.25">
      <c r="AV386" t="s">
        <v>2127</v>
      </c>
      <c r="AW386" t="s">
        <v>1477</v>
      </c>
      <c r="AX386" t="s">
        <v>1970</v>
      </c>
      <c r="AY386" t="s">
        <v>2891</v>
      </c>
      <c r="AZ386" t="s">
        <v>2892</v>
      </c>
      <c r="BA386" t="s">
        <v>1443</v>
      </c>
      <c r="BB386" t="str">
        <f t="shared" si="5"/>
        <v>CCCRNimNwangele</v>
      </c>
    </row>
    <row r="387" spans="48:54" x14ac:dyDescent="0.25">
      <c r="AV387" t="s">
        <v>2127</v>
      </c>
      <c r="AW387" t="s">
        <v>1477</v>
      </c>
      <c r="AX387" t="s">
        <v>1970</v>
      </c>
      <c r="AY387" t="s">
        <v>2893</v>
      </c>
      <c r="AZ387" t="s">
        <v>2894</v>
      </c>
      <c r="BA387" t="s">
        <v>1443</v>
      </c>
      <c r="BB387" t="str">
        <f t="shared" ref="BB387:BB450" si="6">SUBSTITUTE(SUBSTITUTE(BA387&amp;AX387," ",""),"-","")</f>
        <v>CCCRNimNwangele</v>
      </c>
    </row>
    <row r="388" spans="48:54" x14ac:dyDescent="0.25">
      <c r="AV388" t="s">
        <v>2127</v>
      </c>
      <c r="AW388" t="s">
        <v>1477</v>
      </c>
      <c r="AX388" t="s">
        <v>1971</v>
      </c>
      <c r="AY388" t="s">
        <v>2895</v>
      </c>
      <c r="AZ388" t="s">
        <v>2896</v>
      </c>
      <c r="BA388" t="s">
        <v>1443</v>
      </c>
      <c r="BB388" t="str">
        <f t="shared" si="6"/>
        <v>CCCRNimOguta</v>
      </c>
    </row>
    <row r="389" spans="48:54" x14ac:dyDescent="0.25">
      <c r="AV389" t="s">
        <v>2127</v>
      </c>
      <c r="AW389" t="s">
        <v>1477</v>
      </c>
      <c r="AX389" t="s">
        <v>1971</v>
      </c>
      <c r="AY389" t="s">
        <v>2897</v>
      </c>
      <c r="AZ389" t="s">
        <v>2898</v>
      </c>
      <c r="BA389" t="s">
        <v>1443</v>
      </c>
      <c r="BB389" t="str">
        <f t="shared" si="6"/>
        <v>CCCRNimOguta</v>
      </c>
    </row>
    <row r="390" spans="48:54" x14ac:dyDescent="0.25">
      <c r="AV390" t="s">
        <v>2127</v>
      </c>
      <c r="AW390" t="s">
        <v>1477</v>
      </c>
      <c r="AX390" t="s">
        <v>1971</v>
      </c>
      <c r="AY390" t="s">
        <v>2899</v>
      </c>
      <c r="AZ390" t="s">
        <v>2900</v>
      </c>
      <c r="BA390" t="s">
        <v>1443</v>
      </c>
      <c r="BB390" t="str">
        <f t="shared" si="6"/>
        <v>CCCRNimOguta</v>
      </c>
    </row>
    <row r="391" spans="48:54" x14ac:dyDescent="0.25">
      <c r="AV391" t="s">
        <v>2127</v>
      </c>
      <c r="AW391" t="s">
        <v>1477</v>
      </c>
      <c r="AX391" t="s">
        <v>1971</v>
      </c>
      <c r="AY391" t="s">
        <v>2901</v>
      </c>
      <c r="AZ391" t="s">
        <v>2902</v>
      </c>
      <c r="BA391" t="s">
        <v>1443</v>
      </c>
      <c r="BB391" t="str">
        <f t="shared" si="6"/>
        <v>CCCRNimOguta</v>
      </c>
    </row>
    <row r="392" spans="48:54" x14ac:dyDescent="0.25">
      <c r="AV392" t="s">
        <v>2127</v>
      </c>
      <c r="AW392" t="s">
        <v>1477</v>
      </c>
      <c r="AX392" t="s">
        <v>1971</v>
      </c>
      <c r="AY392" t="s">
        <v>2903</v>
      </c>
      <c r="AZ392" t="s">
        <v>2904</v>
      </c>
      <c r="BA392" t="s">
        <v>1443</v>
      </c>
      <c r="BB392" t="str">
        <f t="shared" si="6"/>
        <v>CCCRNimOguta</v>
      </c>
    </row>
    <row r="393" spans="48:54" x14ac:dyDescent="0.25">
      <c r="AV393" t="s">
        <v>2127</v>
      </c>
      <c r="AW393" t="s">
        <v>1477</v>
      </c>
      <c r="AX393" t="s">
        <v>1972</v>
      </c>
      <c r="AY393" t="s">
        <v>2905</v>
      </c>
      <c r="AZ393" t="s">
        <v>2906</v>
      </c>
      <c r="BA393" t="s">
        <v>1443</v>
      </c>
      <c r="BB393" t="str">
        <f t="shared" si="6"/>
        <v>CCCRNimOhaji</v>
      </c>
    </row>
    <row r="394" spans="48:54" x14ac:dyDescent="0.25">
      <c r="AV394" t="s">
        <v>2127</v>
      </c>
      <c r="AW394" t="s">
        <v>1477</v>
      </c>
      <c r="AX394" t="s">
        <v>1972</v>
      </c>
      <c r="AY394" t="s">
        <v>2905</v>
      </c>
      <c r="AZ394" t="s">
        <v>2907</v>
      </c>
      <c r="BA394" t="s">
        <v>1443</v>
      </c>
      <c r="BB394" t="str">
        <f t="shared" si="6"/>
        <v>CCCRNimOhaji</v>
      </c>
    </row>
    <row r="395" spans="48:54" x14ac:dyDescent="0.25">
      <c r="AV395" t="s">
        <v>2127</v>
      </c>
      <c r="AW395" t="s">
        <v>1477</v>
      </c>
      <c r="AX395" t="s">
        <v>1972</v>
      </c>
      <c r="AY395" t="s">
        <v>2905</v>
      </c>
      <c r="AZ395" t="s">
        <v>2908</v>
      </c>
      <c r="BA395" t="s">
        <v>1443</v>
      </c>
      <c r="BB395" t="str">
        <f t="shared" si="6"/>
        <v>CCCRNimOhaji</v>
      </c>
    </row>
    <row r="396" spans="48:54" x14ac:dyDescent="0.25">
      <c r="AV396" t="s">
        <v>2127</v>
      </c>
      <c r="AW396" t="s">
        <v>1477</v>
      </c>
      <c r="AX396" t="s">
        <v>1972</v>
      </c>
      <c r="AY396" t="s">
        <v>2905</v>
      </c>
      <c r="AZ396" t="s">
        <v>2909</v>
      </c>
      <c r="BA396" t="s">
        <v>1443</v>
      </c>
      <c r="BB396" t="str">
        <f t="shared" si="6"/>
        <v>CCCRNimOhaji</v>
      </c>
    </row>
    <row r="397" spans="48:54" x14ac:dyDescent="0.25">
      <c r="AV397" t="s">
        <v>2127</v>
      </c>
      <c r="AW397" t="s">
        <v>1477</v>
      </c>
      <c r="AX397" t="s">
        <v>1972</v>
      </c>
      <c r="AY397" t="s">
        <v>2905</v>
      </c>
      <c r="AZ397" t="s">
        <v>2910</v>
      </c>
      <c r="BA397" t="s">
        <v>1443</v>
      </c>
      <c r="BB397" t="str">
        <f t="shared" si="6"/>
        <v>CCCRNimOhaji</v>
      </c>
    </row>
    <row r="398" spans="48:54" x14ac:dyDescent="0.25">
      <c r="AV398" t="s">
        <v>2127</v>
      </c>
      <c r="AW398" t="s">
        <v>1477</v>
      </c>
      <c r="AX398" t="s">
        <v>1973</v>
      </c>
      <c r="AY398" t="s">
        <v>2911</v>
      </c>
      <c r="AZ398" t="s">
        <v>2912</v>
      </c>
      <c r="BA398" t="s">
        <v>1443</v>
      </c>
      <c r="BB398" t="str">
        <f t="shared" si="6"/>
        <v>CCCRNimOrlu</v>
      </c>
    </row>
    <row r="399" spans="48:54" x14ac:dyDescent="0.25">
      <c r="AV399" t="s">
        <v>2127</v>
      </c>
      <c r="AW399" t="s">
        <v>1477</v>
      </c>
      <c r="AX399" t="s">
        <v>1973</v>
      </c>
      <c r="AY399" t="s">
        <v>2913</v>
      </c>
      <c r="AZ399" t="s">
        <v>2914</v>
      </c>
      <c r="BA399" t="s">
        <v>1443</v>
      </c>
      <c r="BB399" t="str">
        <f t="shared" si="6"/>
        <v>CCCRNimOrlu</v>
      </c>
    </row>
    <row r="400" spans="48:54" x14ac:dyDescent="0.25">
      <c r="AV400" t="s">
        <v>2127</v>
      </c>
      <c r="AW400" t="s">
        <v>1477</v>
      </c>
      <c r="AX400" t="s">
        <v>1973</v>
      </c>
      <c r="AY400" t="s">
        <v>2915</v>
      </c>
      <c r="AZ400" t="s">
        <v>2916</v>
      </c>
      <c r="BA400" t="s">
        <v>1443</v>
      </c>
      <c r="BB400" t="str">
        <f t="shared" si="6"/>
        <v>CCCRNimOrlu</v>
      </c>
    </row>
    <row r="401" spans="48:54" x14ac:dyDescent="0.25">
      <c r="AV401" t="s">
        <v>2127</v>
      </c>
      <c r="AW401" t="s">
        <v>1477</v>
      </c>
      <c r="AX401" t="s">
        <v>1973</v>
      </c>
      <c r="AY401" t="s">
        <v>2917</v>
      </c>
      <c r="AZ401" t="s">
        <v>2918</v>
      </c>
      <c r="BA401" t="s">
        <v>1443</v>
      </c>
      <c r="BB401" t="str">
        <f t="shared" si="6"/>
        <v>CCCRNimOrlu</v>
      </c>
    </row>
    <row r="402" spans="48:54" x14ac:dyDescent="0.25">
      <c r="AV402" t="s">
        <v>2127</v>
      </c>
      <c r="AW402" t="s">
        <v>1477</v>
      </c>
      <c r="AX402" t="s">
        <v>1973</v>
      </c>
      <c r="AY402" t="s">
        <v>2919</v>
      </c>
      <c r="AZ402" t="s">
        <v>2920</v>
      </c>
      <c r="BA402" t="s">
        <v>1443</v>
      </c>
      <c r="BB402" t="str">
        <f t="shared" si="6"/>
        <v>CCCRNimOrlu</v>
      </c>
    </row>
    <row r="403" spans="48:54" x14ac:dyDescent="0.25">
      <c r="AV403" t="s">
        <v>2127</v>
      </c>
      <c r="AW403" t="s">
        <v>1477</v>
      </c>
      <c r="AX403" t="s">
        <v>1974</v>
      </c>
      <c r="AY403" t="s">
        <v>2921</v>
      </c>
      <c r="AZ403" t="s">
        <v>2922</v>
      </c>
      <c r="BA403" t="s">
        <v>1443</v>
      </c>
      <c r="BB403" t="str">
        <f t="shared" si="6"/>
        <v>CCCRNimOrsu</v>
      </c>
    </row>
    <row r="404" spans="48:54" x14ac:dyDescent="0.25">
      <c r="AV404" t="s">
        <v>2127</v>
      </c>
      <c r="AW404" t="s">
        <v>1477</v>
      </c>
      <c r="AX404" t="s">
        <v>1975</v>
      </c>
      <c r="AY404" t="s">
        <v>2923</v>
      </c>
      <c r="AZ404" t="s">
        <v>2924</v>
      </c>
      <c r="BA404" t="s">
        <v>1443</v>
      </c>
      <c r="BB404" t="str">
        <f t="shared" si="6"/>
        <v>CCCRNimOruEast</v>
      </c>
    </row>
    <row r="405" spans="48:54" x14ac:dyDescent="0.25">
      <c r="AV405" t="s">
        <v>2127</v>
      </c>
      <c r="AW405" t="s">
        <v>1477</v>
      </c>
      <c r="AX405" t="s">
        <v>1975</v>
      </c>
      <c r="AY405" t="s">
        <v>2925</v>
      </c>
      <c r="AZ405" t="s">
        <v>2926</v>
      </c>
      <c r="BA405" t="s">
        <v>1443</v>
      </c>
      <c r="BB405" t="str">
        <f t="shared" si="6"/>
        <v>CCCRNimOruEast</v>
      </c>
    </row>
    <row r="406" spans="48:54" x14ac:dyDescent="0.25">
      <c r="AV406" t="s">
        <v>2127</v>
      </c>
      <c r="AW406" t="s">
        <v>1477</v>
      </c>
      <c r="AX406" t="s">
        <v>1975</v>
      </c>
      <c r="AY406" t="s">
        <v>2927</v>
      </c>
      <c r="AZ406" t="s">
        <v>2928</v>
      </c>
      <c r="BA406" t="s">
        <v>1443</v>
      </c>
      <c r="BB406" t="str">
        <f t="shared" si="6"/>
        <v>CCCRNimOruEast</v>
      </c>
    </row>
    <row r="407" spans="48:54" x14ac:dyDescent="0.25">
      <c r="AV407" t="s">
        <v>2127</v>
      </c>
      <c r="AW407" t="s">
        <v>1477</v>
      </c>
      <c r="AX407" t="s">
        <v>1975</v>
      </c>
      <c r="AY407" t="s">
        <v>2929</v>
      </c>
      <c r="AZ407" t="s">
        <v>2930</v>
      </c>
      <c r="BA407" t="s">
        <v>1443</v>
      </c>
      <c r="BB407" t="str">
        <f t="shared" si="6"/>
        <v>CCCRNimOruEast</v>
      </c>
    </row>
    <row r="408" spans="48:54" x14ac:dyDescent="0.25">
      <c r="AV408" t="s">
        <v>2127</v>
      </c>
      <c r="AW408" t="s">
        <v>1477</v>
      </c>
      <c r="AX408" t="s">
        <v>1975</v>
      </c>
      <c r="AY408" t="s">
        <v>2931</v>
      </c>
      <c r="AZ408" t="s">
        <v>2932</v>
      </c>
      <c r="BA408" t="s">
        <v>1443</v>
      </c>
      <c r="BB408" t="str">
        <f t="shared" si="6"/>
        <v>CCCRNimOruEast</v>
      </c>
    </row>
    <row r="409" spans="48:54" x14ac:dyDescent="0.25">
      <c r="AV409" t="s">
        <v>2127</v>
      </c>
      <c r="AW409" t="s">
        <v>1477</v>
      </c>
      <c r="AX409" t="s">
        <v>1976</v>
      </c>
      <c r="AY409" t="s">
        <v>2933</v>
      </c>
      <c r="AZ409" t="s">
        <v>2934</v>
      </c>
      <c r="BA409" t="s">
        <v>1443</v>
      </c>
      <c r="BB409" t="str">
        <f t="shared" si="6"/>
        <v>CCCRNimOruWest</v>
      </c>
    </row>
    <row r="410" spans="48:54" x14ac:dyDescent="0.25">
      <c r="AV410" t="s">
        <v>2127</v>
      </c>
      <c r="AW410" t="s">
        <v>1477</v>
      </c>
      <c r="AX410" t="s">
        <v>1977</v>
      </c>
      <c r="AY410" t="s">
        <v>2935</v>
      </c>
      <c r="AZ410" t="s">
        <v>2936</v>
      </c>
      <c r="BA410" t="s">
        <v>1443</v>
      </c>
      <c r="BB410" t="str">
        <f t="shared" si="6"/>
        <v>CCCRNimOwerriMunicipal</v>
      </c>
    </row>
    <row r="411" spans="48:54" x14ac:dyDescent="0.25">
      <c r="AV411" t="s">
        <v>2127</v>
      </c>
      <c r="AW411" t="s">
        <v>1477</v>
      </c>
      <c r="AX411" t="s">
        <v>1977</v>
      </c>
      <c r="AY411" t="s">
        <v>2937</v>
      </c>
      <c r="AZ411" t="s">
        <v>2938</v>
      </c>
      <c r="BA411" t="s">
        <v>1443</v>
      </c>
      <c r="BB411" t="str">
        <f t="shared" si="6"/>
        <v>CCCRNimOwerriMunicipal</v>
      </c>
    </row>
    <row r="412" spans="48:54" x14ac:dyDescent="0.25">
      <c r="AV412" t="s">
        <v>2127</v>
      </c>
      <c r="AW412" t="s">
        <v>1477</v>
      </c>
      <c r="AX412" t="s">
        <v>1977</v>
      </c>
      <c r="AY412" t="s">
        <v>2939</v>
      </c>
      <c r="AZ412" t="s">
        <v>2940</v>
      </c>
      <c r="BA412" t="s">
        <v>1443</v>
      </c>
      <c r="BB412" t="str">
        <f t="shared" si="6"/>
        <v>CCCRNimOwerriMunicipal</v>
      </c>
    </row>
    <row r="413" spans="48:54" x14ac:dyDescent="0.25">
      <c r="AV413" t="s">
        <v>2127</v>
      </c>
      <c r="AW413" t="s">
        <v>1477</v>
      </c>
      <c r="AX413" t="s">
        <v>1977</v>
      </c>
      <c r="AY413" t="s">
        <v>2941</v>
      </c>
      <c r="AZ413" t="s">
        <v>2942</v>
      </c>
      <c r="BA413" t="s">
        <v>1443</v>
      </c>
      <c r="BB413" t="str">
        <f t="shared" si="6"/>
        <v>CCCRNimOwerriMunicipal</v>
      </c>
    </row>
    <row r="414" spans="48:54" x14ac:dyDescent="0.25">
      <c r="AV414" t="s">
        <v>2127</v>
      </c>
      <c r="AW414" t="s">
        <v>1477</v>
      </c>
      <c r="AX414" t="s">
        <v>1977</v>
      </c>
      <c r="AY414" t="s">
        <v>2943</v>
      </c>
      <c r="AZ414" t="s">
        <v>2944</v>
      </c>
      <c r="BA414" t="s">
        <v>1443</v>
      </c>
      <c r="BB414" t="str">
        <f t="shared" si="6"/>
        <v>CCCRNimOwerriMunicipal</v>
      </c>
    </row>
    <row r="415" spans="48:54" x14ac:dyDescent="0.25">
      <c r="AV415" t="s">
        <v>2127</v>
      </c>
      <c r="AW415" t="s">
        <v>1477</v>
      </c>
      <c r="AX415" t="s">
        <v>1978</v>
      </c>
      <c r="AY415" t="s">
        <v>2945</v>
      </c>
      <c r="AZ415" t="s">
        <v>2946</v>
      </c>
      <c r="BA415" t="s">
        <v>1443</v>
      </c>
      <c r="BB415" t="str">
        <f t="shared" si="6"/>
        <v>CCCRNimOwerriNorth</v>
      </c>
    </row>
    <row r="416" spans="48:54" x14ac:dyDescent="0.25">
      <c r="AV416" t="s">
        <v>2127</v>
      </c>
      <c r="AW416" t="s">
        <v>1477</v>
      </c>
      <c r="AX416" t="s">
        <v>1978</v>
      </c>
      <c r="AY416" t="s">
        <v>2947</v>
      </c>
      <c r="AZ416" t="s">
        <v>2948</v>
      </c>
      <c r="BA416" t="s">
        <v>1443</v>
      </c>
      <c r="BB416" t="str">
        <f t="shared" si="6"/>
        <v>CCCRNimOwerriNorth</v>
      </c>
    </row>
    <row r="417" spans="48:54" x14ac:dyDescent="0.25">
      <c r="AV417" t="s">
        <v>2127</v>
      </c>
      <c r="AW417" t="s">
        <v>1477</v>
      </c>
      <c r="AX417" t="s">
        <v>1978</v>
      </c>
      <c r="AY417" t="s">
        <v>2949</v>
      </c>
      <c r="AZ417" t="s">
        <v>2950</v>
      </c>
      <c r="BA417" t="s">
        <v>1443</v>
      </c>
      <c r="BB417" t="str">
        <f t="shared" si="6"/>
        <v>CCCRNimOwerriNorth</v>
      </c>
    </row>
    <row r="418" spans="48:54" x14ac:dyDescent="0.25">
      <c r="AV418" t="s">
        <v>2127</v>
      </c>
      <c r="AW418" t="s">
        <v>1477</v>
      </c>
      <c r="AX418" t="s">
        <v>1978</v>
      </c>
      <c r="AY418" t="s">
        <v>2951</v>
      </c>
      <c r="AZ418" t="s">
        <v>2952</v>
      </c>
      <c r="BA418" t="s">
        <v>1443</v>
      </c>
      <c r="BB418" t="str">
        <f t="shared" si="6"/>
        <v>CCCRNimOwerriNorth</v>
      </c>
    </row>
    <row r="419" spans="48:54" x14ac:dyDescent="0.25">
      <c r="AV419" t="s">
        <v>2127</v>
      </c>
      <c r="AW419" t="s">
        <v>1477</v>
      </c>
      <c r="AX419" t="s">
        <v>1978</v>
      </c>
      <c r="AY419" t="s">
        <v>2953</v>
      </c>
      <c r="AZ419" t="s">
        <v>2954</v>
      </c>
      <c r="BA419" t="s">
        <v>1443</v>
      </c>
      <c r="BB419" t="str">
        <f t="shared" si="6"/>
        <v>CCCRNimOwerriNorth</v>
      </c>
    </row>
    <row r="420" spans="48:54" x14ac:dyDescent="0.25">
      <c r="AV420" t="s">
        <v>2127</v>
      </c>
      <c r="AW420" t="s">
        <v>1477</v>
      </c>
      <c r="AX420" t="s">
        <v>1979</v>
      </c>
      <c r="AY420" t="s">
        <v>2955</v>
      </c>
      <c r="AZ420" t="s">
        <v>2956</v>
      </c>
      <c r="BA420" t="s">
        <v>1443</v>
      </c>
      <c r="BB420" t="str">
        <f t="shared" si="6"/>
        <v>CCCRNimOwerriWest</v>
      </c>
    </row>
    <row r="421" spans="48:54" x14ac:dyDescent="0.25">
      <c r="AV421" t="s">
        <v>2127</v>
      </c>
      <c r="AW421" t="s">
        <v>1477</v>
      </c>
      <c r="AX421" t="s">
        <v>1979</v>
      </c>
      <c r="AY421" t="s">
        <v>2957</v>
      </c>
      <c r="AZ421" t="s">
        <v>2958</v>
      </c>
      <c r="BA421" t="s">
        <v>1443</v>
      </c>
      <c r="BB421" t="str">
        <f t="shared" si="6"/>
        <v>CCCRNimOwerriWest</v>
      </c>
    </row>
    <row r="422" spans="48:54" x14ac:dyDescent="0.25">
      <c r="AV422" t="s">
        <v>2127</v>
      </c>
      <c r="AW422" t="s">
        <v>1467</v>
      </c>
      <c r="AX422" t="s">
        <v>1877</v>
      </c>
      <c r="AY422" t="s">
        <v>2959</v>
      </c>
      <c r="AZ422" t="s">
        <v>2960</v>
      </c>
      <c r="BA422" t="s">
        <v>1451</v>
      </c>
      <c r="BB422" t="str">
        <f t="shared" si="6"/>
        <v>CCFNbeAgatu</v>
      </c>
    </row>
    <row r="423" spans="48:54" x14ac:dyDescent="0.25">
      <c r="AV423" t="s">
        <v>2127</v>
      </c>
      <c r="AW423" t="s">
        <v>1467</v>
      </c>
      <c r="AX423" t="s">
        <v>1878</v>
      </c>
      <c r="AY423" t="s">
        <v>2961</v>
      </c>
      <c r="AZ423" t="s">
        <v>2962</v>
      </c>
      <c r="BA423" t="s">
        <v>1451</v>
      </c>
      <c r="BB423" t="str">
        <f t="shared" si="6"/>
        <v>CCFNbeBuruku</v>
      </c>
    </row>
    <row r="424" spans="48:54" x14ac:dyDescent="0.25">
      <c r="AV424" t="s">
        <v>2127</v>
      </c>
      <c r="AW424" t="s">
        <v>1467</v>
      </c>
      <c r="AX424" t="s">
        <v>1878</v>
      </c>
      <c r="AY424" t="s">
        <v>2963</v>
      </c>
      <c r="AZ424" t="s">
        <v>2964</v>
      </c>
      <c r="BA424" t="s">
        <v>1451</v>
      </c>
      <c r="BB424" t="str">
        <f t="shared" si="6"/>
        <v>CCFNbeBuruku</v>
      </c>
    </row>
    <row r="425" spans="48:54" x14ac:dyDescent="0.25">
      <c r="AV425" t="s">
        <v>2127</v>
      </c>
      <c r="AW425" t="s">
        <v>1467</v>
      </c>
      <c r="AX425" t="s">
        <v>1878</v>
      </c>
      <c r="AY425" t="s">
        <v>2965</v>
      </c>
      <c r="AZ425" t="s">
        <v>2966</v>
      </c>
      <c r="BA425" t="s">
        <v>1451</v>
      </c>
      <c r="BB425" t="str">
        <f t="shared" si="6"/>
        <v>CCFNbeBuruku</v>
      </c>
    </row>
    <row r="426" spans="48:54" x14ac:dyDescent="0.25">
      <c r="AV426" t="s">
        <v>2127</v>
      </c>
      <c r="AW426" t="s">
        <v>1467</v>
      </c>
      <c r="AX426" t="s">
        <v>1879</v>
      </c>
      <c r="AY426" t="s">
        <v>2967</v>
      </c>
      <c r="AZ426" t="s">
        <v>2968</v>
      </c>
      <c r="BA426" t="s">
        <v>1451</v>
      </c>
      <c r="BB426" t="str">
        <f t="shared" si="6"/>
        <v>CCFNbeGboko</v>
      </c>
    </row>
    <row r="427" spans="48:54" x14ac:dyDescent="0.25">
      <c r="AV427" t="s">
        <v>2127</v>
      </c>
      <c r="AW427" t="s">
        <v>1467</v>
      </c>
      <c r="AX427" t="s">
        <v>1880</v>
      </c>
      <c r="AY427" t="s">
        <v>2969</v>
      </c>
      <c r="AZ427" t="s">
        <v>2970</v>
      </c>
      <c r="BA427" t="s">
        <v>1451</v>
      </c>
      <c r="BB427" t="str">
        <f t="shared" si="6"/>
        <v>CCFNbeGuma</v>
      </c>
    </row>
    <row r="428" spans="48:54" x14ac:dyDescent="0.25">
      <c r="AV428" t="s">
        <v>2127</v>
      </c>
      <c r="AW428" t="s">
        <v>1467</v>
      </c>
      <c r="AX428" t="s">
        <v>1880</v>
      </c>
      <c r="AY428" t="s">
        <v>2971</v>
      </c>
      <c r="AZ428" t="s">
        <v>2972</v>
      </c>
      <c r="BA428" t="s">
        <v>1451</v>
      </c>
      <c r="BB428" t="str">
        <f t="shared" si="6"/>
        <v>CCFNbeGuma</v>
      </c>
    </row>
    <row r="429" spans="48:54" x14ac:dyDescent="0.25">
      <c r="AV429" t="s">
        <v>2127</v>
      </c>
      <c r="AW429" t="s">
        <v>1467</v>
      </c>
      <c r="AX429" t="s">
        <v>1881</v>
      </c>
      <c r="AY429" t="s">
        <v>2973</v>
      </c>
      <c r="AZ429" t="s">
        <v>2974</v>
      </c>
      <c r="BA429" t="s">
        <v>1451</v>
      </c>
      <c r="BB429" t="str">
        <f t="shared" si="6"/>
        <v>CCFNbeGwerEast</v>
      </c>
    </row>
    <row r="430" spans="48:54" x14ac:dyDescent="0.25">
      <c r="AV430" t="s">
        <v>2127</v>
      </c>
      <c r="AW430" t="s">
        <v>1467</v>
      </c>
      <c r="AX430" t="s">
        <v>1882</v>
      </c>
      <c r="AY430" t="s">
        <v>2975</v>
      </c>
      <c r="AZ430" t="s">
        <v>2976</v>
      </c>
      <c r="BA430" t="s">
        <v>1451</v>
      </c>
      <c r="BB430" t="str">
        <f t="shared" si="6"/>
        <v>CCFNbeGwerWest</v>
      </c>
    </row>
    <row r="431" spans="48:54" x14ac:dyDescent="0.25">
      <c r="AV431" t="s">
        <v>2127</v>
      </c>
      <c r="AW431" t="s">
        <v>1467</v>
      </c>
      <c r="AX431" t="s">
        <v>1882</v>
      </c>
      <c r="AY431" t="s">
        <v>2977</v>
      </c>
      <c r="AZ431" t="s">
        <v>2978</v>
      </c>
      <c r="BA431" t="s">
        <v>1451</v>
      </c>
      <c r="BB431" t="str">
        <f t="shared" si="6"/>
        <v>CCFNbeGwerWest</v>
      </c>
    </row>
    <row r="432" spans="48:54" x14ac:dyDescent="0.25">
      <c r="AV432" t="s">
        <v>2127</v>
      </c>
      <c r="AW432" t="s">
        <v>1467</v>
      </c>
      <c r="AX432" t="s">
        <v>1882</v>
      </c>
      <c r="AY432" t="s">
        <v>2979</v>
      </c>
      <c r="AZ432" t="s">
        <v>2980</v>
      </c>
      <c r="BA432" t="s">
        <v>1451</v>
      </c>
      <c r="BB432" t="str">
        <f t="shared" si="6"/>
        <v>CCFNbeGwerWest</v>
      </c>
    </row>
    <row r="433" spans="48:54" x14ac:dyDescent="0.25">
      <c r="AV433" t="s">
        <v>2127</v>
      </c>
      <c r="AW433" t="s">
        <v>1467</v>
      </c>
      <c r="AX433" t="s">
        <v>1883</v>
      </c>
      <c r="AY433" t="s">
        <v>2981</v>
      </c>
      <c r="AZ433" t="s">
        <v>2982</v>
      </c>
      <c r="BA433" t="s">
        <v>1451</v>
      </c>
      <c r="BB433" t="str">
        <f t="shared" si="6"/>
        <v>CCFNbeKatsinaAla</v>
      </c>
    </row>
    <row r="434" spans="48:54" x14ac:dyDescent="0.25">
      <c r="AV434" t="s">
        <v>2127</v>
      </c>
      <c r="AW434" t="s">
        <v>1467</v>
      </c>
      <c r="AX434" t="s">
        <v>1883</v>
      </c>
      <c r="AY434" t="s">
        <v>2983</v>
      </c>
      <c r="AZ434" t="s">
        <v>2984</v>
      </c>
      <c r="BA434" t="s">
        <v>1451</v>
      </c>
      <c r="BB434" t="str">
        <f t="shared" si="6"/>
        <v>CCFNbeKatsinaAla</v>
      </c>
    </row>
    <row r="435" spans="48:54" x14ac:dyDescent="0.25">
      <c r="AV435" t="s">
        <v>2127</v>
      </c>
      <c r="AW435" t="s">
        <v>1467</v>
      </c>
      <c r="AX435" t="s">
        <v>1883</v>
      </c>
      <c r="AY435" t="s">
        <v>2985</v>
      </c>
      <c r="AZ435" t="s">
        <v>2986</v>
      </c>
      <c r="BA435" t="s">
        <v>1451</v>
      </c>
      <c r="BB435" t="str">
        <f t="shared" si="6"/>
        <v>CCFNbeKatsinaAla</v>
      </c>
    </row>
    <row r="436" spans="48:54" x14ac:dyDescent="0.25">
      <c r="AV436" t="s">
        <v>2127</v>
      </c>
      <c r="AW436" t="s">
        <v>1467</v>
      </c>
      <c r="AX436" t="s">
        <v>1883</v>
      </c>
      <c r="AY436" t="s">
        <v>2987</v>
      </c>
      <c r="AZ436" t="s">
        <v>2988</v>
      </c>
      <c r="BA436" t="s">
        <v>1451</v>
      </c>
      <c r="BB436" t="str">
        <f t="shared" si="6"/>
        <v>CCFNbeKatsinaAla</v>
      </c>
    </row>
    <row r="437" spans="48:54" x14ac:dyDescent="0.25">
      <c r="AV437" t="s">
        <v>2127</v>
      </c>
      <c r="AW437" t="s">
        <v>1467</v>
      </c>
      <c r="AX437" t="s">
        <v>1884</v>
      </c>
      <c r="AY437" t="s">
        <v>2989</v>
      </c>
      <c r="AZ437" t="s">
        <v>2990</v>
      </c>
      <c r="BA437" t="s">
        <v>1451</v>
      </c>
      <c r="BB437" t="str">
        <f t="shared" si="6"/>
        <v>CCFNbeKonshisha</v>
      </c>
    </row>
    <row r="438" spans="48:54" x14ac:dyDescent="0.25">
      <c r="AV438" t="s">
        <v>2127</v>
      </c>
      <c r="AW438" t="s">
        <v>1467</v>
      </c>
      <c r="AX438" t="s">
        <v>1884</v>
      </c>
      <c r="AY438" t="s">
        <v>2991</v>
      </c>
      <c r="AZ438" t="s">
        <v>2992</v>
      </c>
      <c r="BA438" t="s">
        <v>1451</v>
      </c>
      <c r="BB438" t="str">
        <f t="shared" si="6"/>
        <v>CCFNbeKonshisha</v>
      </c>
    </row>
    <row r="439" spans="48:54" x14ac:dyDescent="0.25">
      <c r="AV439" t="s">
        <v>2127</v>
      </c>
      <c r="AW439" t="s">
        <v>1467</v>
      </c>
      <c r="AX439" t="s">
        <v>1884</v>
      </c>
      <c r="AY439" t="s">
        <v>2993</v>
      </c>
      <c r="AZ439" t="s">
        <v>2994</v>
      </c>
      <c r="BA439" t="s">
        <v>1451</v>
      </c>
      <c r="BB439" t="str">
        <f t="shared" si="6"/>
        <v>CCFNbeKonshisha</v>
      </c>
    </row>
    <row r="440" spans="48:54" x14ac:dyDescent="0.25">
      <c r="AV440" t="s">
        <v>2127</v>
      </c>
      <c r="AW440" t="s">
        <v>1467</v>
      </c>
      <c r="AX440" t="s">
        <v>1884</v>
      </c>
      <c r="AY440" t="s">
        <v>2995</v>
      </c>
      <c r="AZ440" t="s">
        <v>2996</v>
      </c>
      <c r="BA440" t="s">
        <v>1451</v>
      </c>
      <c r="BB440" t="str">
        <f t="shared" si="6"/>
        <v>CCFNbeKonshisha</v>
      </c>
    </row>
    <row r="441" spans="48:54" x14ac:dyDescent="0.25">
      <c r="AV441" t="s">
        <v>2127</v>
      </c>
      <c r="AW441" t="s">
        <v>1467</v>
      </c>
      <c r="AX441" t="s">
        <v>1884</v>
      </c>
      <c r="AY441" t="s">
        <v>2997</v>
      </c>
      <c r="AZ441" t="s">
        <v>2998</v>
      </c>
      <c r="BA441" t="s">
        <v>1451</v>
      </c>
      <c r="BB441" t="str">
        <f t="shared" si="6"/>
        <v>CCFNbeKonshisha</v>
      </c>
    </row>
    <row r="442" spans="48:54" x14ac:dyDescent="0.25">
      <c r="AV442" t="s">
        <v>2127</v>
      </c>
      <c r="AW442" t="s">
        <v>1467</v>
      </c>
      <c r="AX442" t="s">
        <v>1885</v>
      </c>
      <c r="AY442" t="s">
        <v>2999</v>
      </c>
      <c r="AZ442" t="s">
        <v>3000</v>
      </c>
      <c r="BA442" t="s">
        <v>1451</v>
      </c>
      <c r="BB442" t="str">
        <f t="shared" si="6"/>
        <v>CCFNbeKwande</v>
      </c>
    </row>
    <row r="443" spans="48:54" x14ac:dyDescent="0.25">
      <c r="AV443" t="s">
        <v>2127</v>
      </c>
      <c r="AW443" t="s">
        <v>1467</v>
      </c>
      <c r="AX443" t="s">
        <v>1885</v>
      </c>
      <c r="AY443" t="s">
        <v>3001</v>
      </c>
      <c r="AZ443" t="s">
        <v>3002</v>
      </c>
      <c r="BA443" t="s">
        <v>1451</v>
      </c>
      <c r="BB443" t="str">
        <f t="shared" si="6"/>
        <v>CCFNbeKwande</v>
      </c>
    </row>
    <row r="444" spans="48:54" x14ac:dyDescent="0.25">
      <c r="AV444" t="s">
        <v>2127</v>
      </c>
      <c r="AW444" t="s">
        <v>1467</v>
      </c>
      <c r="AX444" t="s">
        <v>1885</v>
      </c>
      <c r="AY444" t="s">
        <v>3003</v>
      </c>
      <c r="AZ444" t="s">
        <v>3004</v>
      </c>
      <c r="BA444" t="s">
        <v>1451</v>
      </c>
      <c r="BB444" t="str">
        <f t="shared" si="6"/>
        <v>CCFNbeKwande</v>
      </c>
    </row>
    <row r="445" spans="48:54" x14ac:dyDescent="0.25">
      <c r="AV445" t="s">
        <v>2127</v>
      </c>
      <c r="AW445" t="s">
        <v>1467</v>
      </c>
      <c r="AX445" t="s">
        <v>1885</v>
      </c>
      <c r="AY445" t="s">
        <v>3005</v>
      </c>
      <c r="AZ445" t="s">
        <v>3006</v>
      </c>
      <c r="BA445" t="s">
        <v>1451</v>
      </c>
      <c r="BB445" t="str">
        <f t="shared" si="6"/>
        <v>CCFNbeKwande</v>
      </c>
    </row>
    <row r="446" spans="48:54" x14ac:dyDescent="0.25">
      <c r="AV446" t="s">
        <v>2127</v>
      </c>
      <c r="AW446" t="s">
        <v>1467</v>
      </c>
      <c r="AX446" t="s">
        <v>1886</v>
      </c>
      <c r="AY446" t="s">
        <v>3007</v>
      </c>
      <c r="AZ446" t="s">
        <v>3008</v>
      </c>
      <c r="BA446" t="s">
        <v>1451</v>
      </c>
      <c r="BB446" t="str">
        <f t="shared" si="6"/>
        <v>CCFNbeLogo</v>
      </c>
    </row>
    <row r="447" spans="48:54" x14ac:dyDescent="0.25">
      <c r="AV447" t="s">
        <v>2127</v>
      </c>
      <c r="AW447" t="s">
        <v>1467</v>
      </c>
      <c r="AX447" t="s">
        <v>1886</v>
      </c>
      <c r="AY447" t="s">
        <v>3009</v>
      </c>
      <c r="AZ447" t="s">
        <v>3010</v>
      </c>
      <c r="BA447" t="s">
        <v>1451</v>
      </c>
      <c r="BB447" t="str">
        <f t="shared" si="6"/>
        <v>CCFNbeLogo</v>
      </c>
    </row>
    <row r="448" spans="48:54" x14ac:dyDescent="0.25">
      <c r="AV448" t="s">
        <v>2127</v>
      </c>
      <c r="AW448" t="s">
        <v>1467</v>
      </c>
      <c r="AX448" t="s">
        <v>1887</v>
      </c>
      <c r="AY448" t="s">
        <v>3011</v>
      </c>
      <c r="AZ448" t="s">
        <v>3012</v>
      </c>
      <c r="BA448" t="s">
        <v>1451</v>
      </c>
      <c r="BB448" t="str">
        <f t="shared" si="6"/>
        <v>CCFNbeMakurdi</v>
      </c>
    </row>
    <row r="449" spans="48:54" x14ac:dyDescent="0.25">
      <c r="AV449" t="s">
        <v>2127</v>
      </c>
      <c r="AW449" t="s">
        <v>1467</v>
      </c>
      <c r="AX449" t="s">
        <v>1888</v>
      </c>
      <c r="AY449" t="s">
        <v>3013</v>
      </c>
      <c r="AZ449" t="s">
        <v>3014</v>
      </c>
      <c r="BA449" t="s">
        <v>1451</v>
      </c>
      <c r="BB449" t="str">
        <f t="shared" si="6"/>
        <v>CCFNbeOkpokwu</v>
      </c>
    </row>
    <row r="450" spans="48:54" x14ac:dyDescent="0.25">
      <c r="AV450" t="s">
        <v>2127</v>
      </c>
      <c r="AW450" t="s">
        <v>1467</v>
      </c>
      <c r="AX450" t="s">
        <v>1888</v>
      </c>
      <c r="AY450" t="s">
        <v>3015</v>
      </c>
      <c r="AZ450" t="s">
        <v>3016</v>
      </c>
      <c r="BA450" t="s">
        <v>1451</v>
      </c>
      <c r="BB450" t="str">
        <f t="shared" si="6"/>
        <v>CCFNbeOkpokwu</v>
      </c>
    </row>
    <row r="451" spans="48:54" x14ac:dyDescent="0.25">
      <c r="AV451" t="s">
        <v>2127</v>
      </c>
      <c r="AW451" t="s">
        <v>1467</v>
      </c>
      <c r="AX451" t="s">
        <v>1888</v>
      </c>
      <c r="AY451" t="s">
        <v>3017</v>
      </c>
      <c r="AZ451" t="s">
        <v>3018</v>
      </c>
      <c r="BA451" t="s">
        <v>1451</v>
      </c>
      <c r="BB451" t="str">
        <f t="shared" ref="BB451:BB514" si="7">SUBSTITUTE(SUBSTITUTE(BA451&amp;AX451," ",""),"-","")</f>
        <v>CCFNbeOkpokwu</v>
      </c>
    </row>
    <row r="452" spans="48:54" x14ac:dyDescent="0.25">
      <c r="AV452" t="s">
        <v>2127</v>
      </c>
      <c r="AW452" t="s">
        <v>1467</v>
      </c>
      <c r="AX452" t="s">
        <v>1889</v>
      </c>
      <c r="AY452" t="s">
        <v>3019</v>
      </c>
      <c r="AZ452" t="s">
        <v>3020</v>
      </c>
      <c r="BA452" t="s">
        <v>1451</v>
      </c>
      <c r="BB452" t="str">
        <f t="shared" si="7"/>
        <v>CCFNbeOtukpo</v>
      </c>
    </row>
    <row r="453" spans="48:54" x14ac:dyDescent="0.25">
      <c r="AV453" t="s">
        <v>2127</v>
      </c>
      <c r="AW453" t="s">
        <v>1467</v>
      </c>
      <c r="AX453" t="s">
        <v>1889</v>
      </c>
      <c r="AY453" t="s">
        <v>3021</v>
      </c>
      <c r="AZ453" t="s">
        <v>3022</v>
      </c>
      <c r="BA453" t="s">
        <v>1451</v>
      </c>
      <c r="BB453" t="str">
        <f t="shared" si="7"/>
        <v>CCFNbeOtukpo</v>
      </c>
    </row>
    <row r="454" spans="48:54" x14ac:dyDescent="0.25">
      <c r="AV454" t="s">
        <v>2127</v>
      </c>
      <c r="AW454" t="s">
        <v>1467</v>
      </c>
      <c r="AX454" t="s">
        <v>1889</v>
      </c>
      <c r="AY454" t="s">
        <v>3023</v>
      </c>
      <c r="AZ454" t="s">
        <v>3024</v>
      </c>
      <c r="BA454" t="s">
        <v>1451</v>
      </c>
      <c r="BB454" t="str">
        <f t="shared" si="7"/>
        <v>CCFNbeOtukpo</v>
      </c>
    </row>
    <row r="455" spans="48:54" x14ac:dyDescent="0.25">
      <c r="AV455" t="s">
        <v>2127</v>
      </c>
      <c r="AW455" t="s">
        <v>1467</v>
      </c>
      <c r="AX455" t="s">
        <v>1890</v>
      </c>
      <c r="AY455" t="s">
        <v>3025</v>
      </c>
      <c r="AZ455" t="s">
        <v>3026</v>
      </c>
      <c r="BA455" t="s">
        <v>1451</v>
      </c>
      <c r="BB455" t="str">
        <f t="shared" si="7"/>
        <v>CCFNbeTarka</v>
      </c>
    </row>
    <row r="456" spans="48:54" x14ac:dyDescent="0.25">
      <c r="AV456" t="s">
        <v>2127</v>
      </c>
      <c r="AW456" t="s">
        <v>1467</v>
      </c>
      <c r="AX456" t="s">
        <v>1890</v>
      </c>
      <c r="AY456" t="s">
        <v>3027</v>
      </c>
      <c r="AZ456" t="s">
        <v>3028</v>
      </c>
      <c r="BA456" t="s">
        <v>1451</v>
      </c>
      <c r="BB456" t="str">
        <f t="shared" si="7"/>
        <v>CCFNbeTarka</v>
      </c>
    </row>
    <row r="457" spans="48:54" x14ac:dyDescent="0.25">
      <c r="AV457" t="s">
        <v>2127</v>
      </c>
      <c r="AW457" t="s">
        <v>1467</v>
      </c>
      <c r="AX457" t="s">
        <v>1891</v>
      </c>
      <c r="AY457" t="s">
        <v>3029</v>
      </c>
      <c r="AZ457" t="s">
        <v>3030</v>
      </c>
      <c r="BA457" t="s">
        <v>1451</v>
      </c>
      <c r="BB457" t="str">
        <f t="shared" si="7"/>
        <v>CCFNbeUkum</v>
      </c>
    </row>
    <row r="458" spans="48:54" x14ac:dyDescent="0.25">
      <c r="AV458" t="s">
        <v>2127</v>
      </c>
      <c r="AW458" t="s">
        <v>1467</v>
      </c>
      <c r="AX458" t="s">
        <v>1891</v>
      </c>
      <c r="AY458" t="s">
        <v>3031</v>
      </c>
      <c r="AZ458" t="s">
        <v>3032</v>
      </c>
      <c r="BA458" t="s">
        <v>1451</v>
      </c>
      <c r="BB458" t="str">
        <f t="shared" si="7"/>
        <v>CCFNbeUkum</v>
      </c>
    </row>
    <row r="459" spans="48:54" x14ac:dyDescent="0.25">
      <c r="AV459" t="s">
        <v>2127</v>
      </c>
      <c r="AW459" t="s">
        <v>1467</v>
      </c>
      <c r="AX459" t="s">
        <v>1891</v>
      </c>
      <c r="AY459" t="s">
        <v>3033</v>
      </c>
      <c r="AZ459" t="s">
        <v>3034</v>
      </c>
      <c r="BA459" t="s">
        <v>1451</v>
      </c>
      <c r="BB459" t="str">
        <f t="shared" si="7"/>
        <v>CCFNbeUkum</v>
      </c>
    </row>
    <row r="460" spans="48:54" x14ac:dyDescent="0.25">
      <c r="AV460" t="s">
        <v>2127</v>
      </c>
      <c r="AW460" t="s">
        <v>1467</v>
      </c>
      <c r="AX460" t="s">
        <v>1892</v>
      </c>
      <c r="AY460" t="s">
        <v>3035</v>
      </c>
      <c r="AZ460" t="s">
        <v>3036</v>
      </c>
      <c r="BA460" t="s">
        <v>1451</v>
      </c>
      <c r="BB460" t="str">
        <f t="shared" si="7"/>
        <v>CCFNbeUshongo</v>
      </c>
    </row>
    <row r="461" spans="48:54" x14ac:dyDescent="0.25">
      <c r="AV461" t="s">
        <v>2127</v>
      </c>
      <c r="AW461" t="s">
        <v>1467</v>
      </c>
      <c r="AX461" t="s">
        <v>1892</v>
      </c>
      <c r="AY461" t="s">
        <v>3037</v>
      </c>
      <c r="AZ461" t="s">
        <v>3038</v>
      </c>
      <c r="BA461" t="s">
        <v>1451</v>
      </c>
      <c r="BB461" t="str">
        <f t="shared" si="7"/>
        <v>CCFNbeUshongo</v>
      </c>
    </row>
    <row r="462" spans="48:54" x14ac:dyDescent="0.25">
      <c r="AV462" t="s">
        <v>2127</v>
      </c>
      <c r="AW462" t="s">
        <v>1467</v>
      </c>
      <c r="AX462" t="s">
        <v>1892</v>
      </c>
      <c r="AY462" t="s">
        <v>3039</v>
      </c>
      <c r="AZ462" t="s">
        <v>3040</v>
      </c>
      <c r="BA462" t="s">
        <v>1451</v>
      </c>
      <c r="BB462" t="str">
        <f t="shared" si="7"/>
        <v>CCFNbeUshongo</v>
      </c>
    </row>
    <row r="463" spans="48:54" x14ac:dyDescent="0.25">
      <c r="AV463" t="s">
        <v>2127</v>
      </c>
      <c r="AW463" t="s">
        <v>1467</v>
      </c>
      <c r="AX463" t="s">
        <v>1892</v>
      </c>
      <c r="AY463" t="s">
        <v>3041</v>
      </c>
      <c r="AZ463" t="s">
        <v>3042</v>
      </c>
      <c r="BA463" t="s">
        <v>1451</v>
      </c>
      <c r="BB463" t="str">
        <f t="shared" si="7"/>
        <v>CCFNbeUshongo</v>
      </c>
    </row>
    <row r="464" spans="48:54" x14ac:dyDescent="0.25">
      <c r="AV464" t="s">
        <v>2127</v>
      </c>
      <c r="AW464" t="s">
        <v>1467</v>
      </c>
      <c r="AX464" t="s">
        <v>1892</v>
      </c>
      <c r="AY464" t="s">
        <v>3043</v>
      </c>
      <c r="AZ464" t="s">
        <v>3044</v>
      </c>
      <c r="BA464" t="s">
        <v>1451</v>
      </c>
      <c r="BB464" t="str">
        <f t="shared" si="7"/>
        <v>CCFNbeUshongo</v>
      </c>
    </row>
    <row r="465" spans="48:54" x14ac:dyDescent="0.25">
      <c r="AV465" t="s">
        <v>2127</v>
      </c>
      <c r="AW465" t="s">
        <v>1467</v>
      </c>
      <c r="AX465" t="s">
        <v>1892</v>
      </c>
      <c r="AY465" t="s">
        <v>3045</v>
      </c>
      <c r="AZ465" t="s">
        <v>3046</v>
      </c>
      <c r="BA465" t="s">
        <v>1451</v>
      </c>
      <c r="BB465" t="str">
        <f t="shared" si="7"/>
        <v>CCFNbeUshongo</v>
      </c>
    </row>
    <row r="466" spans="48:54" x14ac:dyDescent="0.25">
      <c r="AV466" t="s">
        <v>2127</v>
      </c>
      <c r="AW466" t="s">
        <v>1467</v>
      </c>
      <c r="AX466" t="s">
        <v>1892</v>
      </c>
      <c r="AY466" t="s">
        <v>3047</v>
      </c>
      <c r="AZ466" t="s">
        <v>3048</v>
      </c>
      <c r="BA466" t="s">
        <v>1451</v>
      </c>
      <c r="BB466" t="str">
        <f t="shared" si="7"/>
        <v>CCFNbeUshongo</v>
      </c>
    </row>
    <row r="467" spans="48:54" x14ac:dyDescent="0.25">
      <c r="AV467" t="s">
        <v>2127</v>
      </c>
      <c r="AW467" t="s">
        <v>1467</v>
      </c>
      <c r="AX467" t="s">
        <v>1893</v>
      </c>
      <c r="AY467" t="s">
        <v>3049</v>
      </c>
      <c r="AZ467" t="s">
        <v>3050</v>
      </c>
      <c r="BA467" t="s">
        <v>1451</v>
      </c>
      <c r="BB467" t="str">
        <f t="shared" si="7"/>
        <v>CCFNbeVandeikya</v>
      </c>
    </row>
    <row r="468" spans="48:54" x14ac:dyDescent="0.25">
      <c r="AV468" t="s">
        <v>2127</v>
      </c>
      <c r="AW468" t="s">
        <v>1467</v>
      </c>
      <c r="AX468" t="s">
        <v>1893</v>
      </c>
      <c r="AY468" t="s">
        <v>3051</v>
      </c>
      <c r="AZ468" t="s">
        <v>3052</v>
      </c>
      <c r="BA468" t="s">
        <v>1451</v>
      </c>
      <c r="BB468" t="str">
        <f t="shared" si="7"/>
        <v>CCFNbeVandeikya</v>
      </c>
    </row>
    <row r="469" spans="48:54" x14ac:dyDescent="0.25">
      <c r="AV469" t="s">
        <v>2127</v>
      </c>
      <c r="AW469" t="s">
        <v>1467</v>
      </c>
      <c r="AX469" t="s">
        <v>1893</v>
      </c>
      <c r="AY469" t="s">
        <v>3053</v>
      </c>
      <c r="AZ469" t="s">
        <v>3054</v>
      </c>
      <c r="BA469" t="s">
        <v>1451</v>
      </c>
      <c r="BB469" t="str">
        <f t="shared" si="7"/>
        <v>CCFNbeVandeikya</v>
      </c>
    </row>
    <row r="470" spans="48:54" x14ac:dyDescent="0.25">
      <c r="AV470" t="s">
        <v>2127</v>
      </c>
      <c r="AW470" t="s">
        <v>1467</v>
      </c>
      <c r="AX470" t="s">
        <v>1893</v>
      </c>
      <c r="AY470" t="s">
        <v>3055</v>
      </c>
      <c r="AZ470" t="s">
        <v>3056</v>
      </c>
      <c r="BA470" t="s">
        <v>1451</v>
      </c>
      <c r="BB470" t="str">
        <f t="shared" si="7"/>
        <v>CCFNbeVandeikya</v>
      </c>
    </row>
    <row r="471" spans="48:54" x14ac:dyDescent="0.25">
      <c r="AV471" t="s">
        <v>2127</v>
      </c>
      <c r="AW471" t="s">
        <v>1467</v>
      </c>
      <c r="AX471" t="s">
        <v>1893</v>
      </c>
      <c r="AY471" t="s">
        <v>3057</v>
      </c>
      <c r="AZ471" t="s">
        <v>3058</v>
      </c>
      <c r="BA471" t="s">
        <v>1451</v>
      </c>
      <c r="BB471" t="str">
        <f t="shared" si="7"/>
        <v>CCFNbeVandeikya</v>
      </c>
    </row>
    <row r="472" spans="48:54" x14ac:dyDescent="0.25">
      <c r="AV472" t="s">
        <v>2127</v>
      </c>
      <c r="AW472" t="s">
        <v>1467</v>
      </c>
      <c r="AX472" t="s">
        <v>1893</v>
      </c>
      <c r="AY472" t="s">
        <v>3059</v>
      </c>
      <c r="AZ472" t="s">
        <v>3060</v>
      </c>
      <c r="BA472" t="s">
        <v>1451</v>
      </c>
      <c r="BB472" t="str">
        <f t="shared" si="7"/>
        <v>CCFNbeVandeikya</v>
      </c>
    </row>
    <row r="473" spans="48:54" x14ac:dyDescent="0.25">
      <c r="AV473" t="s">
        <v>2127</v>
      </c>
      <c r="AW473" t="s">
        <v>1470</v>
      </c>
      <c r="AX473" t="s">
        <v>1900</v>
      </c>
      <c r="AY473" t="s">
        <v>3061</v>
      </c>
      <c r="AZ473" t="s">
        <v>3062</v>
      </c>
      <c r="BA473" t="s">
        <v>1451</v>
      </c>
      <c r="BB473" t="str">
        <f t="shared" si="7"/>
        <v>CCFNdeAniochaNorth</v>
      </c>
    </row>
    <row r="474" spans="48:54" x14ac:dyDescent="0.25">
      <c r="AV474" t="s">
        <v>2127</v>
      </c>
      <c r="AW474" t="s">
        <v>1470</v>
      </c>
      <c r="AX474" t="s">
        <v>1901</v>
      </c>
      <c r="AY474" t="s">
        <v>3063</v>
      </c>
      <c r="AZ474" t="s">
        <v>3064</v>
      </c>
      <c r="BA474" t="s">
        <v>1451</v>
      </c>
      <c r="BB474" t="str">
        <f t="shared" si="7"/>
        <v>CCFNdeEthiopeEast</v>
      </c>
    </row>
    <row r="475" spans="48:54" x14ac:dyDescent="0.25">
      <c r="AV475" t="s">
        <v>2127</v>
      </c>
      <c r="AW475" t="s">
        <v>1470</v>
      </c>
      <c r="AX475" t="s">
        <v>1901</v>
      </c>
      <c r="AY475" t="s">
        <v>3065</v>
      </c>
      <c r="AZ475" t="s">
        <v>3066</v>
      </c>
      <c r="BA475" t="s">
        <v>1451</v>
      </c>
      <c r="BB475" t="str">
        <f t="shared" si="7"/>
        <v>CCFNdeEthiopeEast</v>
      </c>
    </row>
    <row r="476" spans="48:54" x14ac:dyDescent="0.25">
      <c r="AV476" t="s">
        <v>2127</v>
      </c>
      <c r="AW476" t="s">
        <v>1470</v>
      </c>
      <c r="AX476" t="s">
        <v>1902</v>
      </c>
      <c r="AY476" t="s">
        <v>3067</v>
      </c>
      <c r="AZ476" t="s">
        <v>3068</v>
      </c>
      <c r="BA476" t="s">
        <v>1451</v>
      </c>
      <c r="BB476" t="str">
        <f t="shared" si="7"/>
        <v>CCFNdeSapele</v>
      </c>
    </row>
    <row r="477" spans="48:54" x14ac:dyDescent="0.25">
      <c r="AV477" t="s">
        <v>2127</v>
      </c>
      <c r="AW477" t="s">
        <v>1470</v>
      </c>
      <c r="AX477" t="s">
        <v>1903</v>
      </c>
      <c r="AY477" t="s">
        <v>3069</v>
      </c>
      <c r="AZ477" t="s">
        <v>3070</v>
      </c>
      <c r="BA477" t="s">
        <v>1451</v>
      </c>
      <c r="BB477" t="str">
        <f t="shared" si="7"/>
        <v>CCFNdeWarriNorth</v>
      </c>
    </row>
    <row r="478" spans="48:54" x14ac:dyDescent="0.25">
      <c r="AV478" t="s">
        <v>2127</v>
      </c>
      <c r="AW478" t="s">
        <v>1475</v>
      </c>
      <c r="AX478" t="s">
        <v>1942</v>
      </c>
      <c r="AY478" t="s">
        <v>3071</v>
      </c>
      <c r="AZ478" t="s">
        <v>3072</v>
      </c>
      <c r="BA478" t="s">
        <v>1451</v>
      </c>
      <c r="BB478" t="str">
        <f t="shared" si="7"/>
        <v>CCFNfcAbujaMunicipalAreaCouncil</v>
      </c>
    </row>
    <row r="479" spans="48:54" x14ac:dyDescent="0.25">
      <c r="AV479" t="s">
        <v>2127</v>
      </c>
      <c r="AW479" t="s">
        <v>1475</v>
      </c>
      <c r="AX479" t="s">
        <v>1942</v>
      </c>
      <c r="AY479" t="s">
        <v>3073</v>
      </c>
      <c r="AZ479" t="s">
        <v>3074</v>
      </c>
      <c r="BA479" t="s">
        <v>1451</v>
      </c>
      <c r="BB479" t="str">
        <f t="shared" si="7"/>
        <v>CCFNfcAbujaMunicipalAreaCouncil</v>
      </c>
    </row>
    <row r="480" spans="48:54" x14ac:dyDescent="0.25">
      <c r="AV480" t="s">
        <v>2127</v>
      </c>
      <c r="AW480" t="s">
        <v>1475</v>
      </c>
      <c r="AX480" t="s">
        <v>1942</v>
      </c>
      <c r="AY480" t="s">
        <v>3075</v>
      </c>
      <c r="AZ480" t="s">
        <v>3076</v>
      </c>
      <c r="BA480" t="s">
        <v>1451</v>
      </c>
      <c r="BB480" t="str">
        <f t="shared" si="7"/>
        <v>CCFNfcAbujaMunicipalAreaCouncil</v>
      </c>
    </row>
    <row r="481" spans="48:54" x14ac:dyDescent="0.25">
      <c r="AV481" t="s">
        <v>2127</v>
      </c>
      <c r="AW481" t="s">
        <v>1475</v>
      </c>
      <c r="AX481" t="s">
        <v>1942</v>
      </c>
      <c r="AY481" t="s">
        <v>3077</v>
      </c>
      <c r="AZ481" t="s">
        <v>3078</v>
      </c>
      <c r="BA481" t="s">
        <v>1451</v>
      </c>
      <c r="BB481" t="str">
        <f t="shared" si="7"/>
        <v>CCFNfcAbujaMunicipalAreaCouncil</v>
      </c>
    </row>
    <row r="482" spans="48:54" x14ac:dyDescent="0.25">
      <c r="AV482" t="s">
        <v>2127</v>
      </c>
      <c r="AW482" t="s">
        <v>1475</v>
      </c>
      <c r="AX482" t="s">
        <v>1943</v>
      </c>
      <c r="AY482" t="s">
        <v>3079</v>
      </c>
      <c r="AZ482" t="s">
        <v>3080</v>
      </c>
      <c r="BA482" t="s">
        <v>1451</v>
      </c>
      <c r="BB482" t="str">
        <f t="shared" si="7"/>
        <v>CCFNfcBwari</v>
      </c>
    </row>
    <row r="483" spans="48:54" x14ac:dyDescent="0.25">
      <c r="AV483" t="s">
        <v>2127</v>
      </c>
      <c r="AW483" t="s">
        <v>1475</v>
      </c>
      <c r="AX483" t="s">
        <v>1943</v>
      </c>
      <c r="AY483" t="s">
        <v>3081</v>
      </c>
      <c r="AZ483" t="s">
        <v>3082</v>
      </c>
      <c r="BA483" t="s">
        <v>1451</v>
      </c>
      <c r="BB483" t="str">
        <f t="shared" si="7"/>
        <v>CCFNfcBwari</v>
      </c>
    </row>
    <row r="484" spans="48:54" x14ac:dyDescent="0.25">
      <c r="AV484" t="s">
        <v>2127</v>
      </c>
      <c r="AW484" t="s">
        <v>1475</v>
      </c>
      <c r="AX484" t="s">
        <v>1943</v>
      </c>
      <c r="AY484" t="s">
        <v>3083</v>
      </c>
      <c r="AZ484" t="s">
        <v>3084</v>
      </c>
      <c r="BA484" t="s">
        <v>1451</v>
      </c>
      <c r="BB484" t="str">
        <f t="shared" si="7"/>
        <v>CCFNfcBwari</v>
      </c>
    </row>
    <row r="485" spans="48:54" x14ac:dyDescent="0.25">
      <c r="AV485" t="s">
        <v>2127</v>
      </c>
      <c r="AW485" t="s">
        <v>1479</v>
      </c>
      <c r="AX485" t="s">
        <v>1986</v>
      </c>
      <c r="AY485" t="s">
        <v>3085</v>
      </c>
      <c r="AZ485" t="s">
        <v>3086</v>
      </c>
      <c r="BA485" t="s">
        <v>1451</v>
      </c>
      <c r="BB485" t="str">
        <f t="shared" si="7"/>
        <v>CCFNkdChikun</v>
      </c>
    </row>
    <row r="486" spans="48:54" x14ac:dyDescent="0.25">
      <c r="AV486" t="s">
        <v>2127</v>
      </c>
      <c r="AW486" t="s">
        <v>1479</v>
      </c>
      <c r="AX486" t="s">
        <v>1986</v>
      </c>
      <c r="AY486" t="s">
        <v>3087</v>
      </c>
      <c r="AZ486" t="s">
        <v>3088</v>
      </c>
      <c r="BA486" t="s">
        <v>1451</v>
      </c>
      <c r="BB486" t="str">
        <f t="shared" si="7"/>
        <v>CCFNkdChikun</v>
      </c>
    </row>
    <row r="487" spans="48:54" x14ac:dyDescent="0.25">
      <c r="AV487" t="s">
        <v>2127</v>
      </c>
      <c r="AW487" t="s">
        <v>1479</v>
      </c>
      <c r="AX487" t="s">
        <v>5107</v>
      </c>
      <c r="AY487" t="s">
        <v>3089</v>
      </c>
      <c r="AZ487" t="s">
        <v>3090</v>
      </c>
      <c r="BA487" t="s">
        <v>1451</v>
      </c>
      <c r="BB487" t="str">
        <f t="shared" si="7"/>
        <v>CCFNkdJemaa</v>
      </c>
    </row>
    <row r="488" spans="48:54" x14ac:dyDescent="0.25">
      <c r="AV488" t="s">
        <v>2127</v>
      </c>
      <c r="AW488" t="s">
        <v>1479</v>
      </c>
      <c r="AX488" t="s">
        <v>1988</v>
      </c>
      <c r="AY488" t="s">
        <v>3091</v>
      </c>
      <c r="AZ488" t="s">
        <v>3092</v>
      </c>
      <c r="BA488" t="s">
        <v>1451</v>
      </c>
      <c r="BB488" t="str">
        <f t="shared" si="7"/>
        <v>CCFNkdKadunaSouth</v>
      </c>
    </row>
    <row r="489" spans="48:54" x14ac:dyDescent="0.25">
      <c r="AV489" t="s">
        <v>2127</v>
      </c>
      <c r="AW489" t="s">
        <v>1479</v>
      </c>
      <c r="AX489" t="s">
        <v>1989</v>
      </c>
      <c r="AY489" t="s">
        <v>3093</v>
      </c>
      <c r="AZ489" t="s">
        <v>3094</v>
      </c>
      <c r="BA489" t="s">
        <v>1451</v>
      </c>
      <c r="BB489" t="str">
        <f t="shared" si="7"/>
        <v>CCFNkdKubau</v>
      </c>
    </row>
    <row r="490" spans="48:54" x14ac:dyDescent="0.25">
      <c r="AV490" t="s">
        <v>2127</v>
      </c>
      <c r="AW490" t="s">
        <v>1479</v>
      </c>
      <c r="AX490" t="s">
        <v>1990</v>
      </c>
      <c r="AY490" t="s">
        <v>3095</v>
      </c>
      <c r="AZ490" t="s">
        <v>3096</v>
      </c>
      <c r="BA490" t="s">
        <v>1451</v>
      </c>
      <c r="BB490" t="str">
        <f t="shared" si="7"/>
        <v>CCFNkdLere</v>
      </c>
    </row>
    <row r="491" spans="48:54" x14ac:dyDescent="0.25">
      <c r="AV491" t="s">
        <v>2127</v>
      </c>
      <c r="AW491" t="s">
        <v>1479</v>
      </c>
      <c r="AX491" t="s">
        <v>1990</v>
      </c>
      <c r="AY491" t="s">
        <v>3097</v>
      </c>
      <c r="AZ491" t="s">
        <v>3098</v>
      </c>
      <c r="BA491" t="s">
        <v>1451</v>
      </c>
      <c r="BB491" t="str">
        <f t="shared" si="7"/>
        <v>CCFNkdLere</v>
      </c>
    </row>
    <row r="492" spans="48:54" x14ac:dyDescent="0.25">
      <c r="AV492" t="s">
        <v>2127</v>
      </c>
      <c r="AW492" t="s">
        <v>1479</v>
      </c>
      <c r="AX492" t="s">
        <v>1991</v>
      </c>
      <c r="AY492" t="s">
        <v>3099</v>
      </c>
      <c r="AZ492" t="s">
        <v>3100</v>
      </c>
      <c r="BA492" t="s">
        <v>1451</v>
      </c>
      <c r="BB492" t="str">
        <f t="shared" si="7"/>
        <v>CCFNkdSanga</v>
      </c>
    </row>
    <row r="493" spans="48:54" x14ac:dyDescent="0.25">
      <c r="AV493" t="s">
        <v>2127</v>
      </c>
      <c r="AW493" t="s">
        <v>1479</v>
      </c>
      <c r="AX493" t="s">
        <v>1992</v>
      </c>
      <c r="AY493" t="s">
        <v>3101</v>
      </c>
      <c r="AZ493" t="s">
        <v>3102</v>
      </c>
      <c r="BA493" t="s">
        <v>1451</v>
      </c>
      <c r="BB493" t="str">
        <f t="shared" si="7"/>
        <v>CCFNkdZangoKataf</v>
      </c>
    </row>
    <row r="494" spans="48:54" x14ac:dyDescent="0.25">
      <c r="AV494" t="s">
        <v>2127</v>
      </c>
      <c r="AW494" t="s">
        <v>1479</v>
      </c>
      <c r="AX494" t="s">
        <v>1992</v>
      </c>
      <c r="AY494" t="s">
        <v>3103</v>
      </c>
      <c r="AZ494" t="s">
        <v>3104</v>
      </c>
      <c r="BA494" t="s">
        <v>1451</v>
      </c>
      <c r="BB494" t="str">
        <f t="shared" si="7"/>
        <v>CCFNkdZangoKataf</v>
      </c>
    </row>
    <row r="495" spans="48:54" x14ac:dyDescent="0.25">
      <c r="AV495" t="s">
        <v>2127</v>
      </c>
      <c r="AW495" t="s">
        <v>1483</v>
      </c>
      <c r="AX495" t="s">
        <v>2015</v>
      </c>
      <c r="AY495" t="s">
        <v>3105</v>
      </c>
      <c r="AZ495" t="s">
        <v>3106</v>
      </c>
      <c r="BA495" t="s">
        <v>1451</v>
      </c>
      <c r="BB495" t="str">
        <f t="shared" si="7"/>
        <v>CCFNkoDekina</v>
      </c>
    </row>
    <row r="496" spans="48:54" x14ac:dyDescent="0.25">
      <c r="AV496" t="s">
        <v>2127</v>
      </c>
      <c r="AW496" t="s">
        <v>1483</v>
      </c>
      <c r="AX496" t="s">
        <v>2015</v>
      </c>
      <c r="AY496" t="s">
        <v>3107</v>
      </c>
      <c r="AZ496" t="s">
        <v>3108</v>
      </c>
      <c r="BA496" t="s">
        <v>1451</v>
      </c>
      <c r="BB496" t="str">
        <f t="shared" si="7"/>
        <v>CCFNkoDekina</v>
      </c>
    </row>
    <row r="497" spans="48:54" x14ac:dyDescent="0.25">
      <c r="AV497" t="s">
        <v>2127</v>
      </c>
      <c r="AW497" t="s">
        <v>1483</v>
      </c>
      <c r="AX497" t="s">
        <v>2015</v>
      </c>
      <c r="AY497" t="s">
        <v>3109</v>
      </c>
      <c r="AZ497" t="s">
        <v>3110</v>
      </c>
      <c r="BA497" t="s">
        <v>1451</v>
      </c>
      <c r="BB497" t="str">
        <f t="shared" si="7"/>
        <v>CCFNkoDekina</v>
      </c>
    </row>
    <row r="498" spans="48:54" x14ac:dyDescent="0.25">
      <c r="AV498" t="s">
        <v>2127</v>
      </c>
      <c r="AW498" t="s">
        <v>1483</v>
      </c>
      <c r="AX498" t="s">
        <v>2016</v>
      </c>
      <c r="AY498" t="s">
        <v>3111</v>
      </c>
      <c r="AZ498" t="s">
        <v>3112</v>
      </c>
      <c r="BA498" t="s">
        <v>1451</v>
      </c>
      <c r="BB498" t="str">
        <f t="shared" si="7"/>
        <v>CCFNkoIdah</v>
      </c>
    </row>
    <row r="499" spans="48:54" x14ac:dyDescent="0.25">
      <c r="AV499" t="s">
        <v>2127</v>
      </c>
      <c r="AW499" t="s">
        <v>1483</v>
      </c>
      <c r="AX499" t="s">
        <v>2017</v>
      </c>
      <c r="AY499" t="s">
        <v>3113</v>
      </c>
      <c r="AZ499" t="s">
        <v>3114</v>
      </c>
      <c r="BA499" t="s">
        <v>1451</v>
      </c>
      <c r="BB499" t="str">
        <f t="shared" si="7"/>
        <v>CCFNkoKabba</v>
      </c>
    </row>
    <row r="500" spans="48:54" x14ac:dyDescent="0.25">
      <c r="AV500" t="s">
        <v>2127</v>
      </c>
      <c r="AW500" t="s">
        <v>1485</v>
      </c>
      <c r="AX500" t="s">
        <v>2031</v>
      </c>
      <c r="AY500" t="s">
        <v>3115</v>
      </c>
      <c r="AZ500" t="s">
        <v>3116</v>
      </c>
      <c r="BA500" t="s">
        <v>1451</v>
      </c>
      <c r="BB500" t="str">
        <f t="shared" si="7"/>
        <v>CCFNlaAlimosho</v>
      </c>
    </row>
    <row r="501" spans="48:54" x14ac:dyDescent="0.25">
      <c r="AV501" t="s">
        <v>2127</v>
      </c>
      <c r="AW501" t="s">
        <v>1485</v>
      </c>
      <c r="AX501" t="s">
        <v>2031</v>
      </c>
      <c r="AY501" t="s">
        <v>3117</v>
      </c>
      <c r="AZ501" t="s">
        <v>3118</v>
      </c>
      <c r="BA501" t="s">
        <v>1451</v>
      </c>
      <c r="BB501" t="str">
        <f t="shared" si="7"/>
        <v>CCFNlaAlimosho</v>
      </c>
    </row>
    <row r="502" spans="48:54" x14ac:dyDescent="0.25">
      <c r="AV502" t="s">
        <v>2127</v>
      </c>
      <c r="AW502" t="s">
        <v>1485</v>
      </c>
      <c r="AX502" t="s">
        <v>2031</v>
      </c>
      <c r="AY502" t="s">
        <v>3119</v>
      </c>
      <c r="AZ502" t="s">
        <v>3120</v>
      </c>
      <c r="BA502" t="s">
        <v>1451</v>
      </c>
      <c r="BB502" t="str">
        <f t="shared" si="7"/>
        <v>CCFNlaAlimosho</v>
      </c>
    </row>
    <row r="503" spans="48:54" x14ac:dyDescent="0.25">
      <c r="AV503" t="s">
        <v>2127</v>
      </c>
      <c r="AW503" t="s">
        <v>1485</v>
      </c>
      <c r="AX503" t="s">
        <v>2031</v>
      </c>
      <c r="AY503" t="s">
        <v>3121</v>
      </c>
      <c r="AZ503" t="s">
        <v>3122</v>
      </c>
      <c r="BA503" t="s">
        <v>1451</v>
      </c>
      <c r="BB503" t="str">
        <f t="shared" si="7"/>
        <v>CCFNlaAlimosho</v>
      </c>
    </row>
    <row r="504" spans="48:54" x14ac:dyDescent="0.25">
      <c r="AV504" t="s">
        <v>2127</v>
      </c>
      <c r="AW504" t="s">
        <v>1485</v>
      </c>
      <c r="AX504" t="s">
        <v>2031</v>
      </c>
      <c r="AY504" t="s">
        <v>3123</v>
      </c>
      <c r="AZ504" t="s">
        <v>3124</v>
      </c>
      <c r="BA504" t="s">
        <v>1451</v>
      </c>
      <c r="BB504" t="str">
        <f t="shared" si="7"/>
        <v>CCFNlaAlimosho</v>
      </c>
    </row>
    <row r="505" spans="48:54" x14ac:dyDescent="0.25">
      <c r="AV505" t="s">
        <v>2127</v>
      </c>
      <c r="AW505" t="s">
        <v>1485</v>
      </c>
      <c r="AX505" t="s">
        <v>2037</v>
      </c>
      <c r="AY505" t="s">
        <v>3125</v>
      </c>
      <c r="AZ505" t="s">
        <v>3126</v>
      </c>
      <c r="BA505" t="s">
        <v>1451</v>
      </c>
      <c r="BB505" t="str">
        <f t="shared" si="7"/>
        <v>CCFNlaIkeja</v>
      </c>
    </row>
    <row r="506" spans="48:54" x14ac:dyDescent="0.25">
      <c r="AV506" t="s">
        <v>2127</v>
      </c>
      <c r="AW506" t="s">
        <v>1485</v>
      </c>
      <c r="AX506" t="s">
        <v>2037</v>
      </c>
      <c r="AY506" t="s">
        <v>3127</v>
      </c>
      <c r="AZ506" t="s">
        <v>3128</v>
      </c>
      <c r="BA506" t="s">
        <v>1451</v>
      </c>
      <c r="BB506" t="str">
        <f t="shared" si="7"/>
        <v>CCFNlaIkeja</v>
      </c>
    </row>
    <row r="507" spans="48:54" x14ac:dyDescent="0.25">
      <c r="AV507" t="s">
        <v>2127</v>
      </c>
      <c r="AW507" t="s">
        <v>1486</v>
      </c>
      <c r="AX507" t="s">
        <v>2041</v>
      </c>
      <c r="AY507" t="s">
        <v>3129</v>
      </c>
      <c r="AZ507" t="s">
        <v>3130</v>
      </c>
      <c r="BA507" t="s">
        <v>1451</v>
      </c>
      <c r="BB507" t="str">
        <f t="shared" si="7"/>
        <v>CCFNnaAkwanga</v>
      </c>
    </row>
    <row r="508" spans="48:54" x14ac:dyDescent="0.25">
      <c r="AV508" t="s">
        <v>2127</v>
      </c>
      <c r="AW508" t="s">
        <v>1486</v>
      </c>
      <c r="AX508" t="s">
        <v>2042</v>
      </c>
      <c r="AY508" t="s">
        <v>3131</v>
      </c>
      <c r="AZ508" t="s">
        <v>3132</v>
      </c>
      <c r="BA508" t="s">
        <v>1451</v>
      </c>
      <c r="BB508" t="str">
        <f t="shared" si="7"/>
        <v>CCFNnaDoma</v>
      </c>
    </row>
    <row r="509" spans="48:54" x14ac:dyDescent="0.25">
      <c r="AV509" t="s">
        <v>2127</v>
      </c>
      <c r="AW509" t="s">
        <v>1486</v>
      </c>
      <c r="AX509" t="s">
        <v>2042</v>
      </c>
      <c r="AY509" t="s">
        <v>3133</v>
      </c>
      <c r="AZ509" t="s">
        <v>3134</v>
      </c>
      <c r="BA509" t="s">
        <v>1451</v>
      </c>
      <c r="BB509" t="str">
        <f t="shared" si="7"/>
        <v>CCFNnaDoma</v>
      </c>
    </row>
    <row r="510" spans="48:54" x14ac:dyDescent="0.25">
      <c r="AV510" t="s">
        <v>2127</v>
      </c>
      <c r="AW510" t="s">
        <v>1486</v>
      </c>
      <c r="AX510" t="s">
        <v>2043</v>
      </c>
      <c r="AY510" t="s">
        <v>3135</v>
      </c>
      <c r="AZ510" t="s">
        <v>3136</v>
      </c>
      <c r="BA510" t="s">
        <v>1451</v>
      </c>
      <c r="BB510" t="str">
        <f t="shared" si="7"/>
        <v>CCFNnaKeffi</v>
      </c>
    </row>
    <row r="511" spans="48:54" x14ac:dyDescent="0.25">
      <c r="AV511" t="s">
        <v>2127</v>
      </c>
      <c r="AW511" t="s">
        <v>1486</v>
      </c>
      <c r="AX511" t="s">
        <v>2044</v>
      </c>
      <c r="AY511" t="s">
        <v>3137</v>
      </c>
      <c r="AZ511" t="s">
        <v>3138</v>
      </c>
      <c r="BA511" t="s">
        <v>1451</v>
      </c>
      <c r="BB511" t="str">
        <f t="shared" si="7"/>
        <v>CCFNnaLafia</v>
      </c>
    </row>
    <row r="512" spans="48:54" x14ac:dyDescent="0.25">
      <c r="AV512" t="s">
        <v>2127</v>
      </c>
      <c r="AW512" t="s">
        <v>1486</v>
      </c>
      <c r="AX512" t="s">
        <v>2044</v>
      </c>
      <c r="AY512" t="s">
        <v>3139</v>
      </c>
      <c r="AZ512" t="s">
        <v>3140</v>
      </c>
      <c r="BA512" t="s">
        <v>1451</v>
      </c>
      <c r="BB512" t="str">
        <f t="shared" si="7"/>
        <v>CCFNnaLafia</v>
      </c>
    </row>
    <row r="513" spans="48:54" x14ac:dyDescent="0.25">
      <c r="AV513" t="s">
        <v>2127</v>
      </c>
      <c r="AW513" t="s">
        <v>1486</v>
      </c>
      <c r="AX513" t="s">
        <v>2045</v>
      </c>
      <c r="AY513" t="s">
        <v>3141</v>
      </c>
      <c r="AZ513" t="s">
        <v>3142</v>
      </c>
      <c r="BA513" t="s">
        <v>1451</v>
      </c>
      <c r="BB513" t="str">
        <f t="shared" si="7"/>
        <v>CCFNnaObi</v>
      </c>
    </row>
    <row r="514" spans="48:54" x14ac:dyDescent="0.25">
      <c r="AV514" t="s">
        <v>2127</v>
      </c>
      <c r="AW514" t="s">
        <v>1486</v>
      </c>
      <c r="AX514" t="s">
        <v>2045</v>
      </c>
      <c r="AY514" t="s">
        <v>3143</v>
      </c>
      <c r="AZ514" t="s">
        <v>3144</v>
      </c>
      <c r="BA514" t="s">
        <v>1451</v>
      </c>
      <c r="BB514" t="str">
        <f t="shared" si="7"/>
        <v>CCFNnaObi</v>
      </c>
    </row>
    <row r="515" spans="48:54" x14ac:dyDescent="0.25">
      <c r="AV515" t="s">
        <v>2127</v>
      </c>
      <c r="AW515" t="s">
        <v>1486</v>
      </c>
      <c r="AX515" t="s">
        <v>2045</v>
      </c>
      <c r="AY515" t="s">
        <v>3145</v>
      </c>
      <c r="AZ515" t="s">
        <v>3146</v>
      </c>
      <c r="BA515" t="s">
        <v>1451</v>
      </c>
      <c r="BB515" t="str">
        <f t="shared" ref="BB515:BB578" si="8">SUBSTITUTE(SUBSTITUTE(BA515&amp;AX515," ",""),"-","")</f>
        <v>CCFNnaObi</v>
      </c>
    </row>
    <row r="516" spans="48:54" x14ac:dyDescent="0.25">
      <c r="AV516" t="s">
        <v>2127</v>
      </c>
      <c r="AW516" t="s">
        <v>1486</v>
      </c>
      <c r="AX516" t="s">
        <v>2045</v>
      </c>
      <c r="AY516" t="s">
        <v>3147</v>
      </c>
      <c r="AZ516" t="s">
        <v>3148</v>
      </c>
      <c r="BA516" t="s">
        <v>1451</v>
      </c>
      <c r="BB516" t="str">
        <f t="shared" si="8"/>
        <v>CCFNnaObi</v>
      </c>
    </row>
    <row r="517" spans="48:54" x14ac:dyDescent="0.25">
      <c r="AV517" t="s">
        <v>2127</v>
      </c>
      <c r="AW517" t="s">
        <v>1488</v>
      </c>
      <c r="AX517" t="s">
        <v>2057</v>
      </c>
      <c r="AY517" t="s">
        <v>3149</v>
      </c>
      <c r="AZ517" t="s">
        <v>3150</v>
      </c>
      <c r="BA517" t="s">
        <v>1451</v>
      </c>
      <c r="BB517" t="str">
        <f t="shared" si="8"/>
        <v>CCFNogIfo</v>
      </c>
    </row>
    <row r="518" spans="48:54" x14ac:dyDescent="0.25">
      <c r="AV518" t="s">
        <v>2127</v>
      </c>
      <c r="AW518" t="s">
        <v>1488</v>
      </c>
      <c r="AX518" t="s">
        <v>2055</v>
      </c>
      <c r="AY518" t="s">
        <v>3151</v>
      </c>
      <c r="AZ518" t="s">
        <v>3152</v>
      </c>
      <c r="BA518" t="s">
        <v>1451</v>
      </c>
      <c r="BB518" t="str">
        <f t="shared" si="8"/>
        <v>CCFNogYewaNorth</v>
      </c>
    </row>
    <row r="519" spans="48:54" x14ac:dyDescent="0.25">
      <c r="AV519" t="s">
        <v>2127</v>
      </c>
      <c r="AW519" t="s">
        <v>1489</v>
      </c>
      <c r="AX519" t="s">
        <v>2062</v>
      </c>
      <c r="AY519" t="s">
        <v>3153</v>
      </c>
      <c r="AZ519" t="s">
        <v>3154</v>
      </c>
      <c r="BA519" t="s">
        <v>1451</v>
      </c>
      <c r="BB519" t="str">
        <f t="shared" si="8"/>
        <v>CCFNonAkokoSouthWest</v>
      </c>
    </row>
    <row r="520" spans="48:54" x14ac:dyDescent="0.25">
      <c r="AV520" t="s">
        <v>2127</v>
      </c>
      <c r="AW520" t="s">
        <v>1489</v>
      </c>
      <c r="AX520" t="s">
        <v>2063</v>
      </c>
      <c r="AY520" t="s">
        <v>3155</v>
      </c>
      <c r="AZ520" t="s">
        <v>3156</v>
      </c>
      <c r="BA520" t="s">
        <v>1451</v>
      </c>
      <c r="BB520" t="str">
        <f t="shared" si="8"/>
        <v>CCFNonEseOdo</v>
      </c>
    </row>
    <row r="521" spans="48:54" x14ac:dyDescent="0.25">
      <c r="AV521" t="s">
        <v>2127</v>
      </c>
      <c r="AW521" t="s">
        <v>1489</v>
      </c>
      <c r="AX521" t="s">
        <v>2064</v>
      </c>
      <c r="AY521" t="s">
        <v>3157</v>
      </c>
      <c r="AZ521" t="s">
        <v>3158</v>
      </c>
      <c r="BA521" t="s">
        <v>1451</v>
      </c>
      <c r="BB521" t="str">
        <f t="shared" si="8"/>
        <v>CCFNonOndoWest</v>
      </c>
    </row>
    <row r="522" spans="48:54" x14ac:dyDescent="0.25">
      <c r="AV522" t="s">
        <v>2127</v>
      </c>
      <c r="AW522" t="s">
        <v>1489</v>
      </c>
      <c r="AX522" t="s">
        <v>2065</v>
      </c>
      <c r="AY522" t="s">
        <v>3159</v>
      </c>
      <c r="AZ522" t="s">
        <v>3160</v>
      </c>
      <c r="BA522" t="s">
        <v>1451</v>
      </c>
      <c r="BB522" t="str">
        <f t="shared" si="8"/>
        <v>CCFNonOwo</v>
      </c>
    </row>
    <row r="523" spans="48:54" x14ac:dyDescent="0.25">
      <c r="AV523" t="s">
        <v>2127</v>
      </c>
      <c r="AW523" t="s">
        <v>1490</v>
      </c>
      <c r="AX523" t="s">
        <v>2069</v>
      </c>
      <c r="AY523" t="s">
        <v>3161</v>
      </c>
      <c r="AZ523" t="s">
        <v>3162</v>
      </c>
      <c r="BA523" t="s">
        <v>1451</v>
      </c>
      <c r="BB523" t="str">
        <f t="shared" si="8"/>
        <v>CCFNosIfeNorth</v>
      </c>
    </row>
    <row r="524" spans="48:54" x14ac:dyDescent="0.25">
      <c r="AV524" t="s">
        <v>2127</v>
      </c>
      <c r="AW524" t="s">
        <v>1490</v>
      </c>
      <c r="AX524" t="s">
        <v>2070</v>
      </c>
      <c r="AY524" t="s">
        <v>3163</v>
      </c>
      <c r="AZ524" t="s">
        <v>3164</v>
      </c>
      <c r="BA524" t="s">
        <v>1451</v>
      </c>
      <c r="BB524" t="str">
        <f t="shared" si="8"/>
        <v>CCFNosIsokan</v>
      </c>
    </row>
    <row r="525" spans="48:54" x14ac:dyDescent="0.25">
      <c r="AV525" t="s">
        <v>2127</v>
      </c>
      <c r="AW525" t="s">
        <v>1490</v>
      </c>
      <c r="AX525" t="s">
        <v>2071</v>
      </c>
      <c r="AY525" t="s">
        <v>3165</v>
      </c>
      <c r="AZ525" t="s">
        <v>3166</v>
      </c>
      <c r="BA525" t="s">
        <v>1451</v>
      </c>
      <c r="BB525" t="str">
        <f t="shared" si="8"/>
        <v>CCFNosIwo</v>
      </c>
    </row>
    <row r="526" spans="48:54" x14ac:dyDescent="0.25">
      <c r="AV526" t="s">
        <v>2127</v>
      </c>
      <c r="AW526" t="s">
        <v>1491</v>
      </c>
      <c r="AX526" t="s">
        <v>2108</v>
      </c>
      <c r="AY526" t="s">
        <v>3167</v>
      </c>
      <c r="AZ526" t="s">
        <v>3168</v>
      </c>
      <c r="BA526" t="s">
        <v>1451</v>
      </c>
      <c r="BB526" t="str">
        <f t="shared" si="8"/>
        <v>CCFNoyEgbeda</v>
      </c>
    </row>
    <row r="527" spans="48:54" x14ac:dyDescent="0.25">
      <c r="AV527" t="s">
        <v>2127</v>
      </c>
      <c r="AW527" t="s">
        <v>1492</v>
      </c>
      <c r="AX527" t="s">
        <v>2110</v>
      </c>
      <c r="AY527" t="s">
        <v>3169</v>
      </c>
      <c r="AZ527" t="s">
        <v>3170</v>
      </c>
      <c r="BA527" t="s">
        <v>1451</v>
      </c>
      <c r="BB527" t="str">
        <f t="shared" si="8"/>
        <v>CCFNplBassa</v>
      </c>
    </row>
    <row r="528" spans="48:54" x14ac:dyDescent="0.25">
      <c r="AV528" t="s">
        <v>2127</v>
      </c>
      <c r="AW528" t="s">
        <v>1492</v>
      </c>
      <c r="AX528" t="s">
        <v>2110</v>
      </c>
      <c r="AY528" t="s">
        <v>3171</v>
      </c>
      <c r="AZ528" t="s">
        <v>3172</v>
      </c>
      <c r="BA528" t="s">
        <v>1451</v>
      </c>
      <c r="BB528" t="str">
        <f t="shared" si="8"/>
        <v>CCFNplBassa</v>
      </c>
    </row>
    <row r="529" spans="48:54" x14ac:dyDescent="0.25">
      <c r="AV529" t="s">
        <v>2127</v>
      </c>
      <c r="AW529" t="s">
        <v>1492</v>
      </c>
      <c r="AX529" t="s">
        <v>2119</v>
      </c>
      <c r="AY529" t="s">
        <v>3173</v>
      </c>
      <c r="AZ529" t="s">
        <v>3174</v>
      </c>
      <c r="BA529" t="s">
        <v>1451</v>
      </c>
      <c r="BB529" t="str">
        <f t="shared" si="8"/>
        <v>CCFNplBokkos</v>
      </c>
    </row>
    <row r="530" spans="48:54" x14ac:dyDescent="0.25">
      <c r="AV530" t="s">
        <v>2127</v>
      </c>
      <c r="AW530" t="s">
        <v>1492</v>
      </c>
      <c r="AX530" t="s">
        <v>2119</v>
      </c>
      <c r="AY530" t="s">
        <v>3175</v>
      </c>
      <c r="AZ530" t="s">
        <v>3176</v>
      </c>
      <c r="BA530" t="s">
        <v>1451</v>
      </c>
      <c r="BB530" t="str">
        <f t="shared" si="8"/>
        <v>CCFNplBokkos</v>
      </c>
    </row>
    <row r="531" spans="48:54" x14ac:dyDescent="0.25">
      <c r="AV531" t="s">
        <v>2127</v>
      </c>
      <c r="AW531" t="s">
        <v>1492</v>
      </c>
      <c r="AX531" t="s">
        <v>2112</v>
      </c>
      <c r="AY531" t="s">
        <v>3177</v>
      </c>
      <c r="AZ531" t="s">
        <v>3178</v>
      </c>
      <c r="BA531" t="s">
        <v>1451</v>
      </c>
      <c r="BB531" t="str">
        <f t="shared" si="8"/>
        <v>CCFNplJosNorth</v>
      </c>
    </row>
    <row r="532" spans="48:54" x14ac:dyDescent="0.25">
      <c r="AV532" t="s">
        <v>2127</v>
      </c>
      <c r="AW532" t="s">
        <v>1492</v>
      </c>
      <c r="AX532" t="s">
        <v>2112</v>
      </c>
      <c r="AY532" t="s">
        <v>3179</v>
      </c>
      <c r="AZ532" t="s">
        <v>3180</v>
      </c>
      <c r="BA532" t="s">
        <v>1451</v>
      </c>
      <c r="BB532" t="str">
        <f t="shared" si="8"/>
        <v>CCFNplJosNorth</v>
      </c>
    </row>
    <row r="533" spans="48:54" x14ac:dyDescent="0.25">
      <c r="AV533" t="s">
        <v>2127</v>
      </c>
      <c r="AW533" t="s">
        <v>1492</v>
      </c>
      <c r="AX533" t="s">
        <v>2113</v>
      </c>
      <c r="AY533" t="s">
        <v>3181</v>
      </c>
      <c r="AZ533" t="s">
        <v>3182</v>
      </c>
      <c r="BA533" t="s">
        <v>1451</v>
      </c>
      <c r="BB533" t="str">
        <f t="shared" si="8"/>
        <v>CCFNplJosSouth</v>
      </c>
    </row>
    <row r="534" spans="48:54" x14ac:dyDescent="0.25">
      <c r="AV534" t="s">
        <v>2127</v>
      </c>
      <c r="AW534" t="s">
        <v>1492</v>
      </c>
      <c r="AX534" t="s">
        <v>2113</v>
      </c>
      <c r="AY534" t="s">
        <v>3183</v>
      </c>
      <c r="AZ534" t="s">
        <v>3184</v>
      </c>
      <c r="BA534" t="s">
        <v>1451</v>
      </c>
      <c r="BB534" t="str">
        <f t="shared" si="8"/>
        <v>CCFNplJosSouth</v>
      </c>
    </row>
    <row r="535" spans="48:54" x14ac:dyDescent="0.25">
      <c r="AV535" t="s">
        <v>2127</v>
      </c>
      <c r="AW535" t="s">
        <v>1492</v>
      </c>
      <c r="AX535" t="s">
        <v>2117</v>
      </c>
      <c r="AY535" t="s">
        <v>3185</v>
      </c>
      <c r="AZ535" t="s">
        <v>3186</v>
      </c>
      <c r="BA535" t="s">
        <v>1451</v>
      </c>
      <c r="BB535" t="str">
        <f t="shared" si="8"/>
        <v>CCFNplQua'anPan</v>
      </c>
    </row>
    <row r="536" spans="48:54" x14ac:dyDescent="0.25">
      <c r="AV536" t="s">
        <v>2127</v>
      </c>
      <c r="AW536" t="s">
        <v>1492</v>
      </c>
      <c r="AX536" t="s">
        <v>2118</v>
      </c>
      <c r="AY536" t="s">
        <v>3187</v>
      </c>
      <c r="AZ536" t="s">
        <v>3188</v>
      </c>
      <c r="BA536" t="s">
        <v>1451</v>
      </c>
      <c r="BB536" t="str">
        <f t="shared" si="8"/>
        <v>CCFNplShendam</v>
      </c>
    </row>
    <row r="537" spans="48:54" x14ac:dyDescent="0.25">
      <c r="AV537" t="s">
        <v>2127</v>
      </c>
      <c r="AW537" t="s">
        <v>1467</v>
      </c>
      <c r="AX537" t="s">
        <v>1894</v>
      </c>
      <c r="AY537" t="s">
        <v>3189</v>
      </c>
      <c r="AZ537" t="s">
        <v>3190</v>
      </c>
      <c r="BA537" t="s">
        <v>1874</v>
      </c>
      <c r="BB537" t="str">
        <f t="shared" si="8"/>
        <v>CIHPbeAdo</v>
      </c>
    </row>
    <row r="538" spans="48:54" x14ac:dyDescent="0.25">
      <c r="AV538" t="s">
        <v>2127</v>
      </c>
      <c r="AW538" t="s">
        <v>1467</v>
      </c>
      <c r="AX538" t="s">
        <v>1894</v>
      </c>
      <c r="AY538" t="s">
        <v>3191</v>
      </c>
      <c r="AZ538" t="s">
        <v>3192</v>
      </c>
      <c r="BA538" t="s">
        <v>1874</v>
      </c>
      <c r="BB538" t="str">
        <f t="shared" si="8"/>
        <v>CIHPbeAdo</v>
      </c>
    </row>
    <row r="539" spans="48:54" x14ac:dyDescent="0.25">
      <c r="AV539" t="s">
        <v>2127</v>
      </c>
      <c r="AW539" t="s">
        <v>1467</v>
      </c>
      <c r="AX539" t="s">
        <v>1877</v>
      </c>
      <c r="AY539" t="s">
        <v>3193</v>
      </c>
      <c r="AZ539" t="s">
        <v>3194</v>
      </c>
      <c r="BA539" t="s">
        <v>1874</v>
      </c>
      <c r="BB539" t="str">
        <f t="shared" si="8"/>
        <v>CIHPbeAgatu</v>
      </c>
    </row>
    <row r="540" spans="48:54" x14ac:dyDescent="0.25">
      <c r="AV540" t="s">
        <v>2127</v>
      </c>
      <c r="AW540" t="s">
        <v>1467</v>
      </c>
      <c r="AX540" t="s">
        <v>1895</v>
      </c>
      <c r="AY540" t="s">
        <v>3195</v>
      </c>
      <c r="AZ540" t="s">
        <v>3196</v>
      </c>
      <c r="BA540" t="s">
        <v>1874</v>
      </c>
      <c r="BB540" t="str">
        <f t="shared" si="8"/>
        <v>CIHPbeApa</v>
      </c>
    </row>
    <row r="541" spans="48:54" x14ac:dyDescent="0.25">
      <c r="AV541" t="s">
        <v>2127</v>
      </c>
      <c r="AW541" t="s">
        <v>1467</v>
      </c>
      <c r="AX541" t="s">
        <v>1895</v>
      </c>
      <c r="AY541" t="s">
        <v>3197</v>
      </c>
      <c r="AZ541" t="s">
        <v>3198</v>
      </c>
      <c r="BA541" t="s">
        <v>1874</v>
      </c>
      <c r="BB541" t="str">
        <f t="shared" si="8"/>
        <v>CIHPbeApa</v>
      </c>
    </row>
    <row r="542" spans="48:54" x14ac:dyDescent="0.25">
      <c r="AV542" t="s">
        <v>2127</v>
      </c>
      <c r="AW542" t="s">
        <v>1467</v>
      </c>
      <c r="AX542" t="s">
        <v>1878</v>
      </c>
      <c r="AY542" t="s">
        <v>3199</v>
      </c>
      <c r="AZ542" t="s">
        <v>3200</v>
      </c>
      <c r="BA542" t="s">
        <v>1874</v>
      </c>
      <c r="BB542" t="str">
        <f t="shared" si="8"/>
        <v>CIHPbeBuruku</v>
      </c>
    </row>
    <row r="543" spans="48:54" x14ac:dyDescent="0.25">
      <c r="AV543" t="s">
        <v>2127</v>
      </c>
      <c r="AW543" t="s">
        <v>1467</v>
      </c>
      <c r="AX543" t="s">
        <v>1878</v>
      </c>
      <c r="AY543" t="s">
        <v>3201</v>
      </c>
      <c r="AZ543" t="s">
        <v>3202</v>
      </c>
      <c r="BA543" t="s">
        <v>1874</v>
      </c>
      <c r="BB543" t="str">
        <f t="shared" si="8"/>
        <v>CIHPbeBuruku</v>
      </c>
    </row>
    <row r="544" spans="48:54" x14ac:dyDescent="0.25">
      <c r="AV544" t="s">
        <v>2127</v>
      </c>
      <c r="AW544" t="s">
        <v>1467</v>
      </c>
      <c r="AX544" t="s">
        <v>1878</v>
      </c>
      <c r="AY544" t="s">
        <v>3203</v>
      </c>
      <c r="AZ544" t="s">
        <v>3204</v>
      </c>
      <c r="BA544" t="s">
        <v>1874</v>
      </c>
      <c r="BB544" t="str">
        <f t="shared" si="8"/>
        <v>CIHPbeBuruku</v>
      </c>
    </row>
    <row r="545" spans="48:54" x14ac:dyDescent="0.25">
      <c r="AV545" t="s">
        <v>2127</v>
      </c>
      <c r="AW545" t="s">
        <v>1467</v>
      </c>
      <c r="AX545" t="s">
        <v>1878</v>
      </c>
      <c r="AY545" t="s">
        <v>3205</v>
      </c>
      <c r="AZ545" t="s">
        <v>3206</v>
      </c>
      <c r="BA545" t="s">
        <v>1874</v>
      </c>
      <c r="BB545" t="str">
        <f t="shared" si="8"/>
        <v>CIHPbeBuruku</v>
      </c>
    </row>
    <row r="546" spans="48:54" x14ac:dyDescent="0.25">
      <c r="AV546" t="s">
        <v>2127</v>
      </c>
      <c r="AW546" t="s">
        <v>1467</v>
      </c>
      <c r="AX546" t="s">
        <v>1878</v>
      </c>
      <c r="AY546" t="s">
        <v>3207</v>
      </c>
      <c r="AZ546" t="s">
        <v>3208</v>
      </c>
      <c r="BA546" t="s">
        <v>1874</v>
      </c>
      <c r="BB546" t="str">
        <f t="shared" si="8"/>
        <v>CIHPbeBuruku</v>
      </c>
    </row>
    <row r="547" spans="48:54" x14ac:dyDescent="0.25">
      <c r="AV547" t="s">
        <v>2127</v>
      </c>
      <c r="AW547" t="s">
        <v>1467</v>
      </c>
      <c r="AX547" t="s">
        <v>1878</v>
      </c>
      <c r="AY547" t="s">
        <v>3209</v>
      </c>
      <c r="AZ547" t="s">
        <v>3210</v>
      </c>
      <c r="BA547" t="s">
        <v>1874</v>
      </c>
      <c r="BB547" t="str">
        <f t="shared" si="8"/>
        <v>CIHPbeBuruku</v>
      </c>
    </row>
    <row r="548" spans="48:54" x14ac:dyDescent="0.25">
      <c r="AV548" t="s">
        <v>2127</v>
      </c>
      <c r="AW548" t="s">
        <v>1467</v>
      </c>
      <c r="AX548" t="s">
        <v>1878</v>
      </c>
      <c r="AY548" t="s">
        <v>3211</v>
      </c>
      <c r="AZ548" t="s">
        <v>3212</v>
      </c>
      <c r="BA548" t="s">
        <v>1874</v>
      </c>
      <c r="BB548" t="str">
        <f t="shared" si="8"/>
        <v>CIHPbeBuruku</v>
      </c>
    </row>
    <row r="549" spans="48:54" x14ac:dyDescent="0.25">
      <c r="AV549" t="s">
        <v>2127</v>
      </c>
      <c r="AW549" t="s">
        <v>1467</v>
      </c>
      <c r="AX549" t="s">
        <v>1878</v>
      </c>
      <c r="AY549" t="s">
        <v>3213</v>
      </c>
      <c r="AZ549" t="s">
        <v>3214</v>
      </c>
      <c r="BA549" t="s">
        <v>1874</v>
      </c>
      <c r="BB549" t="str">
        <f t="shared" si="8"/>
        <v>CIHPbeBuruku</v>
      </c>
    </row>
    <row r="550" spans="48:54" x14ac:dyDescent="0.25">
      <c r="AV550" t="s">
        <v>2127</v>
      </c>
      <c r="AW550" t="s">
        <v>1467</v>
      </c>
      <c r="AX550" t="s">
        <v>1878</v>
      </c>
      <c r="AY550" t="s">
        <v>3215</v>
      </c>
      <c r="AZ550" t="s">
        <v>3216</v>
      </c>
      <c r="BA550" t="s">
        <v>1874</v>
      </c>
      <c r="BB550" t="str">
        <f t="shared" si="8"/>
        <v>CIHPbeBuruku</v>
      </c>
    </row>
    <row r="551" spans="48:54" x14ac:dyDescent="0.25">
      <c r="AV551" t="s">
        <v>2127</v>
      </c>
      <c r="AW551" t="s">
        <v>1467</v>
      </c>
      <c r="AX551" t="s">
        <v>1878</v>
      </c>
      <c r="AY551" t="s">
        <v>3217</v>
      </c>
      <c r="AZ551" t="s">
        <v>3218</v>
      </c>
      <c r="BA551" t="s">
        <v>1874</v>
      </c>
      <c r="BB551" t="str">
        <f t="shared" si="8"/>
        <v>CIHPbeBuruku</v>
      </c>
    </row>
    <row r="552" spans="48:54" x14ac:dyDescent="0.25">
      <c r="AV552" t="s">
        <v>2127</v>
      </c>
      <c r="AW552" t="s">
        <v>1467</v>
      </c>
      <c r="AX552" t="s">
        <v>1878</v>
      </c>
      <c r="AY552" t="s">
        <v>3219</v>
      </c>
      <c r="AZ552" t="s">
        <v>3220</v>
      </c>
      <c r="BA552" t="s">
        <v>1874</v>
      </c>
      <c r="BB552" t="str">
        <f t="shared" si="8"/>
        <v>CIHPbeBuruku</v>
      </c>
    </row>
    <row r="553" spans="48:54" x14ac:dyDescent="0.25">
      <c r="AV553" t="s">
        <v>2127</v>
      </c>
      <c r="AW553" t="s">
        <v>1467</v>
      </c>
      <c r="AX553" t="s">
        <v>1878</v>
      </c>
      <c r="AY553" t="s">
        <v>3221</v>
      </c>
      <c r="AZ553" t="s">
        <v>3222</v>
      </c>
      <c r="BA553" t="s">
        <v>1874</v>
      </c>
      <c r="BB553" t="str">
        <f t="shared" si="8"/>
        <v>CIHPbeBuruku</v>
      </c>
    </row>
    <row r="554" spans="48:54" x14ac:dyDescent="0.25">
      <c r="AV554" t="s">
        <v>2127</v>
      </c>
      <c r="AW554" t="s">
        <v>1467</v>
      </c>
      <c r="AX554" t="s">
        <v>1878</v>
      </c>
      <c r="AY554" t="s">
        <v>3223</v>
      </c>
      <c r="AZ554" t="s">
        <v>3224</v>
      </c>
      <c r="BA554" t="s">
        <v>1874</v>
      </c>
      <c r="BB554" t="str">
        <f t="shared" si="8"/>
        <v>CIHPbeBuruku</v>
      </c>
    </row>
    <row r="555" spans="48:54" x14ac:dyDescent="0.25">
      <c r="AV555" t="s">
        <v>2127</v>
      </c>
      <c r="AW555" t="s">
        <v>1467</v>
      </c>
      <c r="AX555" t="s">
        <v>1878</v>
      </c>
      <c r="AY555" t="s">
        <v>3225</v>
      </c>
      <c r="AZ555" t="s">
        <v>3226</v>
      </c>
      <c r="BA555" t="s">
        <v>1874</v>
      </c>
      <c r="BB555" t="str">
        <f t="shared" si="8"/>
        <v>CIHPbeBuruku</v>
      </c>
    </row>
    <row r="556" spans="48:54" x14ac:dyDescent="0.25">
      <c r="AV556" t="s">
        <v>2127</v>
      </c>
      <c r="AW556" t="s">
        <v>1467</v>
      </c>
      <c r="AX556" t="s">
        <v>1878</v>
      </c>
      <c r="AY556" t="s">
        <v>3227</v>
      </c>
      <c r="AZ556" t="s">
        <v>3228</v>
      </c>
      <c r="BA556" t="s">
        <v>1874</v>
      </c>
      <c r="BB556" t="str">
        <f t="shared" si="8"/>
        <v>CIHPbeBuruku</v>
      </c>
    </row>
    <row r="557" spans="48:54" x14ac:dyDescent="0.25">
      <c r="AV557" t="s">
        <v>2127</v>
      </c>
      <c r="AW557" t="s">
        <v>1467</v>
      </c>
      <c r="AX557" t="s">
        <v>1878</v>
      </c>
      <c r="AY557" t="s">
        <v>3229</v>
      </c>
      <c r="AZ557" t="s">
        <v>3230</v>
      </c>
      <c r="BA557" t="s">
        <v>1874</v>
      </c>
      <c r="BB557" t="str">
        <f t="shared" si="8"/>
        <v>CIHPbeBuruku</v>
      </c>
    </row>
    <row r="558" spans="48:54" x14ac:dyDescent="0.25">
      <c r="AV558" t="s">
        <v>2127</v>
      </c>
      <c r="AW558" t="s">
        <v>1467</v>
      </c>
      <c r="AX558" t="s">
        <v>1878</v>
      </c>
      <c r="AY558" t="s">
        <v>3231</v>
      </c>
      <c r="AZ558" t="s">
        <v>3232</v>
      </c>
      <c r="BA558" t="s">
        <v>1874</v>
      </c>
      <c r="BB558" t="str">
        <f t="shared" si="8"/>
        <v>CIHPbeBuruku</v>
      </c>
    </row>
    <row r="559" spans="48:54" x14ac:dyDescent="0.25">
      <c r="AV559" t="s">
        <v>2127</v>
      </c>
      <c r="AW559" t="s">
        <v>1467</v>
      </c>
      <c r="AX559" t="s">
        <v>1878</v>
      </c>
      <c r="AY559" t="s">
        <v>3233</v>
      </c>
      <c r="AZ559" t="s">
        <v>3234</v>
      </c>
      <c r="BA559" t="s">
        <v>1874</v>
      </c>
      <c r="BB559" t="str">
        <f t="shared" si="8"/>
        <v>CIHPbeBuruku</v>
      </c>
    </row>
    <row r="560" spans="48:54" x14ac:dyDescent="0.25">
      <c r="AV560" t="s">
        <v>2127</v>
      </c>
      <c r="AW560" t="s">
        <v>1467</v>
      </c>
      <c r="AX560" t="s">
        <v>1878</v>
      </c>
      <c r="AY560" t="s">
        <v>3235</v>
      </c>
      <c r="AZ560" t="s">
        <v>3236</v>
      </c>
      <c r="BA560" t="s">
        <v>1874</v>
      </c>
      <c r="BB560" t="str">
        <f t="shared" si="8"/>
        <v>CIHPbeBuruku</v>
      </c>
    </row>
    <row r="561" spans="48:54" x14ac:dyDescent="0.25">
      <c r="AV561" t="s">
        <v>2127</v>
      </c>
      <c r="AW561" t="s">
        <v>1467</v>
      </c>
      <c r="AX561" t="s">
        <v>1878</v>
      </c>
      <c r="AY561" t="s">
        <v>3237</v>
      </c>
      <c r="AZ561" t="s">
        <v>3238</v>
      </c>
      <c r="BA561" t="s">
        <v>1874</v>
      </c>
      <c r="BB561" t="str">
        <f t="shared" si="8"/>
        <v>CIHPbeBuruku</v>
      </c>
    </row>
    <row r="562" spans="48:54" x14ac:dyDescent="0.25">
      <c r="AV562" t="s">
        <v>2127</v>
      </c>
      <c r="AW562" t="s">
        <v>1467</v>
      </c>
      <c r="AX562" t="s">
        <v>1878</v>
      </c>
      <c r="AY562" t="s">
        <v>3239</v>
      </c>
      <c r="AZ562" t="s">
        <v>3240</v>
      </c>
      <c r="BA562" t="s">
        <v>1874</v>
      </c>
      <c r="BB562" t="str">
        <f t="shared" si="8"/>
        <v>CIHPbeBuruku</v>
      </c>
    </row>
    <row r="563" spans="48:54" x14ac:dyDescent="0.25">
      <c r="AV563" t="s">
        <v>2127</v>
      </c>
      <c r="AW563" t="s">
        <v>1467</v>
      </c>
      <c r="AX563" t="s">
        <v>1878</v>
      </c>
      <c r="AY563" t="s">
        <v>3241</v>
      </c>
      <c r="AZ563" t="s">
        <v>3242</v>
      </c>
      <c r="BA563" t="s">
        <v>1874</v>
      </c>
      <c r="BB563" t="str">
        <f t="shared" si="8"/>
        <v>CIHPbeBuruku</v>
      </c>
    </row>
    <row r="564" spans="48:54" x14ac:dyDescent="0.25">
      <c r="AV564" t="s">
        <v>2127</v>
      </c>
      <c r="AW564" t="s">
        <v>1467</v>
      </c>
      <c r="AX564" t="s">
        <v>1878</v>
      </c>
      <c r="AY564" t="s">
        <v>3243</v>
      </c>
      <c r="AZ564" t="s">
        <v>3244</v>
      </c>
      <c r="BA564" t="s">
        <v>1874</v>
      </c>
      <c r="BB564" t="str">
        <f t="shared" si="8"/>
        <v>CIHPbeBuruku</v>
      </c>
    </row>
    <row r="565" spans="48:54" x14ac:dyDescent="0.25">
      <c r="AV565" t="s">
        <v>2127</v>
      </c>
      <c r="AW565" t="s">
        <v>1467</v>
      </c>
      <c r="AX565" t="s">
        <v>1878</v>
      </c>
      <c r="AY565" t="s">
        <v>3245</v>
      </c>
      <c r="AZ565" t="s">
        <v>3246</v>
      </c>
      <c r="BA565" t="s">
        <v>1874</v>
      </c>
      <c r="BB565" t="str">
        <f t="shared" si="8"/>
        <v>CIHPbeBuruku</v>
      </c>
    </row>
    <row r="566" spans="48:54" x14ac:dyDescent="0.25">
      <c r="AV566" t="s">
        <v>2127</v>
      </c>
      <c r="AW566" t="s">
        <v>1467</v>
      </c>
      <c r="AX566" t="s">
        <v>1878</v>
      </c>
      <c r="AY566" t="s">
        <v>2965</v>
      </c>
      <c r="AZ566" t="s">
        <v>2966</v>
      </c>
      <c r="BA566" t="s">
        <v>1874</v>
      </c>
      <c r="BB566" t="str">
        <f t="shared" si="8"/>
        <v>CIHPbeBuruku</v>
      </c>
    </row>
    <row r="567" spans="48:54" x14ac:dyDescent="0.25">
      <c r="AV567" t="s">
        <v>2127</v>
      </c>
      <c r="AW567" t="s">
        <v>1467</v>
      </c>
      <c r="AX567" t="s">
        <v>1878</v>
      </c>
      <c r="AY567" t="s">
        <v>3247</v>
      </c>
      <c r="AZ567" t="s">
        <v>3248</v>
      </c>
      <c r="BA567" t="s">
        <v>1874</v>
      </c>
      <c r="BB567" t="str">
        <f t="shared" si="8"/>
        <v>CIHPbeBuruku</v>
      </c>
    </row>
    <row r="568" spans="48:54" x14ac:dyDescent="0.25">
      <c r="AV568" t="s">
        <v>2127</v>
      </c>
      <c r="AW568" t="s">
        <v>1467</v>
      </c>
      <c r="AX568" t="s">
        <v>1878</v>
      </c>
      <c r="AY568" t="s">
        <v>3249</v>
      </c>
      <c r="AZ568" t="s">
        <v>3250</v>
      </c>
      <c r="BA568" t="s">
        <v>1874</v>
      </c>
      <c r="BB568" t="str">
        <f t="shared" si="8"/>
        <v>CIHPbeBuruku</v>
      </c>
    </row>
    <row r="569" spans="48:54" x14ac:dyDescent="0.25">
      <c r="AV569" t="s">
        <v>2127</v>
      </c>
      <c r="AW569" t="s">
        <v>1467</v>
      </c>
      <c r="AX569" t="s">
        <v>1878</v>
      </c>
      <c r="AY569" t="s">
        <v>3251</v>
      </c>
      <c r="AZ569" t="s">
        <v>3252</v>
      </c>
      <c r="BA569" t="s">
        <v>1874</v>
      </c>
      <c r="BB569" t="str">
        <f t="shared" si="8"/>
        <v>CIHPbeBuruku</v>
      </c>
    </row>
    <row r="570" spans="48:54" x14ac:dyDescent="0.25">
      <c r="AV570" t="s">
        <v>2127</v>
      </c>
      <c r="AW570" t="s">
        <v>1467</v>
      </c>
      <c r="AX570" t="s">
        <v>1878</v>
      </c>
      <c r="AY570" t="s">
        <v>3253</v>
      </c>
      <c r="AZ570" t="s">
        <v>3254</v>
      </c>
      <c r="BA570" t="s">
        <v>1874</v>
      </c>
      <c r="BB570" t="str">
        <f t="shared" si="8"/>
        <v>CIHPbeBuruku</v>
      </c>
    </row>
    <row r="571" spans="48:54" x14ac:dyDescent="0.25">
      <c r="AV571" t="s">
        <v>2127</v>
      </c>
      <c r="AW571" t="s">
        <v>1467</v>
      </c>
      <c r="AX571" t="s">
        <v>1878</v>
      </c>
      <c r="AY571" t="s">
        <v>3255</v>
      </c>
      <c r="AZ571" t="s">
        <v>3256</v>
      </c>
      <c r="BA571" t="s">
        <v>1874</v>
      </c>
      <c r="BB571" t="str">
        <f t="shared" si="8"/>
        <v>CIHPbeBuruku</v>
      </c>
    </row>
    <row r="572" spans="48:54" x14ac:dyDescent="0.25">
      <c r="AV572" t="s">
        <v>2127</v>
      </c>
      <c r="AW572" t="s">
        <v>1467</v>
      </c>
      <c r="AX572" t="s">
        <v>1878</v>
      </c>
      <c r="AY572" t="s">
        <v>3257</v>
      </c>
      <c r="AZ572" t="s">
        <v>3258</v>
      </c>
      <c r="BA572" t="s">
        <v>1874</v>
      </c>
      <c r="BB572" t="str">
        <f t="shared" si="8"/>
        <v>CIHPbeBuruku</v>
      </c>
    </row>
    <row r="573" spans="48:54" x14ac:dyDescent="0.25">
      <c r="AV573" t="s">
        <v>2127</v>
      </c>
      <c r="AW573" t="s">
        <v>1467</v>
      </c>
      <c r="AX573" t="s">
        <v>1878</v>
      </c>
      <c r="AY573" t="s">
        <v>3259</v>
      </c>
      <c r="AZ573" t="s">
        <v>3260</v>
      </c>
      <c r="BA573" t="s">
        <v>1874</v>
      </c>
      <c r="BB573" t="str">
        <f t="shared" si="8"/>
        <v>CIHPbeBuruku</v>
      </c>
    </row>
    <row r="574" spans="48:54" x14ac:dyDescent="0.25">
      <c r="AV574" t="s">
        <v>2127</v>
      </c>
      <c r="AW574" t="s">
        <v>1467</v>
      </c>
      <c r="AX574" t="s">
        <v>1878</v>
      </c>
      <c r="AY574" t="s">
        <v>3261</v>
      </c>
      <c r="AZ574" t="s">
        <v>3262</v>
      </c>
      <c r="BA574" t="s">
        <v>1874</v>
      </c>
      <c r="BB574" t="str">
        <f t="shared" si="8"/>
        <v>CIHPbeBuruku</v>
      </c>
    </row>
    <row r="575" spans="48:54" x14ac:dyDescent="0.25">
      <c r="AV575" t="s">
        <v>2127</v>
      </c>
      <c r="AW575" t="s">
        <v>1467</v>
      </c>
      <c r="AX575" t="s">
        <v>1879</v>
      </c>
      <c r="AY575" t="s">
        <v>3263</v>
      </c>
      <c r="AZ575" t="s">
        <v>3264</v>
      </c>
      <c r="BA575" t="s">
        <v>1874</v>
      </c>
      <c r="BB575" t="str">
        <f t="shared" si="8"/>
        <v>CIHPbeGboko</v>
      </c>
    </row>
    <row r="576" spans="48:54" x14ac:dyDescent="0.25">
      <c r="AV576" t="s">
        <v>2127</v>
      </c>
      <c r="AW576" t="s">
        <v>1467</v>
      </c>
      <c r="AX576" t="s">
        <v>1879</v>
      </c>
      <c r="AY576" t="s">
        <v>3265</v>
      </c>
      <c r="AZ576" t="s">
        <v>3266</v>
      </c>
      <c r="BA576" t="s">
        <v>1874</v>
      </c>
      <c r="BB576" t="str">
        <f t="shared" si="8"/>
        <v>CIHPbeGboko</v>
      </c>
    </row>
    <row r="577" spans="48:54" x14ac:dyDescent="0.25">
      <c r="AV577" t="s">
        <v>2127</v>
      </c>
      <c r="AW577" t="s">
        <v>1467</v>
      </c>
      <c r="AX577" t="s">
        <v>1879</v>
      </c>
      <c r="AY577" t="s">
        <v>3267</v>
      </c>
      <c r="AZ577" t="s">
        <v>3268</v>
      </c>
      <c r="BA577" t="s">
        <v>1874</v>
      </c>
      <c r="BB577" t="str">
        <f t="shared" si="8"/>
        <v>CIHPbeGboko</v>
      </c>
    </row>
    <row r="578" spans="48:54" x14ac:dyDescent="0.25">
      <c r="AV578" t="s">
        <v>2127</v>
      </c>
      <c r="AW578" t="s">
        <v>1467</v>
      </c>
      <c r="AX578" t="s">
        <v>1879</v>
      </c>
      <c r="AY578" t="s">
        <v>3269</v>
      </c>
      <c r="AZ578" t="s">
        <v>3270</v>
      </c>
      <c r="BA578" t="s">
        <v>1874</v>
      </c>
      <c r="BB578" t="str">
        <f t="shared" si="8"/>
        <v>CIHPbeGboko</v>
      </c>
    </row>
    <row r="579" spans="48:54" x14ac:dyDescent="0.25">
      <c r="AV579" t="s">
        <v>2127</v>
      </c>
      <c r="AW579" t="s">
        <v>1467</v>
      </c>
      <c r="AX579" t="s">
        <v>1879</v>
      </c>
      <c r="AY579" t="s">
        <v>3271</v>
      </c>
      <c r="AZ579" t="s">
        <v>3272</v>
      </c>
      <c r="BA579" t="s">
        <v>1874</v>
      </c>
      <c r="BB579" t="str">
        <f t="shared" ref="BB579:BB642" si="9">SUBSTITUTE(SUBSTITUTE(BA579&amp;AX579," ",""),"-","")</f>
        <v>CIHPbeGboko</v>
      </c>
    </row>
    <row r="580" spans="48:54" x14ac:dyDescent="0.25">
      <c r="AV580" t="s">
        <v>2127</v>
      </c>
      <c r="AW580" t="s">
        <v>1467</v>
      </c>
      <c r="AX580" t="s">
        <v>1879</v>
      </c>
      <c r="AY580" t="s">
        <v>3273</v>
      </c>
      <c r="AZ580" t="s">
        <v>3274</v>
      </c>
      <c r="BA580" t="s">
        <v>1874</v>
      </c>
      <c r="BB580" t="str">
        <f t="shared" si="9"/>
        <v>CIHPbeGboko</v>
      </c>
    </row>
    <row r="581" spans="48:54" x14ac:dyDescent="0.25">
      <c r="AV581" t="s">
        <v>2127</v>
      </c>
      <c r="AW581" t="s">
        <v>1467</v>
      </c>
      <c r="AX581" t="s">
        <v>1879</v>
      </c>
      <c r="AY581" t="s">
        <v>3275</v>
      </c>
      <c r="AZ581" t="s">
        <v>3276</v>
      </c>
      <c r="BA581" t="s">
        <v>1874</v>
      </c>
      <c r="BB581" t="str">
        <f t="shared" si="9"/>
        <v>CIHPbeGboko</v>
      </c>
    </row>
    <row r="582" spans="48:54" x14ac:dyDescent="0.25">
      <c r="AV582" t="s">
        <v>2127</v>
      </c>
      <c r="AW582" t="s">
        <v>1467</v>
      </c>
      <c r="AX582" t="s">
        <v>1879</v>
      </c>
      <c r="AY582" t="s">
        <v>3277</v>
      </c>
      <c r="AZ582" t="s">
        <v>3278</v>
      </c>
      <c r="BA582" t="s">
        <v>1874</v>
      </c>
      <c r="BB582" t="str">
        <f t="shared" si="9"/>
        <v>CIHPbeGboko</v>
      </c>
    </row>
    <row r="583" spans="48:54" x14ac:dyDescent="0.25">
      <c r="AV583" t="s">
        <v>2127</v>
      </c>
      <c r="AW583" t="s">
        <v>1467</v>
      </c>
      <c r="AX583" t="s">
        <v>1879</v>
      </c>
      <c r="AY583" t="s">
        <v>3279</v>
      </c>
      <c r="AZ583" t="s">
        <v>3280</v>
      </c>
      <c r="BA583" t="s">
        <v>1874</v>
      </c>
      <c r="BB583" t="str">
        <f t="shared" si="9"/>
        <v>CIHPbeGboko</v>
      </c>
    </row>
    <row r="584" spans="48:54" x14ac:dyDescent="0.25">
      <c r="AV584" t="s">
        <v>2127</v>
      </c>
      <c r="AW584" t="s">
        <v>1467</v>
      </c>
      <c r="AX584" t="s">
        <v>1879</v>
      </c>
      <c r="AY584" t="s">
        <v>3281</v>
      </c>
      <c r="AZ584" t="s">
        <v>3282</v>
      </c>
      <c r="BA584" t="s">
        <v>1874</v>
      </c>
      <c r="BB584" t="str">
        <f t="shared" si="9"/>
        <v>CIHPbeGboko</v>
      </c>
    </row>
    <row r="585" spans="48:54" x14ac:dyDescent="0.25">
      <c r="AV585" t="s">
        <v>2127</v>
      </c>
      <c r="AW585" t="s">
        <v>1467</v>
      </c>
      <c r="AX585" t="s">
        <v>1879</v>
      </c>
      <c r="AY585" t="s">
        <v>3283</v>
      </c>
      <c r="AZ585" t="s">
        <v>3284</v>
      </c>
      <c r="BA585" t="s">
        <v>1874</v>
      </c>
      <c r="BB585" t="str">
        <f t="shared" si="9"/>
        <v>CIHPbeGboko</v>
      </c>
    </row>
    <row r="586" spans="48:54" x14ac:dyDescent="0.25">
      <c r="AV586" t="s">
        <v>2127</v>
      </c>
      <c r="AW586" t="s">
        <v>1467</v>
      </c>
      <c r="AX586" t="s">
        <v>1879</v>
      </c>
      <c r="AY586" t="s">
        <v>3285</v>
      </c>
      <c r="AZ586" t="s">
        <v>3286</v>
      </c>
      <c r="BA586" t="s">
        <v>1874</v>
      </c>
      <c r="BB586" t="str">
        <f t="shared" si="9"/>
        <v>CIHPbeGboko</v>
      </c>
    </row>
    <row r="587" spans="48:54" x14ac:dyDescent="0.25">
      <c r="AV587" t="s">
        <v>2127</v>
      </c>
      <c r="AW587" t="s">
        <v>1467</v>
      </c>
      <c r="AX587" t="s">
        <v>1879</v>
      </c>
      <c r="AY587" t="s">
        <v>3287</v>
      </c>
      <c r="AZ587" t="s">
        <v>3288</v>
      </c>
      <c r="BA587" t="s">
        <v>1874</v>
      </c>
      <c r="BB587" t="str">
        <f t="shared" si="9"/>
        <v>CIHPbeGboko</v>
      </c>
    </row>
    <row r="588" spans="48:54" x14ac:dyDescent="0.25">
      <c r="AV588" t="s">
        <v>2127</v>
      </c>
      <c r="AW588" t="s">
        <v>1467</v>
      </c>
      <c r="AX588" t="s">
        <v>1879</v>
      </c>
      <c r="AY588" t="s">
        <v>3289</v>
      </c>
      <c r="AZ588" t="s">
        <v>3290</v>
      </c>
      <c r="BA588" t="s">
        <v>1874</v>
      </c>
      <c r="BB588" t="str">
        <f t="shared" si="9"/>
        <v>CIHPbeGboko</v>
      </c>
    </row>
    <row r="589" spans="48:54" x14ac:dyDescent="0.25">
      <c r="AV589" t="s">
        <v>2127</v>
      </c>
      <c r="AW589" t="s">
        <v>1467</v>
      </c>
      <c r="AX589" t="s">
        <v>1879</v>
      </c>
      <c r="AY589" t="s">
        <v>3291</v>
      </c>
      <c r="AZ589" t="s">
        <v>3292</v>
      </c>
      <c r="BA589" t="s">
        <v>1874</v>
      </c>
      <c r="BB589" t="str">
        <f t="shared" si="9"/>
        <v>CIHPbeGboko</v>
      </c>
    </row>
    <row r="590" spans="48:54" x14ac:dyDescent="0.25">
      <c r="AV590" t="s">
        <v>2127</v>
      </c>
      <c r="AW590" t="s">
        <v>1467</v>
      </c>
      <c r="AX590" t="s">
        <v>1879</v>
      </c>
      <c r="AY590" t="s">
        <v>3293</v>
      </c>
      <c r="AZ590" t="s">
        <v>3294</v>
      </c>
      <c r="BA590" t="s">
        <v>1874</v>
      </c>
      <c r="BB590" t="str">
        <f t="shared" si="9"/>
        <v>CIHPbeGboko</v>
      </c>
    </row>
    <row r="591" spans="48:54" x14ac:dyDescent="0.25">
      <c r="AV591" t="s">
        <v>2127</v>
      </c>
      <c r="AW591" t="s">
        <v>1467</v>
      </c>
      <c r="AX591" t="s">
        <v>1879</v>
      </c>
      <c r="AY591" t="s">
        <v>3295</v>
      </c>
      <c r="AZ591" t="s">
        <v>3296</v>
      </c>
      <c r="BA591" t="s">
        <v>1874</v>
      </c>
      <c r="BB591" t="str">
        <f t="shared" si="9"/>
        <v>CIHPbeGboko</v>
      </c>
    </row>
    <row r="592" spans="48:54" x14ac:dyDescent="0.25">
      <c r="AV592" t="s">
        <v>2127</v>
      </c>
      <c r="AW592" t="s">
        <v>1467</v>
      </c>
      <c r="AX592" t="s">
        <v>1879</v>
      </c>
      <c r="AY592" t="s">
        <v>3297</v>
      </c>
      <c r="AZ592" t="s">
        <v>3298</v>
      </c>
      <c r="BA592" t="s">
        <v>1874</v>
      </c>
      <c r="BB592" t="str">
        <f t="shared" si="9"/>
        <v>CIHPbeGboko</v>
      </c>
    </row>
    <row r="593" spans="48:54" x14ac:dyDescent="0.25">
      <c r="AV593" t="s">
        <v>2127</v>
      </c>
      <c r="AW593" t="s">
        <v>1467</v>
      </c>
      <c r="AX593" t="s">
        <v>1879</v>
      </c>
      <c r="AY593" t="s">
        <v>3299</v>
      </c>
      <c r="AZ593" t="s">
        <v>3300</v>
      </c>
      <c r="BA593" t="s">
        <v>1874</v>
      </c>
      <c r="BB593" t="str">
        <f t="shared" si="9"/>
        <v>CIHPbeGboko</v>
      </c>
    </row>
    <row r="594" spans="48:54" x14ac:dyDescent="0.25">
      <c r="AV594" t="s">
        <v>2127</v>
      </c>
      <c r="AW594" t="s">
        <v>1467</v>
      </c>
      <c r="AX594" t="s">
        <v>1879</v>
      </c>
      <c r="AY594" t="s">
        <v>3301</v>
      </c>
      <c r="AZ594" t="s">
        <v>3302</v>
      </c>
      <c r="BA594" t="s">
        <v>1874</v>
      </c>
      <c r="BB594" t="str">
        <f t="shared" si="9"/>
        <v>CIHPbeGboko</v>
      </c>
    </row>
    <row r="595" spans="48:54" x14ac:dyDescent="0.25">
      <c r="AV595" t="s">
        <v>2127</v>
      </c>
      <c r="AW595" t="s">
        <v>1467</v>
      </c>
      <c r="AX595" t="s">
        <v>1879</v>
      </c>
      <c r="AY595" t="s">
        <v>3303</v>
      </c>
      <c r="AZ595" t="s">
        <v>3304</v>
      </c>
      <c r="BA595" t="s">
        <v>1874</v>
      </c>
      <c r="BB595" t="str">
        <f t="shared" si="9"/>
        <v>CIHPbeGboko</v>
      </c>
    </row>
    <row r="596" spans="48:54" x14ac:dyDescent="0.25">
      <c r="AV596" t="s">
        <v>2127</v>
      </c>
      <c r="AW596" t="s">
        <v>1467</v>
      </c>
      <c r="AX596" t="s">
        <v>1879</v>
      </c>
      <c r="AY596" t="s">
        <v>3305</v>
      </c>
      <c r="AZ596" t="s">
        <v>3306</v>
      </c>
      <c r="BA596" t="s">
        <v>1874</v>
      </c>
      <c r="BB596" t="str">
        <f t="shared" si="9"/>
        <v>CIHPbeGboko</v>
      </c>
    </row>
    <row r="597" spans="48:54" x14ac:dyDescent="0.25">
      <c r="AV597" t="s">
        <v>2127</v>
      </c>
      <c r="AW597" t="s">
        <v>1467</v>
      </c>
      <c r="AX597" t="s">
        <v>1879</v>
      </c>
      <c r="AY597" t="s">
        <v>3307</v>
      </c>
      <c r="AZ597" t="s">
        <v>3308</v>
      </c>
      <c r="BA597" t="s">
        <v>1874</v>
      </c>
      <c r="BB597" t="str">
        <f t="shared" si="9"/>
        <v>CIHPbeGboko</v>
      </c>
    </row>
    <row r="598" spans="48:54" x14ac:dyDescent="0.25">
      <c r="AV598" t="s">
        <v>2127</v>
      </c>
      <c r="AW598" t="s">
        <v>1467</v>
      </c>
      <c r="AX598" t="s">
        <v>1879</v>
      </c>
      <c r="AY598" t="s">
        <v>3309</v>
      </c>
      <c r="AZ598" t="s">
        <v>3310</v>
      </c>
      <c r="BA598" t="s">
        <v>1874</v>
      </c>
      <c r="BB598" t="str">
        <f t="shared" si="9"/>
        <v>CIHPbeGboko</v>
      </c>
    </row>
    <row r="599" spans="48:54" x14ac:dyDescent="0.25">
      <c r="AV599" t="s">
        <v>2127</v>
      </c>
      <c r="AW599" t="s">
        <v>1467</v>
      </c>
      <c r="AX599" t="s">
        <v>1879</v>
      </c>
      <c r="AY599" t="s">
        <v>3311</v>
      </c>
      <c r="AZ599" t="s">
        <v>3312</v>
      </c>
      <c r="BA599" t="s">
        <v>1874</v>
      </c>
      <c r="BB599" t="str">
        <f t="shared" si="9"/>
        <v>CIHPbeGboko</v>
      </c>
    </row>
    <row r="600" spans="48:54" x14ac:dyDescent="0.25">
      <c r="AV600" t="s">
        <v>2127</v>
      </c>
      <c r="AW600" t="s">
        <v>1467</v>
      </c>
      <c r="AX600" t="s">
        <v>1880</v>
      </c>
      <c r="AY600" t="s">
        <v>3313</v>
      </c>
      <c r="AZ600" t="s">
        <v>3314</v>
      </c>
      <c r="BA600" t="s">
        <v>1874</v>
      </c>
      <c r="BB600" t="str">
        <f t="shared" si="9"/>
        <v>CIHPbeGuma</v>
      </c>
    </row>
    <row r="601" spans="48:54" x14ac:dyDescent="0.25">
      <c r="AV601" t="s">
        <v>2127</v>
      </c>
      <c r="AW601" t="s">
        <v>1467</v>
      </c>
      <c r="AX601" t="s">
        <v>1880</v>
      </c>
      <c r="AY601" t="s">
        <v>3315</v>
      </c>
      <c r="AZ601" t="s">
        <v>3316</v>
      </c>
      <c r="BA601" t="s">
        <v>1874</v>
      </c>
      <c r="BB601" t="str">
        <f t="shared" si="9"/>
        <v>CIHPbeGuma</v>
      </c>
    </row>
    <row r="602" spans="48:54" x14ac:dyDescent="0.25">
      <c r="AV602" t="s">
        <v>2127</v>
      </c>
      <c r="AW602" t="s">
        <v>1467</v>
      </c>
      <c r="AX602" t="s">
        <v>1880</v>
      </c>
      <c r="AY602" t="s">
        <v>3317</v>
      </c>
      <c r="AZ602" t="s">
        <v>3318</v>
      </c>
      <c r="BA602" t="s">
        <v>1874</v>
      </c>
      <c r="BB602" t="str">
        <f t="shared" si="9"/>
        <v>CIHPbeGuma</v>
      </c>
    </row>
    <row r="603" spans="48:54" x14ac:dyDescent="0.25">
      <c r="AV603" t="s">
        <v>2127</v>
      </c>
      <c r="AW603" t="s">
        <v>1467</v>
      </c>
      <c r="AX603" t="s">
        <v>1880</v>
      </c>
      <c r="AY603" t="s">
        <v>3319</v>
      </c>
      <c r="AZ603" t="s">
        <v>3320</v>
      </c>
      <c r="BA603" t="s">
        <v>1874</v>
      </c>
      <c r="BB603" t="str">
        <f t="shared" si="9"/>
        <v>CIHPbeGuma</v>
      </c>
    </row>
    <row r="604" spans="48:54" x14ac:dyDescent="0.25">
      <c r="AV604" t="s">
        <v>2127</v>
      </c>
      <c r="AW604" t="s">
        <v>1467</v>
      </c>
      <c r="AX604" t="s">
        <v>1880</v>
      </c>
      <c r="AY604" t="s">
        <v>3321</v>
      </c>
      <c r="AZ604" t="s">
        <v>3322</v>
      </c>
      <c r="BA604" t="s">
        <v>1874</v>
      </c>
      <c r="BB604" t="str">
        <f t="shared" si="9"/>
        <v>CIHPbeGuma</v>
      </c>
    </row>
    <row r="605" spans="48:54" x14ac:dyDescent="0.25">
      <c r="AV605" t="s">
        <v>2127</v>
      </c>
      <c r="AW605" t="s">
        <v>1467</v>
      </c>
      <c r="AX605" t="s">
        <v>1880</v>
      </c>
      <c r="AY605" t="s">
        <v>3323</v>
      </c>
      <c r="AZ605" t="s">
        <v>3324</v>
      </c>
      <c r="BA605" t="s">
        <v>1874</v>
      </c>
      <c r="BB605" t="str">
        <f t="shared" si="9"/>
        <v>CIHPbeGuma</v>
      </c>
    </row>
    <row r="606" spans="48:54" x14ac:dyDescent="0.25">
      <c r="AV606" t="s">
        <v>2127</v>
      </c>
      <c r="AW606" t="s">
        <v>1467</v>
      </c>
      <c r="AX606" t="s">
        <v>1881</v>
      </c>
      <c r="AY606" t="s">
        <v>3325</v>
      </c>
      <c r="AZ606" t="s">
        <v>3326</v>
      </c>
      <c r="BA606" t="s">
        <v>1874</v>
      </c>
      <c r="BB606" t="str">
        <f t="shared" si="9"/>
        <v>CIHPbeGwerEast</v>
      </c>
    </row>
    <row r="607" spans="48:54" x14ac:dyDescent="0.25">
      <c r="AV607" t="s">
        <v>2127</v>
      </c>
      <c r="AW607" t="s">
        <v>1467</v>
      </c>
      <c r="AX607" t="s">
        <v>1881</v>
      </c>
      <c r="AY607" t="s">
        <v>3327</v>
      </c>
      <c r="AZ607" t="s">
        <v>3328</v>
      </c>
      <c r="BA607" t="s">
        <v>1874</v>
      </c>
      <c r="BB607" t="str">
        <f t="shared" si="9"/>
        <v>CIHPbeGwerEast</v>
      </c>
    </row>
    <row r="608" spans="48:54" x14ac:dyDescent="0.25">
      <c r="AV608" t="s">
        <v>2127</v>
      </c>
      <c r="AW608" t="s">
        <v>1467</v>
      </c>
      <c r="AX608" t="s">
        <v>1881</v>
      </c>
      <c r="AY608" t="s">
        <v>3329</v>
      </c>
      <c r="AZ608" t="s">
        <v>3330</v>
      </c>
      <c r="BA608" t="s">
        <v>1874</v>
      </c>
      <c r="BB608" t="str">
        <f t="shared" si="9"/>
        <v>CIHPbeGwerEast</v>
      </c>
    </row>
    <row r="609" spans="48:54" x14ac:dyDescent="0.25">
      <c r="AV609" t="s">
        <v>2127</v>
      </c>
      <c r="AW609" t="s">
        <v>1467</v>
      </c>
      <c r="AX609" t="s">
        <v>1881</v>
      </c>
      <c r="AY609" t="s">
        <v>3331</v>
      </c>
      <c r="AZ609" t="s">
        <v>3332</v>
      </c>
      <c r="BA609" t="s">
        <v>1874</v>
      </c>
      <c r="BB609" t="str">
        <f t="shared" si="9"/>
        <v>CIHPbeGwerEast</v>
      </c>
    </row>
    <row r="610" spans="48:54" x14ac:dyDescent="0.25">
      <c r="AV610" t="s">
        <v>2127</v>
      </c>
      <c r="AW610" t="s">
        <v>1467</v>
      </c>
      <c r="AX610" t="s">
        <v>1881</v>
      </c>
      <c r="AY610" t="s">
        <v>3333</v>
      </c>
      <c r="AZ610" t="s">
        <v>3334</v>
      </c>
      <c r="BA610" t="s">
        <v>1874</v>
      </c>
      <c r="BB610" t="str">
        <f t="shared" si="9"/>
        <v>CIHPbeGwerEast</v>
      </c>
    </row>
    <row r="611" spans="48:54" x14ac:dyDescent="0.25">
      <c r="AV611" t="s">
        <v>2127</v>
      </c>
      <c r="AW611" t="s">
        <v>1467</v>
      </c>
      <c r="AX611" t="s">
        <v>1882</v>
      </c>
      <c r="AY611" t="s">
        <v>3335</v>
      </c>
      <c r="AZ611" t="s">
        <v>3336</v>
      </c>
      <c r="BA611" t="s">
        <v>1874</v>
      </c>
      <c r="BB611" t="str">
        <f t="shared" si="9"/>
        <v>CIHPbeGwerWest</v>
      </c>
    </row>
    <row r="612" spans="48:54" x14ac:dyDescent="0.25">
      <c r="AV612" t="s">
        <v>2127</v>
      </c>
      <c r="AW612" t="s">
        <v>1467</v>
      </c>
      <c r="AX612" t="s">
        <v>1882</v>
      </c>
      <c r="AY612" t="s">
        <v>3337</v>
      </c>
      <c r="AZ612" t="s">
        <v>3338</v>
      </c>
      <c r="BA612" t="s">
        <v>1874</v>
      </c>
      <c r="BB612" t="str">
        <f t="shared" si="9"/>
        <v>CIHPbeGwerWest</v>
      </c>
    </row>
    <row r="613" spans="48:54" x14ac:dyDescent="0.25">
      <c r="AV613" t="s">
        <v>2127</v>
      </c>
      <c r="AW613" t="s">
        <v>1467</v>
      </c>
      <c r="AX613" t="s">
        <v>1882</v>
      </c>
      <c r="AY613" t="s">
        <v>3339</v>
      </c>
      <c r="AZ613" t="s">
        <v>3340</v>
      </c>
      <c r="BA613" t="s">
        <v>1874</v>
      </c>
      <c r="BB613" t="str">
        <f t="shared" si="9"/>
        <v>CIHPbeGwerWest</v>
      </c>
    </row>
    <row r="614" spans="48:54" x14ac:dyDescent="0.25">
      <c r="AV614" t="s">
        <v>2127</v>
      </c>
      <c r="AW614" t="s">
        <v>1467</v>
      </c>
      <c r="AX614" t="s">
        <v>1882</v>
      </c>
      <c r="AY614" t="s">
        <v>3341</v>
      </c>
      <c r="AZ614" t="s">
        <v>3342</v>
      </c>
      <c r="BA614" t="s">
        <v>1874</v>
      </c>
      <c r="BB614" t="str">
        <f t="shared" si="9"/>
        <v>CIHPbeGwerWest</v>
      </c>
    </row>
    <row r="615" spans="48:54" x14ac:dyDescent="0.25">
      <c r="AV615" t="s">
        <v>2127</v>
      </c>
      <c r="AW615" t="s">
        <v>1467</v>
      </c>
      <c r="AX615" t="s">
        <v>1882</v>
      </c>
      <c r="AY615" t="s">
        <v>3343</v>
      </c>
      <c r="AZ615" t="s">
        <v>3344</v>
      </c>
      <c r="BA615" t="s">
        <v>1874</v>
      </c>
      <c r="BB615" t="str">
        <f t="shared" si="9"/>
        <v>CIHPbeGwerWest</v>
      </c>
    </row>
    <row r="616" spans="48:54" x14ac:dyDescent="0.25">
      <c r="AV616" t="s">
        <v>2127</v>
      </c>
      <c r="AW616" t="s">
        <v>1467</v>
      </c>
      <c r="AX616" t="s">
        <v>1882</v>
      </c>
      <c r="AY616" t="s">
        <v>3345</v>
      </c>
      <c r="AZ616" t="s">
        <v>3346</v>
      </c>
      <c r="BA616" t="s">
        <v>1874</v>
      </c>
      <c r="BB616" t="str">
        <f t="shared" si="9"/>
        <v>CIHPbeGwerWest</v>
      </c>
    </row>
    <row r="617" spans="48:54" x14ac:dyDescent="0.25">
      <c r="AV617" t="s">
        <v>2127</v>
      </c>
      <c r="AW617" t="s">
        <v>1467</v>
      </c>
      <c r="AX617" t="s">
        <v>1882</v>
      </c>
      <c r="AY617" t="s">
        <v>3347</v>
      </c>
      <c r="AZ617" t="s">
        <v>3348</v>
      </c>
      <c r="BA617" t="s">
        <v>1874</v>
      </c>
      <c r="BB617" t="str">
        <f t="shared" si="9"/>
        <v>CIHPbeGwerWest</v>
      </c>
    </row>
    <row r="618" spans="48:54" x14ac:dyDescent="0.25">
      <c r="AV618" t="s">
        <v>2127</v>
      </c>
      <c r="AW618" t="s">
        <v>1467</v>
      </c>
      <c r="AX618" t="s">
        <v>1882</v>
      </c>
      <c r="AY618" t="s">
        <v>3349</v>
      </c>
      <c r="AZ618" t="s">
        <v>3350</v>
      </c>
      <c r="BA618" t="s">
        <v>1874</v>
      </c>
      <c r="BB618" t="str">
        <f t="shared" si="9"/>
        <v>CIHPbeGwerWest</v>
      </c>
    </row>
    <row r="619" spans="48:54" x14ac:dyDescent="0.25">
      <c r="AV619" t="s">
        <v>2127</v>
      </c>
      <c r="AW619" t="s">
        <v>1467</v>
      </c>
      <c r="AX619" t="s">
        <v>1882</v>
      </c>
      <c r="AY619" t="s">
        <v>3351</v>
      </c>
      <c r="AZ619" t="s">
        <v>3352</v>
      </c>
      <c r="BA619" t="s">
        <v>1874</v>
      </c>
      <c r="BB619" t="str">
        <f t="shared" si="9"/>
        <v>CIHPbeGwerWest</v>
      </c>
    </row>
    <row r="620" spans="48:54" x14ac:dyDescent="0.25">
      <c r="AV620" t="s">
        <v>2127</v>
      </c>
      <c r="AW620" t="s">
        <v>1467</v>
      </c>
      <c r="AX620" t="s">
        <v>1882</v>
      </c>
      <c r="AY620" t="s">
        <v>3353</v>
      </c>
      <c r="AZ620" t="s">
        <v>3354</v>
      </c>
      <c r="BA620" t="s">
        <v>1874</v>
      </c>
      <c r="BB620" t="str">
        <f t="shared" si="9"/>
        <v>CIHPbeGwerWest</v>
      </c>
    </row>
    <row r="621" spans="48:54" x14ac:dyDescent="0.25">
      <c r="AV621" t="s">
        <v>2127</v>
      </c>
      <c r="AW621" t="s">
        <v>1467</v>
      </c>
      <c r="AX621" t="s">
        <v>1882</v>
      </c>
      <c r="AY621" t="s">
        <v>3355</v>
      </c>
      <c r="AZ621" t="s">
        <v>3356</v>
      </c>
      <c r="BA621" t="s">
        <v>1874</v>
      </c>
      <c r="BB621" t="str">
        <f t="shared" si="9"/>
        <v>CIHPbeGwerWest</v>
      </c>
    </row>
    <row r="622" spans="48:54" x14ac:dyDescent="0.25">
      <c r="AV622" t="s">
        <v>2127</v>
      </c>
      <c r="AW622" t="s">
        <v>1467</v>
      </c>
      <c r="AX622" t="s">
        <v>1882</v>
      </c>
      <c r="AY622" t="s">
        <v>3357</v>
      </c>
      <c r="AZ622" t="s">
        <v>3358</v>
      </c>
      <c r="BA622" t="s">
        <v>1874</v>
      </c>
      <c r="BB622" t="str">
        <f t="shared" si="9"/>
        <v>CIHPbeGwerWest</v>
      </c>
    </row>
    <row r="623" spans="48:54" x14ac:dyDescent="0.25">
      <c r="AV623" t="s">
        <v>2127</v>
      </c>
      <c r="AW623" t="s">
        <v>1467</v>
      </c>
      <c r="AX623" t="s">
        <v>1882</v>
      </c>
      <c r="AY623" t="s">
        <v>3359</v>
      </c>
      <c r="AZ623" t="s">
        <v>3360</v>
      </c>
      <c r="BA623" t="s">
        <v>1874</v>
      </c>
      <c r="BB623" t="str">
        <f t="shared" si="9"/>
        <v>CIHPbeGwerWest</v>
      </c>
    </row>
    <row r="624" spans="48:54" x14ac:dyDescent="0.25">
      <c r="AV624" t="s">
        <v>2127</v>
      </c>
      <c r="AW624" t="s">
        <v>1467</v>
      </c>
      <c r="AX624" t="s">
        <v>1882</v>
      </c>
      <c r="AY624" t="s">
        <v>3361</v>
      </c>
      <c r="AZ624" t="s">
        <v>3362</v>
      </c>
      <c r="BA624" t="s">
        <v>1874</v>
      </c>
      <c r="BB624" t="str">
        <f t="shared" si="9"/>
        <v>CIHPbeGwerWest</v>
      </c>
    </row>
    <row r="625" spans="48:54" x14ac:dyDescent="0.25">
      <c r="AV625" t="s">
        <v>2127</v>
      </c>
      <c r="AW625" t="s">
        <v>1467</v>
      </c>
      <c r="AX625" t="s">
        <v>1882</v>
      </c>
      <c r="AY625" t="s">
        <v>3363</v>
      </c>
      <c r="AZ625" t="s">
        <v>3364</v>
      </c>
      <c r="BA625" t="s">
        <v>1874</v>
      </c>
      <c r="BB625" t="str">
        <f t="shared" si="9"/>
        <v>CIHPbeGwerWest</v>
      </c>
    </row>
    <row r="626" spans="48:54" x14ac:dyDescent="0.25">
      <c r="AV626" t="s">
        <v>2127</v>
      </c>
      <c r="AW626" t="s">
        <v>1467</v>
      </c>
      <c r="AX626" t="s">
        <v>1882</v>
      </c>
      <c r="AY626" t="s">
        <v>3365</v>
      </c>
      <c r="AZ626" t="s">
        <v>3366</v>
      </c>
      <c r="BA626" t="s">
        <v>1874</v>
      </c>
      <c r="BB626" t="str">
        <f t="shared" si="9"/>
        <v>CIHPbeGwerWest</v>
      </c>
    </row>
    <row r="627" spans="48:54" x14ac:dyDescent="0.25">
      <c r="AV627" t="s">
        <v>2127</v>
      </c>
      <c r="AW627" t="s">
        <v>1467</v>
      </c>
      <c r="AX627" t="s">
        <v>1882</v>
      </c>
      <c r="AY627" t="s">
        <v>3367</v>
      </c>
      <c r="AZ627" t="s">
        <v>3368</v>
      </c>
      <c r="BA627" t="s">
        <v>1874</v>
      </c>
      <c r="BB627" t="str">
        <f t="shared" si="9"/>
        <v>CIHPbeGwerWest</v>
      </c>
    </row>
    <row r="628" spans="48:54" x14ac:dyDescent="0.25">
      <c r="AV628" t="s">
        <v>2127</v>
      </c>
      <c r="AW628" t="s">
        <v>1467</v>
      </c>
      <c r="AX628" t="s">
        <v>1882</v>
      </c>
      <c r="AY628" t="s">
        <v>3369</v>
      </c>
      <c r="AZ628" t="s">
        <v>3370</v>
      </c>
      <c r="BA628" t="s">
        <v>1874</v>
      </c>
      <c r="BB628" t="str">
        <f t="shared" si="9"/>
        <v>CIHPbeGwerWest</v>
      </c>
    </row>
    <row r="629" spans="48:54" x14ac:dyDescent="0.25">
      <c r="AV629" t="s">
        <v>2127</v>
      </c>
      <c r="AW629" t="s">
        <v>1467</v>
      </c>
      <c r="AX629" t="s">
        <v>1882</v>
      </c>
      <c r="AY629" t="s">
        <v>3371</v>
      </c>
      <c r="AZ629" t="s">
        <v>3372</v>
      </c>
      <c r="BA629" t="s">
        <v>1874</v>
      </c>
      <c r="BB629" t="str">
        <f t="shared" si="9"/>
        <v>CIHPbeGwerWest</v>
      </c>
    </row>
    <row r="630" spans="48:54" x14ac:dyDescent="0.25">
      <c r="AV630" t="s">
        <v>2127</v>
      </c>
      <c r="AW630" t="s">
        <v>1467</v>
      </c>
      <c r="AX630" t="s">
        <v>1882</v>
      </c>
      <c r="AY630" t="s">
        <v>3373</v>
      </c>
      <c r="AZ630" t="s">
        <v>3374</v>
      </c>
      <c r="BA630" t="s">
        <v>1874</v>
      </c>
      <c r="BB630" t="str">
        <f t="shared" si="9"/>
        <v>CIHPbeGwerWest</v>
      </c>
    </row>
    <row r="631" spans="48:54" x14ac:dyDescent="0.25">
      <c r="AV631" t="s">
        <v>2127</v>
      </c>
      <c r="AW631" t="s">
        <v>1467</v>
      </c>
      <c r="AX631" t="s">
        <v>1885</v>
      </c>
      <c r="AY631" t="s">
        <v>3375</v>
      </c>
      <c r="AZ631" t="s">
        <v>3376</v>
      </c>
      <c r="BA631" t="s">
        <v>1874</v>
      </c>
      <c r="BB631" t="str">
        <f t="shared" si="9"/>
        <v>CIHPbeKwande</v>
      </c>
    </row>
    <row r="632" spans="48:54" x14ac:dyDescent="0.25">
      <c r="AV632" t="s">
        <v>2127</v>
      </c>
      <c r="AW632" t="s">
        <v>1467</v>
      </c>
      <c r="AX632" t="s">
        <v>1885</v>
      </c>
      <c r="AY632" t="s">
        <v>3377</v>
      </c>
      <c r="AZ632" t="s">
        <v>3378</v>
      </c>
      <c r="BA632" t="s">
        <v>1874</v>
      </c>
      <c r="BB632" t="str">
        <f t="shared" si="9"/>
        <v>CIHPbeKwande</v>
      </c>
    </row>
    <row r="633" spans="48:54" x14ac:dyDescent="0.25">
      <c r="AV633" t="s">
        <v>2127</v>
      </c>
      <c r="AW633" t="s">
        <v>1467</v>
      </c>
      <c r="AX633" t="s">
        <v>1885</v>
      </c>
      <c r="AY633" t="s">
        <v>3379</v>
      </c>
      <c r="AZ633" t="s">
        <v>3380</v>
      </c>
      <c r="BA633" t="s">
        <v>1874</v>
      </c>
      <c r="BB633" t="str">
        <f t="shared" si="9"/>
        <v>CIHPbeKwande</v>
      </c>
    </row>
    <row r="634" spans="48:54" x14ac:dyDescent="0.25">
      <c r="AV634" t="s">
        <v>2127</v>
      </c>
      <c r="AW634" t="s">
        <v>1467</v>
      </c>
      <c r="AX634" t="s">
        <v>1885</v>
      </c>
      <c r="AY634" t="s">
        <v>3381</v>
      </c>
      <c r="AZ634" t="s">
        <v>3382</v>
      </c>
      <c r="BA634" t="s">
        <v>1874</v>
      </c>
      <c r="BB634" t="str">
        <f t="shared" si="9"/>
        <v>CIHPbeKwande</v>
      </c>
    </row>
    <row r="635" spans="48:54" x14ac:dyDescent="0.25">
      <c r="AV635" t="s">
        <v>2127</v>
      </c>
      <c r="AW635" t="s">
        <v>1467</v>
      </c>
      <c r="AX635" t="s">
        <v>1885</v>
      </c>
      <c r="AY635" t="s">
        <v>3383</v>
      </c>
      <c r="AZ635" t="s">
        <v>3384</v>
      </c>
      <c r="BA635" t="s">
        <v>1874</v>
      </c>
      <c r="BB635" t="str">
        <f t="shared" si="9"/>
        <v>CIHPbeKwande</v>
      </c>
    </row>
    <row r="636" spans="48:54" x14ac:dyDescent="0.25">
      <c r="AV636" t="s">
        <v>2127</v>
      </c>
      <c r="AW636" t="s">
        <v>1467</v>
      </c>
      <c r="AX636" t="s">
        <v>1885</v>
      </c>
      <c r="AY636" t="s">
        <v>3385</v>
      </c>
      <c r="AZ636" t="s">
        <v>3386</v>
      </c>
      <c r="BA636" t="s">
        <v>1874</v>
      </c>
      <c r="BB636" t="str">
        <f t="shared" si="9"/>
        <v>CIHPbeKwande</v>
      </c>
    </row>
    <row r="637" spans="48:54" x14ac:dyDescent="0.25">
      <c r="AV637" t="s">
        <v>2127</v>
      </c>
      <c r="AW637" t="s">
        <v>1467</v>
      </c>
      <c r="AX637" t="s">
        <v>1885</v>
      </c>
      <c r="AY637" t="s">
        <v>3387</v>
      </c>
      <c r="AZ637" t="s">
        <v>3388</v>
      </c>
      <c r="BA637" t="s">
        <v>1874</v>
      </c>
      <c r="BB637" t="str">
        <f t="shared" si="9"/>
        <v>CIHPbeKwande</v>
      </c>
    </row>
    <row r="638" spans="48:54" x14ac:dyDescent="0.25">
      <c r="AV638" t="s">
        <v>2127</v>
      </c>
      <c r="AW638" t="s">
        <v>1467</v>
      </c>
      <c r="AX638" t="s">
        <v>1885</v>
      </c>
      <c r="AY638" t="s">
        <v>3389</v>
      </c>
      <c r="AZ638" t="s">
        <v>3390</v>
      </c>
      <c r="BA638" t="s">
        <v>1874</v>
      </c>
      <c r="BB638" t="str">
        <f t="shared" si="9"/>
        <v>CIHPbeKwande</v>
      </c>
    </row>
    <row r="639" spans="48:54" x14ac:dyDescent="0.25">
      <c r="AV639" t="s">
        <v>2127</v>
      </c>
      <c r="AW639" t="s">
        <v>1467</v>
      </c>
      <c r="AX639" t="s">
        <v>1885</v>
      </c>
      <c r="AY639" t="s">
        <v>3391</v>
      </c>
      <c r="AZ639" t="s">
        <v>3392</v>
      </c>
      <c r="BA639" t="s">
        <v>1874</v>
      </c>
      <c r="BB639" t="str">
        <f t="shared" si="9"/>
        <v>CIHPbeKwande</v>
      </c>
    </row>
    <row r="640" spans="48:54" x14ac:dyDescent="0.25">
      <c r="AV640" t="s">
        <v>2127</v>
      </c>
      <c r="AW640" t="s">
        <v>1467</v>
      </c>
      <c r="AX640" t="s">
        <v>1885</v>
      </c>
      <c r="AY640" t="s">
        <v>3393</v>
      </c>
      <c r="AZ640" t="s">
        <v>3394</v>
      </c>
      <c r="BA640" t="s">
        <v>1874</v>
      </c>
      <c r="BB640" t="str">
        <f t="shared" si="9"/>
        <v>CIHPbeKwande</v>
      </c>
    </row>
    <row r="641" spans="48:54" x14ac:dyDescent="0.25">
      <c r="AV641" t="s">
        <v>2127</v>
      </c>
      <c r="AW641" t="s">
        <v>1467</v>
      </c>
      <c r="AX641" t="s">
        <v>1885</v>
      </c>
      <c r="AY641" t="s">
        <v>3395</v>
      </c>
      <c r="AZ641" t="s">
        <v>3396</v>
      </c>
      <c r="BA641" t="s">
        <v>1874</v>
      </c>
      <c r="BB641" t="str">
        <f t="shared" si="9"/>
        <v>CIHPbeKwande</v>
      </c>
    </row>
    <row r="642" spans="48:54" x14ac:dyDescent="0.25">
      <c r="AV642" t="s">
        <v>2127</v>
      </c>
      <c r="AW642" t="s">
        <v>1467</v>
      </c>
      <c r="AX642" t="s">
        <v>1885</v>
      </c>
      <c r="AY642" t="s">
        <v>3397</v>
      </c>
      <c r="AZ642" t="s">
        <v>3398</v>
      </c>
      <c r="BA642" t="s">
        <v>1874</v>
      </c>
      <c r="BB642" t="str">
        <f t="shared" si="9"/>
        <v>CIHPbeKwande</v>
      </c>
    </row>
    <row r="643" spans="48:54" x14ac:dyDescent="0.25">
      <c r="AV643" t="s">
        <v>2127</v>
      </c>
      <c r="AW643" t="s">
        <v>1467</v>
      </c>
      <c r="AX643" t="s">
        <v>1886</v>
      </c>
      <c r="AY643" t="s">
        <v>3399</v>
      </c>
      <c r="AZ643" t="s">
        <v>3400</v>
      </c>
      <c r="BA643" t="s">
        <v>1874</v>
      </c>
      <c r="BB643" t="str">
        <f t="shared" ref="BB643:BB706" si="10">SUBSTITUTE(SUBSTITUTE(BA643&amp;AX643," ",""),"-","")</f>
        <v>CIHPbeLogo</v>
      </c>
    </row>
    <row r="644" spans="48:54" x14ac:dyDescent="0.25">
      <c r="AV644" t="s">
        <v>2127</v>
      </c>
      <c r="AW644" t="s">
        <v>1467</v>
      </c>
      <c r="AX644" t="s">
        <v>1886</v>
      </c>
      <c r="AY644" t="s">
        <v>3401</v>
      </c>
      <c r="AZ644" t="s">
        <v>3402</v>
      </c>
      <c r="BA644" t="s">
        <v>1874</v>
      </c>
      <c r="BB644" t="str">
        <f t="shared" si="10"/>
        <v>CIHPbeLogo</v>
      </c>
    </row>
    <row r="645" spans="48:54" x14ac:dyDescent="0.25">
      <c r="AV645" t="s">
        <v>2127</v>
      </c>
      <c r="AW645" t="s">
        <v>1467</v>
      </c>
      <c r="AX645" t="s">
        <v>1886</v>
      </c>
      <c r="AY645" t="s">
        <v>3403</v>
      </c>
      <c r="AZ645" t="s">
        <v>3404</v>
      </c>
      <c r="BA645" t="s">
        <v>1874</v>
      </c>
      <c r="BB645" t="str">
        <f t="shared" si="10"/>
        <v>CIHPbeLogo</v>
      </c>
    </row>
    <row r="646" spans="48:54" x14ac:dyDescent="0.25">
      <c r="AV646" t="s">
        <v>2127</v>
      </c>
      <c r="AW646" t="s">
        <v>1467</v>
      </c>
      <c r="AX646" t="s">
        <v>1886</v>
      </c>
      <c r="AY646" t="s">
        <v>3405</v>
      </c>
      <c r="AZ646" t="s">
        <v>3406</v>
      </c>
      <c r="BA646" t="s">
        <v>1874</v>
      </c>
      <c r="BB646" t="str">
        <f t="shared" si="10"/>
        <v>CIHPbeLogo</v>
      </c>
    </row>
    <row r="647" spans="48:54" x14ac:dyDescent="0.25">
      <c r="AV647" t="s">
        <v>2127</v>
      </c>
      <c r="AW647" t="s">
        <v>1467</v>
      </c>
      <c r="AX647" t="s">
        <v>1886</v>
      </c>
      <c r="AY647" t="s">
        <v>3407</v>
      </c>
      <c r="AZ647" t="s">
        <v>3408</v>
      </c>
      <c r="BA647" t="s">
        <v>1874</v>
      </c>
      <c r="BB647" t="str">
        <f t="shared" si="10"/>
        <v>CIHPbeLogo</v>
      </c>
    </row>
    <row r="648" spans="48:54" x14ac:dyDescent="0.25">
      <c r="AV648" t="s">
        <v>2127</v>
      </c>
      <c r="AW648" t="s">
        <v>1467</v>
      </c>
      <c r="AX648" t="s">
        <v>1886</v>
      </c>
      <c r="AY648" t="s">
        <v>3409</v>
      </c>
      <c r="AZ648" t="s">
        <v>3410</v>
      </c>
      <c r="BA648" t="s">
        <v>1874</v>
      </c>
      <c r="BB648" t="str">
        <f t="shared" si="10"/>
        <v>CIHPbeLogo</v>
      </c>
    </row>
    <row r="649" spans="48:54" x14ac:dyDescent="0.25">
      <c r="AV649" t="s">
        <v>2127</v>
      </c>
      <c r="AW649" t="s">
        <v>1467</v>
      </c>
      <c r="AX649" t="s">
        <v>1886</v>
      </c>
      <c r="AY649" t="s">
        <v>3411</v>
      </c>
      <c r="AZ649" t="s">
        <v>3412</v>
      </c>
      <c r="BA649" t="s">
        <v>1874</v>
      </c>
      <c r="BB649" t="str">
        <f t="shared" si="10"/>
        <v>CIHPbeLogo</v>
      </c>
    </row>
    <row r="650" spans="48:54" x14ac:dyDescent="0.25">
      <c r="AV650" t="s">
        <v>2127</v>
      </c>
      <c r="AW650" t="s">
        <v>1467</v>
      </c>
      <c r="AX650" t="s">
        <v>1886</v>
      </c>
      <c r="AY650" t="s">
        <v>3413</v>
      </c>
      <c r="AZ650" t="s">
        <v>3414</v>
      </c>
      <c r="BA650" t="s">
        <v>1874</v>
      </c>
      <c r="BB650" t="str">
        <f t="shared" si="10"/>
        <v>CIHPbeLogo</v>
      </c>
    </row>
    <row r="651" spans="48:54" x14ac:dyDescent="0.25">
      <c r="AV651" t="s">
        <v>2127</v>
      </c>
      <c r="AW651" t="s">
        <v>1467</v>
      </c>
      <c r="AX651" t="s">
        <v>1886</v>
      </c>
      <c r="AY651" t="s">
        <v>3415</v>
      </c>
      <c r="AZ651" t="s">
        <v>3416</v>
      </c>
      <c r="BA651" t="s">
        <v>1874</v>
      </c>
      <c r="BB651" t="str">
        <f t="shared" si="10"/>
        <v>CIHPbeLogo</v>
      </c>
    </row>
    <row r="652" spans="48:54" x14ac:dyDescent="0.25">
      <c r="AV652" t="s">
        <v>2127</v>
      </c>
      <c r="AW652" t="s">
        <v>1467</v>
      </c>
      <c r="AX652" t="s">
        <v>1886</v>
      </c>
      <c r="AY652" t="s">
        <v>3417</v>
      </c>
      <c r="AZ652" t="s">
        <v>3418</v>
      </c>
      <c r="BA652" t="s">
        <v>1874</v>
      </c>
      <c r="BB652" t="str">
        <f t="shared" si="10"/>
        <v>CIHPbeLogo</v>
      </c>
    </row>
    <row r="653" spans="48:54" x14ac:dyDescent="0.25">
      <c r="AV653" t="s">
        <v>2127</v>
      </c>
      <c r="AW653" t="s">
        <v>1467</v>
      </c>
      <c r="AX653" t="s">
        <v>1886</v>
      </c>
      <c r="AY653" t="s">
        <v>3419</v>
      </c>
      <c r="AZ653" t="s">
        <v>3420</v>
      </c>
      <c r="BA653" t="s">
        <v>1874</v>
      </c>
      <c r="BB653" t="str">
        <f t="shared" si="10"/>
        <v>CIHPbeLogo</v>
      </c>
    </row>
    <row r="654" spans="48:54" x14ac:dyDescent="0.25">
      <c r="AV654" t="s">
        <v>2127</v>
      </c>
      <c r="AW654" t="s">
        <v>1467</v>
      </c>
      <c r="AX654" t="s">
        <v>1886</v>
      </c>
      <c r="AY654" t="s">
        <v>3421</v>
      </c>
      <c r="AZ654" t="s">
        <v>3422</v>
      </c>
      <c r="BA654" t="s">
        <v>1874</v>
      </c>
      <c r="BB654" t="str">
        <f t="shared" si="10"/>
        <v>CIHPbeLogo</v>
      </c>
    </row>
    <row r="655" spans="48:54" x14ac:dyDescent="0.25">
      <c r="AV655" t="s">
        <v>2127</v>
      </c>
      <c r="AW655" t="s">
        <v>1467</v>
      </c>
      <c r="AX655" t="s">
        <v>1886</v>
      </c>
      <c r="AY655" t="s">
        <v>3423</v>
      </c>
      <c r="AZ655" t="s">
        <v>3424</v>
      </c>
      <c r="BA655" t="s">
        <v>1874</v>
      </c>
      <c r="BB655" t="str">
        <f t="shared" si="10"/>
        <v>CIHPbeLogo</v>
      </c>
    </row>
    <row r="656" spans="48:54" x14ac:dyDescent="0.25">
      <c r="AV656" t="s">
        <v>2127</v>
      </c>
      <c r="AW656" t="s">
        <v>1467</v>
      </c>
      <c r="AX656" t="s">
        <v>1886</v>
      </c>
      <c r="AY656" t="s">
        <v>3425</v>
      </c>
      <c r="AZ656" t="s">
        <v>3426</v>
      </c>
      <c r="BA656" t="s">
        <v>1874</v>
      </c>
      <c r="BB656" t="str">
        <f t="shared" si="10"/>
        <v>CIHPbeLogo</v>
      </c>
    </row>
    <row r="657" spans="48:54" x14ac:dyDescent="0.25">
      <c r="AV657" t="s">
        <v>2127</v>
      </c>
      <c r="AW657" t="s">
        <v>1467</v>
      </c>
      <c r="AX657" t="s">
        <v>1886</v>
      </c>
      <c r="AY657" t="s">
        <v>3427</v>
      </c>
      <c r="AZ657" t="s">
        <v>3428</v>
      </c>
      <c r="BA657" t="s">
        <v>1874</v>
      </c>
      <c r="BB657" t="str">
        <f t="shared" si="10"/>
        <v>CIHPbeLogo</v>
      </c>
    </row>
    <row r="658" spans="48:54" x14ac:dyDescent="0.25">
      <c r="AV658" t="s">
        <v>2127</v>
      </c>
      <c r="AW658" t="s">
        <v>1467</v>
      </c>
      <c r="AX658" t="s">
        <v>1886</v>
      </c>
      <c r="AY658" t="s">
        <v>3429</v>
      </c>
      <c r="AZ658" t="s">
        <v>3430</v>
      </c>
      <c r="BA658" t="s">
        <v>1874</v>
      </c>
      <c r="BB658" t="str">
        <f t="shared" si="10"/>
        <v>CIHPbeLogo</v>
      </c>
    </row>
    <row r="659" spans="48:54" x14ac:dyDescent="0.25">
      <c r="AV659" t="s">
        <v>2127</v>
      </c>
      <c r="AW659" t="s">
        <v>1467</v>
      </c>
      <c r="AX659" t="s">
        <v>1886</v>
      </c>
      <c r="AY659" t="s">
        <v>3431</v>
      </c>
      <c r="AZ659" t="s">
        <v>3432</v>
      </c>
      <c r="BA659" t="s">
        <v>1874</v>
      </c>
      <c r="BB659" t="str">
        <f t="shared" si="10"/>
        <v>CIHPbeLogo</v>
      </c>
    </row>
    <row r="660" spans="48:54" x14ac:dyDescent="0.25">
      <c r="AV660" t="s">
        <v>2127</v>
      </c>
      <c r="AW660" t="s">
        <v>1467</v>
      </c>
      <c r="AX660" t="s">
        <v>1886</v>
      </c>
      <c r="AY660" t="s">
        <v>3433</v>
      </c>
      <c r="AZ660" t="s">
        <v>3434</v>
      </c>
      <c r="BA660" t="s">
        <v>1874</v>
      </c>
      <c r="BB660" t="str">
        <f t="shared" si="10"/>
        <v>CIHPbeLogo</v>
      </c>
    </row>
    <row r="661" spans="48:54" x14ac:dyDescent="0.25">
      <c r="AV661" t="s">
        <v>2127</v>
      </c>
      <c r="AW661" t="s">
        <v>1467</v>
      </c>
      <c r="AX661" t="s">
        <v>1886</v>
      </c>
      <c r="AY661" t="s">
        <v>3435</v>
      </c>
      <c r="AZ661" t="s">
        <v>3436</v>
      </c>
      <c r="BA661" t="s">
        <v>1874</v>
      </c>
      <c r="BB661" t="str">
        <f t="shared" si="10"/>
        <v>CIHPbeLogo</v>
      </c>
    </row>
    <row r="662" spans="48:54" x14ac:dyDescent="0.25">
      <c r="AV662" t="s">
        <v>2127</v>
      </c>
      <c r="AW662" t="s">
        <v>1467</v>
      </c>
      <c r="AX662" t="s">
        <v>1886</v>
      </c>
      <c r="AY662" t="s">
        <v>3437</v>
      </c>
      <c r="AZ662" t="s">
        <v>3438</v>
      </c>
      <c r="BA662" t="s">
        <v>1874</v>
      </c>
      <c r="BB662" t="str">
        <f t="shared" si="10"/>
        <v>CIHPbeLogo</v>
      </c>
    </row>
    <row r="663" spans="48:54" x14ac:dyDescent="0.25">
      <c r="AV663" t="s">
        <v>2127</v>
      </c>
      <c r="AW663" t="s">
        <v>1467</v>
      </c>
      <c r="AX663" t="s">
        <v>1886</v>
      </c>
      <c r="AY663" t="s">
        <v>3439</v>
      </c>
      <c r="AZ663" t="s">
        <v>3440</v>
      </c>
      <c r="BA663" t="s">
        <v>1874</v>
      </c>
      <c r="BB663" t="str">
        <f t="shared" si="10"/>
        <v>CIHPbeLogo</v>
      </c>
    </row>
    <row r="664" spans="48:54" x14ac:dyDescent="0.25">
      <c r="AV664" t="s">
        <v>2127</v>
      </c>
      <c r="AW664" t="s">
        <v>1467</v>
      </c>
      <c r="AX664" t="s">
        <v>1886</v>
      </c>
      <c r="AY664" t="s">
        <v>3441</v>
      </c>
      <c r="AZ664" t="s">
        <v>3442</v>
      </c>
      <c r="BA664" t="s">
        <v>1874</v>
      </c>
      <c r="BB664" t="str">
        <f t="shared" si="10"/>
        <v>CIHPbeLogo</v>
      </c>
    </row>
    <row r="665" spans="48:54" x14ac:dyDescent="0.25">
      <c r="AV665" t="s">
        <v>2127</v>
      </c>
      <c r="AW665" t="s">
        <v>1467</v>
      </c>
      <c r="AX665" t="s">
        <v>1886</v>
      </c>
      <c r="AY665" t="s">
        <v>3443</v>
      </c>
      <c r="AZ665" t="s">
        <v>3444</v>
      </c>
      <c r="BA665" t="s">
        <v>1874</v>
      </c>
      <c r="BB665" t="str">
        <f t="shared" si="10"/>
        <v>CIHPbeLogo</v>
      </c>
    </row>
    <row r="666" spans="48:54" x14ac:dyDescent="0.25">
      <c r="AV666" t="s">
        <v>2127</v>
      </c>
      <c r="AW666" t="s">
        <v>1467</v>
      </c>
      <c r="AX666" t="s">
        <v>1886</v>
      </c>
      <c r="AY666" t="s">
        <v>3445</v>
      </c>
      <c r="AZ666" t="s">
        <v>3446</v>
      </c>
      <c r="BA666" t="s">
        <v>1874</v>
      </c>
      <c r="BB666" t="str">
        <f t="shared" si="10"/>
        <v>CIHPbeLogo</v>
      </c>
    </row>
    <row r="667" spans="48:54" x14ac:dyDescent="0.25">
      <c r="AV667" t="s">
        <v>2127</v>
      </c>
      <c r="AW667" t="s">
        <v>1467</v>
      </c>
      <c r="AX667" t="s">
        <v>1886</v>
      </c>
      <c r="AY667" t="s">
        <v>3447</v>
      </c>
      <c r="AZ667" t="s">
        <v>3448</v>
      </c>
      <c r="BA667" t="s">
        <v>1874</v>
      </c>
      <c r="BB667" t="str">
        <f t="shared" si="10"/>
        <v>CIHPbeLogo</v>
      </c>
    </row>
    <row r="668" spans="48:54" x14ac:dyDescent="0.25">
      <c r="AV668" t="s">
        <v>2127</v>
      </c>
      <c r="AW668" t="s">
        <v>1467</v>
      </c>
      <c r="AX668" t="s">
        <v>1886</v>
      </c>
      <c r="AY668" t="s">
        <v>3449</v>
      </c>
      <c r="AZ668" t="s">
        <v>3450</v>
      </c>
      <c r="BA668" t="s">
        <v>1874</v>
      </c>
      <c r="BB668" t="str">
        <f t="shared" si="10"/>
        <v>CIHPbeLogo</v>
      </c>
    </row>
    <row r="669" spans="48:54" x14ac:dyDescent="0.25">
      <c r="AV669" t="s">
        <v>2127</v>
      </c>
      <c r="AW669" t="s">
        <v>1467</v>
      </c>
      <c r="AX669" t="s">
        <v>1886</v>
      </c>
      <c r="AY669" t="s">
        <v>3451</v>
      </c>
      <c r="AZ669" t="s">
        <v>3452</v>
      </c>
      <c r="BA669" t="s">
        <v>1874</v>
      </c>
      <c r="BB669" t="str">
        <f t="shared" si="10"/>
        <v>CIHPbeLogo</v>
      </c>
    </row>
    <row r="670" spans="48:54" x14ac:dyDescent="0.25">
      <c r="AV670" t="s">
        <v>2127</v>
      </c>
      <c r="AW670" t="s">
        <v>1467</v>
      </c>
      <c r="AX670" t="s">
        <v>1886</v>
      </c>
      <c r="AY670" t="s">
        <v>3453</v>
      </c>
      <c r="AZ670" t="s">
        <v>3454</v>
      </c>
      <c r="BA670" t="s">
        <v>1874</v>
      </c>
      <c r="BB670" t="str">
        <f t="shared" si="10"/>
        <v>CIHPbeLogo</v>
      </c>
    </row>
    <row r="671" spans="48:54" x14ac:dyDescent="0.25">
      <c r="AV671" t="s">
        <v>2127</v>
      </c>
      <c r="AW671" t="s">
        <v>1467</v>
      </c>
      <c r="AX671" t="s">
        <v>1886</v>
      </c>
      <c r="AY671" t="s">
        <v>3455</v>
      </c>
      <c r="AZ671" t="s">
        <v>3456</v>
      </c>
      <c r="BA671" t="s">
        <v>1874</v>
      </c>
      <c r="BB671" t="str">
        <f t="shared" si="10"/>
        <v>CIHPbeLogo</v>
      </c>
    </row>
    <row r="672" spans="48:54" x14ac:dyDescent="0.25">
      <c r="AV672" t="s">
        <v>2127</v>
      </c>
      <c r="AW672" t="s">
        <v>1467</v>
      </c>
      <c r="AX672" t="s">
        <v>1886</v>
      </c>
      <c r="AY672" t="s">
        <v>3457</v>
      </c>
      <c r="AZ672" t="s">
        <v>3458</v>
      </c>
      <c r="BA672" t="s">
        <v>1874</v>
      </c>
      <c r="BB672" t="str">
        <f t="shared" si="10"/>
        <v>CIHPbeLogo</v>
      </c>
    </row>
    <row r="673" spans="48:54" x14ac:dyDescent="0.25">
      <c r="AV673" t="s">
        <v>2127</v>
      </c>
      <c r="AW673" t="s">
        <v>1467</v>
      </c>
      <c r="AX673" t="s">
        <v>1886</v>
      </c>
      <c r="AY673" t="s">
        <v>3459</v>
      </c>
      <c r="AZ673" t="s">
        <v>3460</v>
      </c>
      <c r="BA673" t="s">
        <v>1874</v>
      </c>
      <c r="BB673" t="str">
        <f t="shared" si="10"/>
        <v>CIHPbeLogo</v>
      </c>
    </row>
    <row r="674" spans="48:54" x14ac:dyDescent="0.25">
      <c r="AV674" t="s">
        <v>2127</v>
      </c>
      <c r="AW674" t="s">
        <v>1467</v>
      </c>
      <c r="AX674" t="s">
        <v>1886</v>
      </c>
      <c r="AY674" t="s">
        <v>3461</v>
      </c>
      <c r="AZ674" t="s">
        <v>3462</v>
      </c>
      <c r="BA674" t="s">
        <v>1874</v>
      </c>
      <c r="BB674" t="str">
        <f t="shared" si="10"/>
        <v>CIHPbeLogo</v>
      </c>
    </row>
    <row r="675" spans="48:54" x14ac:dyDescent="0.25">
      <c r="AV675" t="s">
        <v>2127</v>
      </c>
      <c r="AW675" t="s">
        <v>1467</v>
      </c>
      <c r="AX675" t="s">
        <v>1886</v>
      </c>
      <c r="AY675" t="s">
        <v>3463</v>
      </c>
      <c r="AZ675" t="s">
        <v>3464</v>
      </c>
      <c r="BA675" t="s">
        <v>1874</v>
      </c>
      <c r="BB675" t="str">
        <f t="shared" si="10"/>
        <v>CIHPbeLogo</v>
      </c>
    </row>
    <row r="676" spans="48:54" x14ac:dyDescent="0.25">
      <c r="AV676" t="s">
        <v>2127</v>
      </c>
      <c r="AW676" t="s">
        <v>1467</v>
      </c>
      <c r="AX676" t="s">
        <v>1887</v>
      </c>
      <c r="AY676" t="s">
        <v>3465</v>
      </c>
      <c r="AZ676" t="s">
        <v>3466</v>
      </c>
      <c r="BA676" t="s">
        <v>1874</v>
      </c>
      <c r="BB676" t="str">
        <f t="shared" si="10"/>
        <v>CIHPbeMakurdi</v>
      </c>
    </row>
    <row r="677" spans="48:54" x14ac:dyDescent="0.25">
      <c r="AV677" t="s">
        <v>2127</v>
      </c>
      <c r="AW677" t="s">
        <v>1467</v>
      </c>
      <c r="AX677" t="s">
        <v>1887</v>
      </c>
      <c r="AY677" t="s">
        <v>3467</v>
      </c>
      <c r="AZ677" t="s">
        <v>3468</v>
      </c>
      <c r="BA677" t="s">
        <v>1874</v>
      </c>
      <c r="BB677" t="str">
        <f t="shared" si="10"/>
        <v>CIHPbeMakurdi</v>
      </c>
    </row>
    <row r="678" spans="48:54" x14ac:dyDescent="0.25">
      <c r="AV678" t="s">
        <v>2127</v>
      </c>
      <c r="AW678" t="s">
        <v>1467</v>
      </c>
      <c r="AX678" t="s">
        <v>1887</v>
      </c>
      <c r="AY678" t="s">
        <v>3469</v>
      </c>
      <c r="AZ678" t="s">
        <v>3470</v>
      </c>
      <c r="BA678" t="s">
        <v>1874</v>
      </c>
      <c r="BB678" t="str">
        <f t="shared" si="10"/>
        <v>CIHPbeMakurdi</v>
      </c>
    </row>
    <row r="679" spans="48:54" x14ac:dyDescent="0.25">
      <c r="AV679" t="s">
        <v>2127</v>
      </c>
      <c r="AW679" t="s">
        <v>1467</v>
      </c>
      <c r="AX679" t="s">
        <v>1887</v>
      </c>
      <c r="AY679" t="s">
        <v>3471</v>
      </c>
      <c r="AZ679" t="s">
        <v>3472</v>
      </c>
      <c r="BA679" t="s">
        <v>1874</v>
      </c>
      <c r="BB679" t="str">
        <f t="shared" si="10"/>
        <v>CIHPbeMakurdi</v>
      </c>
    </row>
    <row r="680" spans="48:54" x14ac:dyDescent="0.25">
      <c r="AV680" t="s">
        <v>2127</v>
      </c>
      <c r="AW680" t="s">
        <v>1467</v>
      </c>
      <c r="AX680" t="s">
        <v>1887</v>
      </c>
      <c r="AY680" t="s">
        <v>3473</v>
      </c>
      <c r="AZ680" t="s">
        <v>3474</v>
      </c>
      <c r="BA680" t="s">
        <v>1874</v>
      </c>
      <c r="BB680" t="str">
        <f t="shared" si="10"/>
        <v>CIHPbeMakurdi</v>
      </c>
    </row>
    <row r="681" spans="48:54" x14ac:dyDescent="0.25">
      <c r="AV681" t="s">
        <v>2127</v>
      </c>
      <c r="AW681" t="s">
        <v>1467</v>
      </c>
      <c r="AX681" t="s">
        <v>1887</v>
      </c>
      <c r="AY681" t="s">
        <v>3475</v>
      </c>
      <c r="AZ681" t="s">
        <v>3476</v>
      </c>
      <c r="BA681" t="s">
        <v>1874</v>
      </c>
      <c r="BB681" t="str">
        <f t="shared" si="10"/>
        <v>CIHPbeMakurdi</v>
      </c>
    </row>
    <row r="682" spans="48:54" x14ac:dyDescent="0.25">
      <c r="AV682" t="s">
        <v>2127</v>
      </c>
      <c r="AW682" t="s">
        <v>1467</v>
      </c>
      <c r="AX682" t="s">
        <v>1896</v>
      </c>
      <c r="AY682" t="s">
        <v>3477</v>
      </c>
      <c r="AZ682" t="s">
        <v>3478</v>
      </c>
      <c r="BA682" t="s">
        <v>1874</v>
      </c>
      <c r="BB682" t="str">
        <f t="shared" si="10"/>
        <v>CIHPbeObi</v>
      </c>
    </row>
    <row r="683" spans="48:54" x14ac:dyDescent="0.25">
      <c r="AV683" t="s">
        <v>2127</v>
      </c>
      <c r="AW683" t="s">
        <v>1467</v>
      </c>
      <c r="AX683" t="s">
        <v>1896</v>
      </c>
      <c r="AY683" t="s">
        <v>3479</v>
      </c>
      <c r="AZ683" t="s">
        <v>3480</v>
      </c>
      <c r="BA683" t="s">
        <v>1874</v>
      </c>
      <c r="BB683" t="str">
        <f t="shared" si="10"/>
        <v>CIHPbeObi</v>
      </c>
    </row>
    <row r="684" spans="48:54" x14ac:dyDescent="0.25">
      <c r="AV684" t="s">
        <v>2127</v>
      </c>
      <c r="AW684" t="s">
        <v>1467</v>
      </c>
      <c r="AX684" t="s">
        <v>1896</v>
      </c>
      <c r="AY684" t="s">
        <v>3481</v>
      </c>
      <c r="AZ684" t="s">
        <v>3482</v>
      </c>
      <c r="BA684" t="s">
        <v>1874</v>
      </c>
      <c r="BB684" t="str">
        <f t="shared" si="10"/>
        <v>CIHPbeObi</v>
      </c>
    </row>
    <row r="685" spans="48:54" x14ac:dyDescent="0.25">
      <c r="AV685" t="s">
        <v>2127</v>
      </c>
      <c r="AW685" t="s">
        <v>1467</v>
      </c>
      <c r="AX685" t="s">
        <v>1896</v>
      </c>
      <c r="AY685" t="s">
        <v>3483</v>
      </c>
      <c r="AZ685" t="s">
        <v>3484</v>
      </c>
      <c r="BA685" t="s">
        <v>1874</v>
      </c>
      <c r="BB685" t="str">
        <f t="shared" si="10"/>
        <v>CIHPbeObi</v>
      </c>
    </row>
    <row r="686" spans="48:54" x14ac:dyDescent="0.25">
      <c r="AV686" t="s">
        <v>2127</v>
      </c>
      <c r="AW686" t="s">
        <v>1467</v>
      </c>
      <c r="AX686" t="s">
        <v>1896</v>
      </c>
      <c r="AY686" t="s">
        <v>3485</v>
      </c>
      <c r="AZ686" t="s">
        <v>3486</v>
      </c>
      <c r="BA686" t="s">
        <v>1874</v>
      </c>
      <c r="BB686" t="str">
        <f t="shared" si="10"/>
        <v>CIHPbeObi</v>
      </c>
    </row>
    <row r="687" spans="48:54" x14ac:dyDescent="0.25">
      <c r="AV687" t="s">
        <v>2127</v>
      </c>
      <c r="AW687" t="s">
        <v>1467</v>
      </c>
      <c r="AX687" t="s">
        <v>1897</v>
      </c>
      <c r="AY687" t="s">
        <v>3487</v>
      </c>
      <c r="AZ687" t="s">
        <v>3488</v>
      </c>
      <c r="BA687" t="s">
        <v>1874</v>
      </c>
      <c r="BB687" t="str">
        <f t="shared" si="10"/>
        <v>CIHPbeOgbadibo</v>
      </c>
    </row>
    <row r="688" spans="48:54" x14ac:dyDescent="0.25">
      <c r="AV688" t="s">
        <v>2127</v>
      </c>
      <c r="AW688" t="s">
        <v>1467</v>
      </c>
      <c r="AX688" t="s">
        <v>1898</v>
      </c>
      <c r="AY688" t="s">
        <v>3489</v>
      </c>
      <c r="AZ688" t="s">
        <v>3490</v>
      </c>
      <c r="BA688" t="s">
        <v>1874</v>
      </c>
      <c r="BB688" t="str">
        <f t="shared" si="10"/>
        <v>CIHPbeOhimini</v>
      </c>
    </row>
    <row r="689" spans="48:54" x14ac:dyDescent="0.25">
      <c r="AV689" t="s">
        <v>2127</v>
      </c>
      <c r="AW689" t="s">
        <v>1467</v>
      </c>
      <c r="AX689" t="s">
        <v>1898</v>
      </c>
      <c r="AY689" t="s">
        <v>3491</v>
      </c>
      <c r="AZ689" t="s">
        <v>3492</v>
      </c>
      <c r="BA689" t="s">
        <v>1874</v>
      </c>
      <c r="BB689" t="str">
        <f t="shared" si="10"/>
        <v>CIHPbeOhimini</v>
      </c>
    </row>
    <row r="690" spans="48:54" x14ac:dyDescent="0.25">
      <c r="AV690" t="s">
        <v>2127</v>
      </c>
      <c r="AW690" t="s">
        <v>1467</v>
      </c>
      <c r="AX690" t="s">
        <v>1888</v>
      </c>
      <c r="AY690" t="s">
        <v>3493</v>
      </c>
      <c r="AZ690" t="s">
        <v>3494</v>
      </c>
      <c r="BA690" t="s">
        <v>1874</v>
      </c>
      <c r="BB690" t="str">
        <f t="shared" si="10"/>
        <v>CIHPbeOkpokwu</v>
      </c>
    </row>
    <row r="691" spans="48:54" x14ac:dyDescent="0.25">
      <c r="AV691" t="s">
        <v>2127</v>
      </c>
      <c r="AW691" t="s">
        <v>1467</v>
      </c>
      <c r="AX691" t="s">
        <v>1888</v>
      </c>
      <c r="AY691" t="s">
        <v>3495</v>
      </c>
      <c r="AZ691" t="s">
        <v>3496</v>
      </c>
      <c r="BA691" t="s">
        <v>1874</v>
      </c>
      <c r="BB691" t="str">
        <f t="shared" si="10"/>
        <v>CIHPbeOkpokwu</v>
      </c>
    </row>
    <row r="692" spans="48:54" x14ac:dyDescent="0.25">
      <c r="AV692" t="s">
        <v>2127</v>
      </c>
      <c r="AW692" t="s">
        <v>1467</v>
      </c>
      <c r="AX692" t="s">
        <v>1889</v>
      </c>
      <c r="AY692" t="s">
        <v>3497</v>
      </c>
      <c r="AZ692" t="s">
        <v>3498</v>
      </c>
      <c r="BA692" t="s">
        <v>1874</v>
      </c>
      <c r="BB692" t="str">
        <f t="shared" si="10"/>
        <v>CIHPbeOtukpo</v>
      </c>
    </row>
    <row r="693" spans="48:54" x14ac:dyDescent="0.25">
      <c r="AV693" t="s">
        <v>2127</v>
      </c>
      <c r="AW693" t="s">
        <v>1467</v>
      </c>
      <c r="AX693" t="s">
        <v>1889</v>
      </c>
      <c r="AY693" t="s">
        <v>3499</v>
      </c>
      <c r="AZ693" t="s">
        <v>3500</v>
      </c>
      <c r="BA693" t="s">
        <v>1874</v>
      </c>
      <c r="BB693" t="str">
        <f t="shared" si="10"/>
        <v>CIHPbeOtukpo</v>
      </c>
    </row>
    <row r="694" spans="48:54" x14ac:dyDescent="0.25">
      <c r="AV694" t="s">
        <v>2127</v>
      </c>
      <c r="AW694" t="s">
        <v>1467</v>
      </c>
      <c r="AX694" t="s">
        <v>1889</v>
      </c>
      <c r="AY694" t="s">
        <v>3501</v>
      </c>
      <c r="AZ694" t="s">
        <v>3502</v>
      </c>
      <c r="BA694" t="s">
        <v>1874</v>
      </c>
      <c r="BB694" t="str">
        <f t="shared" si="10"/>
        <v>CIHPbeOtukpo</v>
      </c>
    </row>
    <row r="695" spans="48:54" x14ac:dyDescent="0.25">
      <c r="AV695" t="s">
        <v>2127</v>
      </c>
      <c r="AW695" t="s">
        <v>1467</v>
      </c>
      <c r="AX695" t="s">
        <v>1889</v>
      </c>
      <c r="AY695" t="s">
        <v>3503</v>
      </c>
      <c r="AZ695" t="s">
        <v>3504</v>
      </c>
      <c r="BA695" t="s">
        <v>1874</v>
      </c>
      <c r="BB695" t="str">
        <f t="shared" si="10"/>
        <v>CIHPbeOtukpo</v>
      </c>
    </row>
    <row r="696" spans="48:54" x14ac:dyDescent="0.25">
      <c r="AV696" t="s">
        <v>2127</v>
      </c>
      <c r="AW696" t="s">
        <v>1467</v>
      </c>
      <c r="AX696" t="s">
        <v>1889</v>
      </c>
      <c r="AY696" t="s">
        <v>3505</v>
      </c>
      <c r="AZ696" t="s">
        <v>3506</v>
      </c>
      <c r="BA696" t="s">
        <v>1874</v>
      </c>
      <c r="BB696" t="str">
        <f t="shared" si="10"/>
        <v>CIHPbeOtukpo</v>
      </c>
    </row>
    <row r="697" spans="48:54" x14ac:dyDescent="0.25">
      <c r="AV697" t="s">
        <v>2127</v>
      </c>
      <c r="AW697" t="s">
        <v>1467</v>
      </c>
      <c r="AX697" t="s">
        <v>1889</v>
      </c>
      <c r="AY697" t="s">
        <v>3507</v>
      </c>
      <c r="AZ697" t="s">
        <v>3508</v>
      </c>
      <c r="BA697" t="s">
        <v>1874</v>
      </c>
      <c r="BB697" t="str">
        <f t="shared" si="10"/>
        <v>CIHPbeOtukpo</v>
      </c>
    </row>
    <row r="698" spans="48:54" x14ac:dyDescent="0.25">
      <c r="AV698" t="s">
        <v>2127</v>
      </c>
      <c r="AW698" t="s">
        <v>1467</v>
      </c>
      <c r="AX698" t="s">
        <v>1889</v>
      </c>
      <c r="AY698" t="s">
        <v>3509</v>
      </c>
      <c r="AZ698" t="s">
        <v>3510</v>
      </c>
      <c r="BA698" t="s">
        <v>1874</v>
      </c>
      <c r="BB698" t="str">
        <f t="shared" si="10"/>
        <v>CIHPbeOtukpo</v>
      </c>
    </row>
    <row r="699" spans="48:54" x14ac:dyDescent="0.25">
      <c r="AV699" t="s">
        <v>2127</v>
      </c>
      <c r="AW699" t="s">
        <v>1467</v>
      </c>
      <c r="AX699" t="s">
        <v>1889</v>
      </c>
      <c r="AY699" t="s">
        <v>3511</v>
      </c>
      <c r="AZ699" t="s">
        <v>3512</v>
      </c>
      <c r="BA699" t="s">
        <v>1874</v>
      </c>
      <c r="BB699" t="str">
        <f t="shared" si="10"/>
        <v>CIHPbeOtukpo</v>
      </c>
    </row>
    <row r="700" spans="48:54" x14ac:dyDescent="0.25">
      <c r="AV700" t="s">
        <v>2127</v>
      </c>
      <c r="AW700" t="s">
        <v>1467</v>
      </c>
      <c r="AX700" t="s">
        <v>1890</v>
      </c>
      <c r="AY700" t="s">
        <v>3513</v>
      </c>
      <c r="AZ700" t="s">
        <v>3514</v>
      </c>
      <c r="BA700" t="s">
        <v>1874</v>
      </c>
      <c r="BB700" t="str">
        <f t="shared" si="10"/>
        <v>CIHPbeTarka</v>
      </c>
    </row>
    <row r="701" spans="48:54" x14ac:dyDescent="0.25">
      <c r="AV701" t="s">
        <v>2127</v>
      </c>
      <c r="AW701" t="s">
        <v>1467</v>
      </c>
      <c r="AX701" t="s">
        <v>1890</v>
      </c>
      <c r="AY701" t="s">
        <v>3515</v>
      </c>
      <c r="AZ701" t="s">
        <v>3516</v>
      </c>
      <c r="BA701" t="s">
        <v>1874</v>
      </c>
      <c r="BB701" t="str">
        <f t="shared" si="10"/>
        <v>CIHPbeTarka</v>
      </c>
    </row>
    <row r="702" spans="48:54" x14ac:dyDescent="0.25">
      <c r="AV702" t="s">
        <v>2127</v>
      </c>
      <c r="AW702" t="s">
        <v>1467</v>
      </c>
      <c r="AX702" t="s">
        <v>1890</v>
      </c>
      <c r="AY702" t="s">
        <v>3517</v>
      </c>
      <c r="AZ702" t="s">
        <v>3518</v>
      </c>
      <c r="BA702" t="s">
        <v>1874</v>
      </c>
      <c r="BB702" t="str">
        <f t="shared" si="10"/>
        <v>CIHPbeTarka</v>
      </c>
    </row>
    <row r="703" spans="48:54" x14ac:dyDescent="0.25">
      <c r="AV703" t="s">
        <v>2127</v>
      </c>
      <c r="AW703" t="s">
        <v>1467</v>
      </c>
      <c r="AX703" t="s">
        <v>1890</v>
      </c>
      <c r="AY703" t="s">
        <v>3519</v>
      </c>
      <c r="AZ703" t="s">
        <v>3520</v>
      </c>
      <c r="BA703" t="s">
        <v>1874</v>
      </c>
      <c r="BB703" t="str">
        <f t="shared" si="10"/>
        <v>CIHPbeTarka</v>
      </c>
    </row>
    <row r="704" spans="48:54" x14ac:dyDescent="0.25">
      <c r="AV704" t="s">
        <v>2127</v>
      </c>
      <c r="AW704" t="s">
        <v>1467</v>
      </c>
      <c r="AX704" t="s">
        <v>1890</v>
      </c>
      <c r="AY704" t="s">
        <v>3521</v>
      </c>
      <c r="AZ704" t="s">
        <v>3522</v>
      </c>
      <c r="BA704" t="s">
        <v>1874</v>
      </c>
      <c r="BB704" t="str">
        <f t="shared" si="10"/>
        <v>CIHPbeTarka</v>
      </c>
    </row>
    <row r="705" spans="48:54" x14ac:dyDescent="0.25">
      <c r="AV705" t="s">
        <v>2127</v>
      </c>
      <c r="AW705" t="s">
        <v>1467</v>
      </c>
      <c r="AX705" t="s">
        <v>1890</v>
      </c>
      <c r="AY705" t="s">
        <v>3523</v>
      </c>
      <c r="AZ705" t="s">
        <v>3524</v>
      </c>
      <c r="BA705" t="s">
        <v>1874</v>
      </c>
      <c r="BB705" t="str">
        <f t="shared" si="10"/>
        <v>CIHPbeTarka</v>
      </c>
    </row>
    <row r="706" spans="48:54" x14ac:dyDescent="0.25">
      <c r="AV706" t="s">
        <v>2127</v>
      </c>
      <c r="AW706" t="s">
        <v>1467</v>
      </c>
      <c r="AX706" t="s">
        <v>1890</v>
      </c>
      <c r="AY706" t="s">
        <v>3525</v>
      </c>
      <c r="AZ706" t="s">
        <v>3526</v>
      </c>
      <c r="BA706" t="s">
        <v>1874</v>
      </c>
      <c r="BB706" t="str">
        <f t="shared" si="10"/>
        <v>CIHPbeTarka</v>
      </c>
    </row>
    <row r="707" spans="48:54" x14ac:dyDescent="0.25">
      <c r="AV707" t="s">
        <v>2127</v>
      </c>
      <c r="AW707" t="s">
        <v>1467</v>
      </c>
      <c r="AX707" t="s">
        <v>1890</v>
      </c>
      <c r="AY707" t="s">
        <v>3527</v>
      </c>
      <c r="AZ707" t="s">
        <v>3528</v>
      </c>
      <c r="BA707" t="s">
        <v>1874</v>
      </c>
      <c r="BB707" t="str">
        <f t="shared" ref="BB707:BB770" si="11">SUBSTITUTE(SUBSTITUTE(BA707&amp;AX707," ",""),"-","")</f>
        <v>CIHPbeTarka</v>
      </c>
    </row>
    <row r="708" spans="48:54" x14ac:dyDescent="0.25">
      <c r="AV708" t="s">
        <v>2127</v>
      </c>
      <c r="AW708" t="s">
        <v>1467</v>
      </c>
      <c r="AX708" t="s">
        <v>1890</v>
      </c>
      <c r="AY708" t="s">
        <v>3529</v>
      </c>
      <c r="AZ708" t="s">
        <v>3530</v>
      </c>
      <c r="BA708" t="s">
        <v>1874</v>
      </c>
      <c r="BB708" t="str">
        <f t="shared" si="11"/>
        <v>CIHPbeTarka</v>
      </c>
    </row>
    <row r="709" spans="48:54" x14ac:dyDescent="0.25">
      <c r="AV709" t="s">
        <v>2127</v>
      </c>
      <c r="AW709" t="s">
        <v>1467</v>
      </c>
      <c r="AX709" t="s">
        <v>1890</v>
      </c>
      <c r="AY709" t="s">
        <v>3531</v>
      </c>
      <c r="AZ709" t="s">
        <v>3532</v>
      </c>
      <c r="BA709" t="s">
        <v>1874</v>
      </c>
      <c r="BB709" t="str">
        <f t="shared" si="11"/>
        <v>CIHPbeTarka</v>
      </c>
    </row>
    <row r="710" spans="48:54" x14ac:dyDescent="0.25">
      <c r="AV710" t="s">
        <v>2127</v>
      </c>
      <c r="AW710" t="s">
        <v>1467</v>
      </c>
      <c r="AX710" t="s">
        <v>1890</v>
      </c>
      <c r="AY710" t="s">
        <v>3533</v>
      </c>
      <c r="AZ710" t="s">
        <v>3534</v>
      </c>
      <c r="BA710" t="s">
        <v>1874</v>
      </c>
      <c r="BB710" t="str">
        <f t="shared" si="11"/>
        <v>CIHPbeTarka</v>
      </c>
    </row>
    <row r="711" spans="48:54" x14ac:dyDescent="0.25">
      <c r="AV711" t="s">
        <v>2127</v>
      </c>
      <c r="AW711" t="s">
        <v>1467</v>
      </c>
      <c r="AX711" t="s">
        <v>1890</v>
      </c>
      <c r="AY711" t="s">
        <v>3535</v>
      </c>
      <c r="AZ711" t="s">
        <v>3536</v>
      </c>
      <c r="BA711" t="s">
        <v>1874</v>
      </c>
      <c r="BB711" t="str">
        <f t="shared" si="11"/>
        <v>CIHPbeTarka</v>
      </c>
    </row>
    <row r="712" spans="48:54" x14ac:dyDescent="0.25">
      <c r="AV712" t="s">
        <v>2127</v>
      </c>
      <c r="AW712" t="s">
        <v>1467</v>
      </c>
      <c r="AX712" t="s">
        <v>1890</v>
      </c>
      <c r="AY712" t="s">
        <v>3537</v>
      </c>
      <c r="AZ712" t="s">
        <v>3538</v>
      </c>
      <c r="BA712" t="s">
        <v>1874</v>
      </c>
      <c r="BB712" t="str">
        <f t="shared" si="11"/>
        <v>CIHPbeTarka</v>
      </c>
    </row>
    <row r="713" spans="48:54" x14ac:dyDescent="0.25">
      <c r="AV713" t="s">
        <v>2127</v>
      </c>
      <c r="AW713" t="s">
        <v>1467</v>
      </c>
      <c r="AX713" t="s">
        <v>1890</v>
      </c>
      <c r="AY713" t="s">
        <v>3539</v>
      </c>
      <c r="AZ713" t="s">
        <v>3540</v>
      </c>
      <c r="BA713" t="s">
        <v>1874</v>
      </c>
      <c r="BB713" t="str">
        <f t="shared" si="11"/>
        <v>CIHPbeTarka</v>
      </c>
    </row>
    <row r="714" spans="48:54" x14ac:dyDescent="0.25">
      <c r="AV714" t="s">
        <v>2127</v>
      </c>
      <c r="AW714" t="s">
        <v>1467</v>
      </c>
      <c r="AX714" t="s">
        <v>1890</v>
      </c>
      <c r="AY714" t="s">
        <v>3541</v>
      </c>
      <c r="AZ714" t="s">
        <v>3542</v>
      </c>
      <c r="BA714" t="s">
        <v>1874</v>
      </c>
      <c r="BB714" t="str">
        <f t="shared" si="11"/>
        <v>CIHPbeTarka</v>
      </c>
    </row>
    <row r="715" spans="48:54" x14ac:dyDescent="0.25">
      <c r="AV715" t="s">
        <v>2127</v>
      </c>
      <c r="AW715" t="s">
        <v>1467</v>
      </c>
      <c r="AX715" t="s">
        <v>1890</v>
      </c>
      <c r="AY715" t="s">
        <v>3543</v>
      </c>
      <c r="AZ715" t="s">
        <v>3544</v>
      </c>
      <c r="BA715" t="s">
        <v>1874</v>
      </c>
      <c r="BB715" t="str">
        <f t="shared" si="11"/>
        <v>CIHPbeTarka</v>
      </c>
    </row>
    <row r="716" spans="48:54" x14ac:dyDescent="0.25">
      <c r="AV716" t="s">
        <v>2127</v>
      </c>
      <c r="AW716" t="s">
        <v>1467</v>
      </c>
      <c r="AX716" t="s">
        <v>1890</v>
      </c>
      <c r="AY716" t="s">
        <v>3545</v>
      </c>
      <c r="AZ716" t="s">
        <v>3546</v>
      </c>
      <c r="BA716" t="s">
        <v>1874</v>
      </c>
      <c r="BB716" t="str">
        <f t="shared" si="11"/>
        <v>CIHPbeTarka</v>
      </c>
    </row>
    <row r="717" spans="48:54" x14ac:dyDescent="0.25">
      <c r="AV717" t="s">
        <v>2127</v>
      </c>
      <c r="AW717" t="s">
        <v>1467</v>
      </c>
      <c r="AX717" t="s">
        <v>1890</v>
      </c>
      <c r="AY717" t="s">
        <v>3547</v>
      </c>
      <c r="AZ717" t="s">
        <v>3548</v>
      </c>
      <c r="BA717" t="s">
        <v>1874</v>
      </c>
      <c r="BB717" t="str">
        <f t="shared" si="11"/>
        <v>CIHPbeTarka</v>
      </c>
    </row>
    <row r="718" spans="48:54" x14ac:dyDescent="0.25">
      <c r="AV718" t="s">
        <v>2127</v>
      </c>
      <c r="AW718" t="s">
        <v>1467</v>
      </c>
      <c r="AX718" t="s">
        <v>1890</v>
      </c>
      <c r="AY718" t="s">
        <v>3549</v>
      </c>
      <c r="AZ718" t="s">
        <v>3550</v>
      </c>
      <c r="BA718" t="s">
        <v>1874</v>
      </c>
      <c r="BB718" t="str">
        <f t="shared" si="11"/>
        <v>CIHPbeTarka</v>
      </c>
    </row>
    <row r="719" spans="48:54" x14ac:dyDescent="0.25">
      <c r="AV719" t="s">
        <v>2127</v>
      </c>
      <c r="AW719" t="s">
        <v>1467</v>
      </c>
      <c r="AX719" t="s">
        <v>1890</v>
      </c>
      <c r="AY719" t="s">
        <v>3551</v>
      </c>
      <c r="AZ719" t="s">
        <v>3552</v>
      </c>
      <c r="BA719" t="s">
        <v>1874</v>
      </c>
      <c r="BB719" t="str">
        <f t="shared" si="11"/>
        <v>CIHPbeTarka</v>
      </c>
    </row>
    <row r="720" spans="48:54" x14ac:dyDescent="0.25">
      <c r="AV720" t="s">
        <v>2127</v>
      </c>
      <c r="AW720" t="s">
        <v>1467</v>
      </c>
      <c r="AX720" t="s">
        <v>1891</v>
      </c>
      <c r="AY720" t="s">
        <v>3553</v>
      </c>
      <c r="AZ720" t="s">
        <v>3554</v>
      </c>
      <c r="BA720" t="s">
        <v>1874</v>
      </c>
      <c r="BB720" t="str">
        <f t="shared" si="11"/>
        <v>CIHPbeUkum</v>
      </c>
    </row>
    <row r="721" spans="48:54" x14ac:dyDescent="0.25">
      <c r="AV721" t="s">
        <v>2127</v>
      </c>
      <c r="AW721" t="s">
        <v>1467</v>
      </c>
      <c r="AX721" t="s">
        <v>1891</v>
      </c>
      <c r="AY721" t="s">
        <v>3555</v>
      </c>
      <c r="AZ721" t="s">
        <v>3556</v>
      </c>
      <c r="BA721" t="s">
        <v>1874</v>
      </c>
      <c r="BB721" t="str">
        <f t="shared" si="11"/>
        <v>CIHPbeUkum</v>
      </c>
    </row>
    <row r="722" spans="48:54" x14ac:dyDescent="0.25">
      <c r="AV722" t="s">
        <v>2127</v>
      </c>
      <c r="AW722" t="s">
        <v>1467</v>
      </c>
      <c r="AX722" t="s">
        <v>1891</v>
      </c>
      <c r="AY722" t="s">
        <v>3557</v>
      </c>
      <c r="AZ722" t="s">
        <v>3558</v>
      </c>
      <c r="BA722" t="s">
        <v>1874</v>
      </c>
      <c r="BB722" t="str">
        <f t="shared" si="11"/>
        <v>CIHPbeUkum</v>
      </c>
    </row>
    <row r="723" spans="48:54" x14ac:dyDescent="0.25">
      <c r="AV723" t="s">
        <v>2127</v>
      </c>
      <c r="AW723" t="s">
        <v>1467</v>
      </c>
      <c r="AX723" t="s">
        <v>1891</v>
      </c>
      <c r="AY723" t="s">
        <v>3559</v>
      </c>
      <c r="AZ723" t="s">
        <v>3560</v>
      </c>
      <c r="BA723" t="s">
        <v>1874</v>
      </c>
      <c r="BB723" t="str">
        <f t="shared" si="11"/>
        <v>CIHPbeUkum</v>
      </c>
    </row>
    <row r="724" spans="48:54" x14ac:dyDescent="0.25">
      <c r="AV724" t="s">
        <v>2127</v>
      </c>
      <c r="AW724" t="s">
        <v>1467</v>
      </c>
      <c r="AX724" t="s">
        <v>1891</v>
      </c>
      <c r="AY724" t="s">
        <v>3561</v>
      </c>
      <c r="AZ724" t="s">
        <v>3562</v>
      </c>
      <c r="BA724" t="s">
        <v>1874</v>
      </c>
      <c r="BB724" t="str">
        <f t="shared" si="11"/>
        <v>CIHPbeUkum</v>
      </c>
    </row>
    <row r="725" spans="48:54" x14ac:dyDescent="0.25">
      <c r="AV725" t="s">
        <v>2127</v>
      </c>
      <c r="AW725" t="s">
        <v>1467</v>
      </c>
      <c r="AX725" t="s">
        <v>1891</v>
      </c>
      <c r="AY725" t="s">
        <v>3563</v>
      </c>
      <c r="AZ725" t="s">
        <v>3564</v>
      </c>
      <c r="BA725" t="s">
        <v>1874</v>
      </c>
      <c r="BB725" t="str">
        <f t="shared" si="11"/>
        <v>CIHPbeUkum</v>
      </c>
    </row>
    <row r="726" spans="48:54" x14ac:dyDescent="0.25">
      <c r="AV726" t="s">
        <v>2127</v>
      </c>
      <c r="AW726" t="s">
        <v>1467</v>
      </c>
      <c r="AX726" t="s">
        <v>1891</v>
      </c>
      <c r="AY726" t="s">
        <v>3565</v>
      </c>
      <c r="AZ726" t="s">
        <v>3566</v>
      </c>
      <c r="BA726" t="s">
        <v>1874</v>
      </c>
      <c r="BB726" t="str">
        <f t="shared" si="11"/>
        <v>CIHPbeUkum</v>
      </c>
    </row>
    <row r="727" spans="48:54" x14ac:dyDescent="0.25">
      <c r="AV727" t="s">
        <v>2127</v>
      </c>
      <c r="AW727" t="s">
        <v>1467</v>
      </c>
      <c r="AX727" t="s">
        <v>1891</v>
      </c>
      <c r="AY727" t="s">
        <v>3567</v>
      </c>
      <c r="AZ727" t="s">
        <v>3568</v>
      </c>
      <c r="BA727" t="s">
        <v>1874</v>
      </c>
      <c r="BB727" t="str">
        <f t="shared" si="11"/>
        <v>CIHPbeUkum</v>
      </c>
    </row>
    <row r="728" spans="48:54" x14ac:dyDescent="0.25">
      <c r="AV728" t="s">
        <v>2127</v>
      </c>
      <c r="AW728" t="s">
        <v>1467</v>
      </c>
      <c r="AX728" t="s">
        <v>1891</v>
      </c>
      <c r="AY728" t="s">
        <v>3569</v>
      </c>
      <c r="AZ728" t="s">
        <v>3570</v>
      </c>
      <c r="BA728" t="s">
        <v>1874</v>
      </c>
      <c r="BB728" t="str">
        <f t="shared" si="11"/>
        <v>CIHPbeUkum</v>
      </c>
    </row>
    <row r="729" spans="48:54" x14ac:dyDescent="0.25">
      <c r="AV729" t="s">
        <v>2127</v>
      </c>
      <c r="AW729" t="s">
        <v>1467</v>
      </c>
      <c r="AX729" t="s">
        <v>1891</v>
      </c>
      <c r="AY729" t="s">
        <v>3571</v>
      </c>
      <c r="AZ729" t="s">
        <v>3572</v>
      </c>
      <c r="BA729" t="s">
        <v>1874</v>
      </c>
      <c r="BB729" t="str">
        <f t="shared" si="11"/>
        <v>CIHPbeUkum</v>
      </c>
    </row>
    <row r="730" spans="48:54" x14ac:dyDescent="0.25">
      <c r="AV730" t="s">
        <v>2127</v>
      </c>
      <c r="AW730" t="s">
        <v>1467</v>
      </c>
      <c r="AX730" t="s">
        <v>1891</v>
      </c>
      <c r="AY730" t="s">
        <v>3573</v>
      </c>
      <c r="AZ730" t="s">
        <v>3574</v>
      </c>
      <c r="BA730" t="s">
        <v>1874</v>
      </c>
      <c r="BB730" t="str">
        <f t="shared" si="11"/>
        <v>CIHPbeUkum</v>
      </c>
    </row>
    <row r="731" spans="48:54" x14ac:dyDescent="0.25">
      <c r="AV731" t="s">
        <v>2127</v>
      </c>
      <c r="AW731" t="s">
        <v>1467</v>
      </c>
      <c r="AX731" t="s">
        <v>1891</v>
      </c>
      <c r="AY731" t="s">
        <v>3575</v>
      </c>
      <c r="AZ731" t="s">
        <v>3576</v>
      </c>
      <c r="BA731" t="s">
        <v>1874</v>
      </c>
      <c r="BB731" t="str">
        <f t="shared" si="11"/>
        <v>CIHPbeUkum</v>
      </c>
    </row>
    <row r="732" spans="48:54" x14ac:dyDescent="0.25">
      <c r="AV732" t="s">
        <v>2127</v>
      </c>
      <c r="AW732" t="s">
        <v>1467</v>
      </c>
      <c r="AX732" t="s">
        <v>1891</v>
      </c>
      <c r="AY732" t="s">
        <v>3577</v>
      </c>
      <c r="AZ732" t="s">
        <v>3578</v>
      </c>
      <c r="BA732" t="s">
        <v>1874</v>
      </c>
      <c r="BB732" t="str">
        <f t="shared" si="11"/>
        <v>CIHPbeUkum</v>
      </c>
    </row>
    <row r="733" spans="48:54" x14ac:dyDescent="0.25">
      <c r="AV733" t="s">
        <v>2127</v>
      </c>
      <c r="AW733" t="s">
        <v>1467</v>
      </c>
      <c r="AX733" t="s">
        <v>1891</v>
      </c>
      <c r="AY733" t="s">
        <v>3579</v>
      </c>
      <c r="AZ733" t="s">
        <v>3580</v>
      </c>
      <c r="BA733" t="s">
        <v>1874</v>
      </c>
      <c r="BB733" t="str">
        <f t="shared" si="11"/>
        <v>CIHPbeUkum</v>
      </c>
    </row>
    <row r="734" spans="48:54" x14ac:dyDescent="0.25">
      <c r="AV734" t="s">
        <v>2127</v>
      </c>
      <c r="AW734" t="s">
        <v>1467</v>
      </c>
      <c r="AX734" t="s">
        <v>1891</v>
      </c>
      <c r="AY734" t="s">
        <v>3581</v>
      </c>
      <c r="AZ734" t="s">
        <v>3582</v>
      </c>
      <c r="BA734" t="s">
        <v>1874</v>
      </c>
      <c r="BB734" t="str">
        <f t="shared" si="11"/>
        <v>CIHPbeUkum</v>
      </c>
    </row>
    <row r="735" spans="48:54" x14ac:dyDescent="0.25">
      <c r="AV735" t="s">
        <v>2127</v>
      </c>
      <c r="AW735" t="s">
        <v>1467</v>
      </c>
      <c r="AX735" t="s">
        <v>1891</v>
      </c>
      <c r="AY735" t="s">
        <v>3583</v>
      </c>
      <c r="AZ735" t="s">
        <v>3584</v>
      </c>
      <c r="BA735" t="s">
        <v>1874</v>
      </c>
      <c r="BB735" t="str">
        <f t="shared" si="11"/>
        <v>CIHPbeUkum</v>
      </c>
    </row>
    <row r="736" spans="48:54" x14ac:dyDescent="0.25">
      <c r="AV736" t="s">
        <v>2127</v>
      </c>
      <c r="AW736" t="s">
        <v>1467</v>
      </c>
      <c r="AX736" t="s">
        <v>1893</v>
      </c>
      <c r="AY736" t="s">
        <v>3585</v>
      </c>
      <c r="AZ736" t="s">
        <v>3586</v>
      </c>
      <c r="BA736" t="s">
        <v>1874</v>
      </c>
      <c r="BB736" t="str">
        <f t="shared" si="11"/>
        <v>CIHPbeVandeikya</v>
      </c>
    </row>
    <row r="737" spans="48:54" x14ac:dyDescent="0.25">
      <c r="AV737" t="s">
        <v>2127</v>
      </c>
      <c r="AW737" t="s">
        <v>1467</v>
      </c>
      <c r="AX737" t="s">
        <v>1893</v>
      </c>
      <c r="AY737" t="s">
        <v>3587</v>
      </c>
      <c r="AZ737" t="s">
        <v>3588</v>
      </c>
      <c r="BA737" t="s">
        <v>1874</v>
      </c>
      <c r="BB737" t="str">
        <f t="shared" si="11"/>
        <v>CIHPbeVandeikya</v>
      </c>
    </row>
    <row r="738" spans="48:54" x14ac:dyDescent="0.25">
      <c r="AV738" t="s">
        <v>2127</v>
      </c>
      <c r="AW738" t="s">
        <v>1467</v>
      </c>
      <c r="AX738" t="s">
        <v>1893</v>
      </c>
      <c r="AY738" t="s">
        <v>3589</v>
      </c>
      <c r="AZ738" t="s">
        <v>3590</v>
      </c>
      <c r="BA738" t="s">
        <v>1874</v>
      </c>
      <c r="BB738" t="str">
        <f t="shared" si="11"/>
        <v>CIHPbeVandeikya</v>
      </c>
    </row>
    <row r="739" spans="48:54" x14ac:dyDescent="0.25">
      <c r="AV739" t="s">
        <v>2127</v>
      </c>
      <c r="AW739" t="s">
        <v>1467</v>
      </c>
      <c r="AX739" t="s">
        <v>1893</v>
      </c>
      <c r="AY739" t="s">
        <v>3591</v>
      </c>
      <c r="AZ739" t="s">
        <v>3592</v>
      </c>
      <c r="BA739" t="s">
        <v>1874</v>
      </c>
      <c r="BB739" t="str">
        <f t="shared" si="11"/>
        <v>CIHPbeVandeikya</v>
      </c>
    </row>
    <row r="740" spans="48:54" x14ac:dyDescent="0.25">
      <c r="AV740" t="s">
        <v>2127</v>
      </c>
      <c r="AW740" t="s">
        <v>1467</v>
      </c>
      <c r="AX740" t="s">
        <v>1893</v>
      </c>
      <c r="AY740" t="s">
        <v>3593</v>
      </c>
      <c r="AZ740" t="s">
        <v>3594</v>
      </c>
      <c r="BA740" t="s">
        <v>1874</v>
      </c>
      <c r="BB740" t="str">
        <f t="shared" si="11"/>
        <v>CIHPbeVandeikya</v>
      </c>
    </row>
    <row r="741" spans="48:54" x14ac:dyDescent="0.25">
      <c r="AV741" t="s">
        <v>2127</v>
      </c>
      <c r="AW741" t="s">
        <v>1467</v>
      </c>
      <c r="AX741" t="s">
        <v>1893</v>
      </c>
      <c r="AY741" t="s">
        <v>3595</v>
      </c>
      <c r="AZ741" t="s">
        <v>3596</v>
      </c>
      <c r="BA741" t="s">
        <v>1874</v>
      </c>
      <c r="BB741" t="str">
        <f t="shared" si="11"/>
        <v>CIHPbeVandeikya</v>
      </c>
    </row>
    <row r="742" spans="48:54" x14ac:dyDescent="0.25">
      <c r="AV742" t="s">
        <v>2127</v>
      </c>
      <c r="AW742" t="s">
        <v>1467</v>
      </c>
      <c r="AX742" t="s">
        <v>1893</v>
      </c>
      <c r="AY742" t="s">
        <v>3597</v>
      </c>
      <c r="AZ742" t="s">
        <v>3598</v>
      </c>
      <c r="BA742" t="s">
        <v>1874</v>
      </c>
      <c r="BB742" t="str">
        <f t="shared" si="11"/>
        <v>CIHPbeVandeikya</v>
      </c>
    </row>
    <row r="743" spans="48:54" x14ac:dyDescent="0.25">
      <c r="AV743" t="s">
        <v>2127</v>
      </c>
      <c r="AW743" t="s">
        <v>1467</v>
      </c>
      <c r="AX743" t="s">
        <v>1893</v>
      </c>
      <c r="AY743" t="s">
        <v>3599</v>
      </c>
      <c r="AZ743" t="s">
        <v>3600</v>
      </c>
      <c r="BA743" t="s">
        <v>1874</v>
      </c>
      <c r="BB743" t="str">
        <f t="shared" si="11"/>
        <v>CIHPbeVandeikya</v>
      </c>
    </row>
    <row r="744" spans="48:54" x14ac:dyDescent="0.25">
      <c r="AV744" t="s">
        <v>2127</v>
      </c>
      <c r="AW744" t="s">
        <v>1467</v>
      </c>
      <c r="AX744" t="s">
        <v>1893</v>
      </c>
      <c r="AY744" t="s">
        <v>3601</v>
      </c>
      <c r="AZ744" t="s">
        <v>3602</v>
      </c>
      <c r="BA744" t="s">
        <v>1874</v>
      </c>
      <c r="BB744" t="str">
        <f t="shared" si="11"/>
        <v>CIHPbeVandeikya</v>
      </c>
    </row>
    <row r="745" spans="48:54" x14ac:dyDescent="0.25">
      <c r="AV745" t="s">
        <v>2127</v>
      </c>
      <c r="AW745" t="s">
        <v>1467</v>
      </c>
      <c r="AX745" t="s">
        <v>1893</v>
      </c>
      <c r="AY745" t="s">
        <v>3603</v>
      </c>
      <c r="AZ745" t="s">
        <v>3604</v>
      </c>
      <c r="BA745" t="s">
        <v>1874</v>
      </c>
      <c r="BB745" t="str">
        <f t="shared" si="11"/>
        <v>CIHPbeVandeikya</v>
      </c>
    </row>
    <row r="746" spans="48:54" x14ac:dyDescent="0.25">
      <c r="AV746" t="s">
        <v>2127</v>
      </c>
      <c r="AW746" t="s">
        <v>1467</v>
      </c>
      <c r="AX746" t="s">
        <v>1893</v>
      </c>
      <c r="AY746" t="s">
        <v>3605</v>
      </c>
      <c r="AZ746" t="s">
        <v>3606</v>
      </c>
      <c r="BA746" t="s">
        <v>1874</v>
      </c>
      <c r="BB746" t="str">
        <f t="shared" si="11"/>
        <v>CIHPbeVandeikya</v>
      </c>
    </row>
    <row r="747" spans="48:54" x14ac:dyDescent="0.25">
      <c r="AV747" t="s">
        <v>2127</v>
      </c>
      <c r="AW747" t="s">
        <v>1467</v>
      </c>
      <c r="AX747" t="s">
        <v>1893</v>
      </c>
      <c r="AY747" t="s">
        <v>3607</v>
      </c>
      <c r="AZ747" t="s">
        <v>3608</v>
      </c>
      <c r="BA747" t="s">
        <v>1874</v>
      </c>
      <c r="BB747" t="str">
        <f t="shared" si="11"/>
        <v>CIHPbeVandeikya</v>
      </c>
    </row>
    <row r="748" spans="48:54" x14ac:dyDescent="0.25">
      <c r="AV748" t="s">
        <v>2127</v>
      </c>
      <c r="AW748" t="s">
        <v>1467</v>
      </c>
      <c r="AX748" t="s">
        <v>1893</v>
      </c>
      <c r="AY748" t="s">
        <v>3609</v>
      </c>
      <c r="AZ748" t="s">
        <v>3610</v>
      </c>
      <c r="BA748" t="s">
        <v>1874</v>
      </c>
      <c r="BB748" t="str">
        <f t="shared" si="11"/>
        <v>CIHPbeVandeikya</v>
      </c>
    </row>
    <row r="749" spans="48:54" x14ac:dyDescent="0.25">
      <c r="AV749" t="s">
        <v>2127</v>
      </c>
      <c r="AW749" t="s">
        <v>1467</v>
      </c>
      <c r="AX749" t="s">
        <v>1893</v>
      </c>
      <c r="AY749" t="s">
        <v>3611</v>
      </c>
      <c r="AZ749" t="s">
        <v>3612</v>
      </c>
      <c r="BA749" t="s">
        <v>1874</v>
      </c>
      <c r="BB749" t="str">
        <f t="shared" si="11"/>
        <v>CIHPbeVandeikya</v>
      </c>
    </row>
    <row r="750" spans="48:54" x14ac:dyDescent="0.25">
      <c r="AV750" t="s">
        <v>2127</v>
      </c>
      <c r="AW750" t="s">
        <v>1467</v>
      </c>
      <c r="AX750" t="s">
        <v>1893</v>
      </c>
      <c r="AY750" t="s">
        <v>3613</v>
      </c>
      <c r="AZ750" t="s">
        <v>3614</v>
      </c>
      <c r="BA750" t="s">
        <v>1874</v>
      </c>
      <c r="BB750" t="str">
        <f t="shared" si="11"/>
        <v>CIHPbeVandeikya</v>
      </c>
    </row>
    <row r="751" spans="48:54" x14ac:dyDescent="0.25">
      <c r="AV751" t="s">
        <v>2127</v>
      </c>
      <c r="AW751" t="s">
        <v>1476</v>
      </c>
      <c r="AX751" t="s">
        <v>1948</v>
      </c>
      <c r="AY751" t="s">
        <v>3615</v>
      </c>
      <c r="AZ751" t="s">
        <v>3616</v>
      </c>
      <c r="BA751" t="s">
        <v>1874</v>
      </c>
      <c r="BB751" t="str">
        <f t="shared" si="11"/>
        <v>CIHPgoBalanga</v>
      </c>
    </row>
    <row r="752" spans="48:54" x14ac:dyDescent="0.25">
      <c r="AV752" t="s">
        <v>2127</v>
      </c>
      <c r="AW752" t="s">
        <v>1476</v>
      </c>
      <c r="AX752" t="s">
        <v>1948</v>
      </c>
      <c r="AY752" t="s">
        <v>3617</v>
      </c>
      <c r="AZ752" t="s">
        <v>3618</v>
      </c>
      <c r="BA752" t="s">
        <v>1874</v>
      </c>
      <c r="BB752" t="str">
        <f t="shared" si="11"/>
        <v>CIHPgoBalanga</v>
      </c>
    </row>
    <row r="753" spans="48:54" x14ac:dyDescent="0.25">
      <c r="AV753" t="s">
        <v>2127</v>
      </c>
      <c r="AW753" t="s">
        <v>1476</v>
      </c>
      <c r="AX753" t="s">
        <v>1948</v>
      </c>
      <c r="AY753" t="s">
        <v>3619</v>
      </c>
      <c r="AZ753" t="s">
        <v>3620</v>
      </c>
      <c r="BA753" t="s">
        <v>1874</v>
      </c>
      <c r="BB753" t="str">
        <f t="shared" si="11"/>
        <v>CIHPgoBalanga</v>
      </c>
    </row>
    <row r="754" spans="48:54" x14ac:dyDescent="0.25">
      <c r="AV754" t="s">
        <v>2127</v>
      </c>
      <c r="AW754" t="s">
        <v>1476</v>
      </c>
      <c r="AX754" t="s">
        <v>1948</v>
      </c>
      <c r="AY754" t="s">
        <v>3621</v>
      </c>
      <c r="AZ754" t="s">
        <v>3622</v>
      </c>
      <c r="BA754" t="s">
        <v>1874</v>
      </c>
      <c r="BB754" t="str">
        <f t="shared" si="11"/>
        <v>CIHPgoBalanga</v>
      </c>
    </row>
    <row r="755" spans="48:54" x14ac:dyDescent="0.25">
      <c r="AV755" t="s">
        <v>2127</v>
      </c>
      <c r="AW755" t="s">
        <v>1476</v>
      </c>
      <c r="AX755" t="s">
        <v>1949</v>
      </c>
      <c r="AY755" t="s">
        <v>3623</v>
      </c>
      <c r="AZ755" t="s">
        <v>3624</v>
      </c>
      <c r="BA755" t="s">
        <v>1874</v>
      </c>
      <c r="BB755" t="str">
        <f t="shared" si="11"/>
        <v>CIHPgoBilliri</v>
      </c>
    </row>
    <row r="756" spans="48:54" x14ac:dyDescent="0.25">
      <c r="AV756" t="s">
        <v>2127</v>
      </c>
      <c r="AW756" t="s">
        <v>1476</v>
      </c>
      <c r="AX756" t="s">
        <v>1949</v>
      </c>
      <c r="AY756" t="s">
        <v>3625</v>
      </c>
      <c r="AZ756" t="s">
        <v>3626</v>
      </c>
      <c r="BA756" t="s">
        <v>1874</v>
      </c>
      <c r="BB756" t="str">
        <f t="shared" si="11"/>
        <v>CIHPgoBilliri</v>
      </c>
    </row>
    <row r="757" spans="48:54" x14ac:dyDescent="0.25">
      <c r="AV757" t="s">
        <v>2127</v>
      </c>
      <c r="AW757" t="s">
        <v>1476</v>
      </c>
      <c r="AX757" t="s">
        <v>1949</v>
      </c>
      <c r="AY757" t="s">
        <v>3627</v>
      </c>
      <c r="AZ757" t="s">
        <v>3628</v>
      </c>
      <c r="BA757" t="s">
        <v>1874</v>
      </c>
      <c r="BB757" t="str">
        <f t="shared" si="11"/>
        <v>CIHPgoBilliri</v>
      </c>
    </row>
    <row r="758" spans="48:54" x14ac:dyDescent="0.25">
      <c r="AV758" t="s">
        <v>2127</v>
      </c>
      <c r="AW758" t="s">
        <v>1476</v>
      </c>
      <c r="AX758" t="s">
        <v>1949</v>
      </c>
      <c r="AY758" t="s">
        <v>3629</v>
      </c>
      <c r="AZ758" t="s">
        <v>3630</v>
      </c>
      <c r="BA758" t="s">
        <v>1874</v>
      </c>
      <c r="BB758" t="str">
        <f t="shared" si="11"/>
        <v>CIHPgoBilliri</v>
      </c>
    </row>
    <row r="759" spans="48:54" x14ac:dyDescent="0.25">
      <c r="AV759" t="s">
        <v>2127</v>
      </c>
      <c r="AW759" t="s">
        <v>1476</v>
      </c>
      <c r="AX759" t="s">
        <v>1950</v>
      </c>
      <c r="AY759" t="s">
        <v>3631</v>
      </c>
      <c r="AZ759" t="s">
        <v>3632</v>
      </c>
      <c r="BA759" t="s">
        <v>1874</v>
      </c>
      <c r="BB759" t="str">
        <f t="shared" si="11"/>
        <v>CIHPgoDukku</v>
      </c>
    </row>
    <row r="760" spans="48:54" x14ac:dyDescent="0.25">
      <c r="AV760" t="s">
        <v>2127</v>
      </c>
      <c r="AW760" t="s">
        <v>1476</v>
      </c>
      <c r="AX760" t="s">
        <v>1950</v>
      </c>
      <c r="AY760" t="s">
        <v>3633</v>
      </c>
      <c r="AZ760" t="s">
        <v>3634</v>
      </c>
      <c r="BA760" t="s">
        <v>1874</v>
      </c>
      <c r="BB760" t="str">
        <f t="shared" si="11"/>
        <v>CIHPgoDukku</v>
      </c>
    </row>
    <row r="761" spans="48:54" x14ac:dyDescent="0.25">
      <c r="AV761" t="s">
        <v>2127</v>
      </c>
      <c r="AW761" t="s">
        <v>1476</v>
      </c>
      <c r="AX761" t="s">
        <v>1951</v>
      </c>
      <c r="AY761" t="s">
        <v>3635</v>
      </c>
      <c r="AZ761" t="s">
        <v>3636</v>
      </c>
      <c r="BA761" t="s">
        <v>1874</v>
      </c>
      <c r="BB761" t="str">
        <f t="shared" si="11"/>
        <v>CIHPgoFunakaye</v>
      </c>
    </row>
    <row r="762" spans="48:54" x14ac:dyDescent="0.25">
      <c r="AV762" t="s">
        <v>2127</v>
      </c>
      <c r="AW762" t="s">
        <v>1476</v>
      </c>
      <c r="AX762" t="s">
        <v>1951</v>
      </c>
      <c r="AY762" t="s">
        <v>3637</v>
      </c>
      <c r="AZ762" t="s">
        <v>3638</v>
      </c>
      <c r="BA762" t="s">
        <v>1874</v>
      </c>
      <c r="BB762" t="str">
        <f t="shared" si="11"/>
        <v>CIHPgoFunakaye</v>
      </c>
    </row>
    <row r="763" spans="48:54" x14ac:dyDescent="0.25">
      <c r="AV763" t="s">
        <v>2127</v>
      </c>
      <c r="AW763" t="s">
        <v>1476</v>
      </c>
      <c r="AX763" t="s">
        <v>1951</v>
      </c>
      <c r="AY763" t="s">
        <v>3639</v>
      </c>
      <c r="AZ763" t="s">
        <v>3640</v>
      </c>
      <c r="BA763" t="s">
        <v>1874</v>
      </c>
      <c r="BB763" t="str">
        <f t="shared" si="11"/>
        <v>CIHPgoFunakaye</v>
      </c>
    </row>
    <row r="764" spans="48:54" x14ac:dyDescent="0.25">
      <c r="AV764" t="s">
        <v>2127</v>
      </c>
      <c r="AW764" t="s">
        <v>1476</v>
      </c>
      <c r="AX764" t="s">
        <v>1952</v>
      </c>
      <c r="AY764" t="s">
        <v>3641</v>
      </c>
      <c r="AZ764" t="s">
        <v>3642</v>
      </c>
      <c r="BA764" t="s">
        <v>1874</v>
      </c>
      <c r="BB764" t="str">
        <f t="shared" si="11"/>
        <v>CIHPgoGombe</v>
      </c>
    </row>
    <row r="765" spans="48:54" x14ac:dyDescent="0.25">
      <c r="AV765" t="s">
        <v>2127</v>
      </c>
      <c r="AW765" t="s">
        <v>1476</v>
      </c>
      <c r="AX765" t="s">
        <v>1952</v>
      </c>
      <c r="AY765" t="s">
        <v>3643</v>
      </c>
      <c r="AZ765" t="s">
        <v>3644</v>
      </c>
      <c r="BA765" t="s">
        <v>1874</v>
      </c>
      <c r="BB765" t="str">
        <f t="shared" si="11"/>
        <v>CIHPgoGombe</v>
      </c>
    </row>
    <row r="766" spans="48:54" x14ac:dyDescent="0.25">
      <c r="AV766" t="s">
        <v>2127</v>
      </c>
      <c r="AW766" t="s">
        <v>1476</v>
      </c>
      <c r="AX766" t="s">
        <v>1952</v>
      </c>
      <c r="AY766" t="s">
        <v>3645</v>
      </c>
      <c r="AZ766" t="s">
        <v>3646</v>
      </c>
      <c r="BA766" t="s">
        <v>1874</v>
      </c>
      <c r="BB766" t="str">
        <f t="shared" si="11"/>
        <v>CIHPgoGombe</v>
      </c>
    </row>
    <row r="767" spans="48:54" x14ac:dyDescent="0.25">
      <c r="AV767" t="s">
        <v>2127</v>
      </c>
      <c r="AW767" t="s">
        <v>1476</v>
      </c>
      <c r="AX767" t="s">
        <v>1952</v>
      </c>
      <c r="AY767" t="s">
        <v>3647</v>
      </c>
      <c r="AZ767" t="s">
        <v>3648</v>
      </c>
      <c r="BA767" t="s">
        <v>1874</v>
      </c>
      <c r="BB767" t="str">
        <f t="shared" si="11"/>
        <v>CIHPgoGombe</v>
      </c>
    </row>
    <row r="768" spans="48:54" x14ac:dyDescent="0.25">
      <c r="AV768" t="s">
        <v>2127</v>
      </c>
      <c r="AW768" t="s">
        <v>1476</v>
      </c>
      <c r="AX768" t="s">
        <v>1952</v>
      </c>
      <c r="AY768" t="s">
        <v>3649</v>
      </c>
      <c r="AZ768" t="s">
        <v>3650</v>
      </c>
      <c r="BA768" t="s">
        <v>1874</v>
      </c>
      <c r="BB768" t="str">
        <f t="shared" si="11"/>
        <v>CIHPgoGombe</v>
      </c>
    </row>
    <row r="769" spans="12:54" x14ac:dyDescent="0.25">
      <c r="AV769" t="s">
        <v>2127</v>
      </c>
      <c r="AW769" t="s">
        <v>1476</v>
      </c>
      <c r="AX769" t="s">
        <v>1952</v>
      </c>
      <c r="AY769" t="s">
        <v>3651</v>
      </c>
      <c r="AZ769" t="s">
        <v>3652</v>
      </c>
      <c r="BA769" t="s">
        <v>1874</v>
      </c>
      <c r="BB769" t="str">
        <f t="shared" si="11"/>
        <v>CIHPgoGombe</v>
      </c>
    </row>
    <row r="770" spans="12:54" x14ac:dyDescent="0.25">
      <c r="AV770" t="s">
        <v>2127</v>
      </c>
      <c r="AW770" t="s">
        <v>1476</v>
      </c>
      <c r="AX770" t="s">
        <v>1952</v>
      </c>
      <c r="AY770" t="s">
        <v>3653</v>
      </c>
      <c r="AZ770" t="s">
        <v>3654</v>
      </c>
      <c r="BA770" t="s">
        <v>1874</v>
      </c>
      <c r="BB770" t="str">
        <f t="shared" si="11"/>
        <v>CIHPgoGombe</v>
      </c>
    </row>
    <row r="771" spans="12:54" x14ac:dyDescent="0.25">
      <c r="AV771" t="s">
        <v>2127</v>
      </c>
      <c r="AW771" t="s">
        <v>1476</v>
      </c>
      <c r="AX771" t="s">
        <v>1952</v>
      </c>
      <c r="AY771" t="s">
        <v>3655</v>
      </c>
      <c r="AZ771" t="s">
        <v>3656</v>
      </c>
      <c r="BA771" t="s">
        <v>1874</v>
      </c>
      <c r="BB771" t="str">
        <f t="shared" ref="BB771:BB834" si="12">SUBSTITUTE(SUBSTITUTE(BA771&amp;AX771," ",""),"-","")</f>
        <v>CIHPgoGombe</v>
      </c>
    </row>
    <row r="772" spans="12:54" x14ac:dyDescent="0.25">
      <c r="AV772" t="s">
        <v>2127</v>
      </c>
      <c r="AW772" t="s">
        <v>1476</v>
      </c>
      <c r="AX772" t="s">
        <v>1952</v>
      </c>
      <c r="AY772" t="s">
        <v>3657</v>
      </c>
      <c r="AZ772" t="s">
        <v>3658</v>
      </c>
      <c r="BA772" t="s">
        <v>1874</v>
      </c>
      <c r="BB772" t="str">
        <f t="shared" si="12"/>
        <v>CIHPgoGombe</v>
      </c>
    </row>
    <row r="773" spans="12:54" x14ac:dyDescent="0.25">
      <c r="AV773" t="s">
        <v>2127</v>
      </c>
      <c r="AW773" t="s">
        <v>1476</v>
      </c>
      <c r="AX773" t="s">
        <v>1952</v>
      </c>
      <c r="AY773" t="s">
        <v>3659</v>
      </c>
      <c r="AZ773" t="s">
        <v>3660</v>
      </c>
      <c r="BA773" t="s">
        <v>1874</v>
      </c>
      <c r="BB773" t="str">
        <f t="shared" si="12"/>
        <v>CIHPgoGombe</v>
      </c>
    </row>
    <row r="774" spans="12:54" x14ac:dyDescent="0.25">
      <c r="AV774" t="s">
        <v>2127</v>
      </c>
      <c r="AW774" t="s">
        <v>1476</v>
      </c>
      <c r="AX774" t="s">
        <v>1952</v>
      </c>
      <c r="AY774" t="s">
        <v>3661</v>
      </c>
      <c r="AZ774" t="s">
        <v>3662</v>
      </c>
      <c r="BA774" t="s">
        <v>1874</v>
      </c>
      <c r="BB774" t="str">
        <f t="shared" si="12"/>
        <v>CIHPgoGombe</v>
      </c>
    </row>
    <row r="775" spans="12:54" x14ac:dyDescent="0.25">
      <c r="L775" s="65"/>
      <c r="M775" s="65"/>
      <c r="AV775" t="s">
        <v>2127</v>
      </c>
      <c r="AW775" t="s">
        <v>1476</v>
      </c>
      <c r="AX775" t="s">
        <v>1952</v>
      </c>
      <c r="AY775" t="s">
        <v>3663</v>
      </c>
      <c r="AZ775" t="s">
        <v>3664</v>
      </c>
      <c r="BA775" t="s">
        <v>1874</v>
      </c>
      <c r="BB775" t="str">
        <f t="shared" si="12"/>
        <v>CIHPgoGombe</v>
      </c>
    </row>
    <row r="776" spans="12:54" x14ac:dyDescent="0.25">
      <c r="AV776" t="s">
        <v>2127</v>
      </c>
      <c r="AW776" t="s">
        <v>1476</v>
      </c>
      <c r="AX776" t="s">
        <v>1952</v>
      </c>
      <c r="AY776" t="s">
        <v>3665</v>
      </c>
      <c r="AZ776" t="s">
        <v>3666</v>
      </c>
      <c r="BA776" t="s">
        <v>1874</v>
      </c>
      <c r="BB776" t="str">
        <f t="shared" si="12"/>
        <v>CIHPgoGombe</v>
      </c>
    </row>
    <row r="777" spans="12:54" x14ac:dyDescent="0.25">
      <c r="AV777" t="s">
        <v>2127</v>
      </c>
      <c r="AW777" t="s">
        <v>1476</v>
      </c>
      <c r="AX777" t="s">
        <v>1952</v>
      </c>
      <c r="AY777" t="s">
        <v>3667</v>
      </c>
      <c r="AZ777" t="s">
        <v>3668</v>
      </c>
      <c r="BA777" t="s">
        <v>1874</v>
      </c>
      <c r="BB777" t="str">
        <f t="shared" si="12"/>
        <v>CIHPgoGombe</v>
      </c>
    </row>
    <row r="778" spans="12:54" x14ac:dyDescent="0.25">
      <c r="AV778" t="s">
        <v>2127</v>
      </c>
      <c r="AW778" t="s">
        <v>1476</v>
      </c>
      <c r="AX778" t="s">
        <v>1952</v>
      </c>
      <c r="AY778" t="s">
        <v>3669</v>
      </c>
      <c r="AZ778" t="s">
        <v>3670</v>
      </c>
      <c r="BA778" t="s">
        <v>1874</v>
      </c>
      <c r="BB778" t="str">
        <f t="shared" si="12"/>
        <v>CIHPgoGombe</v>
      </c>
    </row>
    <row r="779" spans="12:54" x14ac:dyDescent="0.25">
      <c r="AV779" t="s">
        <v>2127</v>
      </c>
      <c r="AW779" t="s">
        <v>1476</v>
      </c>
      <c r="AX779" t="s">
        <v>1953</v>
      </c>
      <c r="AY779" t="s">
        <v>3671</v>
      </c>
      <c r="AZ779" t="s">
        <v>3672</v>
      </c>
      <c r="BA779" t="s">
        <v>1874</v>
      </c>
      <c r="BB779" t="str">
        <f t="shared" si="12"/>
        <v>CIHPgoKaltungo</v>
      </c>
    </row>
    <row r="780" spans="12:54" x14ac:dyDescent="0.25">
      <c r="AV780" t="s">
        <v>2127</v>
      </c>
      <c r="AW780" t="s">
        <v>1476</v>
      </c>
      <c r="AX780" t="s">
        <v>1953</v>
      </c>
      <c r="AY780" t="s">
        <v>3673</v>
      </c>
      <c r="AZ780" t="s">
        <v>3674</v>
      </c>
      <c r="BA780" t="s">
        <v>1874</v>
      </c>
      <c r="BB780" t="str">
        <f t="shared" si="12"/>
        <v>CIHPgoKaltungo</v>
      </c>
    </row>
    <row r="781" spans="12:54" x14ac:dyDescent="0.25">
      <c r="AV781" t="s">
        <v>2127</v>
      </c>
      <c r="AW781" t="s">
        <v>1476</v>
      </c>
      <c r="AX781" t="s">
        <v>1953</v>
      </c>
      <c r="AY781" t="s">
        <v>3675</v>
      </c>
      <c r="AZ781" t="s">
        <v>3676</v>
      </c>
      <c r="BA781" t="s">
        <v>1874</v>
      </c>
      <c r="BB781" t="str">
        <f t="shared" si="12"/>
        <v>CIHPgoKaltungo</v>
      </c>
    </row>
    <row r="782" spans="12:54" x14ac:dyDescent="0.25">
      <c r="AV782" t="s">
        <v>2127</v>
      </c>
      <c r="AW782" t="s">
        <v>1476</v>
      </c>
      <c r="AX782" t="s">
        <v>1953</v>
      </c>
      <c r="AY782" t="s">
        <v>3677</v>
      </c>
      <c r="AZ782" t="s">
        <v>3678</v>
      </c>
      <c r="BA782" t="s">
        <v>1874</v>
      </c>
      <c r="BB782" t="str">
        <f t="shared" si="12"/>
        <v>CIHPgoKaltungo</v>
      </c>
    </row>
    <row r="783" spans="12:54" x14ac:dyDescent="0.25">
      <c r="AV783" t="s">
        <v>2127</v>
      </c>
      <c r="AW783" t="s">
        <v>1476</v>
      </c>
      <c r="AX783" t="s">
        <v>1953</v>
      </c>
      <c r="AY783" t="s">
        <v>3679</v>
      </c>
      <c r="AZ783" t="s">
        <v>3680</v>
      </c>
      <c r="BA783" t="s">
        <v>1874</v>
      </c>
      <c r="BB783" t="str">
        <f t="shared" si="12"/>
        <v>CIHPgoKaltungo</v>
      </c>
    </row>
    <row r="784" spans="12:54" x14ac:dyDescent="0.25">
      <c r="AV784" t="s">
        <v>2127</v>
      </c>
      <c r="AW784" t="s">
        <v>1476</v>
      </c>
      <c r="AX784" t="s">
        <v>1953</v>
      </c>
      <c r="AY784" t="s">
        <v>3681</v>
      </c>
      <c r="AZ784" t="s">
        <v>3682</v>
      </c>
      <c r="BA784" t="s">
        <v>1874</v>
      </c>
      <c r="BB784" t="str">
        <f t="shared" si="12"/>
        <v>CIHPgoKaltungo</v>
      </c>
    </row>
    <row r="785" spans="48:54" x14ac:dyDescent="0.25">
      <c r="AV785" t="s">
        <v>2127</v>
      </c>
      <c r="AW785" t="s">
        <v>1476</v>
      </c>
      <c r="AX785" t="s">
        <v>1953</v>
      </c>
      <c r="AY785" t="s">
        <v>3683</v>
      </c>
      <c r="AZ785" t="s">
        <v>3684</v>
      </c>
      <c r="BA785" t="s">
        <v>1874</v>
      </c>
      <c r="BB785" t="str">
        <f t="shared" si="12"/>
        <v>CIHPgoKaltungo</v>
      </c>
    </row>
    <row r="786" spans="48:54" x14ac:dyDescent="0.25">
      <c r="AV786" t="s">
        <v>2127</v>
      </c>
      <c r="AW786" t="s">
        <v>1476</v>
      </c>
      <c r="AX786" t="s">
        <v>1954</v>
      </c>
      <c r="AY786" t="s">
        <v>3685</v>
      </c>
      <c r="AZ786" t="s">
        <v>3686</v>
      </c>
      <c r="BA786" t="s">
        <v>1874</v>
      </c>
      <c r="BB786" t="str">
        <f t="shared" si="12"/>
        <v>CIHPgoKwami</v>
      </c>
    </row>
    <row r="787" spans="48:54" x14ac:dyDescent="0.25">
      <c r="AV787" t="s">
        <v>2127</v>
      </c>
      <c r="AW787" t="s">
        <v>1476</v>
      </c>
      <c r="AX787" t="s">
        <v>1954</v>
      </c>
      <c r="AY787" t="s">
        <v>3687</v>
      </c>
      <c r="AZ787" t="s">
        <v>3688</v>
      </c>
      <c r="BA787" t="s">
        <v>1874</v>
      </c>
      <c r="BB787" t="str">
        <f t="shared" si="12"/>
        <v>CIHPgoKwami</v>
      </c>
    </row>
    <row r="788" spans="48:54" x14ac:dyDescent="0.25">
      <c r="AV788" t="s">
        <v>2127</v>
      </c>
      <c r="AW788" t="s">
        <v>1476</v>
      </c>
      <c r="AX788" t="s">
        <v>1955</v>
      </c>
      <c r="AY788" t="s">
        <v>3689</v>
      </c>
      <c r="AZ788" t="s">
        <v>3690</v>
      </c>
      <c r="BA788" t="s">
        <v>1874</v>
      </c>
      <c r="BB788" t="str">
        <f t="shared" si="12"/>
        <v>CIHPgoNafada</v>
      </c>
    </row>
    <row r="789" spans="48:54" x14ac:dyDescent="0.25">
      <c r="AV789" t="s">
        <v>2127</v>
      </c>
      <c r="AW789" t="s">
        <v>1476</v>
      </c>
      <c r="AX789" t="s">
        <v>1956</v>
      </c>
      <c r="AY789" t="s">
        <v>3691</v>
      </c>
      <c r="AZ789" t="s">
        <v>3692</v>
      </c>
      <c r="BA789" t="s">
        <v>1874</v>
      </c>
      <c r="BB789" t="str">
        <f t="shared" si="12"/>
        <v>CIHPgoShongom</v>
      </c>
    </row>
    <row r="790" spans="48:54" x14ac:dyDescent="0.25">
      <c r="AV790" t="s">
        <v>2127</v>
      </c>
      <c r="AW790" t="s">
        <v>1476</v>
      </c>
      <c r="AX790" t="s">
        <v>1956</v>
      </c>
      <c r="AY790" t="s">
        <v>3693</v>
      </c>
      <c r="AZ790" t="s">
        <v>3694</v>
      </c>
      <c r="BA790" t="s">
        <v>1874</v>
      </c>
      <c r="BB790" t="str">
        <f t="shared" si="12"/>
        <v>CIHPgoShongom</v>
      </c>
    </row>
    <row r="791" spans="48:54" x14ac:dyDescent="0.25">
      <c r="AV791" t="s">
        <v>2127</v>
      </c>
      <c r="AW791" t="s">
        <v>1479</v>
      </c>
      <c r="AX791" t="s">
        <v>1986</v>
      </c>
      <c r="AY791" t="s">
        <v>3695</v>
      </c>
      <c r="AZ791" t="s">
        <v>3696</v>
      </c>
      <c r="BA791" t="s">
        <v>1874</v>
      </c>
      <c r="BB791" t="str">
        <f t="shared" si="12"/>
        <v>CIHPkdChikun</v>
      </c>
    </row>
    <row r="792" spans="48:54" x14ac:dyDescent="0.25">
      <c r="AV792" t="s">
        <v>2127</v>
      </c>
      <c r="AW792" t="s">
        <v>1479</v>
      </c>
      <c r="AX792" t="s">
        <v>1986</v>
      </c>
      <c r="AY792" t="s">
        <v>3697</v>
      </c>
      <c r="AZ792" t="s">
        <v>3698</v>
      </c>
      <c r="BA792" t="s">
        <v>1874</v>
      </c>
      <c r="BB792" t="str">
        <f t="shared" si="12"/>
        <v>CIHPkdChikun</v>
      </c>
    </row>
    <row r="793" spans="48:54" x14ac:dyDescent="0.25">
      <c r="AV793" t="s">
        <v>2127</v>
      </c>
      <c r="AW793" t="s">
        <v>1479</v>
      </c>
      <c r="AX793" t="s">
        <v>1986</v>
      </c>
      <c r="AY793" t="s">
        <v>3699</v>
      </c>
      <c r="AZ793" t="s">
        <v>3700</v>
      </c>
      <c r="BA793" t="s">
        <v>1874</v>
      </c>
      <c r="BB793" t="str">
        <f t="shared" si="12"/>
        <v>CIHPkdChikun</v>
      </c>
    </row>
    <row r="794" spans="48:54" x14ac:dyDescent="0.25">
      <c r="AV794" t="s">
        <v>2127</v>
      </c>
      <c r="AW794" t="s">
        <v>1479</v>
      </c>
      <c r="AX794" t="s">
        <v>1986</v>
      </c>
      <c r="AY794" t="s">
        <v>3701</v>
      </c>
      <c r="AZ794" t="s">
        <v>3702</v>
      </c>
      <c r="BA794" t="s">
        <v>1874</v>
      </c>
      <c r="BB794" t="str">
        <f t="shared" si="12"/>
        <v>CIHPkdChikun</v>
      </c>
    </row>
    <row r="795" spans="48:54" x14ac:dyDescent="0.25">
      <c r="AV795" t="s">
        <v>2127</v>
      </c>
      <c r="AW795" t="s">
        <v>1479</v>
      </c>
      <c r="AX795" t="s">
        <v>1986</v>
      </c>
      <c r="AY795" t="s">
        <v>3703</v>
      </c>
      <c r="AZ795" t="s">
        <v>3704</v>
      </c>
      <c r="BA795" t="s">
        <v>1874</v>
      </c>
      <c r="BB795" t="str">
        <f t="shared" si="12"/>
        <v>CIHPkdChikun</v>
      </c>
    </row>
    <row r="796" spans="48:54" x14ac:dyDescent="0.25">
      <c r="AV796" t="s">
        <v>2127</v>
      </c>
      <c r="AW796" t="s">
        <v>1479</v>
      </c>
      <c r="AX796" t="s">
        <v>1986</v>
      </c>
      <c r="AY796" t="s">
        <v>3705</v>
      </c>
      <c r="AZ796" t="s">
        <v>3706</v>
      </c>
      <c r="BA796" t="s">
        <v>1874</v>
      </c>
      <c r="BB796" t="str">
        <f t="shared" si="12"/>
        <v>CIHPkdChikun</v>
      </c>
    </row>
    <row r="797" spans="48:54" x14ac:dyDescent="0.25">
      <c r="AV797" t="s">
        <v>2127</v>
      </c>
      <c r="AW797" t="s">
        <v>1479</v>
      </c>
      <c r="AX797" t="s">
        <v>1993</v>
      </c>
      <c r="AY797" t="s">
        <v>3707</v>
      </c>
      <c r="AZ797" t="s">
        <v>3708</v>
      </c>
      <c r="BA797" t="s">
        <v>1874</v>
      </c>
      <c r="BB797" t="str">
        <f t="shared" si="12"/>
        <v>CIHPkdIgabi</v>
      </c>
    </row>
    <row r="798" spans="48:54" x14ac:dyDescent="0.25">
      <c r="AV798" t="s">
        <v>2127</v>
      </c>
      <c r="AW798" t="s">
        <v>1479</v>
      </c>
      <c r="AX798" t="s">
        <v>1994</v>
      </c>
      <c r="AY798" t="s">
        <v>3709</v>
      </c>
      <c r="AZ798" t="s">
        <v>3710</v>
      </c>
      <c r="BA798" t="s">
        <v>1874</v>
      </c>
      <c r="BB798" t="str">
        <f t="shared" si="12"/>
        <v>CIHPkdJaba</v>
      </c>
    </row>
    <row r="799" spans="48:54" x14ac:dyDescent="0.25">
      <c r="AV799" t="s">
        <v>2127</v>
      </c>
      <c r="AW799" t="s">
        <v>1479</v>
      </c>
      <c r="AX799" t="s">
        <v>1994</v>
      </c>
      <c r="AY799" t="s">
        <v>3711</v>
      </c>
      <c r="AZ799" t="s">
        <v>3712</v>
      </c>
      <c r="BA799" t="s">
        <v>1874</v>
      </c>
      <c r="BB799" t="str">
        <f t="shared" si="12"/>
        <v>CIHPkdJaba</v>
      </c>
    </row>
    <row r="800" spans="48:54" x14ac:dyDescent="0.25">
      <c r="AV800" t="s">
        <v>2127</v>
      </c>
      <c r="AW800" t="s">
        <v>1479</v>
      </c>
      <c r="AX800" t="s">
        <v>1994</v>
      </c>
      <c r="AY800" t="s">
        <v>3713</v>
      </c>
      <c r="AZ800" t="s">
        <v>3714</v>
      </c>
      <c r="BA800" t="s">
        <v>1874</v>
      </c>
      <c r="BB800" t="str">
        <f t="shared" si="12"/>
        <v>CIHPkdJaba</v>
      </c>
    </row>
    <row r="801" spans="48:54" x14ac:dyDescent="0.25">
      <c r="AV801" t="s">
        <v>2127</v>
      </c>
      <c r="AW801" t="s">
        <v>1479</v>
      </c>
      <c r="AX801" t="s">
        <v>1994</v>
      </c>
      <c r="AY801" t="s">
        <v>3715</v>
      </c>
      <c r="AZ801" t="s">
        <v>3716</v>
      </c>
      <c r="BA801" t="s">
        <v>1874</v>
      </c>
      <c r="BB801" t="str">
        <f t="shared" si="12"/>
        <v>CIHPkdJaba</v>
      </c>
    </row>
    <row r="802" spans="48:54" x14ac:dyDescent="0.25">
      <c r="AV802" t="s">
        <v>2127</v>
      </c>
      <c r="AW802" t="s">
        <v>1479</v>
      </c>
      <c r="AX802" t="s">
        <v>1994</v>
      </c>
      <c r="AY802" t="s">
        <v>3717</v>
      </c>
      <c r="AZ802" t="s">
        <v>3718</v>
      </c>
      <c r="BA802" t="s">
        <v>1874</v>
      </c>
      <c r="BB802" t="str">
        <f t="shared" si="12"/>
        <v>CIHPkdJaba</v>
      </c>
    </row>
    <row r="803" spans="48:54" x14ac:dyDescent="0.25">
      <c r="AV803" t="s">
        <v>2127</v>
      </c>
      <c r="AW803" t="s">
        <v>1479</v>
      </c>
      <c r="AX803" t="s">
        <v>1987</v>
      </c>
      <c r="AY803" t="s">
        <v>3719</v>
      </c>
      <c r="AZ803" t="s">
        <v>3720</v>
      </c>
      <c r="BA803" t="s">
        <v>1874</v>
      </c>
      <c r="BB803" t="str">
        <f t="shared" si="12"/>
        <v>CIHPkdJema'a</v>
      </c>
    </row>
    <row r="804" spans="48:54" x14ac:dyDescent="0.25">
      <c r="AV804" t="s">
        <v>2127</v>
      </c>
      <c r="AW804" t="s">
        <v>1479</v>
      </c>
      <c r="AX804" t="s">
        <v>1987</v>
      </c>
      <c r="AY804" t="s">
        <v>3721</v>
      </c>
      <c r="AZ804" t="s">
        <v>3722</v>
      </c>
      <c r="BA804" t="s">
        <v>1874</v>
      </c>
      <c r="BB804" t="str">
        <f t="shared" si="12"/>
        <v>CIHPkdJema'a</v>
      </c>
    </row>
    <row r="805" spans="48:54" x14ac:dyDescent="0.25">
      <c r="AV805" t="s">
        <v>2127</v>
      </c>
      <c r="AW805" t="s">
        <v>1479</v>
      </c>
      <c r="AX805" t="s">
        <v>1987</v>
      </c>
      <c r="AY805" t="s">
        <v>3723</v>
      </c>
      <c r="AZ805" t="s">
        <v>3724</v>
      </c>
      <c r="BA805" t="s">
        <v>1874</v>
      </c>
      <c r="BB805" t="str">
        <f t="shared" si="12"/>
        <v>CIHPkdJema'a</v>
      </c>
    </row>
    <row r="806" spans="48:54" x14ac:dyDescent="0.25">
      <c r="AV806" t="s">
        <v>2127</v>
      </c>
      <c r="AW806" t="s">
        <v>1479</v>
      </c>
      <c r="AX806" t="s">
        <v>1987</v>
      </c>
      <c r="AY806" t="s">
        <v>3725</v>
      </c>
      <c r="AZ806" t="s">
        <v>3726</v>
      </c>
      <c r="BA806" t="s">
        <v>1874</v>
      </c>
      <c r="BB806" t="str">
        <f t="shared" si="12"/>
        <v>CIHPkdJema'a</v>
      </c>
    </row>
    <row r="807" spans="48:54" x14ac:dyDescent="0.25">
      <c r="AV807" t="s">
        <v>2127</v>
      </c>
      <c r="AW807" t="s">
        <v>1479</v>
      </c>
      <c r="AX807" t="s">
        <v>1987</v>
      </c>
      <c r="AY807" t="s">
        <v>3727</v>
      </c>
      <c r="AZ807" t="s">
        <v>3728</v>
      </c>
      <c r="BA807" t="s">
        <v>1874</v>
      </c>
      <c r="BB807" t="str">
        <f t="shared" si="12"/>
        <v>CIHPkdJema'a</v>
      </c>
    </row>
    <row r="808" spans="48:54" x14ac:dyDescent="0.25">
      <c r="AV808" t="s">
        <v>2127</v>
      </c>
      <c r="AW808" t="s">
        <v>1479</v>
      </c>
      <c r="AX808" t="s">
        <v>1987</v>
      </c>
      <c r="AY808" t="s">
        <v>3729</v>
      </c>
      <c r="AZ808" t="s">
        <v>3730</v>
      </c>
      <c r="BA808" t="s">
        <v>1874</v>
      </c>
      <c r="BB808" t="str">
        <f t="shared" si="12"/>
        <v>CIHPkdJema'a</v>
      </c>
    </row>
    <row r="809" spans="48:54" x14ac:dyDescent="0.25">
      <c r="AV809" t="s">
        <v>2127</v>
      </c>
      <c r="AW809" t="s">
        <v>1479</v>
      </c>
      <c r="AX809" t="s">
        <v>1987</v>
      </c>
      <c r="AY809" t="s">
        <v>3731</v>
      </c>
      <c r="AZ809" t="s">
        <v>3732</v>
      </c>
      <c r="BA809" t="s">
        <v>1874</v>
      </c>
      <c r="BB809" t="str">
        <f t="shared" si="12"/>
        <v>CIHPkdJema'a</v>
      </c>
    </row>
    <row r="810" spans="48:54" x14ac:dyDescent="0.25">
      <c r="AV810" t="s">
        <v>2127</v>
      </c>
      <c r="AW810" t="s">
        <v>1479</v>
      </c>
      <c r="AX810" t="s">
        <v>1987</v>
      </c>
      <c r="AY810" t="s">
        <v>3733</v>
      </c>
      <c r="AZ810" t="s">
        <v>3734</v>
      </c>
      <c r="BA810" t="s">
        <v>1874</v>
      </c>
      <c r="BB810" t="str">
        <f t="shared" si="12"/>
        <v>CIHPkdJema'a</v>
      </c>
    </row>
    <row r="811" spans="48:54" x14ac:dyDescent="0.25">
      <c r="AV811" t="s">
        <v>2127</v>
      </c>
      <c r="AW811" t="s">
        <v>1479</v>
      </c>
      <c r="AX811" t="s">
        <v>1987</v>
      </c>
      <c r="AY811" t="s">
        <v>3735</v>
      </c>
      <c r="AZ811" t="s">
        <v>3736</v>
      </c>
      <c r="BA811" t="s">
        <v>1874</v>
      </c>
      <c r="BB811" t="str">
        <f t="shared" si="12"/>
        <v>CIHPkdJema'a</v>
      </c>
    </row>
    <row r="812" spans="48:54" x14ac:dyDescent="0.25">
      <c r="AV812" t="s">
        <v>2127</v>
      </c>
      <c r="AW812" t="s">
        <v>1479</v>
      </c>
      <c r="AX812" t="s">
        <v>1987</v>
      </c>
      <c r="AY812" t="s">
        <v>3737</v>
      </c>
      <c r="AZ812" t="s">
        <v>3738</v>
      </c>
      <c r="BA812" t="s">
        <v>1874</v>
      </c>
      <c r="BB812" t="str">
        <f t="shared" si="12"/>
        <v>CIHPkdJema'a</v>
      </c>
    </row>
    <row r="813" spans="48:54" x14ac:dyDescent="0.25">
      <c r="AV813" t="s">
        <v>2127</v>
      </c>
      <c r="AW813" t="s">
        <v>1479</v>
      </c>
      <c r="AX813" t="s">
        <v>1995</v>
      </c>
      <c r="AY813" t="s">
        <v>3739</v>
      </c>
      <c r="AZ813" t="s">
        <v>3740</v>
      </c>
      <c r="BA813" t="s">
        <v>1874</v>
      </c>
      <c r="BB813" t="str">
        <f t="shared" si="12"/>
        <v>CIHPkdKachia</v>
      </c>
    </row>
    <row r="814" spans="48:54" x14ac:dyDescent="0.25">
      <c r="AV814" t="s">
        <v>2127</v>
      </c>
      <c r="AW814" t="s">
        <v>1479</v>
      </c>
      <c r="AX814" t="s">
        <v>1995</v>
      </c>
      <c r="AY814" t="s">
        <v>3741</v>
      </c>
      <c r="AZ814" t="s">
        <v>3742</v>
      </c>
      <c r="BA814" t="s">
        <v>1874</v>
      </c>
      <c r="BB814" t="str">
        <f t="shared" si="12"/>
        <v>CIHPkdKachia</v>
      </c>
    </row>
    <row r="815" spans="48:54" x14ac:dyDescent="0.25">
      <c r="AV815" t="s">
        <v>2127</v>
      </c>
      <c r="AW815" t="s">
        <v>1479</v>
      </c>
      <c r="AX815" t="s">
        <v>1995</v>
      </c>
      <c r="AY815" t="s">
        <v>3743</v>
      </c>
      <c r="AZ815" t="s">
        <v>3744</v>
      </c>
      <c r="BA815" t="s">
        <v>1874</v>
      </c>
      <c r="BB815" t="str">
        <f t="shared" si="12"/>
        <v>CIHPkdKachia</v>
      </c>
    </row>
    <row r="816" spans="48:54" x14ac:dyDescent="0.25">
      <c r="AV816" t="s">
        <v>2127</v>
      </c>
      <c r="AW816" t="s">
        <v>1479</v>
      </c>
      <c r="AX816" t="s">
        <v>1996</v>
      </c>
      <c r="AY816" t="s">
        <v>3745</v>
      </c>
      <c r="AZ816" t="s">
        <v>3746</v>
      </c>
      <c r="BA816" t="s">
        <v>1874</v>
      </c>
      <c r="BB816" t="str">
        <f t="shared" si="12"/>
        <v>CIHPkdKadunaNorth</v>
      </c>
    </row>
    <row r="817" spans="48:54" x14ac:dyDescent="0.25">
      <c r="AV817" t="s">
        <v>2127</v>
      </c>
      <c r="AW817" t="s">
        <v>1479</v>
      </c>
      <c r="AX817" t="s">
        <v>1996</v>
      </c>
      <c r="AY817" t="s">
        <v>3747</v>
      </c>
      <c r="AZ817" t="s">
        <v>3748</v>
      </c>
      <c r="BA817" t="s">
        <v>1874</v>
      </c>
      <c r="BB817" t="str">
        <f t="shared" si="12"/>
        <v>CIHPkdKadunaNorth</v>
      </c>
    </row>
    <row r="818" spans="48:54" x14ac:dyDescent="0.25">
      <c r="AV818" t="s">
        <v>2127</v>
      </c>
      <c r="AW818" t="s">
        <v>1479</v>
      </c>
      <c r="AX818" t="s">
        <v>1996</v>
      </c>
      <c r="AY818" t="s">
        <v>3749</v>
      </c>
      <c r="AZ818" t="s">
        <v>3750</v>
      </c>
      <c r="BA818" t="s">
        <v>1874</v>
      </c>
      <c r="BB818" t="str">
        <f t="shared" si="12"/>
        <v>CIHPkdKadunaNorth</v>
      </c>
    </row>
    <row r="819" spans="48:54" x14ac:dyDescent="0.25">
      <c r="AV819" t="s">
        <v>2127</v>
      </c>
      <c r="AW819" t="s">
        <v>1479</v>
      </c>
      <c r="AX819" t="s">
        <v>1996</v>
      </c>
      <c r="AY819" t="s">
        <v>3751</v>
      </c>
      <c r="AZ819" t="s">
        <v>3752</v>
      </c>
      <c r="BA819" t="s">
        <v>1874</v>
      </c>
      <c r="BB819" t="str">
        <f t="shared" si="12"/>
        <v>CIHPkdKadunaNorth</v>
      </c>
    </row>
    <row r="820" spans="48:54" x14ac:dyDescent="0.25">
      <c r="AV820" t="s">
        <v>2127</v>
      </c>
      <c r="AW820" t="s">
        <v>1479</v>
      </c>
      <c r="AX820" t="s">
        <v>1996</v>
      </c>
      <c r="AY820" t="s">
        <v>3753</v>
      </c>
      <c r="AZ820" t="s">
        <v>3754</v>
      </c>
      <c r="BA820" t="s">
        <v>1874</v>
      </c>
      <c r="BB820" t="str">
        <f t="shared" si="12"/>
        <v>CIHPkdKadunaNorth</v>
      </c>
    </row>
    <row r="821" spans="48:54" x14ac:dyDescent="0.25">
      <c r="AV821" t="s">
        <v>2127</v>
      </c>
      <c r="AW821" t="s">
        <v>1479</v>
      </c>
      <c r="AX821" t="s">
        <v>1996</v>
      </c>
      <c r="AY821" t="s">
        <v>3755</v>
      </c>
      <c r="AZ821" t="s">
        <v>3756</v>
      </c>
      <c r="BA821" t="s">
        <v>1874</v>
      </c>
      <c r="BB821" t="str">
        <f t="shared" si="12"/>
        <v>CIHPkdKadunaNorth</v>
      </c>
    </row>
    <row r="822" spans="48:54" x14ac:dyDescent="0.25">
      <c r="AV822" t="s">
        <v>2127</v>
      </c>
      <c r="AW822" t="s">
        <v>1479</v>
      </c>
      <c r="AX822" t="s">
        <v>1996</v>
      </c>
      <c r="AY822" t="s">
        <v>3757</v>
      </c>
      <c r="AZ822" t="s">
        <v>3758</v>
      </c>
      <c r="BA822" t="s">
        <v>1874</v>
      </c>
      <c r="BB822" t="str">
        <f t="shared" si="12"/>
        <v>CIHPkdKadunaNorth</v>
      </c>
    </row>
    <row r="823" spans="48:54" x14ac:dyDescent="0.25">
      <c r="AV823" t="s">
        <v>2127</v>
      </c>
      <c r="AW823" t="s">
        <v>1479</v>
      </c>
      <c r="AX823" t="s">
        <v>1996</v>
      </c>
      <c r="AY823" t="s">
        <v>3759</v>
      </c>
      <c r="AZ823" t="s">
        <v>3760</v>
      </c>
      <c r="BA823" t="s">
        <v>1874</v>
      </c>
      <c r="BB823" t="str">
        <f t="shared" si="12"/>
        <v>CIHPkdKadunaNorth</v>
      </c>
    </row>
    <row r="824" spans="48:54" x14ac:dyDescent="0.25">
      <c r="AV824" t="s">
        <v>2127</v>
      </c>
      <c r="AW824" t="s">
        <v>1479</v>
      </c>
      <c r="AX824" t="s">
        <v>1988</v>
      </c>
      <c r="AY824" t="s">
        <v>3761</v>
      </c>
      <c r="AZ824" t="s">
        <v>3762</v>
      </c>
      <c r="BA824" t="s">
        <v>1874</v>
      </c>
      <c r="BB824" t="str">
        <f t="shared" si="12"/>
        <v>CIHPkdKadunaSouth</v>
      </c>
    </row>
    <row r="825" spans="48:54" x14ac:dyDescent="0.25">
      <c r="AV825" t="s">
        <v>2127</v>
      </c>
      <c r="AW825" t="s">
        <v>1479</v>
      </c>
      <c r="AX825" t="s">
        <v>1988</v>
      </c>
      <c r="AY825" t="s">
        <v>3763</v>
      </c>
      <c r="AZ825" t="s">
        <v>3764</v>
      </c>
      <c r="BA825" t="s">
        <v>1874</v>
      </c>
      <c r="BB825" t="str">
        <f t="shared" si="12"/>
        <v>CIHPkdKadunaSouth</v>
      </c>
    </row>
    <row r="826" spans="48:54" x14ac:dyDescent="0.25">
      <c r="AV826" t="s">
        <v>2127</v>
      </c>
      <c r="AW826" t="s">
        <v>1479</v>
      </c>
      <c r="AX826" t="s">
        <v>1988</v>
      </c>
      <c r="AY826" t="s">
        <v>3765</v>
      </c>
      <c r="AZ826" t="s">
        <v>3766</v>
      </c>
      <c r="BA826" t="s">
        <v>1874</v>
      </c>
      <c r="BB826" t="str">
        <f t="shared" si="12"/>
        <v>CIHPkdKadunaSouth</v>
      </c>
    </row>
    <row r="827" spans="48:54" x14ac:dyDescent="0.25">
      <c r="AV827" t="s">
        <v>2127</v>
      </c>
      <c r="AW827" t="s">
        <v>1479</v>
      </c>
      <c r="AX827" t="s">
        <v>1988</v>
      </c>
      <c r="AY827" t="s">
        <v>3767</v>
      </c>
      <c r="AZ827" t="s">
        <v>3768</v>
      </c>
      <c r="BA827" t="s">
        <v>1874</v>
      </c>
      <c r="BB827" t="str">
        <f t="shared" si="12"/>
        <v>CIHPkdKadunaSouth</v>
      </c>
    </row>
    <row r="828" spans="48:54" x14ac:dyDescent="0.25">
      <c r="AV828" t="s">
        <v>2127</v>
      </c>
      <c r="AW828" t="s">
        <v>1479</v>
      </c>
      <c r="AX828" t="s">
        <v>1988</v>
      </c>
      <c r="AY828" t="s">
        <v>3769</v>
      </c>
      <c r="AZ828" t="s">
        <v>3770</v>
      </c>
      <c r="BA828" t="s">
        <v>1874</v>
      </c>
      <c r="BB828" t="str">
        <f t="shared" si="12"/>
        <v>CIHPkdKadunaSouth</v>
      </c>
    </row>
    <row r="829" spans="48:54" x14ac:dyDescent="0.25">
      <c r="AV829" t="s">
        <v>2127</v>
      </c>
      <c r="AW829" t="s">
        <v>1479</v>
      </c>
      <c r="AX829" t="s">
        <v>1988</v>
      </c>
      <c r="AY829" t="s">
        <v>3771</v>
      </c>
      <c r="AZ829" t="s">
        <v>3772</v>
      </c>
      <c r="BA829" t="s">
        <v>1874</v>
      </c>
      <c r="BB829" t="str">
        <f t="shared" si="12"/>
        <v>CIHPkdKadunaSouth</v>
      </c>
    </row>
    <row r="830" spans="48:54" x14ac:dyDescent="0.25">
      <c r="AV830" t="s">
        <v>2127</v>
      </c>
      <c r="AW830" t="s">
        <v>1479</v>
      </c>
      <c r="AX830" t="s">
        <v>1988</v>
      </c>
      <c r="AY830" t="s">
        <v>3773</v>
      </c>
      <c r="AZ830" t="s">
        <v>3774</v>
      </c>
      <c r="BA830" t="s">
        <v>1874</v>
      </c>
      <c r="BB830" t="str">
        <f t="shared" si="12"/>
        <v>CIHPkdKadunaSouth</v>
      </c>
    </row>
    <row r="831" spans="48:54" x14ac:dyDescent="0.25">
      <c r="AV831" t="s">
        <v>2127</v>
      </c>
      <c r="AW831" t="s">
        <v>1479</v>
      </c>
      <c r="AX831" t="s">
        <v>1988</v>
      </c>
      <c r="AY831" t="s">
        <v>3775</v>
      </c>
      <c r="AZ831" t="s">
        <v>3776</v>
      </c>
      <c r="BA831" t="s">
        <v>1874</v>
      </c>
      <c r="BB831" t="str">
        <f t="shared" si="12"/>
        <v>CIHPkdKadunaSouth</v>
      </c>
    </row>
    <row r="832" spans="48:54" x14ac:dyDescent="0.25">
      <c r="AV832" t="s">
        <v>2127</v>
      </c>
      <c r="AW832" t="s">
        <v>1479</v>
      </c>
      <c r="AX832" t="s">
        <v>1988</v>
      </c>
      <c r="AY832" t="s">
        <v>3777</v>
      </c>
      <c r="AZ832" t="s">
        <v>3778</v>
      </c>
      <c r="BA832" t="s">
        <v>1874</v>
      </c>
      <c r="BB832" t="str">
        <f t="shared" si="12"/>
        <v>CIHPkdKadunaSouth</v>
      </c>
    </row>
    <row r="833" spans="48:54" x14ac:dyDescent="0.25">
      <c r="AV833" t="s">
        <v>2127</v>
      </c>
      <c r="AW833" t="s">
        <v>1479</v>
      </c>
      <c r="AX833" t="s">
        <v>1988</v>
      </c>
      <c r="AY833" t="s">
        <v>3779</v>
      </c>
      <c r="AZ833" t="s">
        <v>3780</v>
      </c>
      <c r="BA833" t="s">
        <v>1874</v>
      </c>
      <c r="BB833" t="str">
        <f t="shared" si="12"/>
        <v>CIHPkdKadunaSouth</v>
      </c>
    </row>
    <row r="834" spans="48:54" x14ac:dyDescent="0.25">
      <c r="AV834" t="s">
        <v>2127</v>
      </c>
      <c r="AW834" t="s">
        <v>1479</v>
      </c>
      <c r="AX834" t="s">
        <v>1988</v>
      </c>
      <c r="AY834" t="s">
        <v>3781</v>
      </c>
      <c r="AZ834" t="s">
        <v>3782</v>
      </c>
      <c r="BA834" t="s">
        <v>1874</v>
      </c>
      <c r="BB834" t="str">
        <f t="shared" si="12"/>
        <v>CIHPkdKadunaSouth</v>
      </c>
    </row>
    <row r="835" spans="48:54" x14ac:dyDescent="0.25">
      <c r="AV835" t="s">
        <v>2127</v>
      </c>
      <c r="AW835" t="s">
        <v>1479</v>
      </c>
      <c r="AX835" t="s">
        <v>1988</v>
      </c>
      <c r="AY835" t="s">
        <v>3783</v>
      </c>
      <c r="AZ835" t="s">
        <v>3784</v>
      </c>
      <c r="BA835" t="s">
        <v>1874</v>
      </c>
      <c r="BB835" t="str">
        <f t="shared" ref="BB835:BB898" si="13">SUBSTITUTE(SUBSTITUTE(BA835&amp;AX835," ",""),"-","")</f>
        <v>CIHPkdKadunaSouth</v>
      </c>
    </row>
    <row r="836" spans="48:54" x14ac:dyDescent="0.25">
      <c r="AV836" t="s">
        <v>2127</v>
      </c>
      <c r="AW836" t="s">
        <v>1479</v>
      </c>
      <c r="AX836" t="s">
        <v>1988</v>
      </c>
      <c r="AY836" t="s">
        <v>3785</v>
      </c>
      <c r="AZ836" t="s">
        <v>3786</v>
      </c>
      <c r="BA836" t="s">
        <v>1874</v>
      </c>
      <c r="BB836" t="str">
        <f t="shared" si="13"/>
        <v>CIHPkdKadunaSouth</v>
      </c>
    </row>
    <row r="837" spans="48:54" x14ac:dyDescent="0.25">
      <c r="AV837" t="s">
        <v>2127</v>
      </c>
      <c r="AW837" t="s">
        <v>1479</v>
      </c>
      <c r="AX837" t="s">
        <v>1997</v>
      </c>
      <c r="AY837" t="s">
        <v>3787</v>
      </c>
      <c r="AZ837" t="s">
        <v>3788</v>
      </c>
      <c r="BA837" t="s">
        <v>1874</v>
      </c>
      <c r="BB837" t="str">
        <f t="shared" si="13"/>
        <v>CIHPkdKagarko</v>
      </c>
    </row>
    <row r="838" spans="48:54" x14ac:dyDescent="0.25">
      <c r="AV838" t="s">
        <v>2127</v>
      </c>
      <c r="AW838" t="s">
        <v>1479</v>
      </c>
      <c r="AX838" t="s">
        <v>1997</v>
      </c>
      <c r="AY838" t="s">
        <v>3789</v>
      </c>
      <c r="AZ838" t="s">
        <v>3790</v>
      </c>
      <c r="BA838" t="s">
        <v>1874</v>
      </c>
      <c r="BB838" t="str">
        <f t="shared" si="13"/>
        <v>CIHPkdKagarko</v>
      </c>
    </row>
    <row r="839" spans="48:54" x14ac:dyDescent="0.25">
      <c r="AV839" t="s">
        <v>2127</v>
      </c>
      <c r="AW839" t="s">
        <v>1479</v>
      </c>
      <c r="AX839" t="s">
        <v>1998</v>
      </c>
      <c r="AY839" t="s">
        <v>3791</v>
      </c>
      <c r="AZ839" t="s">
        <v>3792</v>
      </c>
      <c r="BA839" t="s">
        <v>1874</v>
      </c>
      <c r="BB839" t="str">
        <f t="shared" si="13"/>
        <v>CIHPkdKajuru</v>
      </c>
    </row>
    <row r="840" spans="48:54" x14ac:dyDescent="0.25">
      <c r="AV840" t="s">
        <v>2127</v>
      </c>
      <c r="AW840" t="s">
        <v>1479</v>
      </c>
      <c r="AX840" t="s">
        <v>1999</v>
      </c>
      <c r="AY840" t="s">
        <v>3793</v>
      </c>
      <c r="AZ840" t="s">
        <v>3794</v>
      </c>
      <c r="BA840" t="s">
        <v>1874</v>
      </c>
      <c r="BB840" t="str">
        <f t="shared" si="13"/>
        <v>CIHPkdKaura</v>
      </c>
    </row>
    <row r="841" spans="48:54" x14ac:dyDescent="0.25">
      <c r="AV841" t="s">
        <v>2127</v>
      </c>
      <c r="AW841" t="s">
        <v>1479</v>
      </c>
      <c r="AX841" t="s">
        <v>1999</v>
      </c>
      <c r="AY841" t="s">
        <v>3795</v>
      </c>
      <c r="AZ841" t="s">
        <v>3796</v>
      </c>
      <c r="BA841" t="s">
        <v>1874</v>
      </c>
      <c r="BB841" t="str">
        <f t="shared" si="13"/>
        <v>CIHPkdKaura</v>
      </c>
    </row>
    <row r="842" spans="48:54" x14ac:dyDescent="0.25">
      <c r="AV842" t="s">
        <v>2127</v>
      </c>
      <c r="AW842" t="s">
        <v>1479</v>
      </c>
      <c r="AX842" t="s">
        <v>1999</v>
      </c>
      <c r="AY842" t="s">
        <v>3797</v>
      </c>
      <c r="AZ842" t="s">
        <v>3798</v>
      </c>
      <c r="BA842" t="s">
        <v>1874</v>
      </c>
      <c r="BB842" t="str">
        <f t="shared" si="13"/>
        <v>CIHPkdKaura</v>
      </c>
    </row>
    <row r="843" spans="48:54" x14ac:dyDescent="0.25">
      <c r="AV843" t="s">
        <v>2127</v>
      </c>
      <c r="AW843" t="s">
        <v>1479</v>
      </c>
      <c r="AX843" t="s">
        <v>1999</v>
      </c>
      <c r="AY843" t="s">
        <v>3799</v>
      </c>
      <c r="AZ843" t="s">
        <v>3800</v>
      </c>
      <c r="BA843" t="s">
        <v>1874</v>
      </c>
      <c r="BB843" t="str">
        <f t="shared" si="13"/>
        <v>CIHPkdKaura</v>
      </c>
    </row>
    <row r="844" spans="48:54" x14ac:dyDescent="0.25">
      <c r="AV844" t="s">
        <v>2127</v>
      </c>
      <c r="AW844" t="s">
        <v>1479</v>
      </c>
      <c r="AX844" t="s">
        <v>1999</v>
      </c>
      <c r="AY844" t="s">
        <v>3801</v>
      </c>
      <c r="AZ844" t="s">
        <v>3802</v>
      </c>
      <c r="BA844" t="s">
        <v>1874</v>
      </c>
      <c r="BB844" t="str">
        <f t="shared" si="13"/>
        <v>CIHPkdKaura</v>
      </c>
    </row>
    <row r="845" spans="48:54" x14ac:dyDescent="0.25">
      <c r="AV845" t="s">
        <v>2127</v>
      </c>
      <c r="AW845" t="s">
        <v>1479</v>
      </c>
      <c r="AX845" t="s">
        <v>1989</v>
      </c>
      <c r="AY845" t="s">
        <v>3803</v>
      </c>
      <c r="AZ845" t="s">
        <v>3804</v>
      </c>
      <c r="BA845" t="s">
        <v>1874</v>
      </c>
      <c r="BB845" t="str">
        <f t="shared" si="13"/>
        <v>CIHPkdKubau</v>
      </c>
    </row>
    <row r="846" spans="48:54" x14ac:dyDescent="0.25">
      <c r="AV846" t="s">
        <v>2127</v>
      </c>
      <c r="AW846" t="s">
        <v>1479</v>
      </c>
      <c r="AX846" t="s">
        <v>1991</v>
      </c>
      <c r="AY846" t="s">
        <v>3805</v>
      </c>
      <c r="AZ846" t="s">
        <v>3806</v>
      </c>
      <c r="BA846" t="s">
        <v>1874</v>
      </c>
      <c r="BB846" t="str">
        <f t="shared" si="13"/>
        <v>CIHPkdSanga</v>
      </c>
    </row>
    <row r="847" spans="48:54" x14ac:dyDescent="0.25">
      <c r="AV847" t="s">
        <v>2127</v>
      </c>
      <c r="AW847" t="s">
        <v>1479</v>
      </c>
      <c r="AX847" t="s">
        <v>1991</v>
      </c>
      <c r="AY847" t="s">
        <v>3807</v>
      </c>
      <c r="AZ847" t="s">
        <v>3808</v>
      </c>
      <c r="BA847" t="s">
        <v>1874</v>
      </c>
      <c r="BB847" t="str">
        <f t="shared" si="13"/>
        <v>CIHPkdSanga</v>
      </c>
    </row>
    <row r="848" spans="48:54" x14ac:dyDescent="0.25">
      <c r="AV848" t="s">
        <v>2127</v>
      </c>
      <c r="AW848" t="s">
        <v>1479</v>
      </c>
      <c r="AX848" t="s">
        <v>1991</v>
      </c>
      <c r="AY848" t="s">
        <v>3809</v>
      </c>
      <c r="AZ848" t="s">
        <v>3810</v>
      </c>
      <c r="BA848" t="s">
        <v>1874</v>
      </c>
      <c r="BB848" t="str">
        <f t="shared" si="13"/>
        <v>CIHPkdSanga</v>
      </c>
    </row>
    <row r="849" spans="48:54" x14ac:dyDescent="0.25">
      <c r="AV849" t="s">
        <v>2127</v>
      </c>
      <c r="AW849" t="s">
        <v>1479</v>
      </c>
      <c r="AX849" t="s">
        <v>1991</v>
      </c>
      <c r="AY849" t="s">
        <v>3811</v>
      </c>
      <c r="AZ849" t="s">
        <v>3812</v>
      </c>
      <c r="BA849" t="s">
        <v>1874</v>
      </c>
      <c r="BB849" t="str">
        <f t="shared" si="13"/>
        <v>CIHPkdSanga</v>
      </c>
    </row>
    <row r="850" spans="48:54" x14ac:dyDescent="0.25">
      <c r="AV850" t="s">
        <v>2127</v>
      </c>
      <c r="AW850" t="s">
        <v>1479</v>
      </c>
      <c r="AX850" t="s">
        <v>1991</v>
      </c>
      <c r="AY850" t="s">
        <v>3813</v>
      </c>
      <c r="AZ850" t="s">
        <v>3814</v>
      </c>
      <c r="BA850" t="s">
        <v>1874</v>
      </c>
      <c r="BB850" t="str">
        <f t="shared" si="13"/>
        <v>CIHPkdSanga</v>
      </c>
    </row>
    <row r="851" spans="48:54" x14ac:dyDescent="0.25">
      <c r="AV851" t="s">
        <v>2127</v>
      </c>
      <c r="AW851" t="s">
        <v>1479</v>
      </c>
      <c r="AX851" t="s">
        <v>1991</v>
      </c>
      <c r="AY851" t="s">
        <v>3815</v>
      </c>
      <c r="AZ851" t="s">
        <v>3816</v>
      </c>
      <c r="BA851" t="s">
        <v>1874</v>
      </c>
      <c r="BB851" t="str">
        <f t="shared" si="13"/>
        <v>CIHPkdSanga</v>
      </c>
    </row>
    <row r="852" spans="48:54" x14ac:dyDescent="0.25">
      <c r="AV852" t="s">
        <v>2127</v>
      </c>
      <c r="AW852" t="s">
        <v>1479</v>
      </c>
      <c r="AX852" t="s">
        <v>1991</v>
      </c>
      <c r="AY852" t="s">
        <v>3817</v>
      </c>
      <c r="AZ852" t="s">
        <v>3818</v>
      </c>
      <c r="BA852" t="s">
        <v>1874</v>
      </c>
      <c r="BB852" t="str">
        <f t="shared" si="13"/>
        <v>CIHPkdSanga</v>
      </c>
    </row>
    <row r="853" spans="48:54" x14ac:dyDescent="0.25">
      <c r="AV853" t="s">
        <v>2127</v>
      </c>
      <c r="AW853" t="s">
        <v>1479</v>
      </c>
      <c r="AX853" t="s">
        <v>1991</v>
      </c>
      <c r="AY853" t="s">
        <v>3819</v>
      </c>
      <c r="AZ853" t="s">
        <v>3820</v>
      </c>
      <c r="BA853" t="s">
        <v>1874</v>
      </c>
      <c r="BB853" t="str">
        <f t="shared" si="13"/>
        <v>CIHPkdSanga</v>
      </c>
    </row>
    <row r="854" spans="48:54" x14ac:dyDescent="0.25">
      <c r="AV854" t="s">
        <v>2127</v>
      </c>
      <c r="AW854" t="s">
        <v>1479</v>
      </c>
      <c r="AX854" t="s">
        <v>2000</v>
      </c>
      <c r="AY854" t="s">
        <v>3821</v>
      </c>
      <c r="AZ854" t="s">
        <v>3822</v>
      </c>
      <c r="BA854" t="s">
        <v>1874</v>
      </c>
      <c r="BB854" t="str">
        <f t="shared" si="13"/>
        <v>CIHPkdSoba</v>
      </c>
    </row>
    <row r="855" spans="48:54" x14ac:dyDescent="0.25">
      <c r="AV855" t="s">
        <v>2127</v>
      </c>
      <c r="AW855" t="s">
        <v>1479</v>
      </c>
      <c r="AX855" t="s">
        <v>1992</v>
      </c>
      <c r="AY855" t="s">
        <v>3823</v>
      </c>
      <c r="AZ855" t="s">
        <v>3824</v>
      </c>
      <c r="BA855" t="s">
        <v>1874</v>
      </c>
      <c r="BB855" t="str">
        <f t="shared" si="13"/>
        <v>CIHPkdZangoKataf</v>
      </c>
    </row>
    <row r="856" spans="48:54" x14ac:dyDescent="0.25">
      <c r="AV856" t="s">
        <v>2127</v>
      </c>
      <c r="AW856" t="s">
        <v>1479</v>
      </c>
      <c r="AX856" t="s">
        <v>2001</v>
      </c>
      <c r="AY856" t="s">
        <v>3825</v>
      </c>
      <c r="AZ856" t="s">
        <v>3826</v>
      </c>
      <c r="BA856" t="s">
        <v>1874</v>
      </c>
      <c r="BB856" t="str">
        <f t="shared" si="13"/>
        <v>CIHPkdZaria</v>
      </c>
    </row>
    <row r="857" spans="48:54" x14ac:dyDescent="0.25">
      <c r="AV857" t="s">
        <v>2127</v>
      </c>
      <c r="AW857" t="s">
        <v>1479</v>
      </c>
      <c r="AX857" t="s">
        <v>2001</v>
      </c>
      <c r="AY857" t="s">
        <v>3827</v>
      </c>
      <c r="AZ857" t="s">
        <v>3828</v>
      </c>
      <c r="BA857" t="s">
        <v>1874</v>
      </c>
      <c r="BB857" t="str">
        <f t="shared" si="13"/>
        <v>CIHPkdZaria</v>
      </c>
    </row>
    <row r="858" spans="48:54" x14ac:dyDescent="0.25">
      <c r="AV858" t="s">
        <v>2127</v>
      </c>
      <c r="AW858" t="s">
        <v>1479</v>
      </c>
      <c r="AX858" t="s">
        <v>2001</v>
      </c>
      <c r="AY858" t="s">
        <v>3829</v>
      </c>
      <c r="AZ858" t="s">
        <v>3830</v>
      </c>
      <c r="BA858" t="s">
        <v>1874</v>
      </c>
      <c r="BB858" t="str">
        <f t="shared" si="13"/>
        <v>CIHPkdZaria</v>
      </c>
    </row>
    <row r="859" spans="48:54" x14ac:dyDescent="0.25">
      <c r="AV859" t="s">
        <v>2127</v>
      </c>
      <c r="AW859" t="s">
        <v>1483</v>
      </c>
      <c r="AX859" t="s">
        <v>2018</v>
      </c>
      <c r="AY859" t="s">
        <v>3831</v>
      </c>
      <c r="AZ859" t="s">
        <v>3832</v>
      </c>
      <c r="BA859" t="s">
        <v>1874</v>
      </c>
      <c r="BB859" t="str">
        <f t="shared" si="13"/>
        <v>CIHPkoAdavi</v>
      </c>
    </row>
    <row r="860" spans="48:54" x14ac:dyDescent="0.25">
      <c r="AV860" t="s">
        <v>2127</v>
      </c>
      <c r="AW860" t="s">
        <v>1483</v>
      </c>
      <c r="AX860" t="s">
        <v>2018</v>
      </c>
      <c r="AY860" t="s">
        <v>3833</v>
      </c>
      <c r="AZ860" t="s">
        <v>3834</v>
      </c>
      <c r="BA860" t="s">
        <v>1874</v>
      </c>
      <c r="BB860" t="str">
        <f t="shared" si="13"/>
        <v>CIHPkoAdavi</v>
      </c>
    </row>
    <row r="861" spans="48:54" x14ac:dyDescent="0.25">
      <c r="AV861" t="s">
        <v>2127</v>
      </c>
      <c r="AW861" t="s">
        <v>1483</v>
      </c>
      <c r="AX861" t="s">
        <v>2019</v>
      </c>
      <c r="AY861" t="s">
        <v>3835</v>
      </c>
      <c r="AZ861" t="s">
        <v>3836</v>
      </c>
      <c r="BA861" t="s">
        <v>1874</v>
      </c>
      <c r="BB861" t="str">
        <f t="shared" si="13"/>
        <v>CIHPkoAjaokuta</v>
      </c>
    </row>
    <row r="862" spans="48:54" x14ac:dyDescent="0.25">
      <c r="AV862" t="s">
        <v>2127</v>
      </c>
      <c r="AW862" t="s">
        <v>1483</v>
      </c>
      <c r="AX862" t="s">
        <v>2020</v>
      </c>
      <c r="AY862" t="s">
        <v>3837</v>
      </c>
      <c r="AZ862" t="s">
        <v>3838</v>
      </c>
      <c r="BA862" t="s">
        <v>1874</v>
      </c>
      <c r="BB862" t="str">
        <f t="shared" si="13"/>
        <v>CIHPkoAnkpa</v>
      </c>
    </row>
    <row r="863" spans="48:54" x14ac:dyDescent="0.25">
      <c r="AV863" t="s">
        <v>2127</v>
      </c>
      <c r="AW863" t="s">
        <v>1483</v>
      </c>
      <c r="AX863" t="s">
        <v>2020</v>
      </c>
      <c r="AY863" t="s">
        <v>3839</v>
      </c>
      <c r="AZ863" t="s">
        <v>3840</v>
      </c>
      <c r="BA863" t="s">
        <v>1874</v>
      </c>
      <c r="BB863" t="str">
        <f t="shared" si="13"/>
        <v>CIHPkoAnkpa</v>
      </c>
    </row>
    <row r="864" spans="48:54" x14ac:dyDescent="0.25">
      <c r="AV864" t="s">
        <v>2127</v>
      </c>
      <c r="AW864" t="s">
        <v>1483</v>
      </c>
      <c r="AX864" t="s">
        <v>2020</v>
      </c>
      <c r="AY864" t="s">
        <v>3841</v>
      </c>
      <c r="AZ864" t="s">
        <v>3842</v>
      </c>
      <c r="BA864" t="s">
        <v>1874</v>
      </c>
      <c r="BB864" t="str">
        <f t="shared" si="13"/>
        <v>CIHPkoAnkpa</v>
      </c>
    </row>
    <row r="865" spans="48:54" x14ac:dyDescent="0.25">
      <c r="AV865" t="s">
        <v>2127</v>
      </c>
      <c r="AW865" t="s">
        <v>1483</v>
      </c>
      <c r="AX865" t="s">
        <v>2020</v>
      </c>
      <c r="AY865" t="s">
        <v>3843</v>
      </c>
      <c r="AZ865" t="s">
        <v>3844</v>
      </c>
      <c r="BA865" t="s">
        <v>1874</v>
      </c>
      <c r="BB865" t="str">
        <f t="shared" si="13"/>
        <v>CIHPkoAnkpa</v>
      </c>
    </row>
    <row r="866" spans="48:54" x14ac:dyDescent="0.25">
      <c r="AV866" t="s">
        <v>2127</v>
      </c>
      <c r="AW866" t="s">
        <v>1483</v>
      </c>
      <c r="AX866" t="s">
        <v>2020</v>
      </c>
      <c r="AY866" t="s">
        <v>3845</v>
      </c>
      <c r="AZ866" t="s">
        <v>3846</v>
      </c>
      <c r="BA866" t="s">
        <v>1874</v>
      </c>
      <c r="BB866" t="str">
        <f t="shared" si="13"/>
        <v>CIHPkoAnkpa</v>
      </c>
    </row>
    <row r="867" spans="48:54" x14ac:dyDescent="0.25">
      <c r="AV867" t="s">
        <v>2127</v>
      </c>
      <c r="AW867" t="s">
        <v>1483</v>
      </c>
      <c r="AX867" t="s">
        <v>2020</v>
      </c>
      <c r="AY867" t="s">
        <v>3847</v>
      </c>
      <c r="AZ867" t="s">
        <v>3848</v>
      </c>
      <c r="BA867" t="s">
        <v>1874</v>
      </c>
      <c r="BB867" t="str">
        <f t="shared" si="13"/>
        <v>CIHPkoAnkpa</v>
      </c>
    </row>
    <row r="868" spans="48:54" x14ac:dyDescent="0.25">
      <c r="AV868" t="s">
        <v>2127</v>
      </c>
      <c r="AW868" t="s">
        <v>1483</v>
      </c>
      <c r="AX868" t="s">
        <v>2020</v>
      </c>
      <c r="AY868" t="s">
        <v>3849</v>
      </c>
      <c r="AZ868" t="s">
        <v>3850</v>
      </c>
      <c r="BA868" t="s">
        <v>1874</v>
      </c>
      <c r="BB868" t="str">
        <f t="shared" si="13"/>
        <v>CIHPkoAnkpa</v>
      </c>
    </row>
    <row r="869" spans="48:54" x14ac:dyDescent="0.25">
      <c r="AV869" t="s">
        <v>2127</v>
      </c>
      <c r="AW869" t="s">
        <v>1483</v>
      </c>
      <c r="AX869" t="s">
        <v>2015</v>
      </c>
      <c r="AY869" t="s">
        <v>3851</v>
      </c>
      <c r="AZ869" t="s">
        <v>3852</v>
      </c>
      <c r="BA869" t="s">
        <v>1874</v>
      </c>
      <c r="BB869" t="str">
        <f t="shared" si="13"/>
        <v>CIHPkoDekina</v>
      </c>
    </row>
    <row r="870" spans="48:54" x14ac:dyDescent="0.25">
      <c r="AV870" t="s">
        <v>2127</v>
      </c>
      <c r="AW870" t="s">
        <v>1483</v>
      </c>
      <c r="AX870" t="s">
        <v>2015</v>
      </c>
      <c r="AY870" t="s">
        <v>3853</v>
      </c>
      <c r="AZ870" t="s">
        <v>3854</v>
      </c>
      <c r="BA870" t="s">
        <v>1874</v>
      </c>
      <c r="BB870" t="str">
        <f t="shared" si="13"/>
        <v>CIHPkoDekina</v>
      </c>
    </row>
    <row r="871" spans="48:54" x14ac:dyDescent="0.25">
      <c r="AV871" t="s">
        <v>2127</v>
      </c>
      <c r="AW871" t="s">
        <v>1483</v>
      </c>
      <c r="AX871" t="s">
        <v>2015</v>
      </c>
      <c r="AY871" t="s">
        <v>3855</v>
      </c>
      <c r="AZ871" t="s">
        <v>3856</v>
      </c>
      <c r="BA871" t="s">
        <v>1874</v>
      </c>
      <c r="BB871" t="str">
        <f t="shared" si="13"/>
        <v>CIHPkoDekina</v>
      </c>
    </row>
    <row r="872" spans="48:54" x14ac:dyDescent="0.25">
      <c r="AV872" t="s">
        <v>2127</v>
      </c>
      <c r="AW872" t="s">
        <v>1483</v>
      </c>
      <c r="AX872" t="s">
        <v>2015</v>
      </c>
      <c r="AY872" t="s">
        <v>3857</v>
      </c>
      <c r="AZ872" t="s">
        <v>3858</v>
      </c>
      <c r="BA872" t="s">
        <v>1874</v>
      </c>
      <c r="BB872" t="str">
        <f t="shared" si="13"/>
        <v>CIHPkoDekina</v>
      </c>
    </row>
    <row r="873" spans="48:54" x14ac:dyDescent="0.25">
      <c r="AV873" t="s">
        <v>2127</v>
      </c>
      <c r="AW873" t="s">
        <v>1483</v>
      </c>
      <c r="AX873" t="s">
        <v>2021</v>
      </c>
      <c r="AY873" t="s">
        <v>3859</v>
      </c>
      <c r="AZ873" t="s">
        <v>3860</v>
      </c>
      <c r="BA873" t="s">
        <v>1874</v>
      </c>
      <c r="BB873" t="str">
        <f t="shared" si="13"/>
        <v>CIHPkoIbaji</v>
      </c>
    </row>
    <row r="874" spans="48:54" x14ac:dyDescent="0.25">
      <c r="AV874" t="s">
        <v>2127</v>
      </c>
      <c r="AW874" t="s">
        <v>1483</v>
      </c>
      <c r="AX874" t="s">
        <v>2016</v>
      </c>
      <c r="AY874" t="s">
        <v>3861</v>
      </c>
      <c r="AZ874" t="s">
        <v>3862</v>
      </c>
      <c r="BA874" t="s">
        <v>1874</v>
      </c>
      <c r="BB874" t="str">
        <f t="shared" si="13"/>
        <v>CIHPkoIdah</v>
      </c>
    </row>
    <row r="875" spans="48:54" x14ac:dyDescent="0.25">
      <c r="AV875" t="s">
        <v>2127</v>
      </c>
      <c r="AW875" t="s">
        <v>1483</v>
      </c>
      <c r="AX875" t="s">
        <v>2022</v>
      </c>
      <c r="AY875" t="s">
        <v>3863</v>
      </c>
      <c r="AZ875" t="s">
        <v>3864</v>
      </c>
      <c r="BA875" t="s">
        <v>1874</v>
      </c>
      <c r="BB875" t="str">
        <f t="shared" si="13"/>
        <v>CIHPkoIgalamelaOdolu</v>
      </c>
    </row>
    <row r="876" spans="48:54" x14ac:dyDescent="0.25">
      <c r="AV876" t="s">
        <v>2127</v>
      </c>
      <c r="AW876" t="s">
        <v>1483</v>
      </c>
      <c r="AX876" t="s">
        <v>2023</v>
      </c>
      <c r="AY876" t="s">
        <v>3865</v>
      </c>
      <c r="AZ876" t="s">
        <v>3866</v>
      </c>
      <c r="BA876" t="s">
        <v>1874</v>
      </c>
      <c r="BB876" t="str">
        <f t="shared" si="13"/>
        <v>CIHPkoKogi</v>
      </c>
    </row>
    <row r="877" spans="48:54" x14ac:dyDescent="0.25">
      <c r="AV877" t="s">
        <v>2127</v>
      </c>
      <c r="AW877" t="s">
        <v>1483</v>
      </c>
      <c r="AX877" t="s">
        <v>2023</v>
      </c>
      <c r="AY877" t="s">
        <v>3867</v>
      </c>
      <c r="AZ877" t="s">
        <v>3868</v>
      </c>
      <c r="BA877" t="s">
        <v>1874</v>
      </c>
      <c r="BB877" t="str">
        <f t="shared" si="13"/>
        <v>CIHPkoKogi</v>
      </c>
    </row>
    <row r="878" spans="48:54" x14ac:dyDescent="0.25">
      <c r="AV878" t="s">
        <v>2127</v>
      </c>
      <c r="AW878" t="s">
        <v>1483</v>
      </c>
      <c r="AX878" t="s">
        <v>2023</v>
      </c>
      <c r="AY878" t="s">
        <v>3869</v>
      </c>
      <c r="AZ878" t="s">
        <v>3870</v>
      </c>
      <c r="BA878" t="s">
        <v>1874</v>
      </c>
      <c r="BB878" t="str">
        <f t="shared" si="13"/>
        <v>CIHPkoKogi</v>
      </c>
    </row>
    <row r="879" spans="48:54" x14ac:dyDescent="0.25">
      <c r="AV879" t="s">
        <v>2127</v>
      </c>
      <c r="AW879" t="s">
        <v>1483</v>
      </c>
      <c r="AX879" t="s">
        <v>2024</v>
      </c>
      <c r="AY879" t="s">
        <v>3871</v>
      </c>
      <c r="AZ879" t="s">
        <v>3872</v>
      </c>
      <c r="BA879" t="s">
        <v>1874</v>
      </c>
      <c r="BB879" t="str">
        <f t="shared" si="13"/>
        <v>CIHPkoLokoja</v>
      </c>
    </row>
    <row r="880" spans="48:54" x14ac:dyDescent="0.25">
      <c r="AV880" t="s">
        <v>2127</v>
      </c>
      <c r="AW880" t="s">
        <v>1483</v>
      </c>
      <c r="AX880" t="s">
        <v>2024</v>
      </c>
      <c r="AY880" t="s">
        <v>3873</v>
      </c>
      <c r="AZ880" t="s">
        <v>3874</v>
      </c>
      <c r="BA880" t="s">
        <v>1874</v>
      </c>
      <c r="BB880" t="str">
        <f t="shared" si="13"/>
        <v>CIHPkoLokoja</v>
      </c>
    </row>
    <row r="881" spans="48:54" x14ac:dyDescent="0.25">
      <c r="AV881" t="s">
        <v>2127</v>
      </c>
      <c r="AW881" t="s">
        <v>1483</v>
      </c>
      <c r="AX881" t="s">
        <v>2025</v>
      </c>
      <c r="AY881" t="s">
        <v>3875</v>
      </c>
      <c r="AZ881" t="s">
        <v>3876</v>
      </c>
      <c r="BA881" t="s">
        <v>1874</v>
      </c>
      <c r="BB881" t="str">
        <f t="shared" si="13"/>
        <v>CIHPkoOfu</v>
      </c>
    </row>
    <row r="882" spans="48:54" x14ac:dyDescent="0.25">
      <c r="AV882" t="s">
        <v>2127</v>
      </c>
      <c r="AW882" t="s">
        <v>1483</v>
      </c>
      <c r="AX882" t="s">
        <v>2025</v>
      </c>
      <c r="AY882" t="s">
        <v>3877</v>
      </c>
      <c r="AZ882" t="s">
        <v>3878</v>
      </c>
      <c r="BA882" t="s">
        <v>1874</v>
      </c>
      <c r="BB882" t="str">
        <f t="shared" si="13"/>
        <v>CIHPkoOfu</v>
      </c>
    </row>
    <row r="883" spans="48:54" x14ac:dyDescent="0.25">
      <c r="AV883" t="s">
        <v>2127</v>
      </c>
      <c r="AW883" t="s">
        <v>1483</v>
      </c>
      <c r="AX883" t="s">
        <v>2026</v>
      </c>
      <c r="AY883" t="s">
        <v>3879</v>
      </c>
      <c r="AZ883" t="s">
        <v>3880</v>
      </c>
      <c r="BA883" t="s">
        <v>1874</v>
      </c>
      <c r="BB883" t="str">
        <f t="shared" si="13"/>
        <v>CIHPkoOkehi</v>
      </c>
    </row>
    <row r="884" spans="48:54" x14ac:dyDescent="0.25">
      <c r="AV884" t="s">
        <v>2127</v>
      </c>
      <c r="AW884" t="s">
        <v>1483</v>
      </c>
      <c r="AX884" t="s">
        <v>2026</v>
      </c>
      <c r="AY884" t="s">
        <v>3881</v>
      </c>
      <c r="AZ884" t="s">
        <v>3882</v>
      </c>
      <c r="BA884" t="s">
        <v>1874</v>
      </c>
      <c r="BB884" t="str">
        <f t="shared" si="13"/>
        <v>CIHPkoOkehi</v>
      </c>
    </row>
    <row r="885" spans="48:54" x14ac:dyDescent="0.25">
      <c r="AV885" t="s">
        <v>2127</v>
      </c>
      <c r="AW885" t="s">
        <v>1483</v>
      </c>
      <c r="AX885" t="s">
        <v>2027</v>
      </c>
      <c r="AY885" t="s">
        <v>3883</v>
      </c>
      <c r="AZ885" t="s">
        <v>3884</v>
      </c>
      <c r="BA885" t="s">
        <v>1874</v>
      </c>
      <c r="BB885" t="str">
        <f t="shared" si="13"/>
        <v>CIHPkoOkene</v>
      </c>
    </row>
    <row r="886" spans="48:54" x14ac:dyDescent="0.25">
      <c r="AV886" t="s">
        <v>2127</v>
      </c>
      <c r="AW886" t="s">
        <v>1483</v>
      </c>
      <c r="AX886" t="s">
        <v>2027</v>
      </c>
      <c r="AY886" t="s">
        <v>3885</v>
      </c>
      <c r="AZ886" t="s">
        <v>3886</v>
      </c>
      <c r="BA886" t="s">
        <v>1874</v>
      </c>
      <c r="BB886" t="str">
        <f t="shared" si="13"/>
        <v>CIHPkoOkene</v>
      </c>
    </row>
    <row r="887" spans="48:54" x14ac:dyDescent="0.25">
      <c r="AV887" t="s">
        <v>2127</v>
      </c>
      <c r="AW887" t="s">
        <v>1483</v>
      </c>
      <c r="AX887" t="s">
        <v>2027</v>
      </c>
      <c r="AY887" t="s">
        <v>3887</v>
      </c>
      <c r="AZ887" t="s">
        <v>3888</v>
      </c>
      <c r="BA887" t="s">
        <v>1874</v>
      </c>
      <c r="BB887" t="str">
        <f t="shared" si="13"/>
        <v>CIHPkoOkene</v>
      </c>
    </row>
    <row r="888" spans="48:54" x14ac:dyDescent="0.25">
      <c r="AV888" t="s">
        <v>2127</v>
      </c>
      <c r="AW888" t="s">
        <v>1483</v>
      </c>
      <c r="AX888" t="s">
        <v>2028</v>
      </c>
      <c r="AY888" t="s">
        <v>3889</v>
      </c>
      <c r="AZ888" t="s">
        <v>3890</v>
      </c>
      <c r="BA888" t="s">
        <v>1874</v>
      </c>
      <c r="BB888" t="str">
        <f t="shared" si="13"/>
        <v>CIHPkoOlamaboro</v>
      </c>
    </row>
    <row r="889" spans="48:54" x14ac:dyDescent="0.25">
      <c r="AV889" t="s">
        <v>2127</v>
      </c>
      <c r="AW889" t="s">
        <v>1483</v>
      </c>
      <c r="AX889" t="s">
        <v>2028</v>
      </c>
      <c r="AY889" t="s">
        <v>3891</v>
      </c>
      <c r="AZ889" t="s">
        <v>3892</v>
      </c>
      <c r="BA889" t="s">
        <v>1874</v>
      </c>
      <c r="BB889" t="str">
        <f t="shared" si="13"/>
        <v>CIHPkoOlamaboro</v>
      </c>
    </row>
    <row r="890" spans="48:54" x14ac:dyDescent="0.25">
      <c r="AV890" t="s">
        <v>2127</v>
      </c>
      <c r="AW890" t="s">
        <v>1483</v>
      </c>
      <c r="AX890" t="s">
        <v>2028</v>
      </c>
      <c r="AY890" t="s">
        <v>3893</v>
      </c>
      <c r="AZ890" t="s">
        <v>3894</v>
      </c>
      <c r="BA890" t="s">
        <v>1874</v>
      </c>
      <c r="BB890" t="str">
        <f t="shared" si="13"/>
        <v>CIHPkoOlamaboro</v>
      </c>
    </row>
    <row r="891" spans="48:54" x14ac:dyDescent="0.25">
      <c r="AV891" t="s">
        <v>2127</v>
      </c>
      <c r="AW891" t="s">
        <v>1483</v>
      </c>
      <c r="AX891" t="s">
        <v>2029</v>
      </c>
      <c r="AY891" t="s">
        <v>3895</v>
      </c>
      <c r="AZ891" t="s">
        <v>3896</v>
      </c>
      <c r="BA891" t="s">
        <v>1874</v>
      </c>
      <c r="BB891" t="str">
        <f t="shared" si="13"/>
        <v>CIHPkoOmala</v>
      </c>
    </row>
    <row r="892" spans="48:54" x14ac:dyDescent="0.25">
      <c r="AV892" t="s">
        <v>2127</v>
      </c>
      <c r="AW892" t="s">
        <v>1483</v>
      </c>
      <c r="AX892" t="s">
        <v>2029</v>
      </c>
      <c r="AY892" t="s">
        <v>3897</v>
      </c>
      <c r="AZ892" t="s">
        <v>3898</v>
      </c>
      <c r="BA892" t="s">
        <v>1874</v>
      </c>
      <c r="BB892" t="str">
        <f t="shared" si="13"/>
        <v>CIHPkoOmala</v>
      </c>
    </row>
    <row r="893" spans="48:54" x14ac:dyDescent="0.25">
      <c r="AV893" t="s">
        <v>2127</v>
      </c>
      <c r="AW893" t="s">
        <v>1471</v>
      </c>
      <c r="AX893" t="s">
        <v>1916</v>
      </c>
      <c r="AY893" t="s">
        <v>3899</v>
      </c>
      <c r="AZ893" t="s">
        <v>3900</v>
      </c>
      <c r="BA893" t="s">
        <v>1453</v>
      </c>
      <c r="BB893" t="str">
        <f t="shared" si="13"/>
        <v>ECEWSebEzzaNorth</v>
      </c>
    </row>
    <row r="894" spans="48:54" x14ac:dyDescent="0.25">
      <c r="AV894" t="s">
        <v>2127</v>
      </c>
      <c r="AW894" t="s">
        <v>1471</v>
      </c>
      <c r="AX894" t="s">
        <v>1917</v>
      </c>
      <c r="AY894" t="s">
        <v>3901</v>
      </c>
      <c r="AZ894" t="s">
        <v>3902</v>
      </c>
      <c r="BA894" t="s">
        <v>1453</v>
      </c>
      <c r="BB894" t="str">
        <f t="shared" si="13"/>
        <v>ECEWSebEzzaSouth</v>
      </c>
    </row>
    <row r="895" spans="48:54" x14ac:dyDescent="0.25">
      <c r="AV895" t="s">
        <v>2127</v>
      </c>
      <c r="AW895" t="s">
        <v>1471</v>
      </c>
      <c r="AX895" t="s">
        <v>1917</v>
      </c>
      <c r="AY895" t="s">
        <v>3903</v>
      </c>
      <c r="AZ895" t="s">
        <v>3904</v>
      </c>
      <c r="BA895" t="s">
        <v>1453</v>
      </c>
      <c r="BB895" t="str">
        <f t="shared" si="13"/>
        <v>ECEWSebEzzaSouth</v>
      </c>
    </row>
    <row r="896" spans="48:54" x14ac:dyDescent="0.25">
      <c r="AV896" t="s">
        <v>2127</v>
      </c>
      <c r="AW896" t="s">
        <v>1471</v>
      </c>
      <c r="AX896" t="s">
        <v>1917</v>
      </c>
      <c r="AY896" t="s">
        <v>3905</v>
      </c>
      <c r="AZ896" t="s">
        <v>3906</v>
      </c>
      <c r="BA896" t="s">
        <v>1453</v>
      </c>
      <c r="BB896" t="str">
        <f t="shared" si="13"/>
        <v>ECEWSebEzzaSouth</v>
      </c>
    </row>
    <row r="897" spans="48:54" x14ac:dyDescent="0.25">
      <c r="AV897" t="s">
        <v>2127</v>
      </c>
      <c r="AW897" t="s">
        <v>1471</v>
      </c>
      <c r="AX897" t="s">
        <v>1918</v>
      </c>
      <c r="AY897" t="s">
        <v>3907</v>
      </c>
      <c r="AZ897" t="s">
        <v>3908</v>
      </c>
      <c r="BA897" t="s">
        <v>1453</v>
      </c>
      <c r="BB897" t="str">
        <f t="shared" si="13"/>
        <v>ECEWSebIkwo</v>
      </c>
    </row>
    <row r="898" spans="48:54" x14ac:dyDescent="0.25">
      <c r="AV898" t="s">
        <v>2127</v>
      </c>
      <c r="AW898" t="s">
        <v>1471</v>
      </c>
      <c r="AX898" t="s">
        <v>1918</v>
      </c>
      <c r="AY898" t="s">
        <v>3909</v>
      </c>
      <c r="AZ898" t="s">
        <v>3910</v>
      </c>
      <c r="BA898" t="s">
        <v>1453</v>
      </c>
      <c r="BB898" t="str">
        <f t="shared" si="13"/>
        <v>ECEWSebIkwo</v>
      </c>
    </row>
    <row r="899" spans="48:54" x14ac:dyDescent="0.25">
      <c r="AV899" t="s">
        <v>2127</v>
      </c>
      <c r="AW899" t="s">
        <v>1471</v>
      </c>
      <c r="AX899" t="s">
        <v>1918</v>
      </c>
      <c r="AY899" t="s">
        <v>3911</v>
      </c>
      <c r="AZ899" t="s">
        <v>3912</v>
      </c>
      <c r="BA899" t="s">
        <v>1453</v>
      </c>
      <c r="BB899" t="str">
        <f t="shared" ref="BB899:BB962" si="14">SUBSTITUTE(SUBSTITUTE(BA899&amp;AX899," ",""),"-","")</f>
        <v>ECEWSebIkwo</v>
      </c>
    </row>
    <row r="900" spans="48:54" x14ac:dyDescent="0.25">
      <c r="AV900" t="s">
        <v>2127</v>
      </c>
      <c r="AW900" t="s">
        <v>1471</v>
      </c>
      <c r="AX900" t="s">
        <v>1919</v>
      </c>
      <c r="AY900" t="s">
        <v>3913</v>
      </c>
      <c r="AZ900" t="s">
        <v>3914</v>
      </c>
      <c r="BA900" t="s">
        <v>1453</v>
      </c>
      <c r="BB900" t="str">
        <f t="shared" si="14"/>
        <v>ECEWSebIshielu</v>
      </c>
    </row>
    <row r="901" spans="48:54" x14ac:dyDescent="0.25">
      <c r="AV901" t="s">
        <v>2127</v>
      </c>
      <c r="AW901" t="s">
        <v>1471</v>
      </c>
      <c r="AX901" t="s">
        <v>1919</v>
      </c>
      <c r="AY901" t="s">
        <v>3915</v>
      </c>
      <c r="AZ901" t="s">
        <v>3916</v>
      </c>
      <c r="BA901" t="s">
        <v>1453</v>
      </c>
      <c r="BB901" t="str">
        <f t="shared" si="14"/>
        <v>ECEWSebIshielu</v>
      </c>
    </row>
    <row r="902" spans="48:54" x14ac:dyDescent="0.25">
      <c r="AV902" t="s">
        <v>2127</v>
      </c>
      <c r="AW902" t="s">
        <v>1474</v>
      </c>
      <c r="AX902" t="s">
        <v>1937</v>
      </c>
      <c r="AY902" t="s">
        <v>3917</v>
      </c>
      <c r="AZ902" t="s">
        <v>3918</v>
      </c>
      <c r="BA902" t="s">
        <v>1453</v>
      </c>
      <c r="BB902" t="str">
        <f t="shared" si="14"/>
        <v>ECEWSenAninri</v>
      </c>
    </row>
    <row r="903" spans="48:54" x14ac:dyDescent="0.25">
      <c r="AV903" t="s">
        <v>2127</v>
      </c>
      <c r="AW903" t="s">
        <v>1474</v>
      </c>
      <c r="AX903" t="s">
        <v>1937</v>
      </c>
      <c r="AY903" t="s">
        <v>3919</v>
      </c>
      <c r="AZ903" t="s">
        <v>3920</v>
      </c>
      <c r="BA903" t="s">
        <v>1453</v>
      </c>
      <c r="BB903" t="str">
        <f t="shared" si="14"/>
        <v>ECEWSenAninri</v>
      </c>
    </row>
    <row r="904" spans="48:54" x14ac:dyDescent="0.25">
      <c r="AV904" t="s">
        <v>2127</v>
      </c>
      <c r="AW904" t="s">
        <v>1474</v>
      </c>
      <c r="AX904" t="s">
        <v>1937</v>
      </c>
      <c r="AY904" t="s">
        <v>3921</v>
      </c>
      <c r="AZ904" t="s">
        <v>3922</v>
      </c>
      <c r="BA904" t="s">
        <v>1453</v>
      </c>
      <c r="BB904" t="str">
        <f t="shared" si="14"/>
        <v>ECEWSenAninri</v>
      </c>
    </row>
    <row r="905" spans="48:54" x14ac:dyDescent="0.25">
      <c r="AV905" t="s">
        <v>2127</v>
      </c>
      <c r="AW905" t="s">
        <v>1474</v>
      </c>
      <c r="AX905" t="s">
        <v>1937</v>
      </c>
      <c r="AY905" t="s">
        <v>3923</v>
      </c>
      <c r="AZ905" t="s">
        <v>3924</v>
      </c>
      <c r="BA905" t="s">
        <v>1453</v>
      </c>
      <c r="BB905" t="str">
        <f t="shared" si="14"/>
        <v>ECEWSenAninri</v>
      </c>
    </row>
    <row r="906" spans="48:54" x14ac:dyDescent="0.25">
      <c r="AV906" t="s">
        <v>2127</v>
      </c>
      <c r="AW906" t="s">
        <v>1474</v>
      </c>
      <c r="AX906" t="s">
        <v>1937</v>
      </c>
      <c r="AY906" t="s">
        <v>3925</v>
      </c>
      <c r="AZ906" t="s">
        <v>3926</v>
      </c>
      <c r="BA906" t="s">
        <v>1453</v>
      </c>
      <c r="BB906" t="str">
        <f t="shared" si="14"/>
        <v>ECEWSenAninri</v>
      </c>
    </row>
    <row r="907" spans="48:54" x14ac:dyDescent="0.25">
      <c r="AV907" t="s">
        <v>2127</v>
      </c>
      <c r="AW907" t="s">
        <v>1474</v>
      </c>
      <c r="AX907" t="s">
        <v>1937</v>
      </c>
      <c r="AY907" t="s">
        <v>3927</v>
      </c>
      <c r="AZ907" t="s">
        <v>3928</v>
      </c>
      <c r="BA907" t="s">
        <v>1453</v>
      </c>
      <c r="BB907" t="str">
        <f t="shared" si="14"/>
        <v>ECEWSenAninri</v>
      </c>
    </row>
    <row r="908" spans="48:54" x14ac:dyDescent="0.25">
      <c r="AV908" t="s">
        <v>2127</v>
      </c>
      <c r="AW908" t="s">
        <v>1474</v>
      </c>
      <c r="AX908" t="s">
        <v>1937</v>
      </c>
      <c r="AY908" t="s">
        <v>3929</v>
      </c>
      <c r="AZ908" t="s">
        <v>3930</v>
      </c>
      <c r="BA908" t="s">
        <v>1453</v>
      </c>
      <c r="BB908" t="str">
        <f t="shared" si="14"/>
        <v>ECEWSenAninri</v>
      </c>
    </row>
    <row r="909" spans="48:54" x14ac:dyDescent="0.25">
      <c r="AV909" t="s">
        <v>2127</v>
      </c>
      <c r="AW909" t="s">
        <v>1474</v>
      </c>
      <c r="AX909" t="s">
        <v>1938</v>
      </c>
      <c r="AY909" t="s">
        <v>3931</v>
      </c>
      <c r="AZ909" t="s">
        <v>3932</v>
      </c>
      <c r="BA909" t="s">
        <v>1453</v>
      </c>
      <c r="BB909" t="str">
        <f t="shared" si="14"/>
        <v>ECEWSenAwgu</v>
      </c>
    </row>
    <row r="910" spans="48:54" x14ac:dyDescent="0.25">
      <c r="AV910" t="s">
        <v>2127</v>
      </c>
      <c r="AW910" t="s">
        <v>1474</v>
      </c>
      <c r="AX910" t="s">
        <v>1938</v>
      </c>
      <c r="AY910" t="s">
        <v>3933</v>
      </c>
      <c r="AZ910" t="s">
        <v>3934</v>
      </c>
      <c r="BA910" t="s">
        <v>1453</v>
      </c>
      <c r="BB910" t="str">
        <f t="shared" si="14"/>
        <v>ECEWSenAwgu</v>
      </c>
    </row>
    <row r="911" spans="48:54" x14ac:dyDescent="0.25">
      <c r="AV911" t="s">
        <v>2127</v>
      </c>
      <c r="AW911" t="s">
        <v>1474</v>
      </c>
      <c r="AX911" t="s">
        <v>1938</v>
      </c>
      <c r="AY911" t="s">
        <v>3935</v>
      </c>
      <c r="AZ911" t="s">
        <v>3936</v>
      </c>
      <c r="BA911" t="s">
        <v>1453</v>
      </c>
      <c r="BB911" t="str">
        <f t="shared" si="14"/>
        <v>ECEWSenAwgu</v>
      </c>
    </row>
    <row r="912" spans="48:54" x14ac:dyDescent="0.25">
      <c r="AV912" t="s">
        <v>2127</v>
      </c>
      <c r="AW912" t="s">
        <v>1474</v>
      </c>
      <c r="AX912" t="s">
        <v>1938</v>
      </c>
      <c r="AY912" t="s">
        <v>3937</v>
      </c>
      <c r="AZ912" t="s">
        <v>3938</v>
      </c>
      <c r="BA912" t="s">
        <v>1453</v>
      </c>
      <c r="BB912" t="str">
        <f t="shared" si="14"/>
        <v>ECEWSenAwgu</v>
      </c>
    </row>
    <row r="913" spans="48:54" x14ac:dyDescent="0.25">
      <c r="AV913" t="s">
        <v>2127</v>
      </c>
      <c r="AW913" t="s">
        <v>1474</v>
      </c>
      <c r="AX913" t="s">
        <v>1939</v>
      </c>
      <c r="AY913" t="s">
        <v>3939</v>
      </c>
      <c r="AZ913" t="s">
        <v>3940</v>
      </c>
      <c r="BA913" t="s">
        <v>1453</v>
      </c>
      <c r="BB913" t="str">
        <f t="shared" si="14"/>
        <v>ECEWSenEzeagu</v>
      </c>
    </row>
    <row r="914" spans="48:54" x14ac:dyDescent="0.25">
      <c r="AV914" t="s">
        <v>2127</v>
      </c>
      <c r="AW914" t="s">
        <v>1474</v>
      </c>
      <c r="AX914" t="s">
        <v>1939</v>
      </c>
      <c r="AY914" t="s">
        <v>3941</v>
      </c>
      <c r="AZ914" t="s">
        <v>3942</v>
      </c>
      <c r="BA914" t="s">
        <v>1453</v>
      </c>
      <c r="BB914" t="str">
        <f t="shared" si="14"/>
        <v>ECEWSenEzeagu</v>
      </c>
    </row>
    <row r="915" spans="48:54" x14ac:dyDescent="0.25">
      <c r="AV915" t="s">
        <v>2127</v>
      </c>
      <c r="AW915" t="s">
        <v>1474</v>
      </c>
      <c r="AX915" t="s">
        <v>1940</v>
      </c>
      <c r="AY915" t="s">
        <v>3943</v>
      </c>
      <c r="AZ915" t="s">
        <v>3944</v>
      </c>
      <c r="BA915" t="s">
        <v>1453</v>
      </c>
      <c r="BB915" t="str">
        <f t="shared" si="14"/>
        <v>ECEWSenOjiRiver</v>
      </c>
    </row>
    <row r="916" spans="48:54" x14ac:dyDescent="0.25">
      <c r="AV916" t="s">
        <v>2127</v>
      </c>
      <c r="AW916" t="s">
        <v>1474</v>
      </c>
      <c r="AX916" t="s">
        <v>1940</v>
      </c>
      <c r="AY916" t="s">
        <v>3945</v>
      </c>
      <c r="AZ916" t="s">
        <v>3946</v>
      </c>
      <c r="BA916" t="s">
        <v>1453</v>
      </c>
      <c r="BB916" t="str">
        <f t="shared" si="14"/>
        <v>ECEWSenOjiRiver</v>
      </c>
    </row>
    <row r="917" spans="48:54" x14ac:dyDescent="0.25">
      <c r="AV917" t="s">
        <v>2127</v>
      </c>
      <c r="AW917" t="s">
        <v>1474</v>
      </c>
      <c r="AX917" t="s">
        <v>1940</v>
      </c>
      <c r="AY917" t="s">
        <v>3947</v>
      </c>
      <c r="AZ917" t="s">
        <v>3948</v>
      </c>
      <c r="BA917" t="s">
        <v>1453</v>
      </c>
      <c r="BB917" t="str">
        <f t="shared" si="14"/>
        <v>ECEWSenOjiRiver</v>
      </c>
    </row>
    <row r="918" spans="48:54" x14ac:dyDescent="0.25">
      <c r="AV918" t="s">
        <v>2127</v>
      </c>
      <c r="AW918" t="s">
        <v>1474</v>
      </c>
      <c r="AX918" t="s">
        <v>1940</v>
      </c>
      <c r="AY918" t="s">
        <v>3949</v>
      </c>
      <c r="AZ918" t="s">
        <v>3950</v>
      </c>
      <c r="BA918" t="s">
        <v>1453</v>
      </c>
      <c r="BB918" t="str">
        <f t="shared" si="14"/>
        <v>ECEWSenOjiRiver</v>
      </c>
    </row>
    <row r="919" spans="48:54" x14ac:dyDescent="0.25">
      <c r="AV919" t="s">
        <v>2127</v>
      </c>
      <c r="AW919" t="s">
        <v>1474</v>
      </c>
      <c r="AX919" t="s">
        <v>1941</v>
      </c>
      <c r="AY919" t="s">
        <v>3951</v>
      </c>
      <c r="AZ919" t="s">
        <v>3952</v>
      </c>
      <c r="BA919" t="s">
        <v>1453</v>
      </c>
      <c r="BB919" t="str">
        <f t="shared" si="14"/>
        <v>ECEWSenUdi</v>
      </c>
    </row>
    <row r="920" spans="48:54" x14ac:dyDescent="0.25">
      <c r="AV920" t="s">
        <v>2127</v>
      </c>
      <c r="AW920" t="s">
        <v>1474</v>
      </c>
      <c r="AX920" t="s">
        <v>1941</v>
      </c>
      <c r="AY920" t="s">
        <v>3953</v>
      </c>
      <c r="AZ920" t="s">
        <v>3954</v>
      </c>
      <c r="BA920" t="s">
        <v>1453</v>
      </c>
      <c r="BB920" t="str">
        <f t="shared" si="14"/>
        <v>ECEWSenUdi</v>
      </c>
    </row>
    <row r="921" spans="48:54" x14ac:dyDescent="0.25">
      <c r="AV921" t="s">
        <v>2127</v>
      </c>
      <c r="AW921" t="s">
        <v>1474</v>
      </c>
      <c r="AX921" t="s">
        <v>1941</v>
      </c>
      <c r="AY921" t="s">
        <v>3955</v>
      </c>
      <c r="AZ921" t="s">
        <v>3956</v>
      </c>
      <c r="BA921" t="s">
        <v>1453</v>
      </c>
      <c r="BB921" t="str">
        <f t="shared" si="14"/>
        <v>ECEWSenUdi</v>
      </c>
    </row>
    <row r="922" spans="48:54" x14ac:dyDescent="0.25">
      <c r="AV922" t="s">
        <v>2127</v>
      </c>
      <c r="AW922" t="s">
        <v>1474</v>
      </c>
      <c r="AX922" t="s">
        <v>1941</v>
      </c>
      <c r="AY922" t="s">
        <v>3957</v>
      </c>
      <c r="AZ922" t="s">
        <v>3958</v>
      </c>
      <c r="BA922" t="s">
        <v>1453</v>
      </c>
      <c r="BB922" t="str">
        <f t="shared" si="14"/>
        <v>ECEWSenUdi</v>
      </c>
    </row>
    <row r="923" spans="48:54" x14ac:dyDescent="0.25">
      <c r="AV923" t="s">
        <v>2127</v>
      </c>
      <c r="AW923" t="s">
        <v>1474</v>
      </c>
      <c r="AX923" t="s">
        <v>1941</v>
      </c>
      <c r="AY923" t="s">
        <v>3959</v>
      </c>
      <c r="AZ923" t="s">
        <v>3960</v>
      </c>
      <c r="BA923" t="s">
        <v>1453</v>
      </c>
      <c r="BB923" t="str">
        <f t="shared" si="14"/>
        <v>ECEWSenUdi</v>
      </c>
    </row>
    <row r="924" spans="48:54" x14ac:dyDescent="0.25">
      <c r="AV924" t="s">
        <v>2127</v>
      </c>
      <c r="AW924" t="s">
        <v>1474</v>
      </c>
      <c r="AX924" t="s">
        <v>1941</v>
      </c>
      <c r="AY924" t="s">
        <v>3961</v>
      </c>
      <c r="AZ924" t="s">
        <v>3962</v>
      </c>
      <c r="BA924" t="s">
        <v>1453</v>
      </c>
      <c r="BB924" t="str">
        <f t="shared" si="14"/>
        <v>ECEWSenUdi</v>
      </c>
    </row>
    <row r="925" spans="48:54" x14ac:dyDescent="0.25">
      <c r="AV925" t="s">
        <v>2127</v>
      </c>
      <c r="AW925" t="s">
        <v>1474</v>
      </c>
      <c r="AX925" t="s">
        <v>1941</v>
      </c>
      <c r="AY925" t="s">
        <v>3963</v>
      </c>
      <c r="AZ925" t="s">
        <v>3964</v>
      </c>
      <c r="BA925" t="s">
        <v>1453</v>
      </c>
      <c r="BB925" t="str">
        <f t="shared" si="14"/>
        <v>ECEWSenUdi</v>
      </c>
    </row>
    <row r="926" spans="48:54" x14ac:dyDescent="0.25">
      <c r="AV926" t="s">
        <v>2127</v>
      </c>
      <c r="AW926" t="s">
        <v>1474</v>
      </c>
      <c r="AX926" t="s">
        <v>1941</v>
      </c>
      <c r="AY926" t="s">
        <v>3965</v>
      </c>
      <c r="AZ926" t="s">
        <v>3966</v>
      </c>
      <c r="BA926" t="s">
        <v>1453</v>
      </c>
      <c r="BB926" t="str">
        <f t="shared" si="14"/>
        <v>ECEWSenUdi</v>
      </c>
    </row>
    <row r="927" spans="48:54" x14ac:dyDescent="0.25">
      <c r="AV927" t="s">
        <v>2127</v>
      </c>
      <c r="AW927" t="s">
        <v>1474</v>
      </c>
      <c r="AX927" t="s">
        <v>1941</v>
      </c>
      <c r="AY927" t="s">
        <v>3967</v>
      </c>
      <c r="AZ927" t="s">
        <v>3968</v>
      </c>
      <c r="BA927" t="s">
        <v>1453</v>
      </c>
      <c r="BB927" t="str">
        <f t="shared" si="14"/>
        <v>ECEWSenUdi</v>
      </c>
    </row>
    <row r="928" spans="48:54" x14ac:dyDescent="0.25">
      <c r="AV928" t="s">
        <v>2127</v>
      </c>
      <c r="AW928" t="s">
        <v>1474</v>
      </c>
      <c r="AX928" t="s">
        <v>1941</v>
      </c>
      <c r="AY928" t="s">
        <v>3969</v>
      </c>
      <c r="AZ928" t="s">
        <v>3970</v>
      </c>
      <c r="BA928" t="s">
        <v>1453</v>
      </c>
      <c r="BB928" t="str">
        <f t="shared" si="14"/>
        <v>ECEWSenUdi</v>
      </c>
    </row>
    <row r="929" spans="48:54" x14ac:dyDescent="0.25">
      <c r="AV929" t="s">
        <v>2127</v>
      </c>
      <c r="AW929" t="s">
        <v>1477</v>
      </c>
      <c r="AX929" t="s">
        <v>1980</v>
      </c>
      <c r="AY929" t="s">
        <v>3971</v>
      </c>
      <c r="AZ929" t="s">
        <v>3972</v>
      </c>
      <c r="BA929" t="s">
        <v>1453</v>
      </c>
      <c r="BB929" t="str">
        <f t="shared" si="14"/>
        <v>ECEWSimEhimeMbano</v>
      </c>
    </row>
    <row r="930" spans="48:54" x14ac:dyDescent="0.25">
      <c r="AV930" t="s">
        <v>2127</v>
      </c>
      <c r="AW930" t="s">
        <v>1477</v>
      </c>
      <c r="AX930" t="s">
        <v>1980</v>
      </c>
      <c r="AY930" t="s">
        <v>3973</v>
      </c>
      <c r="AZ930" t="s">
        <v>3974</v>
      </c>
      <c r="BA930" t="s">
        <v>1453</v>
      </c>
      <c r="BB930" t="str">
        <f t="shared" si="14"/>
        <v>ECEWSimEhimeMbano</v>
      </c>
    </row>
    <row r="931" spans="48:54" x14ac:dyDescent="0.25">
      <c r="AV931" t="s">
        <v>2127</v>
      </c>
      <c r="AW931" t="s">
        <v>1477</v>
      </c>
      <c r="AX931" t="s">
        <v>1980</v>
      </c>
      <c r="AY931" t="s">
        <v>3975</v>
      </c>
      <c r="AZ931" t="s">
        <v>3976</v>
      </c>
      <c r="BA931" t="s">
        <v>1453</v>
      </c>
      <c r="BB931" t="str">
        <f t="shared" si="14"/>
        <v>ECEWSimEhimeMbano</v>
      </c>
    </row>
    <row r="932" spans="48:54" x14ac:dyDescent="0.25">
      <c r="AV932" t="s">
        <v>2127</v>
      </c>
      <c r="AW932" t="s">
        <v>1477</v>
      </c>
      <c r="AX932" t="s">
        <v>1980</v>
      </c>
      <c r="AY932" t="s">
        <v>3977</v>
      </c>
      <c r="AZ932" t="s">
        <v>3978</v>
      </c>
      <c r="BA932" t="s">
        <v>1453</v>
      </c>
      <c r="BB932" t="str">
        <f t="shared" si="14"/>
        <v>ECEWSimEhimeMbano</v>
      </c>
    </row>
    <row r="933" spans="48:54" x14ac:dyDescent="0.25">
      <c r="AV933" t="s">
        <v>2127</v>
      </c>
      <c r="AW933" t="s">
        <v>1477</v>
      </c>
      <c r="AX933" t="s">
        <v>1981</v>
      </c>
      <c r="AY933" t="s">
        <v>3979</v>
      </c>
      <c r="AZ933" t="s">
        <v>3980</v>
      </c>
      <c r="BA933" t="s">
        <v>1453</v>
      </c>
      <c r="BB933" t="str">
        <f t="shared" si="14"/>
        <v>ECEWSimIhitte</v>
      </c>
    </row>
    <row r="934" spans="48:54" x14ac:dyDescent="0.25">
      <c r="AV934" t="s">
        <v>2127</v>
      </c>
      <c r="AW934" t="s">
        <v>1477</v>
      </c>
      <c r="AX934" t="s">
        <v>1981</v>
      </c>
      <c r="AY934" t="s">
        <v>3979</v>
      </c>
      <c r="AZ934" t="s">
        <v>3981</v>
      </c>
      <c r="BA934" t="s">
        <v>1453</v>
      </c>
      <c r="BB934" t="str">
        <f t="shared" si="14"/>
        <v>ECEWSimIhitte</v>
      </c>
    </row>
    <row r="935" spans="48:54" x14ac:dyDescent="0.25">
      <c r="AV935" t="s">
        <v>2127</v>
      </c>
      <c r="AW935" t="s">
        <v>1477</v>
      </c>
      <c r="AX935" t="s">
        <v>1981</v>
      </c>
      <c r="AY935" t="s">
        <v>3979</v>
      </c>
      <c r="AZ935" t="s">
        <v>3982</v>
      </c>
      <c r="BA935" t="s">
        <v>1453</v>
      </c>
      <c r="BB935" t="str">
        <f t="shared" si="14"/>
        <v>ECEWSimIhitte</v>
      </c>
    </row>
    <row r="936" spans="48:54" x14ac:dyDescent="0.25">
      <c r="AV936" t="s">
        <v>2127</v>
      </c>
      <c r="AW936" t="s">
        <v>1477</v>
      </c>
      <c r="AX936" t="s">
        <v>1982</v>
      </c>
      <c r="AY936" t="s">
        <v>3983</v>
      </c>
      <c r="AZ936" t="s">
        <v>3984</v>
      </c>
      <c r="BA936" t="s">
        <v>1453</v>
      </c>
      <c r="BB936" t="str">
        <f t="shared" si="14"/>
        <v>ECEWSimIsialaMbano</v>
      </c>
    </row>
    <row r="937" spans="48:54" x14ac:dyDescent="0.25">
      <c r="AV937" t="s">
        <v>2127</v>
      </c>
      <c r="AW937" t="s">
        <v>1477</v>
      </c>
      <c r="AX937" t="s">
        <v>1983</v>
      </c>
      <c r="AY937" t="s">
        <v>3985</v>
      </c>
      <c r="AZ937" t="s">
        <v>3986</v>
      </c>
      <c r="BA937" t="s">
        <v>1453</v>
      </c>
      <c r="BB937" t="str">
        <f t="shared" si="14"/>
        <v>ECEWSimObowo</v>
      </c>
    </row>
    <row r="938" spans="48:54" x14ac:dyDescent="0.25">
      <c r="AV938" t="s">
        <v>2127</v>
      </c>
      <c r="AW938" t="s">
        <v>1477</v>
      </c>
      <c r="AX938" t="s">
        <v>1983</v>
      </c>
      <c r="AY938" t="s">
        <v>3987</v>
      </c>
      <c r="AZ938" t="s">
        <v>3988</v>
      </c>
      <c r="BA938" t="s">
        <v>1453</v>
      </c>
      <c r="BB938" t="str">
        <f t="shared" si="14"/>
        <v>ECEWSimObowo</v>
      </c>
    </row>
    <row r="939" spans="48:54" x14ac:dyDescent="0.25">
      <c r="AV939" t="s">
        <v>2127</v>
      </c>
      <c r="AW939" t="s">
        <v>1477</v>
      </c>
      <c r="AX939" t="s">
        <v>1984</v>
      </c>
      <c r="AY939" t="s">
        <v>3989</v>
      </c>
      <c r="AZ939" t="s">
        <v>3990</v>
      </c>
      <c r="BA939" t="s">
        <v>1453</v>
      </c>
      <c r="BB939" t="str">
        <f t="shared" si="14"/>
        <v>ECEWSimOkigwe</v>
      </c>
    </row>
    <row r="940" spans="48:54" x14ac:dyDescent="0.25">
      <c r="AV940" t="s">
        <v>2127</v>
      </c>
      <c r="AW940" t="s">
        <v>1477</v>
      </c>
      <c r="AX940" t="s">
        <v>1984</v>
      </c>
      <c r="AY940" t="s">
        <v>3991</v>
      </c>
      <c r="AZ940" t="s">
        <v>3992</v>
      </c>
      <c r="BA940" t="s">
        <v>1453</v>
      </c>
      <c r="BB940" t="str">
        <f t="shared" si="14"/>
        <v>ECEWSimOkigwe</v>
      </c>
    </row>
    <row r="941" spans="48:54" x14ac:dyDescent="0.25">
      <c r="AV941" t="s">
        <v>2127</v>
      </c>
      <c r="AW941" t="s">
        <v>1477</v>
      </c>
      <c r="AX941" t="s">
        <v>1984</v>
      </c>
      <c r="AY941" t="s">
        <v>3993</v>
      </c>
      <c r="AZ941" t="s">
        <v>3994</v>
      </c>
      <c r="BA941" t="s">
        <v>1453</v>
      </c>
      <c r="BB941" t="str">
        <f t="shared" si="14"/>
        <v>ECEWSimOkigwe</v>
      </c>
    </row>
    <row r="942" spans="48:54" x14ac:dyDescent="0.25">
      <c r="AV942" t="s">
        <v>2127</v>
      </c>
      <c r="AW942" t="s">
        <v>1477</v>
      </c>
      <c r="AX942" t="s">
        <v>1985</v>
      </c>
      <c r="AY942" t="s">
        <v>3995</v>
      </c>
      <c r="AZ942" t="s">
        <v>3996</v>
      </c>
      <c r="BA942" t="s">
        <v>1453</v>
      </c>
      <c r="BB942" t="str">
        <f t="shared" si="14"/>
        <v>ECEWSimOnuimo</v>
      </c>
    </row>
    <row r="943" spans="48:54" x14ac:dyDescent="0.25">
      <c r="AV943" t="s">
        <v>2127</v>
      </c>
      <c r="AW943" t="s">
        <v>1477</v>
      </c>
      <c r="AX943" t="s">
        <v>1985</v>
      </c>
      <c r="AY943" t="s">
        <v>3997</v>
      </c>
      <c r="AZ943" t="s">
        <v>3998</v>
      </c>
      <c r="BA943" t="s">
        <v>1453</v>
      </c>
      <c r="BB943" t="str">
        <f t="shared" si="14"/>
        <v>ECEWSimOnuimo</v>
      </c>
    </row>
    <row r="944" spans="48:54" x14ac:dyDescent="0.25">
      <c r="AV944" t="s">
        <v>2127</v>
      </c>
      <c r="AW944" t="s">
        <v>1476</v>
      </c>
      <c r="AX944" t="s">
        <v>1957</v>
      </c>
      <c r="AY944" t="s">
        <v>3999</v>
      </c>
      <c r="AZ944" t="s">
        <v>4000</v>
      </c>
      <c r="BA944" t="s">
        <v>4001</v>
      </c>
      <c r="BB944" t="str">
        <f t="shared" si="14"/>
        <v>FGHINgoAkko</v>
      </c>
    </row>
    <row r="945" spans="48:54" x14ac:dyDescent="0.25">
      <c r="AV945" t="s">
        <v>2127</v>
      </c>
      <c r="AW945" t="s">
        <v>1476</v>
      </c>
      <c r="AX945" t="s">
        <v>1957</v>
      </c>
      <c r="AY945" t="s">
        <v>4002</v>
      </c>
      <c r="AZ945" t="s">
        <v>4003</v>
      </c>
      <c r="BA945" t="s">
        <v>4001</v>
      </c>
      <c r="BB945" t="str">
        <f t="shared" si="14"/>
        <v>FGHINgoAkko</v>
      </c>
    </row>
    <row r="946" spans="48:54" x14ac:dyDescent="0.25">
      <c r="AV946" t="s">
        <v>2127</v>
      </c>
      <c r="AW946" t="s">
        <v>1476</v>
      </c>
      <c r="AX946" t="s">
        <v>1957</v>
      </c>
      <c r="AY946" t="s">
        <v>4004</v>
      </c>
      <c r="AZ946" t="s">
        <v>4005</v>
      </c>
      <c r="BA946" t="s">
        <v>4001</v>
      </c>
      <c r="BB946" t="str">
        <f t="shared" si="14"/>
        <v>FGHINgoAkko</v>
      </c>
    </row>
    <row r="947" spans="48:54" x14ac:dyDescent="0.25">
      <c r="AV947" t="s">
        <v>2127</v>
      </c>
      <c r="AW947" t="s">
        <v>1476</v>
      </c>
      <c r="AX947" t="s">
        <v>1957</v>
      </c>
      <c r="AY947" t="s">
        <v>4006</v>
      </c>
      <c r="AZ947" t="s">
        <v>4007</v>
      </c>
      <c r="BA947" t="s">
        <v>4001</v>
      </c>
      <c r="BB947" t="str">
        <f t="shared" si="14"/>
        <v>FGHINgoAkko</v>
      </c>
    </row>
    <row r="948" spans="48:54" x14ac:dyDescent="0.25">
      <c r="AV948" t="s">
        <v>2127</v>
      </c>
      <c r="AW948" t="s">
        <v>1476</v>
      </c>
      <c r="AX948" t="s">
        <v>1957</v>
      </c>
      <c r="AY948" t="s">
        <v>4008</v>
      </c>
      <c r="AZ948" t="s">
        <v>4009</v>
      </c>
      <c r="BA948" t="s">
        <v>4001</v>
      </c>
      <c r="BB948" t="str">
        <f t="shared" si="14"/>
        <v>FGHINgoAkko</v>
      </c>
    </row>
    <row r="949" spans="48:54" x14ac:dyDescent="0.25">
      <c r="AV949" t="s">
        <v>2127</v>
      </c>
      <c r="AW949" t="s">
        <v>1476</v>
      </c>
      <c r="AX949" t="s">
        <v>1957</v>
      </c>
      <c r="AY949" t="s">
        <v>4010</v>
      </c>
      <c r="AZ949" t="s">
        <v>4011</v>
      </c>
      <c r="BA949" t="s">
        <v>4001</v>
      </c>
      <c r="BB949" t="str">
        <f t="shared" si="14"/>
        <v>FGHINgoAkko</v>
      </c>
    </row>
    <row r="950" spans="48:54" x14ac:dyDescent="0.25">
      <c r="AV950" t="s">
        <v>2127</v>
      </c>
      <c r="AW950" t="s">
        <v>1476</v>
      </c>
      <c r="AX950" t="s">
        <v>1957</v>
      </c>
      <c r="AY950" t="s">
        <v>4012</v>
      </c>
      <c r="AZ950" t="s">
        <v>4013</v>
      </c>
      <c r="BA950" t="s">
        <v>4001</v>
      </c>
      <c r="BB950" t="str">
        <f t="shared" si="14"/>
        <v>FGHINgoAkko</v>
      </c>
    </row>
    <row r="951" spans="48:54" x14ac:dyDescent="0.25">
      <c r="AV951" t="s">
        <v>2127</v>
      </c>
      <c r="AW951" t="s">
        <v>1476</v>
      </c>
      <c r="AX951" t="s">
        <v>1957</v>
      </c>
      <c r="AY951" t="s">
        <v>4014</v>
      </c>
      <c r="AZ951" t="s">
        <v>4015</v>
      </c>
      <c r="BA951" t="s">
        <v>4001</v>
      </c>
      <c r="BB951" t="str">
        <f t="shared" si="14"/>
        <v>FGHINgoAkko</v>
      </c>
    </row>
    <row r="952" spans="48:54" x14ac:dyDescent="0.25">
      <c r="AV952" t="s">
        <v>2127</v>
      </c>
      <c r="AW952" t="s">
        <v>1476</v>
      </c>
      <c r="AX952" t="s">
        <v>1957</v>
      </c>
      <c r="AY952" t="s">
        <v>4016</v>
      </c>
      <c r="AZ952" t="s">
        <v>4017</v>
      </c>
      <c r="BA952" t="s">
        <v>4001</v>
      </c>
      <c r="BB952" t="str">
        <f t="shared" si="14"/>
        <v>FGHINgoAkko</v>
      </c>
    </row>
    <row r="953" spans="48:54" x14ac:dyDescent="0.25">
      <c r="AV953" t="s">
        <v>2127</v>
      </c>
      <c r="AW953" t="s">
        <v>1476</v>
      </c>
      <c r="AX953" t="s">
        <v>1957</v>
      </c>
      <c r="AY953" t="s">
        <v>4018</v>
      </c>
      <c r="AZ953" t="s">
        <v>4019</v>
      </c>
      <c r="BA953" t="s">
        <v>4001</v>
      </c>
      <c r="BB953" t="str">
        <f t="shared" si="14"/>
        <v>FGHINgoAkko</v>
      </c>
    </row>
    <row r="954" spans="48:54" x14ac:dyDescent="0.25">
      <c r="AV954" t="s">
        <v>2127</v>
      </c>
      <c r="AW954" t="s">
        <v>1476</v>
      </c>
      <c r="AX954" t="s">
        <v>1957</v>
      </c>
      <c r="AY954" t="s">
        <v>4020</v>
      </c>
      <c r="AZ954" t="s">
        <v>4021</v>
      </c>
      <c r="BA954" t="s">
        <v>4001</v>
      </c>
      <c r="BB954" t="str">
        <f t="shared" si="14"/>
        <v>FGHINgoAkko</v>
      </c>
    </row>
    <row r="955" spans="48:54" x14ac:dyDescent="0.25">
      <c r="AV955" t="s">
        <v>2127</v>
      </c>
      <c r="AW955" t="s">
        <v>1476</v>
      </c>
      <c r="AX955" t="s">
        <v>1958</v>
      </c>
      <c r="AY955" t="s">
        <v>4022</v>
      </c>
      <c r="AZ955" t="s">
        <v>4023</v>
      </c>
      <c r="BA955" t="s">
        <v>4001</v>
      </c>
      <c r="BB955" t="str">
        <f t="shared" si="14"/>
        <v>FGHINgoYamaltu</v>
      </c>
    </row>
    <row r="956" spans="48:54" x14ac:dyDescent="0.25">
      <c r="AV956" t="s">
        <v>2127</v>
      </c>
      <c r="AW956" t="s">
        <v>1476</v>
      </c>
      <c r="AX956" t="s">
        <v>1958</v>
      </c>
      <c r="AY956" t="s">
        <v>4022</v>
      </c>
      <c r="AZ956" t="s">
        <v>4024</v>
      </c>
      <c r="BA956" t="s">
        <v>4001</v>
      </c>
      <c r="BB956" t="str">
        <f t="shared" si="14"/>
        <v>FGHINgoYamaltu</v>
      </c>
    </row>
    <row r="957" spans="48:54" x14ac:dyDescent="0.25">
      <c r="AV957" t="s">
        <v>2127</v>
      </c>
      <c r="AW957" t="s">
        <v>1476</v>
      </c>
      <c r="AX957" t="s">
        <v>1958</v>
      </c>
      <c r="AY957" t="s">
        <v>4022</v>
      </c>
      <c r="AZ957" t="s">
        <v>4025</v>
      </c>
      <c r="BA957" t="s">
        <v>4001</v>
      </c>
      <c r="BB957" t="str">
        <f t="shared" si="14"/>
        <v>FGHINgoYamaltu</v>
      </c>
    </row>
    <row r="958" spans="48:54" x14ac:dyDescent="0.25">
      <c r="AV958" t="s">
        <v>2127</v>
      </c>
      <c r="AW958" t="s">
        <v>1476</v>
      </c>
      <c r="AX958" t="s">
        <v>1958</v>
      </c>
      <c r="AY958" t="s">
        <v>4022</v>
      </c>
      <c r="AZ958" t="s">
        <v>4026</v>
      </c>
      <c r="BA958" t="s">
        <v>4001</v>
      </c>
      <c r="BB958" t="str">
        <f t="shared" si="14"/>
        <v>FGHINgoYamaltu</v>
      </c>
    </row>
    <row r="959" spans="48:54" x14ac:dyDescent="0.25">
      <c r="AV959" t="s">
        <v>2127</v>
      </c>
      <c r="AW959" t="s">
        <v>1476</v>
      </c>
      <c r="AX959" t="s">
        <v>1958</v>
      </c>
      <c r="AY959" t="s">
        <v>4022</v>
      </c>
      <c r="AZ959" t="s">
        <v>4027</v>
      </c>
      <c r="BA959" t="s">
        <v>4001</v>
      </c>
      <c r="BB959" t="str">
        <f t="shared" si="14"/>
        <v>FGHINgoYamaltu</v>
      </c>
    </row>
    <row r="960" spans="48:54" x14ac:dyDescent="0.25">
      <c r="AV960" t="s">
        <v>2127</v>
      </c>
      <c r="AW960" t="s">
        <v>1476</v>
      </c>
      <c r="AX960" t="s">
        <v>1958</v>
      </c>
      <c r="AY960" t="s">
        <v>4022</v>
      </c>
      <c r="AZ960" t="s">
        <v>4028</v>
      </c>
      <c r="BA960" t="s">
        <v>4001</v>
      </c>
      <c r="BB960" t="str">
        <f t="shared" si="14"/>
        <v>FGHINgoYamaltu</v>
      </c>
    </row>
    <row r="961" spans="48:54" x14ac:dyDescent="0.25">
      <c r="AV961" t="s">
        <v>2127</v>
      </c>
      <c r="AW961" t="s">
        <v>1476</v>
      </c>
      <c r="AX961" t="s">
        <v>1958</v>
      </c>
      <c r="AY961" t="s">
        <v>4022</v>
      </c>
      <c r="AZ961" t="s">
        <v>4029</v>
      </c>
      <c r="BA961" t="s">
        <v>4001</v>
      </c>
      <c r="BB961" t="str">
        <f t="shared" si="14"/>
        <v>FGHINgoYamaltu</v>
      </c>
    </row>
    <row r="962" spans="48:54" x14ac:dyDescent="0.25">
      <c r="AV962" t="s">
        <v>2127</v>
      </c>
      <c r="AW962" t="s">
        <v>1476</v>
      </c>
      <c r="AX962" t="s">
        <v>1958</v>
      </c>
      <c r="AY962" t="s">
        <v>4022</v>
      </c>
      <c r="AZ962" t="s">
        <v>4030</v>
      </c>
      <c r="BA962" t="s">
        <v>4001</v>
      </c>
      <c r="BB962" t="str">
        <f t="shared" si="14"/>
        <v>FGHINgoYamaltu</v>
      </c>
    </row>
    <row r="963" spans="48:54" x14ac:dyDescent="0.25">
      <c r="AV963" t="s">
        <v>2127</v>
      </c>
      <c r="AW963" t="s">
        <v>1476</v>
      </c>
      <c r="AX963" t="s">
        <v>1958</v>
      </c>
      <c r="AY963" t="s">
        <v>4022</v>
      </c>
      <c r="AZ963" t="s">
        <v>4031</v>
      </c>
      <c r="BA963" t="s">
        <v>4001</v>
      </c>
      <c r="BB963" t="str">
        <f t="shared" ref="BB963:BB1026" si="15">SUBSTITUTE(SUBSTITUTE(BA963&amp;AX963," ",""),"-","")</f>
        <v>FGHINgoYamaltu</v>
      </c>
    </row>
    <row r="964" spans="48:54" x14ac:dyDescent="0.25">
      <c r="AV964" t="s">
        <v>2127</v>
      </c>
      <c r="AW964" t="s">
        <v>1476</v>
      </c>
      <c r="AX964" t="s">
        <v>1958</v>
      </c>
      <c r="AY964" t="s">
        <v>4022</v>
      </c>
      <c r="AZ964" t="s">
        <v>4032</v>
      </c>
      <c r="BA964" t="s">
        <v>4001</v>
      </c>
      <c r="BB964" t="str">
        <f t="shared" si="15"/>
        <v>FGHINgoYamaltu</v>
      </c>
    </row>
    <row r="965" spans="48:54" x14ac:dyDescent="0.25">
      <c r="AV965" t="s">
        <v>2127</v>
      </c>
      <c r="AW965" t="s">
        <v>1476</v>
      </c>
      <c r="AX965" t="s">
        <v>1958</v>
      </c>
      <c r="AY965" t="s">
        <v>4022</v>
      </c>
      <c r="AZ965" t="s">
        <v>4033</v>
      </c>
      <c r="BA965" t="s">
        <v>4001</v>
      </c>
      <c r="BB965" t="str">
        <f t="shared" si="15"/>
        <v>FGHINgoYamaltu</v>
      </c>
    </row>
    <row r="966" spans="48:54" x14ac:dyDescent="0.25">
      <c r="AV966" t="s">
        <v>2127</v>
      </c>
      <c r="AW966" t="s">
        <v>1476</v>
      </c>
      <c r="AX966" t="s">
        <v>1958</v>
      </c>
      <c r="AY966" t="s">
        <v>4022</v>
      </c>
      <c r="AZ966" t="s">
        <v>4034</v>
      </c>
      <c r="BA966" t="s">
        <v>4001</v>
      </c>
      <c r="BB966" t="str">
        <f t="shared" si="15"/>
        <v>FGHINgoYamaltu</v>
      </c>
    </row>
    <row r="967" spans="48:54" x14ac:dyDescent="0.25">
      <c r="AV967" t="s">
        <v>2127</v>
      </c>
      <c r="AW967" t="s">
        <v>1479</v>
      </c>
      <c r="AX967" t="s">
        <v>2002</v>
      </c>
      <c r="AY967" t="s">
        <v>4035</v>
      </c>
      <c r="AZ967" t="s">
        <v>4036</v>
      </c>
      <c r="BA967" t="s">
        <v>4001</v>
      </c>
      <c r="BB967" t="str">
        <f t="shared" si="15"/>
        <v>FGHINkdBirninGwari</v>
      </c>
    </row>
    <row r="968" spans="48:54" x14ac:dyDescent="0.25">
      <c r="AV968" t="s">
        <v>2127</v>
      </c>
      <c r="AW968" t="s">
        <v>1479</v>
      </c>
      <c r="AX968" t="s">
        <v>2002</v>
      </c>
      <c r="AY968" t="s">
        <v>4037</v>
      </c>
      <c r="AZ968" t="s">
        <v>4038</v>
      </c>
      <c r="BA968" t="s">
        <v>4001</v>
      </c>
      <c r="BB968" t="str">
        <f t="shared" si="15"/>
        <v>FGHINkdBirninGwari</v>
      </c>
    </row>
    <row r="969" spans="48:54" x14ac:dyDescent="0.25">
      <c r="AV969" t="s">
        <v>2127</v>
      </c>
      <c r="AW969" t="s">
        <v>1479</v>
      </c>
      <c r="AX969" t="s">
        <v>2002</v>
      </c>
      <c r="AY969" t="s">
        <v>4039</v>
      </c>
      <c r="AZ969" t="s">
        <v>4040</v>
      </c>
      <c r="BA969" t="s">
        <v>4001</v>
      </c>
      <c r="BB969" t="str">
        <f t="shared" si="15"/>
        <v>FGHINkdBirninGwari</v>
      </c>
    </row>
    <row r="970" spans="48:54" x14ac:dyDescent="0.25">
      <c r="AV970" t="s">
        <v>2127</v>
      </c>
      <c r="AW970" t="s">
        <v>1479</v>
      </c>
      <c r="AX970" t="s">
        <v>2002</v>
      </c>
      <c r="AY970" t="s">
        <v>4041</v>
      </c>
      <c r="AZ970" t="s">
        <v>4042</v>
      </c>
      <c r="BA970" t="s">
        <v>4001</v>
      </c>
      <c r="BB970" t="str">
        <f t="shared" si="15"/>
        <v>FGHINkdBirninGwari</v>
      </c>
    </row>
    <row r="971" spans="48:54" x14ac:dyDescent="0.25">
      <c r="AV971" t="s">
        <v>2127</v>
      </c>
      <c r="AW971" t="s">
        <v>1479</v>
      </c>
      <c r="AX971" t="s">
        <v>2002</v>
      </c>
      <c r="AY971" t="s">
        <v>4043</v>
      </c>
      <c r="AZ971" t="s">
        <v>4044</v>
      </c>
      <c r="BA971" t="s">
        <v>4001</v>
      </c>
      <c r="BB971" t="str">
        <f t="shared" si="15"/>
        <v>FGHINkdBirninGwari</v>
      </c>
    </row>
    <row r="972" spans="48:54" x14ac:dyDescent="0.25">
      <c r="AV972" t="s">
        <v>2127</v>
      </c>
      <c r="AW972" t="s">
        <v>1479</v>
      </c>
      <c r="AX972" t="s">
        <v>2002</v>
      </c>
      <c r="AY972" t="s">
        <v>4045</v>
      </c>
      <c r="AZ972" t="s">
        <v>4046</v>
      </c>
      <c r="BA972" t="s">
        <v>4001</v>
      </c>
      <c r="BB972" t="str">
        <f t="shared" si="15"/>
        <v>FGHINkdBirninGwari</v>
      </c>
    </row>
    <row r="973" spans="48:54" x14ac:dyDescent="0.25">
      <c r="AV973" t="s">
        <v>2127</v>
      </c>
      <c r="AW973" t="s">
        <v>1479</v>
      </c>
      <c r="AX973" t="s">
        <v>2002</v>
      </c>
      <c r="AY973" t="s">
        <v>4047</v>
      </c>
      <c r="AZ973" t="s">
        <v>4048</v>
      </c>
      <c r="BA973" t="s">
        <v>4001</v>
      </c>
      <c r="BB973" t="str">
        <f t="shared" si="15"/>
        <v>FGHINkdBirninGwari</v>
      </c>
    </row>
    <row r="974" spans="48:54" x14ac:dyDescent="0.25">
      <c r="AV974" t="s">
        <v>2127</v>
      </c>
      <c r="AW974" t="s">
        <v>1479</v>
      </c>
      <c r="AX974" t="s">
        <v>2002</v>
      </c>
      <c r="AY974" t="s">
        <v>4049</v>
      </c>
      <c r="AZ974" t="s">
        <v>4050</v>
      </c>
      <c r="BA974" t="s">
        <v>4001</v>
      </c>
      <c r="BB974" t="str">
        <f t="shared" si="15"/>
        <v>FGHINkdBirninGwari</v>
      </c>
    </row>
    <row r="975" spans="48:54" x14ac:dyDescent="0.25">
      <c r="AV975" t="s">
        <v>2127</v>
      </c>
      <c r="AW975" t="s">
        <v>1479</v>
      </c>
      <c r="AX975" t="s">
        <v>2002</v>
      </c>
      <c r="AY975" t="s">
        <v>4051</v>
      </c>
      <c r="AZ975" t="s">
        <v>4052</v>
      </c>
      <c r="BA975" t="s">
        <v>4001</v>
      </c>
      <c r="BB975" t="str">
        <f t="shared" si="15"/>
        <v>FGHINkdBirninGwari</v>
      </c>
    </row>
    <row r="976" spans="48:54" x14ac:dyDescent="0.25">
      <c r="AV976" t="s">
        <v>2127</v>
      </c>
      <c r="AW976" t="s">
        <v>1479</v>
      </c>
      <c r="AX976" t="s">
        <v>2002</v>
      </c>
      <c r="AY976" t="s">
        <v>4053</v>
      </c>
      <c r="AZ976" t="s">
        <v>4054</v>
      </c>
      <c r="BA976" t="s">
        <v>4001</v>
      </c>
      <c r="BB976" t="str">
        <f t="shared" si="15"/>
        <v>FGHINkdBirninGwari</v>
      </c>
    </row>
    <row r="977" spans="48:54" x14ac:dyDescent="0.25">
      <c r="AV977" t="s">
        <v>2127</v>
      </c>
      <c r="AW977" t="s">
        <v>1479</v>
      </c>
      <c r="AX977" t="s">
        <v>2003</v>
      </c>
      <c r="AY977" t="s">
        <v>4055</v>
      </c>
      <c r="AZ977" t="s">
        <v>4056</v>
      </c>
      <c r="BA977" t="s">
        <v>4001</v>
      </c>
      <c r="BB977" t="str">
        <f t="shared" si="15"/>
        <v>FGHINkdGiwa</v>
      </c>
    </row>
    <row r="978" spans="48:54" x14ac:dyDescent="0.25">
      <c r="AV978" t="s">
        <v>2127</v>
      </c>
      <c r="AW978" t="s">
        <v>1479</v>
      </c>
      <c r="AX978" t="s">
        <v>2003</v>
      </c>
      <c r="AY978" t="s">
        <v>4057</v>
      </c>
      <c r="AZ978" t="s">
        <v>4058</v>
      </c>
      <c r="BA978" t="s">
        <v>4001</v>
      </c>
      <c r="BB978" t="str">
        <f t="shared" si="15"/>
        <v>FGHINkdGiwa</v>
      </c>
    </row>
    <row r="979" spans="48:54" x14ac:dyDescent="0.25">
      <c r="AV979" t="s">
        <v>2127</v>
      </c>
      <c r="AW979" t="s">
        <v>1479</v>
      </c>
      <c r="AX979" t="s">
        <v>2004</v>
      </c>
      <c r="AY979" t="s">
        <v>4059</v>
      </c>
      <c r="AZ979" t="s">
        <v>4060</v>
      </c>
      <c r="BA979" t="s">
        <v>4001</v>
      </c>
      <c r="BB979" t="str">
        <f t="shared" si="15"/>
        <v>FGHINkdKauru</v>
      </c>
    </row>
    <row r="980" spans="48:54" x14ac:dyDescent="0.25">
      <c r="AV980" t="s">
        <v>2127</v>
      </c>
      <c r="AW980" t="s">
        <v>1479</v>
      </c>
      <c r="AX980" t="s">
        <v>2004</v>
      </c>
      <c r="AY980" t="s">
        <v>4061</v>
      </c>
      <c r="AZ980" t="s">
        <v>4062</v>
      </c>
      <c r="BA980" t="s">
        <v>4001</v>
      </c>
      <c r="BB980" t="str">
        <f t="shared" si="15"/>
        <v>FGHINkdKauru</v>
      </c>
    </row>
    <row r="981" spans="48:54" x14ac:dyDescent="0.25">
      <c r="AV981" t="s">
        <v>2127</v>
      </c>
      <c r="AW981" t="s">
        <v>1479</v>
      </c>
      <c r="AX981" t="s">
        <v>2004</v>
      </c>
      <c r="AY981" t="s">
        <v>4063</v>
      </c>
      <c r="AZ981" t="s">
        <v>4064</v>
      </c>
      <c r="BA981" t="s">
        <v>4001</v>
      </c>
      <c r="BB981" t="str">
        <f t="shared" si="15"/>
        <v>FGHINkdKauru</v>
      </c>
    </row>
    <row r="982" spans="48:54" x14ac:dyDescent="0.25">
      <c r="AV982" t="s">
        <v>2127</v>
      </c>
      <c r="AW982" t="s">
        <v>1479</v>
      </c>
      <c r="AX982" t="s">
        <v>2004</v>
      </c>
      <c r="AY982" t="s">
        <v>4065</v>
      </c>
      <c r="AZ982" t="s">
        <v>4066</v>
      </c>
      <c r="BA982" t="s">
        <v>4001</v>
      </c>
      <c r="BB982" t="str">
        <f t="shared" si="15"/>
        <v>FGHINkdKauru</v>
      </c>
    </row>
    <row r="983" spans="48:54" x14ac:dyDescent="0.25">
      <c r="AV983" t="s">
        <v>2127</v>
      </c>
      <c r="AW983" t="s">
        <v>1479</v>
      </c>
      <c r="AX983" t="s">
        <v>2004</v>
      </c>
      <c r="AY983" t="s">
        <v>4067</v>
      </c>
      <c r="AZ983" t="s">
        <v>4068</v>
      </c>
      <c r="BA983" t="s">
        <v>4001</v>
      </c>
      <c r="BB983" t="str">
        <f t="shared" si="15"/>
        <v>FGHINkdKauru</v>
      </c>
    </row>
    <row r="984" spans="48:54" x14ac:dyDescent="0.25">
      <c r="AV984" t="s">
        <v>2127</v>
      </c>
      <c r="AW984" t="s">
        <v>1479</v>
      </c>
      <c r="AX984" t="s">
        <v>2004</v>
      </c>
      <c r="AY984" t="s">
        <v>4069</v>
      </c>
      <c r="AZ984" t="s">
        <v>4070</v>
      </c>
      <c r="BA984" t="s">
        <v>4001</v>
      </c>
      <c r="BB984" t="str">
        <f t="shared" si="15"/>
        <v>FGHINkdKauru</v>
      </c>
    </row>
    <row r="985" spans="48:54" x14ac:dyDescent="0.25">
      <c r="AV985" t="s">
        <v>2127</v>
      </c>
      <c r="AW985" t="s">
        <v>1479</v>
      </c>
      <c r="AX985" t="s">
        <v>1990</v>
      </c>
      <c r="AY985" t="s">
        <v>4071</v>
      </c>
      <c r="AZ985" t="s">
        <v>4072</v>
      </c>
      <c r="BA985" t="s">
        <v>4001</v>
      </c>
      <c r="BB985" t="str">
        <f t="shared" si="15"/>
        <v>FGHINkdLere</v>
      </c>
    </row>
    <row r="986" spans="48:54" x14ac:dyDescent="0.25">
      <c r="AV986" t="s">
        <v>2127</v>
      </c>
      <c r="AW986" t="s">
        <v>1479</v>
      </c>
      <c r="AX986" t="s">
        <v>1990</v>
      </c>
      <c r="AY986" t="s">
        <v>4073</v>
      </c>
      <c r="AZ986" t="s">
        <v>4074</v>
      </c>
      <c r="BA986" t="s">
        <v>4001</v>
      </c>
      <c r="BB986" t="str">
        <f t="shared" si="15"/>
        <v>FGHINkdLere</v>
      </c>
    </row>
    <row r="987" spans="48:54" x14ac:dyDescent="0.25">
      <c r="AV987" t="s">
        <v>2127</v>
      </c>
      <c r="AW987" t="s">
        <v>1479</v>
      </c>
      <c r="AX987" t="s">
        <v>1990</v>
      </c>
      <c r="AY987" t="s">
        <v>4075</v>
      </c>
      <c r="AZ987" t="s">
        <v>4076</v>
      </c>
      <c r="BA987" t="s">
        <v>4001</v>
      </c>
      <c r="BB987" t="str">
        <f t="shared" si="15"/>
        <v>FGHINkdLere</v>
      </c>
    </row>
    <row r="988" spans="48:54" x14ac:dyDescent="0.25">
      <c r="AV988" t="s">
        <v>2127</v>
      </c>
      <c r="AW988" t="s">
        <v>1479</v>
      </c>
      <c r="AX988" t="s">
        <v>1990</v>
      </c>
      <c r="AY988" t="s">
        <v>3217</v>
      </c>
      <c r="AZ988" t="s">
        <v>4077</v>
      </c>
      <c r="BA988" t="s">
        <v>4001</v>
      </c>
      <c r="BB988" t="str">
        <f t="shared" si="15"/>
        <v>FGHINkdLere</v>
      </c>
    </row>
    <row r="989" spans="48:54" x14ac:dyDescent="0.25">
      <c r="AV989" t="s">
        <v>2127</v>
      </c>
      <c r="AW989" t="s">
        <v>1479</v>
      </c>
      <c r="AX989" t="s">
        <v>1990</v>
      </c>
      <c r="AY989" t="s">
        <v>4078</v>
      </c>
      <c r="AZ989" t="s">
        <v>4079</v>
      </c>
      <c r="BA989" t="s">
        <v>4001</v>
      </c>
      <c r="BB989" t="str">
        <f t="shared" si="15"/>
        <v>FGHINkdLere</v>
      </c>
    </row>
    <row r="990" spans="48:54" x14ac:dyDescent="0.25">
      <c r="AV990" t="s">
        <v>2127</v>
      </c>
      <c r="AW990" t="s">
        <v>1479</v>
      </c>
      <c r="AX990" t="s">
        <v>1990</v>
      </c>
      <c r="AY990" t="s">
        <v>4080</v>
      </c>
      <c r="AZ990" t="s">
        <v>4081</v>
      </c>
      <c r="BA990" t="s">
        <v>4001</v>
      </c>
      <c r="BB990" t="str">
        <f t="shared" si="15"/>
        <v>FGHINkdLere</v>
      </c>
    </row>
    <row r="991" spans="48:54" x14ac:dyDescent="0.25">
      <c r="AV991" t="s">
        <v>2127</v>
      </c>
      <c r="AW991" t="s">
        <v>1479</v>
      </c>
      <c r="AX991" t="s">
        <v>1990</v>
      </c>
      <c r="AY991" t="s">
        <v>4082</v>
      </c>
      <c r="AZ991" t="s">
        <v>4083</v>
      </c>
      <c r="BA991" t="s">
        <v>4001</v>
      </c>
      <c r="BB991" t="str">
        <f t="shared" si="15"/>
        <v>FGHINkdLere</v>
      </c>
    </row>
    <row r="992" spans="48:54" x14ac:dyDescent="0.25">
      <c r="AV992" t="s">
        <v>2127</v>
      </c>
      <c r="AW992" t="s">
        <v>1479</v>
      </c>
      <c r="AX992" t="s">
        <v>1990</v>
      </c>
      <c r="AY992" t="s">
        <v>4084</v>
      </c>
      <c r="AZ992" t="s">
        <v>4085</v>
      </c>
      <c r="BA992" t="s">
        <v>4001</v>
      </c>
      <c r="BB992" t="str">
        <f t="shared" si="15"/>
        <v>FGHINkdLere</v>
      </c>
    </row>
    <row r="993" spans="48:54" x14ac:dyDescent="0.25">
      <c r="AV993" t="s">
        <v>2127</v>
      </c>
      <c r="AW993" t="s">
        <v>1479</v>
      </c>
      <c r="AX993" t="s">
        <v>1990</v>
      </c>
      <c r="AY993" t="s">
        <v>4086</v>
      </c>
      <c r="AZ993" t="s">
        <v>4087</v>
      </c>
      <c r="BA993" t="s">
        <v>4001</v>
      </c>
      <c r="BB993" t="str">
        <f t="shared" si="15"/>
        <v>FGHINkdLere</v>
      </c>
    </row>
    <row r="994" spans="48:54" x14ac:dyDescent="0.25">
      <c r="AV994" t="s">
        <v>2127</v>
      </c>
      <c r="AW994" t="s">
        <v>1479</v>
      </c>
      <c r="AX994" t="s">
        <v>1990</v>
      </c>
      <c r="AY994" t="s">
        <v>4088</v>
      </c>
      <c r="AZ994" t="s">
        <v>4089</v>
      </c>
      <c r="BA994" t="s">
        <v>4001</v>
      </c>
      <c r="BB994" t="str">
        <f t="shared" si="15"/>
        <v>FGHINkdLere</v>
      </c>
    </row>
    <row r="995" spans="48:54" x14ac:dyDescent="0.25">
      <c r="AV995" t="s">
        <v>2127</v>
      </c>
      <c r="AW995" t="s">
        <v>1479</v>
      </c>
      <c r="AX995" t="s">
        <v>1990</v>
      </c>
      <c r="AY995" t="s">
        <v>4090</v>
      </c>
      <c r="AZ995" t="s">
        <v>4091</v>
      </c>
      <c r="BA995" t="s">
        <v>4001</v>
      </c>
      <c r="BB995" t="str">
        <f t="shared" si="15"/>
        <v>FGHINkdLere</v>
      </c>
    </row>
    <row r="996" spans="48:54" x14ac:dyDescent="0.25">
      <c r="AV996" t="s">
        <v>2127</v>
      </c>
      <c r="AW996" t="s">
        <v>1479</v>
      </c>
      <c r="AX996" t="s">
        <v>2005</v>
      </c>
      <c r="AY996" t="s">
        <v>4092</v>
      </c>
      <c r="AZ996" t="s">
        <v>4093</v>
      </c>
      <c r="BA996" t="s">
        <v>4001</v>
      </c>
      <c r="BB996" t="str">
        <f t="shared" si="15"/>
        <v>FGHINkdMakarfi</v>
      </c>
    </row>
    <row r="997" spans="48:54" x14ac:dyDescent="0.25">
      <c r="AV997" t="s">
        <v>2127</v>
      </c>
      <c r="AW997" t="s">
        <v>1479</v>
      </c>
      <c r="AX997" t="s">
        <v>2005</v>
      </c>
      <c r="AY997" t="s">
        <v>4094</v>
      </c>
      <c r="AZ997" t="s">
        <v>4095</v>
      </c>
      <c r="BA997" t="s">
        <v>4001</v>
      </c>
      <c r="BB997" t="str">
        <f t="shared" si="15"/>
        <v>FGHINkdMakarfi</v>
      </c>
    </row>
    <row r="998" spans="48:54" x14ac:dyDescent="0.25">
      <c r="AV998" t="s">
        <v>2127</v>
      </c>
      <c r="AW998" t="s">
        <v>1479</v>
      </c>
      <c r="AX998" t="s">
        <v>2005</v>
      </c>
      <c r="AY998" t="s">
        <v>4096</v>
      </c>
      <c r="AZ998" t="s">
        <v>4097</v>
      </c>
      <c r="BA998" t="s">
        <v>4001</v>
      </c>
      <c r="BB998" t="str">
        <f t="shared" si="15"/>
        <v>FGHINkdMakarfi</v>
      </c>
    </row>
    <row r="999" spans="48:54" x14ac:dyDescent="0.25">
      <c r="AV999" t="s">
        <v>2127</v>
      </c>
      <c r="AW999" t="s">
        <v>1479</v>
      </c>
      <c r="AX999" t="s">
        <v>2005</v>
      </c>
      <c r="AY999" t="s">
        <v>4098</v>
      </c>
      <c r="AZ999" t="s">
        <v>4099</v>
      </c>
      <c r="BA999" t="s">
        <v>4001</v>
      </c>
      <c r="BB999" t="str">
        <f t="shared" si="15"/>
        <v>FGHINkdMakarfi</v>
      </c>
    </row>
    <row r="1000" spans="48:54" x14ac:dyDescent="0.25">
      <c r="AV1000" t="s">
        <v>2127</v>
      </c>
      <c r="AW1000" t="s">
        <v>1479</v>
      </c>
      <c r="AX1000" t="s">
        <v>2005</v>
      </c>
      <c r="AY1000" t="s">
        <v>4100</v>
      </c>
      <c r="AZ1000" t="s">
        <v>4101</v>
      </c>
      <c r="BA1000" t="s">
        <v>4001</v>
      </c>
      <c r="BB1000" t="str">
        <f t="shared" si="15"/>
        <v>FGHINkdMakarfi</v>
      </c>
    </row>
    <row r="1001" spans="48:54" x14ac:dyDescent="0.25">
      <c r="AV1001" t="s">
        <v>2127</v>
      </c>
      <c r="AW1001" t="s">
        <v>1479</v>
      </c>
      <c r="AX1001" t="s">
        <v>2005</v>
      </c>
      <c r="AY1001" t="s">
        <v>4102</v>
      </c>
      <c r="AZ1001" t="s">
        <v>4103</v>
      </c>
      <c r="BA1001" t="s">
        <v>4001</v>
      </c>
      <c r="BB1001" t="str">
        <f t="shared" si="15"/>
        <v>FGHINkdMakarfi</v>
      </c>
    </row>
    <row r="1002" spans="48:54" x14ac:dyDescent="0.25">
      <c r="AV1002" t="s">
        <v>2127</v>
      </c>
      <c r="AW1002" t="s">
        <v>1479</v>
      </c>
      <c r="AX1002" t="s">
        <v>2005</v>
      </c>
      <c r="AY1002" t="s">
        <v>4104</v>
      </c>
      <c r="AZ1002" t="s">
        <v>4105</v>
      </c>
      <c r="BA1002" t="s">
        <v>4001</v>
      </c>
      <c r="BB1002" t="str">
        <f t="shared" si="15"/>
        <v>FGHINkdMakarfi</v>
      </c>
    </row>
    <row r="1003" spans="48:54" x14ac:dyDescent="0.25">
      <c r="AV1003" t="s">
        <v>2127</v>
      </c>
      <c r="AW1003" t="s">
        <v>1479</v>
      </c>
      <c r="AX1003" t="s">
        <v>2005</v>
      </c>
      <c r="AY1003" t="s">
        <v>4106</v>
      </c>
      <c r="AZ1003" t="s">
        <v>4107</v>
      </c>
      <c r="BA1003" t="s">
        <v>4001</v>
      </c>
      <c r="BB1003" t="str">
        <f t="shared" si="15"/>
        <v>FGHINkdMakarfi</v>
      </c>
    </row>
    <row r="1004" spans="48:54" x14ac:dyDescent="0.25">
      <c r="AV1004" t="s">
        <v>2127</v>
      </c>
      <c r="AW1004" t="s">
        <v>1479</v>
      </c>
      <c r="AX1004" t="s">
        <v>2006</v>
      </c>
      <c r="AY1004" t="s">
        <v>4108</v>
      </c>
      <c r="AZ1004" t="s">
        <v>4109</v>
      </c>
      <c r="BA1004" t="s">
        <v>4001</v>
      </c>
      <c r="BB1004" t="str">
        <f t="shared" si="15"/>
        <v>FGHINkdSabonGari</v>
      </c>
    </row>
    <row r="1005" spans="48:54" x14ac:dyDescent="0.25">
      <c r="AV1005" t="s">
        <v>2127</v>
      </c>
      <c r="AW1005" t="s">
        <v>1480</v>
      </c>
      <c r="AX1005" t="s">
        <v>2007</v>
      </c>
      <c r="AY1005" t="s">
        <v>4110</v>
      </c>
      <c r="AZ1005" t="s">
        <v>4111</v>
      </c>
      <c r="BA1005" t="s">
        <v>4001</v>
      </c>
      <c r="BB1005" t="str">
        <f t="shared" si="15"/>
        <v>FGHINknGezawa</v>
      </c>
    </row>
    <row r="1006" spans="48:54" x14ac:dyDescent="0.25">
      <c r="AV1006" t="s">
        <v>2127</v>
      </c>
      <c r="AW1006" t="s">
        <v>1480</v>
      </c>
      <c r="AX1006" t="s">
        <v>2008</v>
      </c>
      <c r="AY1006" t="s">
        <v>4112</v>
      </c>
      <c r="AZ1006" t="s">
        <v>4113</v>
      </c>
      <c r="BA1006" t="s">
        <v>4001</v>
      </c>
      <c r="BB1006" t="str">
        <f t="shared" si="15"/>
        <v>FGHINknNassarawa</v>
      </c>
    </row>
    <row r="1007" spans="48:54" x14ac:dyDescent="0.25">
      <c r="AV1007" t="s">
        <v>2127</v>
      </c>
      <c r="AW1007" t="s">
        <v>1480</v>
      </c>
      <c r="AX1007" t="s">
        <v>2009</v>
      </c>
      <c r="AY1007" t="s">
        <v>4114</v>
      </c>
      <c r="AZ1007" t="s">
        <v>4115</v>
      </c>
      <c r="BA1007" t="s">
        <v>4001</v>
      </c>
      <c r="BB1007" t="str">
        <f t="shared" si="15"/>
        <v>FGHINknTarauni</v>
      </c>
    </row>
    <row r="1008" spans="48:54" x14ac:dyDescent="0.25">
      <c r="AV1008" t="s">
        <v>2127</v>
      </c>
      <c r="AW1008" t="s">
        <v>1483</v>
      </c>
      <c r="AX1008" t="s">
        <v>2030</v>
      </c>
      <c r="AY1008" t="s">
        <v>4116</v>
      </c>
      <c r="AZ1008" t="s">
        <v>4117</v>
      </c>
      <c r="BA1008" t="s">
        <v>4001</v>
      </c>
      <c r="BB1008" t="str">
        <f t="shared" si="15"/>
        <v>FGHINkoIjumu</v>
      </c>
    </row>
    <row r="1009" spans="48:54" x14ac:dyDescent="0.25">
      <c r="AV1009" t="s">
        <v>2127</v>
      </c>
      <c r="AW1009" t="s">
        <v>1483</v>
      </c>
      <c r="AX1009" t="s">
        <v>2030</v>
      </c>
      <c r="AY1009" t="s">
        <v>4118</v>
      </c>
      <c r="AZ1009" t="s">
        <v>4119</v>
      </c>
      <c r="BA1009" t="s">
        <v>4001</v>
      </c>
      <c r="BB1009" t="str">
        <f t="shared" si="15"/>
        <v>FGHINkoIjumu</v>
      </c>
    </row>
    <row r="1010" spans="48:54" x14ac:dyDescent="0.25">
      <c r="AV1010" t="s">
        <v>2127</v>
      </c>
      <c r="AW1010" t="s">
        <v>1483</v>
      </c>
      <c r="AX1010" t="s">
        <v>2017</v>
      </c>
      <c r="AY1010" t="s">
        <v>3113</v>
      </c>
      <c r="AZ1010" t="s">
        <v>4120</v>
      </c>
      <c r="BA1010" t="s">
        <v>4001</v>
      </c>
      <c r="BB1010" t="str">
        <f t="shared" si="15"/>
        <v>FGHINkoKabba</v>
      </c>
    </row>
    <row r="1011" spans="48:54" x14ac:dyDescent="0.25">
      <c r="AV1011" t="s">
        <v>2127</v>
      </c>
      <c r="AW1011" t="s">
        <v>1467</v>
      </c>
      <c r="AX1011" t="s">
        <v>1883</v>
      </c>
      <c r="AY1011" t="s">
        <v>4121</v>
      </c>
      <c r="AZ1011" t="s">
        <v>4122</v>
      </c>
      <c r="BA1011" t="s">
        <v>1456</v>
      </c>
      <c r="BB1011" t="str">
        <f t="shared" si="15"/>
        <v>IHVNbeKatsinaAla</v>
      </c>
    </row>
    <row r="1012" spans="48:54" x14ac:dyDescent="0.25">
      <c r="AV1012" t="s">
        <v>2127</v>
      </c>
      <c r="AW1012" t="s">
        <v>1467</v>
      </c>
      <c r="AX1012" t="s">
        <v>1883</v>
      </c>
      <c r="AY1012" t="s">
        <v>4123</v>
      </c>
      <c r="AZ1012" t="s">
        <v>4124</v>
      </c>
      <c r="BA1012" t="s">
        <v>1456</v>
      </c>
      <c r="BB1012" t="str">
        <f t="shared" si="15"/>
        <v>IHVNbeKatsinaAla</v>
      </c>
    </row>
    <row r="1013" spans="48:54" x14ac:dyDescent="0.25">
      <c r="AV1013" t="s">
        <v>2127</v>
      </c>
      <c r="AW1013" t="s">
        <v>1467</v>
      </c>
      <c r="AX1013" t="s">
        <v>1883</v>
      </c>
      <c r="AY1013" t="s">
        <v>4125</v>
      </c>
      <c r="AZ1013" t="s">
        <v>4126</v>
      </c>
      <c r="BA1013" t="s">
        <v>1456</v>
      </c>
      <c r="BB1013" t="str">
        <f t="shared" si="15"/>
        <v>IHVNbeKatsinaAla</v>
      </c>
    </row>
    <row r="1014" spans="48:54" x14ac:dyDescent="0.25">
      <c r="AV1014" t="s">
        <v>2127</v>
      </c>
      <c r="AW1014" t="s">
        <v>1467</v>
      </c>
      <c r="AX1014" t="s">
        <v>1883</v>
      </c>
      <c r="AY1014" t="s">
        <v>4127</v>
      </c>
      <c r="AZ1014" t="s">
        <v>4128</v>
      </c>
      <c r="BA1014" t="s">
        <v>1456</v>
      </c>
      <c r="BB1014" t="str">
        <f t="shared" si="15"/>
        <v>IHVNbeKatsinaAla</v>
      </c>
    </row>
    <row r="1015" spans="48:54" x14ac:dyDescent="0.25">
      <c r="AV1015" t="s">
        <v>2127</v>
      </c>
      <c r="AW1015" t="s">
        <v>1467</v>
      </c>
      <c r="AX1015" t="s">
        <v>1883</v>
      </c>
      <c r="AY1015" t="s">
        <v>4129</v>
      </c>
      <c r="AZ1015" t="s">
        <v>4130</v>
      </c>
      <c r="BA1015" t="s">
        <v>1456</v>
      </c>
      <c r="BB1015" t="str">
        <f t="shared" si="15"/>
        <v>IHVNbeKatsinaAla</v>
      </c>
    </row>
    <row r="1016" spans="48:54" x14ac:dyDescent="0.25">
      <c r="AV1016" t="s">
        <v>2127</v>
      </c>
      <c r="AW1016" t="s">
        <v>1467</v>
      </c>
      <c r="AX1016" t="s">
        <v>1883</v>
      </c>
      <c r="AY1016" t="s">
        <v>4131</v>
      </c>
      <c r="AZ1016" t="s">
        <v>4132</v>
      </c>
      <c r="BA1016" t="s">
        <v>1456</v>
      </c>
      <c r="BB1016" t="str">
        <f t="shared" si="15"/>
        <v>IHVNbeKatsinaAla</v>
      </c>
    </row>
    <row r="1017" spans="48:54" x14ac:dyDescent="0.25">
      <c r="AV1017" t="s">
        <v>2127</v>
      </c>
      <c r="AW1017" t="s">
        <v>1467</v>
      </c>
      <c r="AX1017" t="s">
        <v>1883</v>
      </c>
      <c r="AY1017" t="s">
        <v>4133</v>
      </c>
      <c r="AZ1017" t="s">
        <v>4134</v>
      </c>
      <c r="BA1017" t="s">
        <v>1456</v>
      </c>
      <c r="BB1017" t="str">
        <f t="shared" si="15"/>
        <v>IHVNbeKatsinaAla</v>
      </c>
    </row>
    <row r="1018" spans="48:54" x14ac:dyDescent="0.25">
      <c r="AV1018" t="s">
        <v>2127</v>
      </c>
      <c r="AW1018" t="s">
        <v>1467</v>
      </c>
      <c r="AX1018" t="s">
        <v>1883</v>
      </c>
      <c r="AY1018" t="s">
        <v>4135</v>
      </c>
      <c r="AZ1018" t="s">
        <v>4136</v>
      </c>
      <c r="BA1018" t="s">
        <v>1456</v>
      </c>
      <c r="BB1018" t="str">
        <f t="shared" si="15"/>
        <v>IHVNbeKatsinaAla</v>
      </c>
    </row>
    <row r="1019" spans="48:54" x14ac:dyDescent="0.25">
      <c r="AV1019" t="s">
        <v>2127</v>
      </c>
      <c r="AW1019" t="s">
        <v>1467</v>
      </c>
      <c r="AX1019" t="s">
        <v>1883</v>
      </c>
      <c r="AY1019" t="s">
        <v>4137</v>
      </c>
      <c r="AZ1019" t="s">
        <v>4138</v>
      </c>
      <c r="BA1019" t="s">
        <v>1456</v>
      </c>
      <c r="BB1019" t="str">
        <f t="shared" si="15"/>
        <v>IHVNbeKatsinaAla</v>
      </c>
    </row>
    <row r="1020" spans="48:54" x14ac:dyDescent="0.25">
      <c r="AV1020" t="s">
        <v>2127</v>
      </c>
      <c r="AW1020" t="s">
        <v>1467</v>
      </c>
      <c r="AX1020" t="s">
        <v>1883</v>
      </c>
      <c r="AY1020" t="s">
        <v>4139</v>
      </c>
      <c r="AZ1020" t="s">
        <v>4140</v>
      </c>
      <c r="BA1020" t="s">
        <v>1456</v>
      </c>
      <c r="BB1020" t="str">
        <f t="shared" si="15"/>
        <v>IHVNbeKatsinaAla</v>
      </c>
    </row>
    <row r="1021" spans="48:54" x14ac:dyDescent="0.25">
      <c r="AV1021" t="s">
        <v>2127</v>
      </c>
      <c r="AW1021" t="s">
        <v>1467</v>
      </c>
      <c r="AX1021" t="s">
        <v>1883</v>
      </c>
      <c r="AY1021" t="s">
        <v>4141</v>
      </c>
      <c r="AZ1021" t="s">
        <v>4142</v>
      </c>
      <c r="BA1021" t="s">
        <v>1456</v>
      </c>
      <c r="BB1021" t="str">
        <f t="shared" si="15"/>
        <v>IHVNbeKatsinaAla</v>
      </c>
    </row>
    <row r="1022" spans="48:54" x14ac:dyDescent="0.25">
      <c r="AV1022" t="s">
        <v>2127</v>
      </c>
      <c r="AW1022" t="s">
        <v>1467</v>
      </c>
      <c r="AX1022" t="s">
        <v>1883</v>
      </c>
      <c r="AY1022" t="s">
        <v>4143</v>
      </c>
      <c r="AZ1022" t="s">
        <v>4144</v>
      </c>
      <c r="BA1022" t="s">
        <v>1456</v>
      </c>
      <c r="BB1022" t="str">
        <f t="shared" si="15"/>
        <v>IHVNbeKatsinaAla</v>
      </c>
    </row>
    <row r="1023" spans="48:54" x14ac:dyDescent="0.25">
      <c r="AV1023" t="s">
        <v>2127</v>
      </c>
      <c r="AW1023" t="s">
        <v>1467</v>
      </c>
      <c r="AX1023" t="s">
        <v>1883</v>
      </c>
      <c r="AY1023" t="s">
        <v>4145</v>
      </c>
      <c r="AZ1023" t="s">
        <v>4146</v>
      </c>
      <c r="BA1023" t="s">
        <v>1456</v>
      </c>
      <c r="BB1023" t="str">
        <f t="shared" si="15"/>
        <v>IHVNbeKatsinaAla</v>
      </c>
    </row>
    <row r="1024" spans="48:54" x14ac:dyDescent="0.25">
      <c r="AV1024" t="s">
        <v>2127</v>
      </c>
      <c r="AW1024" t="s">
        <v>1467</v>
      </c>
      <c r="AX1024" t="s">
        <v>1884</v>
      </c>
      <c r="AY1024" t="s">
        <v>4147</v>
      </c>
      <c r="AZ1024" t="s">
        <v>4148</v>
      </c>
      <c r="BA1024" t="s">
        <v>1456</v>
      </c>
      <c r="BB1024" t="str">
        <f t="shared" si="15"/>
        <v>IHVNbeKonshisha</v>
      </c>
    </row>
    <row r="1025" spans="48:54" x14ac:dyDescent="0.25">
      <c r="AV1025" t="s">
        <v>2127</v>
      </c>
      <c r="AW1025" t="s">
        <v>1467</v>
      </c>
      <c r="AX1025" t="s">
        <v>1884</v>
      </c>
      <c r="AY1025" t="s">
        <v>4149</v>
      </c>
      <c r="AZ1025" t="s">
        <v>4150</v>
      </c>
      <c r="BA1025" t="s">
        <v>1456</v>
      </c>
      <c r="BB1025" t="str">
        <f t="shared" si="15"/>
        <v>IHVNbeKonshisha</v>
      </c>
    </row>
    <row r="1026" spans="48:54" x14ac:dyDescent="0.25">
      <c r="AV1026" t="s">
        <v>2127</v>
      </c>
      <c r="AW1026" t="s">
        <v>1467</v>
      </c>
      <c r="AX1026" t="s">
        <v>1884</v>
      </c>
      <c r="AY1026" t="s">
        <v>4151</v>
      </c>
      <c r="AZ1026" t="s">
        <v>4152</v>
      </c>
      <c r="BA1026" t="s">
        <v>1456</v>
      </c>
      <c r="BB1026" t="str">
        <f t="shared" si="15"/>
        <v>IHVNbeKonshisha</v>
      </c>
    </row>
    <row r="1027" spans="48:54" x14ac:dyDescent="0.25">
      <c r="AV1027" t="s">
        <v>2127</v>
      </c>
      <c r="AW1027" t="s">
        <v>1467</v>
      </c>
      <c r="AX1027" t="s">
        <v>1884</v>
      </c>
      <c r="AY1027" t="s">
        <v>4153</v>
      </c>
      <c r="AZ1027" t="s">
        <v>4154</v>
      </c>
      <c r="BA1027" t="s">
        <v>1456</v>
      </c>
      <c r="BB1027" t="str">
        <f t="shared" ref="BB1027:BB1090" si="16">SUBSTITUTE(SUBSTITUTE(BA1027&amp;AX1027," ",""),"-","")</f>
        <v>IHVNbeKonshisha</v>
      </c>
    </row>
    <row r="1028" spans="48:54" x14ac:dyDescent="0.25">
      <c r="AV1028" t="s">
        <v>2127</v>
      </c>
      <c r="AW1028" t="s">
        <v>1467</v>
      </c>
      <c r="AX1028" t="s">
        <v>1884</v>
      </c>
      <c r="AY1028" t="s">
        <v>4155</v>
      </c>
      <c r="AZ1028" t="s">
        <v>4156</v>
      </c>
      <c r="BA1028" t="s">
        <v>1456</v>
      </c>
      <c r="BB1028" t="str">
        <f t="shared" si="16"/>
        <v>IHVNbeKonshisha</v>
      </c>
    </row>
    <row r="1029" spans="48:54" x14ac:dyDescent="0.25">
      <c r="AV1029" t="s">
        <v>2127</v>
      </c>
      <c r="AW1029" t="s">
        <v>1467</v>
      </c>
      <c r="AX1029" t="s">
        <v>1884</v>
      </c>
      <c r="AY1029" t="s">
        <v>4157</v>
      </c>
      <c r="AZ1029" t="s">
        <v>4158</v>
      </c>
      <c r="BA1029" t="s">
        <v>1456</v>
      </c>
      <c r="BB1029" t="str">
        <f t="shared" si="16"/>
        <v>IHVNbeKonshisha</v>
      </c>
    </row>
    <row r="1030" spans="48:54" x14ac:dyDescent="0.25">
      <c r="AV1030" t="s">
        <v>2127</v>
      </c>
      <c r="AW1030" t="s">
        <v>1467</v>
      </c>
      <c r="AX1030" t="s">
        <v>1884</v>
      </c>
      <c r="AY1030" t="s">
        <v>4159</v>
      </c>
      <c r="AZ1030" t="s">
        <v>4160</v>
      </c>
      <c r="BA1030" t="s">
        <v>1456</v>
      </c>
      <c r="BB1030" t="str">
        <f t="shared" si="16"/>
        <v>IHVNbeKonshisha</v>
      </c>
    </row>
    <row r="1031" spans="48:54" x14ac:dyDescent="0.25">
      <c r="AV1031" t="s">
        <v>2127</v>
      </c>
      <c r="AW1031" t="s">
        <v>1467</v>
      </c>
      <c r="AX1031" t="s">
        <v>1884</v>
      </c>
      <c r="AY1031" t="s">
        <v>4161</v>
      </c>
      <c r="AZ1031" t="s">
        <v>4162</v>
      </c>
      <c r="BA1031" t="s">
        <v>1456</v>
      </c>
      <c r="BB1031" t="str">
        <f t="shared" si="16"/>
        <v>IHVNbeKonshisha</v>
      </c>
    </row>
    <row r="1032" spans="48:54" x14ac:dyDescent="0.25">
      <c r="AV1032" t="s">
        <v>2127</v>
      </c>
      <c r="AW1032" t="s">
        <v>1467</v>
      </c>
      <c r="AX1032" t="s">
        <v>1884</v>
      </c>
      <c r="AY1032" t="s">
        <v>4163</v>
      </c>
      <c r="AZ1032" t="s">
        <v>4164</v>
      </c>
      <c r="BA1032" t="s">
        <v>1456</v>
      </c>
      <c r="BB1032" t="str">
        <f t="shared" si="16"/>
        <v>IHVNbeKonshisha</v>
      </c>
    </row>
    <row r="1033" spans="48:54" x14ac:dyDescent="0.25">
      <c r="AV1033" t="s">
        <v>2127</v>
      </c>
      <c r="AW1033" t="s">
        <v>1467</v>
      </c>
      <c r="AX1033" t="s">
        <v>1884</v>
      </c>
      <c r="AY1033" t="s">
        <v>4165</v>
      </c>
      <c r="AZ1033" t="s">
        <v>4166</v>
      </c>
      <c r="BA1033" t="s">
        <v>1456</v>
      </c>
      <c r="BB1033" t="str">
        <f t="shared" si="16"/>
        <v>IHVNbeKonshisha</v>
      </c>
    </row>
    <row r="1034" spans="48:54" x14ac:dyDescent="0.25">
      <c r="AV1034" t="s">
        <v>2127</v>
      </c>
      <c r="AW1034" t="s">
        <v>1467</v>
      </c>
      <c r="AX1034" t="s">
        <v>1884</v>
      </c>
      <c r="AY1034" t="s">
        <v>4167</v>
      </c>
      <c r="AZ1034" t="s">
        <v>4168</v>
      </c>
      <c r="BA1034" t="s">
        <v>1456</v>
      </c>
      <c r="BB1034" t="str">
        <f t="shared" si="16"/>
        <v>IHVNbeKonshisha</v>
      </c>
    </row>
    <row r="1035" spans="48:54" x14ac:dyDescent="0.25">
      <c r="AV1035" t="s">
        <v>2127</v>
      </c>
      <c r="AW1035" t="s">
        <v>1467</v>
      </c>
      <c r="AX1035" t="s">
        <v>1884</v>
      </c>
      <c r="AY1035" t="s">
        <v>4169</v>
      </c>
      <c r="AZ1035" t="s">
        <v>4170</v>
      </c>
      <c r="BA1035" t="s">
        <v>1456</v>
      </c>
      <c r="BB1035" t="str">
        <f t="shared" si="16"/>
        <v>IHVNbeKonshisha</v>
      </c>
    </row>
    <row r="1036" spans="48:54" x14ac:dyDescent="0.25">
      <c r="AV1036" t="s">
        <v>2127</v>
      </c>
      <c r="AW1036" t="s">
        <v>1467</v>
      </c>
      <c r="AX1036" t="s">
        <v>1884</v>
      </c>
      <c r="AY1036" t="s">
        <v>4171</v>
      </c>
      <c r="AZ1036" t="s">
        <v>4172</v>
      </c>
      <c r="BA1036" t="s">
        <v>1456</v>
      </c>
      <c r="BB1036" t="str">
        <f t="shared" si="16"/>
        <v>IHVNbeKonshisha</v>
      </c>
    </row>
    <row r="1037" spans="48:54" x14ac:dyDescent="0.25">
      <c r="AV1037" t="s">
        <v>2127</v>
      </c>
      <c r="AW1037" t="s">
        <v>1467</v>
      </c>
      <c r="AX1037" t="s">
        <v>1884</v>
      </c>
      <c r="AY1037" t="s">
        <v>4173</v>
      </c>
      <c r="AZ1037" t="s">
        <v>4174</v>
      </c>
      <c r="BA1037" t="s">
        <v>1456</v>
      </c>
      <c r="BB1037" t="str">
        <f t="shared" si="16"/>
        <v>IHVNbeKonshisha</v>
      </c>
    </row>
    <row r="1038" spans="48:54" x14ac:dyDescent="0.25">
      <c r="AV1038" t="s">
        <v>2127</v>
      </c>
      <c r="AW1038" t="s">
        <v>1467</v>
      </c>
      <c r="AX1038" t="s">
        <v>1884</v>
      </c>
      <c r="AY1038" t="s">
        <v>4175</v>
      </c>
      <c r="AZ1038" t="s">
        <v>4176</v>
      </c>
      <c r="BA1038" t="s">
        <v>1456</v>
      </c>
      <c r="BB1038" t="str">
        <f t="shared" si="16"/>
        <v>IHVNbeKonshisha</v>
      </c>
    </row>
    <row r="1039" spans="48:54" x14ac:dyDescent="0.25">
      <c r="AV1039" t="s">
        <v>2127</v>
      </c>
      <c r="AW1039" t="s">
        <v>1467</v>
      </c>
      <c r="AX1039" t="s">
        <v>1884</v>
      </c>
      <c r="AY1039" t="s">
        <v>4177</v>
      </c>
      <c r="AZ1039" t="s">
        <v>4178</v>
      </c>
      <c r="BA1039" t="s">
        <v>1456</v>
      </c>
      <c r="BB1039" t="str">
        <f t="shared" si="16"/>
        <v>IHVNbeKonshisha</v>
      </c>
    </row>
    <row r="1040" spans="48:54" x14ac:dyDescent="0.25">
      <c r="AV1040" t="s">
        <v>2127</v>
      </c>
      <c r="AW1040" t="s">
        <v>1467</v>
      </c>
      <c r="AX1040" t="s">
        <v>1884</v>
      </c>
      <c r="AY1040" t="s">
        <v>4179</v>
      </c>
      <c r="AZ1040" t="s">
        <v>4180</v>
      </c>
      <c r="BA1040" t="s">
        <v>1456</v>
      </c>
      <c r="BB1040" t="str">
        <f t="shared" si="16"/>
        <v>IHVNbeKonshisha</v>
      </c>
    </row>
    <row r="1041" spans="48:54" x14ac:dyDescent="0.25">
      <c r="AV1041" t="s">
        <v>2127</v>
      </c>
      <c r="AW1041" t="s">
        <v>1467</v>
      </c>
      <c r="AX1041" t="s">
        <v>1884</v>
      </c>
      <c r="AY1041" t="s">
        <v>4181</v>
      </c>
      <c r="AZ1041" t="s">
        <v>4182</v>
      </c>
      <c r="BA1041" t="s">
        <v>1456</v>
      </c>
      <c r="BB1041" t="str">
        <f t="shared" si="16"/>
        <v>IHVNbeKonshisha</v>
      </c>
    </row>
    <row r="1042" spans="48:54" x14ac:dyDescent="0.25">
      <c r="AV1042" t="s">
        <v>2127</v>
      </c>
      <c r="AW1042" t="s">
        <v>1467</v>
      </c>
      <c r="AX1042" t="s">
        <v>1884</v>
      </c>
      <c r="AY1042" t="s">
        <v>4183</v>
      </c>
      <c r="AZ1042" t="s">
        <v>4184</v>
      </c>
      <c r="BA1042" t="s">
        <v>1456</v>
      </c>
      <c r="BB1042" t="str">
        <f t="shared" si="16"/>
        <v>IHVNbeKonshisha</v>
      </c>
    </row>
    <row r="1043" spans="48:54" x14ac:dyDescent="0.25">
      <c r="AV1043" t="s">
        <v>2127</v>
      </c>
      <c r="AW1043" t="s">
        <v>1467</v>
      </c>
      <c r="AX1043" t="s">
        <v>1884</v>
      </c>
      <c r="AY1043" t="s">
        <v>4185</v>
      </c>
      <c r="AZ1043" t="s">
        <v>4186</v>
      </c>
      <c r="BA1043" t="s">
        <v>1456</v>
      </c>
      <c r="BB1043" t="str">
        <f t="shared" si="16"/>
        <v>IHVNbeKonshisha</v>
      </c>
    </row>
    <row r="1044" spans="48:54" x14ac:dyDescent="0.25">
      <c r="AV1044" t="s">
        <v>2127</v>
      </c>
      <c r="AW1044" t="s">
        <v>1467</v>
      </c>
      <c r="AX1044" t="s">
        <v>1884</v>
      </c>
      <c r="AY1044" t="s">
        <v>4187</v>
      </c>
      <c r="AZ1044" t="s">
        <v>4188</v>
      </c>
      <c r="BA1044" t="s">
        <v>1456</v>
      </c>
      <c r="BB1044" t="str">
        <f t="shared" si="16"/>
        <v>IHVNbeKonshisha</v>
      </c>
    </row>
    <row r="1045" spans="48:54" x14ac:dyDescent="0.25">
      <c r="AV1045" t="s">
        <v>2127</v>
      </c>
      <c r="AW1045" t="s">
        <v>1467</v>
      </c>
      <c r="AX1045" t="s">
        <v>1884</v>
      </c>
      <c r="AY1045" t="s">
        <v>4189</v>
      </c>
      <c r="AZ1045" t="s">
        <v>4190</v>
      </c>
      <c r="BA1045" t="s">
        <v>1456</v>
      </c>
      <c r="BB1045" t="str">
        <f t="shared" si="16"/>
        <v>IHVNbeKonshisha</v>
      </c>
    </row>
    <row r="1046" spans="48:54" x14ac:dyDescent="0.25">
      <c r="AV1046" t="s">
        <v>2127</v>
      </c>
      <c r="AW1046" t="s">
        <v>1467</v>
      </c>
      <c r="AX1046" t="s">
        <v>1884</v>
      </c>
      <c r="AY1046" t="s">
        <v>4191</v>
      </c>
      <c r="AZ1046" t="s">
        <v>4192</v>
      </c>
      <c r="BA1046" t="s">
        <v>1456</v>
      </c>
      <c r="BB1046" t="str">
        <f t="shared" si="16"/>
        <v>IHVNbeKonshisha</v>
      </c>
    </row>
    <row r="1047" spans="48:54" x14ac:dyDescent="0.25">
      <c r="AV1047" t="s">
        <v>2127</v>
      </c>
      <c r="AW1047" t="s">
        <v>1467</v>
      </c>
      <c r="AX1047" t="s">
        <v>1884</v>
      </c>
      <c r="AY1047" t="s">
        <v>4193</v>
      </c>
      <c r="AZ1047" t="s">
        <v>4194</v>
      </c>
      <c r="BA1047" t="s">
        <v>1456</v>
      </c>
      <c r="BB1047" t="str">
        <f t="shared" si="16"/>
        <v>IHVNbeKonshisha</v>
      </c>
    </row>
    <row r="1048" spans="48:54" x14ac:dyDescent="0.25">
      <c r="AV1048" t="s">
        <v>2127</v>
      </c>
      <c r="AW1048" t="s">
        <v>1467</v>
      </c>
      <c r="AX1048" t="s">
        <v>1884</v>
      </c>
      <c r="AY1048" t="s">
        <v>4195</v>
      </c>
      <c r="AZ1048" t="s">
        <v>4196</v>
      </c>
      <c r="BA1048" t="s">
        <v>1456</v>
      </c>
      <c r="BB1048" t="str">
        <f t="shared" si="16"/>
        <v>IHVNbeKonshisha</v>
      </c>
    </row>
    <row r="1049" spans="48:54" x14ac:dyDescent="0.25">
      <c r="AV1049" t="s">
        <v>2127</v>
      </c>
      <c r="AW1049" t="s">
        <v>1467</v>
      </c>
      <c r="AX1049" t="s">
        <v>1884</v>
      </c>
      <c r="AY1049" t="s">
        <v>4197</v>
      </c>
      <c r="AZ1049" t="s">
        <v>4198</v>
      </c>
      <c r="BA1049" t="s">
        <v>1456</v>
      </c>
      <c r="BB1049" t="str">
        <f t="shared" si="16"/>
        <v>IHVNbeKonshisha</v>
      </c>
    </row>
    <row r="1050" spans="48:54" x14ac:dyDescent="0.25">
      <c r="AV1050" t="s">
        <v>2127</v>
      </c>
      <c r="AW1050" t="s">
        <v>1467</v>
      </c>
      <c r="AX1050" t="s">
        <v>1884</v>
      </c>
      <c r="AY1050" t="s">
        <v>4199</v>
      </c>
      <c r="AZ1050" t="s">
        <v>4200</v>
      </c>
      <c r="BA1050" t="s">
        <v>1456</v>
      </c>
      <c r="BB1050" t="str">
        <f t="shared" si="16"/>
        <v>IHVNbeKonshisha</v>
      </c>
    </row>
    <row r="1051" spans="48:54" x14ac:dyDescent="0.25">
      <c r="AV1051" t="s">
        <v>2127</v>
      </c>
      <c r="AW1051" t="s">
        <v>1467</v>
      </c>
      <c r="AX1051" t="s">
        <v>1884</v>
      </c>
      <c r="AY1051" t="s">
        <v>4201</v>
      </c>
      <c r="AZ1051" t="s">
        <v>4202</v>
      </c>
      <c r="BA1051" t="s">
        <v>1456</v>
      </c>
      <c r="BB1051" t="str">
        <f t="shared" si="16"/>
        <v>IHVNbeKonshisha</v>
      </c>
    </row>
    <row r="1052" spans="48:54" x14ac:dyDescent="0.25">
      <c r="AV1052" t="s">
        <v>2127</v>
      </c>
      <c r="AW1052" t="s">
        <v>1467</v>
      </c>
      <c r="AX1052" t="s">
        <v>1884</v>
      </c>
      <c r="AY1052" t="s">
        <v>4203</v>
      </c>
      <c r="AZ1052" t="s">
        <v>4204</v>
      </c>
      <c r="BA1052" t="s">
        <v>1456</v>
      </c>
      <c r="BB1052" t="str">
        <f t="shared" si="16"/>
        <v>IHVNbeKonshisha</v>
      </c>
    </row>
    <row r="1053" spans="48:54" x14ac:dyDescent="0.25">
      <c r="AV1053" t="s">
        <v>2127</v>
      </c>
      <c r="AW1053" t="s">
        <v>1467</v>
      </c>
      <c r="AX1053" t="s">
        <v>1884</v>
      </c>
      <c r="AY1053" t="s">
        <v>4205</v>
      </c>
      <c r="AZ1053" t="s">
        <v>4206</v>
      </c>
      <c r="BA1053" t="s">
        <v>1456</v>
      </c>
      <c r="BB1053" t="str">
        <f t="shared" si="16"/>
        <v>IHVNbeKonshisha</v>
      </c>
    </row>
    <row r="1054" spans="48:54" x14ac:dyDescent="0.25">
      <c r="AV1054" t="s">
        <v>2127</v>
      </c>
      <c r="AW1054" t="s">
        <v>1467</v>
      </c>
      <c r="AX1054" t="s">
        <v>1884</v>
      </c>
      <c r="AY1054" t="s">
        <v>4207</v>
      </c>
      <c r="AZ1054" t="s">
        <v>4208</v>
      </c>
      <c r="BA1054" t="s">
        <v>1456</v>
      </c>
      <c r="BB1054" t="str">
        <f t="shared" si="16"/>
        <v>IHVNbeKonshisha</v>
      </c>
    </row>
    <row r="1055" spans="48:54" x14ac:dyDescent="0.25">
      <c r="AV1055" t="s">
        <v>2127</v>
      </c>
      <c r="AW1055" t="s">
        <v>1467</v>
      </c>
      <c r="AX1055" t="s">
        <v>1884</v>
      </c>
      <c r="AY1055" t="s">
        <v>4209</v>
      </c>
      <c r="AZ1055" t="s">
        <v>4210</v>
      </c>
      <c r="BA1055" t="s">
        <v>1456</v>
      </c>
      <c r="BB1055" t="str">
        <f t="shared" si="16"/>
        <v>IHVNbeKonshisha</v>
      </c>
    </row>
    <row r="1056" spans="48:54" x14ac:dyDescent="0.25">
      <c r="AV1056" t="s">
        <v>2127</v>
      </c>
      <c r="AW1056" t="s">
        <v>1467</v>
      </c>
      <c r="AX1056" t="s">
        <v>1884</v>
      </c>
      <c r="AY1056" t="s">
        <v>4211</v>
      </c>
      <c r="AZ1056" t="s">
        <v>4212</v>
      </c>
      <c r="BA1056" t="s">
        <v>1456</v>
      </c>
      <c r="BB1056" t="str">
        <f t="shared" si="16"/>
        <v>IHVNbeKonshisha</v>
      </c>
    </row>
    <row r="1057" spans="48:54" x14ac:dyDescent="0.25">
      <c r="AV1057" t="s">
        <v>2127</v>
      </c>
      <c r="AW1057" t="s">
        <v>1467</v>
      </c>
      <c r="AX1057" t="s">
        <v>1884</v>
      </c>
      <c r="AY1057" t="s">
        <v>4213</v>
      </c>
      <c r="AZ1057" t="s">
        <v>4214</v>
      </c>
      <c r="BA1057" t="s">
        <v>1456</v>
      </c>
      <c r="BB1057" t="str">
        <f t="shared" si="16"/>
        <v>IHVNbeKonshisha</v>
      </c>
    </row>
    <row r="1058" spans="48:54" x14ac:dyDescent="0.25">
      <c r="AV1058" t="s">
        <v>2127</v>
      </c>
      <c r="AW1058" t="s">
        <v>1467</v>
      </c>
      <c r="AX1058" t="s">
        <v>1884</v>
      </c>
      <c r="AY1058" t="s">
        <v>4215</v>
      </c>
      <c r="AZ1058" t="s">
        <v>4216</v>
      </c>
      <c r="BA1058" t="s">
        <v>1456</v>
      </c>
      <c r="BB1058" t="str">
        <f t="shared" si="16"/>
        <v>IHVNbeKonshisha</v>
      </c>
    </row>
    <row r="1059" spans="48:54" x14ac:dyDescent="0.25">
      <c r="AV1059" t="s">
        <v>2127</v>
      </c>
      <c r="AW1059" t="s">
        <v>1467</v>
      </c>
      <c r="AX1059" t="s">
        <v>1884</v>
      </c>
      <c r="AY1059" t="s">
        <v>4217</v>
      </c>
      <c r="AZ1059" t="s">
        <v>4218</v>
      </c>
      <c r="BA1059" t="s">
        <v>1456</v>
      </c>
      <c r="BB1059" t="str">
        <f t="shared" si="16"/>
        <v>IHVNbeKonshisha</v>
      </c>
    </row>
    <row r="1060" spans="48:54" x14ac:dyDescent="0.25">
      <c r="AV1060" t="s">
        <v>2127</v>
      </c>
      <c r="AW1060" t="s">
        <v>1467</v>
      </c>
      <c r="AX1060" t="s">
        <v>1884</v>
      </c>
      <c r="AY1060" t="s">
        <v>4219</v>
      </c>
      <c r="AZ1060" t="s">
        <v>4220</v>
      </c>
      <c r="BA1060" t="s">
        <v>1456</v>
      </c>
      <c r="BB1060" t="str">
        <f t="shared" si="16"/>
        <v>IHVNbeKonshisha</v>
      </c>
    </row>
    <row r="1061" spans="48:54" x14ac:dyDescent="0.25">
      <c r="AV1061" t="s">
        <v>2127</v>
      </c>
      <c r="AW1061" t="s">
        <v>1467</v>
      </c>
      <c r="AX1061" t="s">
        <v>1884</v>
      </c>
      <c r="AY1061" t="s">
        <v>4221</v>
      </c>
      <c r="AZ1061" t="s">
        <v>4222</v>
      </c>
      <c r="BA1061" t="s">
        <v>1456</v>
      </c>
      <c r="BB1061" t="str">
        <f t="shared" si="16"/>
        <v>IHVNbeKonshisha</v>
      </c>
    </row>
    <row r="1062" spans="48:54" x14ac:dyDescent="0.25">
      <c r="AV1062" t="s">
        <v>2127</v>
      </c>
      <c r="AW1062" t="s">
        <v>1467</v>
      </c>
      <c r="AX1062" t="s">
        <v>1884</v>
      </c>
      <c r="AY1062" t="s">
        <v>4223</v>
      </c>
      <c r="AZ1062" t="s">
        <v>4224</v>
      </c>
      <c r="BA1062" t="s">
        <v>1456</v>
      </c>
      <c r="BB1062" t="str">
        <f t="shared" si="16"/>
        <v>IHVNbeKonshisha</v>
      </c>
    </row>
    <row r="1063" spans="48:54" x14ac:dyDescent="0.25">
      <c r="AV1063" t="s">
        <v>2127</v>
      </c>
      <c r="AW1063" t="s">
        <v>1467</v>
      </c>
      <c r="AX1063" t="s">
        <v>1884</v>
      </c>
      <c r="AY1063" t="s">
        <v>4225</v>
      </c>
      <c r="AZ1063" t="s">
        <v>4226</v>
      </c>
      <c r="BA1063" t="s">
        <v>1456</v>
      </c>
      <c r="BB1063" t="str">
        <f t="shared" si="16"/>
        <v>IHVNbeKonshisha</v>
      </c>
    </row>
    <row r="1064" spans="48:54" x14ac:dyDescent="0.25">
      <c r="AV1064" t="s">
        <v>2127</v>
      </c>
      <c r="AW1064" t="s">
        <v>1467</v>
      </c>
      <c r="AX1064" t="s">
        <v>1884</v>
      </c>
      <c r="AY1064" t="s">
        <v>4227</v>
      </c>
      <c r="AZ1064" t="s">
        <v>4228</v>
      </c>
      <c r="BA1064" t="s">
        <v>1456</v>
      </c>
      <c r="BB1064" t="str">
        <f t="shared" si="16"/>
        <v>IHVNbeKonshisha</v>
      </c>
    </row>
    <row r="1065" spans="48:54" x14ac:dyDescent="0.25">
      <c r="AV1065" t="s">
        <v>2127</v>
      </c>
      <c r="AW1065" t="s">
        <v>1467</v>
      </c>
      <c r="AX1065" t="s">
        <v>1884</v>
      </c>
      <c r="AY1065" t="s">
        <v>4229</v>
      </c>
      <c r="AZ1065" t="s">
        <v>4230</v>
      </c>
      <c r="BA1065" t="s">
        <v>1456</v>
      </c>
      <c r="BB1065" t="str">
        <f t="shared" si="16"/>
        <v>IHVNbeKonshisha</v>
      </c>
    </row>
    <row r="1066" spans="48:54" x14ac:dyDescent="0.25">
      <c r="AV1066" t="s">
        <v>2127</v>
      </c>
      <c r="AW1066" t="s">
        <v>1467</v>
      </c>
      <c r="AX1066" t="s">
        <v>1884</v>
      </c>
      <c r="AY1066" t="s">
        <v>4231</v>
      </c>
      <c r="AZ1066" t="s">
        <v>4232</v>
      </c>
      <c r="BA1066" t="s">
        <v>1456</v>
      </c>
      <c r="BB1066" t="str">
        <f t="shared" si="16"/>
        <v>IHVNbeKonshisha</v>
      </c>
    </row>
    <row r="1067" spans="48:54" x14ac:dyDescent="0.25">
      <c r="AV1067" t="s">
        <v>2127</v>
      </c>
      <c r="AW1067" t="s">
        <v>1467</v>
      </c>
      <c r="AX1067" t="s">
        <v>1884</v>
      </c>
      <c r="AY1067" t="s">
        <v>4233</v>
      </c>
      <c r="AZ1067" t="s">
        <v>4234</v>
      </c>
      <c r="BA1067" t="s">
        <v>1456</v>
      </c>
      <c r="BB1067" t="str">
        <f t="shared" si="16"/>
        <v>IHVNbeKonshisha</v>
      </c>
    </row>
    <row r="1068" spans="48:54" x14ac:dyDescent="0.25">
      <c r="AV1068" t="s">
        <v>2127</v>
      </c>
      <c r="AW1068" t="s">
        <v>1467</v>
      </c>
      <c r="AX1068" t="s">
        <v>1884</v>
      </c>
      <c r="AY1068" t="s">
        <v>4235</v>
      </c>
      <c r="AZ1068" t="s">
        <v>4236</v>
      </c>
      <c r="BA1068" t="s">
        <v>1456</v>
      </c>
      <c r="BB1068" t="str">
        <f t="shared" si="16"/>
        <v>IHVNbeKonshisha</v>
      </c>
    </row>
    <row r="1069" spans="48:54" x14ac:dyDescent="0.25">
      <c r="AV1069" t="s">
        <v>2127</v>
      </c>
      <c r="AW1069" t="s">
        <v>1467</v>
      </c>
      <c r="AX1069" t="s">
        <v>1884</v>
      </c>
      <c r="AY1069" t="s">
        <v>4237</v>
      </c>
      <c r="AZ1069" t="s">
        <v>4238</v>
      </c>
      <c r="BA1069" t="s">
        <v>1456</v>
      </c>
      <c r="BB1069" t="str">
        <f t="shared" si="16"/>
        <v>IHVNbeKonshisha</v>
      </c>
    </row>
    <row r="1070" spans="48:54" x14ac:dyDescent="0.25">
      <c r="AV1070" t="s">
        <v>2127</v>
      </c>
      <c r="AW1070" t="s">
        <v>1467</v>
      </c>
      <c r="AX1070" t="s">
        <v>1884</v>
      </c>
      <c r="AY1070" t="s">
        <v>4239</v>
      </c>
      <c r="AZ1070" t="s">
        <v>4240</v>
      </c>
      <c r="BA1070" t="s">
        <v>1456</v>
      </c>
      <c r="BB1070" t="str">
        <f t="shared" si="16"/>
        <v>IHVNbeKonshisha</v>
      </c>
    </row>
    <row r="1071" spans="48:54" x14ac:dyDescent="0.25">
      <c r="AV1071" t="s">
        <v>2127</v>
      </c>
      <c r="AW1071" t="s">
        <v>1467</v>
      </c>
      <c r="AX1071" t="s">
        <v>1887</v>
      </c>
      <c r="AY1071" t="s">
        <v>4241</v>
      </c>
      <c r="AZ1071" t="s">
        <v>4242</v>
      </c>
      <c r="BA1071" t="s">
        <v>1456</v>
      </c>
      <c r="BB1071" t="str">
        <f t="shared" si="16"/>
        <v>IHVNbeMakurdi</v>
      </c>
    </row>
    <row r="1072" spans="48:54" x14ac:dyDescent="0.25">
      <c r="AV1072" t="s">
        <v>2127</v>
      </c>
      <c r="AW1072" t="s">
        <v>1467</v>
      </c>
      <c r="AX1072" t="s">
        <v>1887</v>
      </c>
      <c r="AY1072" t="s">
        <v>4243</v>
      </c>
      <c r="AZ1072" t="s">
        <v>4244</v>
      </c>
      <c r="BA1072" t="s">
        <v>1456</v>
      </c>
      <c r="BB1072" t="str">
        <f t="shared" si="16"/>
        <v>IHVNbeMakurdi</v>
      </c>
    </row>
    <row r="1073" spans="48:54" x14ac:dyDescent="0.25">
      <c r="AV1073" t="s">
        <v>2127</v>
      </c>
      <c r="AW1073" t="s">
        <v>1467</v>
      </c>
      <c r="AX1073" t="s">
        <v>1887</v>
      </c>
      <c r="AY1073" t="s">
        <v>4245</v>
      </c>
      <c r="AZ1073" t="s">
        <v>4246</v>
      </c>
      <c r="BA1073" t="s">
        <v>1456</v>
      </c>
      <c r="BB1073" t="str">
        <f t="shared" si="16"/>
        <v>IHVNbeMakurdi</v>
      </c>
    </row>
    <row r="1074" spans="48:54" x14ac:dyDescent="0.25">
      <c r="AV1074" t="s">
        <v>2127</v>
      </c>
      <c r="AW1074" t="s">
        <v>1467</v>
      </c>
      <c r="AX1074" t="s">
        <v>1887</v>
      </c>
      <c r="AY1074" t="s">
        <v>4247</v>
      </c>
      <c r="AZ1074" t="s">
        <v>4248</v>
      </c>
      <c r="BA1074" t="s">
        <v>1456</v>
      </c>
      <c r="BB1074" t="str">
        <f t="shared" si="16"/>
        <v>IHVNbeMakurdi</v>
      </c>
    </row>
    <row r="1075" spans="48:54" x14ac:dyDescent="0.25">
      <c r="AV1075" t="s">
        <v>2127</v>
      </c>
      <c r="AW1075" t="s">
        <v>1467</v>
      </c>
      <c r="AX1075" t="s">
        <v>1887</v>
      </c>
      <c r="AY1075" t="s">
        <v>4249</v>
      </c>
      <c r="AZ1075" t="s">
        <v>4250</v>
      </c>
      <c r="BA1075" t="s">
        <v>1456</v>
      </c>
      <c r="BB1075" t="str">
        <f t="shared" si="16"/>
        <v>IHVNbeMakurdi</v>
      </c>
    </row>
    <row r="1076" spans="48:54" x14ac:dyDescent="0.25">
      <c r="AV1076" t="s">
        <v>2127</v>
      </c>
      <c r="AW1076" t="s">
        <v>1467</v>
      </c>
      <c r="AX1076" t="s">
        <v>1887</v>
      </c>
      <c r="AY1076" t="s">
        <v>4251</v>
      </c>
      <c r="AZ1076" t="s">
        <v>4252</v>
      </c>
      <c r="BA1076" t="s">
        <v>1456</v>
      </c>
      <c r="BB1076" t="str">
        <f t="shared" si="16"/>
        <v>IHVNbeMakurdi</v>
      </c>
    </row>
    <row r="1077" spans="48:54" x14ac:dyDescent="0.25">
      <c r="AV1077" t="s">
        <v>2127</v>
      </c>
      <c r="AW1077" t="s">
        <v>1467</v>
      </c>
      <c r="AX1077" t="s">
        <v>1887</v>
      </c>
      <c r="AY1077" t="s">
        <v>4253</v>
      </c>
      <c r="AZ1077" t="s">
        <v>4254</v>
      </c>
      <c r="BA1077" t="s">
        <v>1456</v>
      </c>
      <c r="BB1077" t="str">
        <f t="shared" si="16"/>
        <v>IHVNbeMakurdi</v>
      </c>
    </row>
    <row r="1078" spans="48:54" x14ac:dyDescent="0.25">
      <c r="AV1078" t="s">
        <v>2127</v>
      </c>
      <c r="AW1078" t="s">
        <v>1467</v>
      </c>
      <c r="AX1078" t="s">
        <v>1887</v>
      </c>
      <c r="AY1078" t="s">
        <v>4255</v>
      </c>
      <c r="AZ1078" t="s">
        <v>4256</v>
      </c>
      <c r="BA1078" t="s">
        <v>1456</v>
      </c>
      <c r="BB1078" t="str">
        <f t="shared" si="16"/>
        <v>IHVNbeMakurdi</v>
      </c>
    </row>
    <row r="1079" spans="48:54" x14ac:dyDescent="0.25">
      <c r="AV1079" t="s">
        <v>2127</v>
      </c>
      <c r="AW1079" t="s">
        <v>1467</v>
      </c>
      <c r="AX1079" t="s">
        <v>1887</v>
      </c>
      <c r="AY1079" t="s">
        <v>4257</v>
      </c>
      <c r="AZ1079" t="s">
        <v>4258</v>
      </c>
      <c r="BA1079" t="s">
        <v>1456</v>
      </c>
      <c r="BB1079" t="str">
        <f t="shared" si="16"/>
        <v>IHVNbeMakurdi</v>
      </c>
    </row>
    <row r="1080" spans="48:54" x14ac:dyDescent="0.25">
      <c r="AV1080" t="s">
        <v>2127</v>
      </c>
      <c r="AW1080" t="s">
        <v>1467</v>
      </c>
      <c r="AX1080" t="s">
        <v>1887</v>
      </c>
      <c r="AY1080" t="s">
        <v>4259</v>
      </c>
      <c r="AZ1080" t="s">
        <v>4260</v>
      </c>
      <c r="BA1080" t="s">
        <v>1456</v>
      </c>
      <c r="BB1080" t="str">
        <f t="shared" si="16"/>
        <v>IHVNbeMakurdi</v>
      </c>
    </row>
    <row r="1081" spans="48:54" x14ac:dyDescent="0.25">
      <c r="AV1081" t="s">
        <v>2127</v>
      </c>
      <c r="AW1081" t="s">
        <v>1467</v>
      </c>
      <c r="AX1081" t="s">
        <v>1887</v>
      </c>
      <c r="AY1081" t="s">
        <v>4261</v>
      </c>
      <c r="AZ1081" t="s">
        <v>4262</v>
      </c>
      <c r="BA1081" t="s">
        <v>1456</v>
      </c>
      <c r="BB1081" t="str">
        <f t="shared" si="16"/>
        <v>IHVNbeMakurdi</v>
      </c>
    </row>
    <row r="1082" spans="48:54" x14ac:dyDescent="0.25">
      <c r="AV1082" t="s">
        <v>2127</v>
      </c>
      <c r="AW1082" t="s">
        <v>1467</v>
      </c>
      <c r="AX1082" t="s">
        <v>1887</v>
      </c>
      <c r="AY1082" t="s">
        <v>4263</v>
      </c>
      <c r="AZ1082" t="s">
        <v>4264</v>
      </c>
      <c r="BA1082" t="s">
        <v>1456</v>
      </c>
      <c r="BB1082" t="str">
        <f t="shared" si="16"/>
        <v>IHVNbeMakurdi</v>
      </c>
    </row>
    <row r="1083" spans="48:54" x14ac:dyDescent="0.25">
      <c r="AV1083" t="s">
        <v>2127</v>
      </c>
      <c r="AW1083" t="s">
        <v>1467</v>
      </c>
      <c r="AX1083" t="s">
        <v>1887</v>
      </c>
      <c r="AY1083" t="s">
        <v>4265</v>
      </c>
      <c r="AZ1083" t="s">
        <v>4266</v>
      </c>
      <c r="BA1083" t="s">
        <v>1456</v>
      </c>
      <c r="BB1083" t="str">
        <f t="shared" si="16"/>
        <v>IHVNbeMakurdi</v>
      </c>
    </row>
    <row r="1084" spans="48:54" x14ac:dyDescent="0.25">
      <c r="AV1084" t="s">
        <v>2127</v>
      </c>
      <c r="AW1084" t="s">
        <v>1467</v>
      </c>
      <c r="AX1084" t="s">
        <v>1887</v>
      </c>
      <c r="AY1084" t="s">
        <v>4267</v>
      </c>
      <c r="AZ1084" t="s">
        <v>4268</v>
      </c>
      <c r="BA1084" t="s">
        <v>1456</v>
      </c>
      <c r="BB1084" t="str">
        <f t="shared" si="16"/>
        <v>IHVNbeMakurdi</v>
      </c>
    </row>
    <row r="1085" spans="48:54" x14ac:dyDescent="0.25">
      <c r="AV1085" t="s">
        <v>2127</v>
      </c>
      <c r="AW1085" t="s">
        <v>1467</v>
      </c>
      <c r="AX1085" t="s">
        <v>1887</v>
      </c>
      <c r="AY1085" t="s">
        <v>4269</v>
      </c>
      <c r="AZ1085" t="s">
        <v>4270</v>
      </c>
      <c r="BA1085" t="s">
        <v>1456</v>
      </c>
      <c r="BB1085" t="str">
        <f t="shared" si="16"/>
        <v>IHVNbeMakurdi</v>
      </c>
    </row>
    <row r="1086" spans="48:54" x14ac:dyDescent="0.25">
      <c r="AV1086" t="s">
        <v>2127</v>
      </c>
      <c r="AW1086" t="s">
        <v>1467</v>
      </c>
      <c r="AX1086" t="s">
        <v>1899</v>
      </c>
      <c r="AY1086" t="s">
        <v>4271</v>
      </c>
      <c r="AZ1086" t="s">
        <v>4272</v>
      </c>
      <c r="BA1086" t="s">
        <v>1456</v>
      </c>
      <c r="BB1086" t="str">
        <f t="shared" si="16"/>
        <v>IHVNbeOju</v>
      </c>
    </row>
    <row r="1087" spans="48:54" x14ac:dyDescent="0.25">
      <c r="AV1087" t="s">
        <v>2127</v>
      </c>
      <c r="AW1087" t="s">
        <v>1467</v>
      </c>
      <c r="AX1087" t="s">
        <v>1899</v>
      </c>
      <c r="AY1087" t="s">
        <v>4273</v>
      </c>
      <c r="AZ1087" t="s">
        <v>4274</v>
      </c>
      <c r="BA1087" t="s">
        <v>1456</v>
      </c>
      <c r="BB1087" t="str">
        <f t="shared" si="16"/>
        <v>IHVNbeOju</v>
      </c>
    </row>
    <row r="1088" spans="48:54" x14ac:dyDescent="0.25">
      <c r="AV1088" t="s">
        <v>2127</v>
      </c>
      <c r="AW1088" t="s">
        <v>1467</v>
      </c>
      <c r="AX1088" t="s">
        <v>1892</v>
      </c>
      <c r="AY1088" t="s">
        <v>4275</v>
      </c>
      <c r="AZ1088" t="s">
        <v>4276</v>
      </c>
      <c r="BA1088" t="s">
        <v>1456</v>
      </c>
      <c r="BB1088" t="str">
        <f t="shared" si="16"/>
        <v>IHVNbeUshongo</v>
      </c>
    </row>
    <row r="1089" spans="48:54" x14ac:dyDescent="0.25">
      <c r="AV1089" t="s">
        <v>2127</v>
      </c>
      <c r="AW1089" t="s">
        <v>1467</v>
      </c>
      <c r="AX1089" t="s">
        <v>1892</v>
      </c>
      <c r="AY1089" t="s">
        <v>4277</v>
      </c>
      <c r="AZ1089" t="s">
        <v>4278</v>
      </c>
      <c r="BA1089" t="s">
        <v>1456</v>
      </c>
      <c r="BB1089" t="str">
        <f t="shared" si="16"/>
        <v>IHVNbeUshongo</v>
      </c>
    </row>
    <row r="1090" spans="48:54" x14ac:dyDescent="0.25">
      <c r="AV1090" t="s">
        <v>2127</v>
      </c>
      <c r="AW1090" t="s">
        <v>1467</v>
      </c>
      <c r="AX1090" t="s">
        <v>1892</v>
      </c>
      <c r="AY1090" t="s">
        <v>4279</v>
      </c>
      <c r="AZ1090" t="s">
        <v>4280</v>
      </c>
      <c r="BA1090" t="s">
        <v>1456</v>
      </c>
      <c r="BB1090" t="str">
        <f t="shared" si="16"/>
        <v>IHVNbeUshongo</v>
      </c>
    </row>
    <row r="1091" spans="48:54" x14ac:dyDescent="0.25">
      <c r="AV1091" t="s">
        <v>2127</v>
      </c>
      <c r="AW1091" t="s">
        <v>1467</v>
      </c>
      <c r="AX1091" t="s">
        <v>1892</v>
      </c>
      <c r="AY1091" t="s">
        <v>3275</v>
      </c>
      <c r="AZ1091" t="s">
        <v>4281</v>
      </c>
      <c r="BA1091" t="s">
        <v>1456</v>
      </c>
      <c r="BB1091" t="str">
        <f t="shared" ref="BB1091:BB1154" si="17">SUBSTITUTE(SUBSTITUTE(BA1091&amp;AX1091," ",""),"-","")</f>
        <v>IHVNbeUshongo</v>
      </c>
    </row>
    <row r="1092" spans="48:54" x14ac:dyDescent="0.25">
      <c r="AV1092" t="s">
        <v>2127</v>
      </c>
      <c r="AW1092" t="s">
        <v>1467</v>
      </c>
      <c r="AX1092" t="s">
        <v>1892</v>
      </c>
      <c r="AY1092" t="s">
        <v>4282</v>
      </c>
      <c r="AZ1092" t="s">
        <v>4283</v>
      </c>
      <c r="BA1092" t="s">
        <v>1456</v>
      </c>
      <c r="BB1092" t="str">
        <f t="shared" si="17"/>
        <v>IHVNbeUshongo</v>
      </c>
    </row>
    <row r="1093" spans="48:54" x14ac:dyDescent="0.25">
      <c r="AV1093" t="s">
        <v>2127</v>
      </c>
      <c r="AW1093" t="s">
        <v>1467</v>
      </c>
      <c r="AX1093" t="s">
        <v>1892</v>
      </c>
      <c r="AY1093" t="s">
        <v>4284</v>
      </c>
      <c r="AZ1093" t="s">
        <v>4285</v>
      </c>
      <c r="BA1093" t="s">
        <v>1456</v>
      </c>
      <c r="BB1093" t="str">
        <f t="shared" si="17"/>
        <v>IHVNbeUshongo</v>
      </c>
    </row>
    <row r="1094" spans="48:54" x14ac:dyDescent="0.25">
      <c r="AV1094" t="s">
        <v>2127</v>
      </c>
      <c r="AW1094" t="s">
        <v>1467</v>
      </c>
      <c r="AX1094" t="s">
        <v>1892</v>
      </c>
      <c r="AY1094" t="s">
        <v>4286</v>
      </c>
      <c r="AZ1094" t="s">
        <v>4287</v>
      </c>
      <c r="BA1094" t="s">
        <v>1456</v>
      </c>
      <c r="BB1094" t="str">
        <f t="shared" si="17"/>
        <v>IHVNbeUshongo</v>
      </c>
    </row>
    <row r="1095" spans="48:54" x14ac:dyDescent="0.25">
      <c r="AV1095" t="s">
        <v>2127</v>
      </c>
      <c r="AW1095" t="s">
        <v>1467</v>
      </c>
      <c r="AX1095" t="s">
        <v>1892</v>
      </c>
      <c r="AY1095" t="s">
        <v>4288</v>
      </c>
      <c r="AZ1095" t="s">
        <v>4289</v>
      </c>
      <c r="BA1095" t="s">
        <v>1456</v>
      </c>
      <c r="BB1095" t="str">
        <f t="shared" si="17"/>
        <v>IHVNbeUshongo</v>
      </c>
    </row>
    <row r="1096" spans="48:54" x14ac:dyDescent="0.25">
      <c r="AV1096" t="s">
        <v>2127</v>
      </c>
      <c r="AW1096" t="s">
        <v>1467</v>
      </c>
      <c r="AX1096" t="s">
        <v>1892</v>
      </c>
      <c r="AY1096" t="s">
        <v>4290</v>
      </c>
      <c r="AZ1096" t="s">
        <v>4291</v>
      </c>
      <c r="BA1096" t="s">
        <v>1456</v>
      </c>
      <c r="BB1096" t="str">
        <f t="shared" si="17"/>
        <v>IHVNbeUshongo</v>
      </c>
    </row>
    <row r="1097" spans="48:54" x14ac:dyDescent="0.25">
      <c r="AV1097" t="s">
        <v>2127</v>
      </c>
      <c r="AW1097" t="s">
        <v>1467</v>
      </c>
      <c r="AX1097" t="s">
        <v>1892</v>
      </c>
      <c r="AY1097" t="s">
        <v>4292</v>
      </c>
      <c r="AZ1097" t="s">
        <v>4293</v>
      </c>
      <c r="BA1097" t="s">
        <v>1456</v>
      </c>
      <c r="BB1097" t="str">
        <f t="shared" si="17"/>
        <v>IHVNbeUshongo</v>
      </c>
    </row>
    <row r="1098" spans="48:54" x14ac:dyDescent="0.25">
      <c r="AV1098" t="s">
        <v>2127</v>
      </c>
      <c r="AW1098" t="s">
        <v>1467</v>
      </c>
      <c r="AX1098" t="s">
        <v>1892</v>
      </c>
      <c r="AY1098" t="s">
        <v>4294</v>
      </c>
      <c r="AZ1098" t="s">
        <v>4295</v>
      </c>
      <c r="BA1098" t="s">
        <v>1456</v>
      </c>
      <c r="BB1098" t="str">
        <f t="shared" si="17"/>
        <v>IHVNbeUshongo</v>
      </c>
    </row>
    <row r="1099" spans="48:54" x14ac:dyDescent="0.25">
      <c r="AV1099" t="s">
        <v>2127</v>
      </c>
      <c r="AW1099" t="s">
        <v>1467</v>
      </c>
      <c r="AX1099" t="s">
        <v>1892</v>
      </c>
      <c r="AY1099" t="s">
        <v>4296</v>
      </c>
      <c r="AZ1099" t="s">
        <v>4297</v>
      </c>
      <c r="BA1099" t="s">
        <v>1456</v>
      </c>
      <c r="BB1099" t="str">
        <f t="shared" si="17"/>
        <v>IHVNbeUshongo</v>
      </c>
    </row>
    <row r="1100" spans="48:54" x14ac:dyDescent="0.25">
      <c r="AV1100" t="s">
        <v>2127</v>
      </c>
      <c r="AW1100" t="s">
        <v>1467</v>
      </c>
      <c r="AX1100" t="s">
        <v>1892</v>
      </c>
      <c r="AY1100" t="s">
        <v>4298</v>
      </c>
      <c r="AZ1100" t="s">
        <v>4299</v>
      </c>
      <c r="BA1100" t="s">
        <v>1456</v>
      </c>
      <c r="BB1100" t="str">
        <f t="shared" si="17"/>
        <v>IHVNbeUshongo</v>
      </c>
    </row>
    <row r="1101" spans="48:54" x14ac:dyDescent="0.25">
      <c r="AV1101" t="s">
        <v>2127</v>
      </c>
      <c r="AW1101" t="s">
        <v>1467</v>
      </c>
      <c r="AX1101" t="s">
        <v>1892</v>
      </c>
      <c r="AY1101" t="s">
        <v>4300</v>
      </c>
      <c r="AZ1101" t="s">
        <v>4301</v>
      </c>
      <c r="BA1101" t="s">
        <v>1456</v>
      </c>
      <c r="BB1101" t="str">
        <f t="shared" si="17"/>
        <v>IHVNbeUshongo</v>
      </c>
    </row>
    <row r="1102" spans="48:54" x14ac:dyDescent="0.25">
      <c r="AV1102" t="s">
        <v>2127</v>
      </c>
      <c r="AW1102" t="s">
        <v>1467</v>
      </c>
      <c r="AX1102" t="s">
        <v>1892</v>
      </c>
      <c r="AY1102" t="s">
        <v>4302</v>
      </c>
      <c r="AZ1102" t="s">
        <v>4303</v>
      </c>
      <c r="BA1102" t="s">
        <v>1456</v>
      </c>
      <c r="BB1102" t="str">
        <f t="shared" si="17"/>
        <v>IHVNbeUshongo</v>
      </c>
    </row>
    <row r="1103" spans="48:54" x14ac:dyDescent="0.25">
      <c r="AV1103" t="s">
        <v>2127</v>
      </c>
      <c r="AW1103" t="s">
        <v>1467</v>
      </c>
      <c r="AX1103" t="s">
        <v>1892</v>
      </c>
      <c r="AY1103" t="s">
        <v>4304</v>
      </c>
      <c r="AZ1103" t="s">
        <v>4305</v>
      </c>
      <c r="BA1103" t="s">
        <v>1456</v>
      </c>
      <c r="BB1103" t="str">
        <f t="shared" si="17"/>
        <v>IHVNbeUshongo</v>
      </c>
    </row>
    <row r="1104" spans="48:54" x14ac:dyDescent="0.25">
      <c r="AV1104" t="s">
        <v>2127</v>
      </c>
      <c r="AW1104" t="s">
        <v>1467</v>
      </c>
      <c r="AX1104" t="s">
        <v>1892</v>
      </c>
      <c r="AY1104" t="s">
        <v>4306</v>
      </c>
      <c r="AZ1104" t="s">
        <v>4307</v>
      </c>
      <c r="BA1104" t="s">
        <v>1456</v>
      </c>
      <c r="BB1104" t="str">
        <f t="shared" si="17"/>
        <v>IHVNbeUshongo</v>
      </c>
    </row>
    <row r="1105" spans="48:54" x14ac:dyDescent="0.25">
      <c r="AV1105" t="s">
        <v>2127</v>
      </c>
      <c r="AW1105" t="s">
        <v>1467</v>
      </c>
      <c r="AX1105" t="s">
        <v>1892</v>
      </c>
      <c r="AY1105" t="s">
        <v>4308</v>
      </c>
      <c r="AZ1105" t="s">
        <v>4309</v>
      </c>
      <c r="BA1105" t="s">
        <v>1456</v>
      </c>
      <c r="BB1105" t="str">
        <f t="shared" si="17"/>
        <v>IHVNbeUshongo</v>
      </c>
    </row>
    <row r="1106" spans="48:54" x14ac:dyDescent="0.25">
      <c r="AV1106" t="s">
        <v>2127</v>
      </c>
      <c r="AW1106" t="s">
        <v>1467</v>
      </c>
      <c r="AX1106" t="s">
        <v>1892</v>
      </c>
      <c r="AY1106" t="s">
        <v>4310</v>
      </c>
      <c r="AZ1106" t="s">
        <v>4311</v>
      </c>
      <c r="BA1106" t="s">
        <v>1456</v>
      </c>
      <c r="BB1106" t="str">
        <f t="shared" si="17"/>
        <v>IHVNbeUshongo</v>
      </c>
    </row>
    <row r="1107" spans="48:54" x14ac:dyDescent="0.25">
      <c r="AV1107" t="s">
        <v>2127</v>
      </c>
      <c r="AW1107" t="s">
        <v>1467</v>
      </c>
      <c r="AX1107" t="s">
        <v>1892</v>
      </c>
      <c r="AY1107" t="s">
        <v>4312</v>
      </c>
      <c r="AZ1107" t="s">
        <v>4313</v>
      </c>
      <c r="BA1107" t="s">
        <v>1456</v>
      </c>
      <c r="BB1107" t="str">
        <f t="shared" si="17"/>
        <v>IHVNbeUshongo</v>
      </c>
    </row>
    <row r="1108" spans="48:54" x14ac:dyDescent="0.25">
      <c r="AV1108" t="s">
        <v>2127</v>
      </c>
      <c r="AW1108" t="s">
        <v>1467</v>
      </c>
      <c r="AX1108" t="s">
        <v>1892</v>
      </c>
      <c r="AY1108" t="s">
        <v>4314</v>
      </c>
      <c r="AZ1108" t="s">
        <v>4315</v>
      </c>
      <c r="BA1108" t="s">
        <v>1456</v>
      </c>
      <c r="BB1108" t="str">
        <f t="shared" si="17"/>
        <v>IHVNbeUshongo</v>
      </c>
    </row>
    <row r="1109" spans="48:54" x14ac:dyDescent="0.25">
      <c r="AV1109" t="s">
        <v>2127</v>
      </c>
      <c r="AW1109" t="s">
        <v>1467</v>
      </c>
      <c r="AX1109" t="s">
        <v>1892</v>
      </c>
      <c r="AY1109" t="s">
        <v>4316</v>
      </c>
      <c r="AZ1109" t="s">
        <v>4317</v>
      </c>
      <c r="BA1109" t="s">
        <v>1456</v>
      </c>
      <c r="BB1109" t="str">
        <f t="shared" si="17"/>
        <v>IHVNbeUshongo</v>
      </c>
    </row>
    <row r="1110" spans="48:54" x14ac:dyDescent="0.25">
      <c r="AV1110" t="s">
        <v>2127</v>
      </c>
      <c r="AW1110" t="s">
        <v>1467</v>
      </c>
      <c r="AX1110" t="s">
        <v>1892</v>
      </c>
      <c r="AY1110" t="s">
        <v>4318</v>
      </c>
      <c r="AZ1110" t="s">
        <v>4319</v>
      </c>
      <c r="BA1110" t="s">
        <v>1456</v>
      </c>
      <c r="BB1110" t="str">
        <f t="shared" si="17"/>
        <v>IHVNbeUshongo</v>
      </c>
    </row>
    <row r="1111" spans="48:54" x14ac:dyDescent="0.25">
      <c r="AV1111" t="s">
        <v>2127</v>
      </c>
      <c r="AW1111" t="s">
        <v>1467</v>
      </c>
      <c r="AX1111" t="s">
        <v>1892</v>
      </c>
      <c r="AY1111" t="s">
        <v>4320</v>
      </c>
      <c r="AZ1111" t="s">
        <v>4321</v>
      </c>
      <c r="BA1111" t="s">
        <v>1456</v>
      </c>
      <c r="BB1111" t="str">
        <f t="shared" si="17"/>
        <v>IHVNbeUshongo</v>
      </c>
    </row>
    <row r="1112" spans="48:54" x14ac:dyDescent="0.25">
      <c r="AV1112" t="s">
        <v>2127</v>
      </c>
      <c r="AW1112" t="s">
        <v>1467</v>
      </c>
      <c r="AX1112" t="s">
        <v>1892</v>
      </c>
      <c r="AY1112" t="s">
        <v>4322</v>
      </c>
      <c r="AZ1112" t="s">
        <v>4323</v>
      </c>
      <c r="BA1112" t="s">
        <v>1456</v>
      </c>
      <c r="BB1112" t="str">
        <f t="shared" si="17"/>
        <v>IHVNbeUshongo</v>
      </c>
    </row>
    <row r="1113" spans="48:54" x14ac:dyDescent="0.25">
      <c r="AV1113" t="s">
        <v>2127</v>
      </c>
      <c r="AW1113" t="s">
        <v>1467</v>
      </c>
      <c r="AX1113" t="s">
        <v>1892</v>
      </c>
      <c r="AY1113" t="s">
        <v>4324</v>
      </c>
      <c r="AZ1113" t="s">
        <v>4325</v>
      </c>
      <c r="BA1113" t="s">
        <v>1456</v>
      </c>
      <c r="BB1113" t="str">
        <f t="shared" si="17"/>
        <v>IHVNbeUshongo</v>
      </c>
    </row>
    <row r="1114" spans="48:54" x14ac:dyDescent="0.25">
      <c r="AV1114" t="s">
        <v>2127</v>
      </c>
      <c r="AW1114" t="s">
        <v>1467</v>
      </c>
      <c r="AX1114" t="s">
        <v>1892</v>
      </c>
      <c r="AY1114" t="s">
        <v>4326</v>
      </c>
      <c r="AZ1114" t="s">
        <v>4327</v>
      </c>
      <c r="BA1114" t="s">
        <v>1456</v>
      </c>
      <c r="BB1114" t="str">
        <f t="shared" si="17"/>
        <v>IHVNbeUshongo</v>
      </c>
    </row>
    <row r="1115" spans="48:54" x14ac:dyDescent="0.25">
      <c r="AV1115" t="s">
        <v>2127</v>
      </c>
      <c r="AW1115" t="s">
        <v>1467</v>
      </c>
      <c r="AX1115" t="s">
        <v>1892</v>
      </c>
      <c r="AY1115" t="s">
        <v>4328</v>
      </c>
      <c r="AZ1115" t="s">
        <v>4329</v>
      </c>
      <c r="BA1115" t="s">
        <v>1456</v>
      </c>
      <c r="BB1115" t="str">
        <f t="shared" si="17"/>
        <v>IHVNbeUshongo</v>
      </c>
    </row>
    <row r="1116" spans="48:54" x14ac:dyDescent="0.25">
      <c r="AV1116" t="s">
        <v>2127</v>
      </c>
      <c r="AW1116" t="s">
        <v>1467</v>
      </c>
      <c r="AX1116" t="s">
        <v>1892</v>
      </c>
      <c r="AY1116" t="s">
        <v>4330</v>
      </c>
      <c r="AZ1116" t="s">
        <v>4331</v>
      </c>
      <c r="BA1116" t="s">
        <v>1456</v>
      </c>
      <c r="BB1116" t="str">
        <f t="shared" si="17"/>
        <v>IHVNbeUshongo</v>
      </c>
    </row>
    <row r="1117" spans="48:54" x14ac:dyDescent="0.25">
      <c r="AV1117" t="s">
        <v>2127</v>
      </c>
      <c r="AW1117" t="s">
        <v>1467</v>
      </c>
      <c r="AX1117" t="s">
        <v>1892</v>
      </c>
      <c r="AY1117" t="s">
        <v>4332</v>
      </c>
      <c r="AZ1117" t="s">
        <v>4333</v>
      </c>
      <c r="BA1117" t="s">
        <v>1456</v>
      </c>
      <c r="BB1117" t="str">
        <f t="shared" si="17"/>
        <v>IHVNbeUshongo</v>
      </c>
    </row>
    <row r="1118" spans="48:54" x14ac:dyDescent="0.25">
      <c r="AV1118" t="s">
        <v>2127</v>
      </c>
      <c r="AW1118" t="s">
        <v>1467</v>
      </c>
      <c r="AX1118" t="s">
        <v>1892</v>
      </c>
      <c r="AY1118" t="s">
        <v>4334</v>
      </c>
      <c r="AZ1118" t="s">
        <v>4335</v>
      </c>
      <c r="BA1118" t="s">
        <v>1456</v>
      </c>
      <c r="BB1118" t="str">
        <f t="shared" si="17"/>
        <v>IHVNbeUshongo</v>
      </c>
    </row>
    <row r="1119" spans="48:54" x14ac:dyDescent="0.25">
      <c r="AV1119" t="s">
        <v>2127</v>
      </c>
      <c r="AW1119" t="s">
        <v>1467</v>
      </c>
      <c r="AX1119" t="s">
        <v>1892</v>
      </c>
      <c r="AY1119" t="s">
        <v>4336</v>
      </c>
      <c r="AZ1119" t="s">
        <v>4337</v>
      </c>
      <c r="BA1119" t="s">
        <v>1456</v>
      </c>
      <c r="BB1119" t="str">
        <f t="shared" si="17"/>
        <v>IHVNbeUshongo</v>
      </c>
    </row>
    <row r="1120" spans="48:54" x14ac:dyDescent="0.25">
      <c r="AV1120" t="s">
        <v>2127</v>
      </c>
      <c r="AW1120" t="s">
        <v>1470</v>
      </c>
      <c r="AX1120" t="s">
        <v>1901</v>
      </c>
      <c r="AY1120" t="s">
        <v>4338</v>
      </c>
      <c r="AZ1120" t="s">
        <v>4339</v>
      </c>
      <c r="BA1120" t="s">
        <v>1456</v>
      </c>
      <c r="BB1120" t="str">
        <f t="shared" si="17"/>
        <v>IHVNdeEthiopeEast</v>
      </c>
    </row>
    <row r="1121" spans="48:54" x14ac:dyDescent="0.25">
      <c r="AV1121" t="s">
        <v>2127</v>
      </c>
      <c r="AW1121" t="s">
        <v>1470</v>
      </c>
      <c r="AX1121" t="s">
        <v>1904</v>
      </c>
      <c r="AY1121" t="s">
        <v>4340</v>
      </c>
      <c r="AZ1121" t="s">
        <v>4341</v>
      </c>
      <c r="BA1121" t="s">
        <v>1456</v>
      </c>
      <c r="BB1121" t="str">
        <f t="shared" si="17"/>
        <v>IHVNdeIkaSouth</v>
      </c>
    </row>
    <row r="1122" spans="48:54" x14ac:dyDescent="0.25">
      <c r="AV1122" t="s">
        <v>2127</v>
      </c>
      <c r="AW1122" t="s">
        <v>1470</v>
      </c>
      <c r="AX1122" t="s">
        <v>1905</v>
      </c>
      <c r="AY1122" t="s">
        <v>4342</v>
      </c>
      <c r="AZ1122" t="s">
        <v>4343</v>
      </c>
      <c r="BA1122" t="s">
        <v>1456</v>
      </c>
      <c r="BB1122" t="str">
        <f t="shared" si="17"/>
        <v>IHVNdeOshimiliSouth</v>
      </c>
    </row>
    <row r="1123" spans="48:54" x14ac:dyDescent="0.25">
      <c r="AV1123" t="s">
        <v>2127</v>
      </c>
      <c r="AW1123" t="s">
        <v>1470</v>
      </c>
      <c r="AX1123" t="s">
        <v>1905</v>
      </c>
      <c r="AY1123" t="s">
        <v>4344</v>
      </c>
      <c r="AZ1123" t="s">
        <v>4345</v>
      </c>
      <c r="BA1123" t="s">
        <v>1456</v>
      </c>
      <c r="BB1123" t="str">
        <f t="shared" si="17"/>
        <v>IHVNdeOshimiliSouth</v>
      </c>
    </row>
    <row r="1124" spans="48:54" x14ac:dyDescent="0.25">
      <c r="AV1124" t="s">
        <v>2127</v>
      </c>
      <c r="AW1124" t="s">
        <v>1470</v>
      </c>
      <c r="AX1124" t="s">
        <v>1906</v>
      </c>
      <c r="AY1124" t="s">
        <v>4346</v>
      </c>
      <c r="AZ1124" t="s">
        <v>4347</v>
      </c>
      <c r="BA1124" t="s">
        <v>1456</v>
      </c>
      <c r="BB1124" t="str">
        <f t="shared" si="17"/>
        <v>IHVNdeUvwie</v>
      </c>
    </row>
    <row r="1125" spans="48:54" x14ac:dyDescent="0.25">
      <c r="AV1125" t="s">
        <v>2127</v>
      </c>
      <c r="AW1125" t="s">
        <v>1473</v>
      </c>
      <c r="AX1125" t="s">
        <v>1920</v>
      </c>
      <c r="AY1125" t="s">
        <v>4348</v>
      </c>
      <c r="AZ1125" t="s">
        <v>4349</v>
      </c>
      <c r="BA1125" t="s">
        <v>1456</v>
      </c>
      <c r="BB1125" t="str">
        <f t="shared" si="17"/>
        <v>IHVNekAdoEkiti</v>
      </c>
    </row>
    <row r="1126" spans="48:54" x14ac:dyDescent="0.25">
      <c r="AV1126" t="s">
        <v>2127</v>
      </c>
      <c r="AW1126" t="s">
        <v>1473</v>
      </c>
      <c r="AX1126" t="s">
        <v>1920</v>
      </c>
      <c r="AY1126" t="s">
        <v>4350</v>
      </c>
      <c r="AZ1126" t="s">
        <v>4351</v>
      </c>
      <c r="BA1126" t="s">
        <v>1456</v>
      </c>
      <c r="BB1126" t="str">
        <f t="shared" si="17"/>
        <v>IHVNekAdoEkiti</v>
      </c>
    </row>
    <row r="1127" spans="48:54" x14ac:dyDescent="0.25">
      <c r="AV1127" t="s">
        <v>2127</v>
      </c>
      <c r="AW1127" t="s">
        <v>1473</v>
      </c>
      <c r="AX1127" t="s">
        <v>1921</v>
      </c>
      <c r="AY1127" t="s">
        <v>4352</v>
      </c>
      <c r="AZ1127" t="s">
        <v>4353</v>
      </c>
      <c r="BA1127" t="s">
        <v>1456</v>
      </c>
      <c r="BB1127" t="str">
        <f t="shared" si="17"/>
        <v>IHVNekEkitiEast</v>
      </c>
    </row>
    <row r="1128" spans="48:54" x14ac:dyDescent="0.25">
      <c r="AV1128" t="s">
        <v>2127</v>
      </c>
      <c r="AW1128" t="s">
        <v>1473</v>
      </c>
      <c r="AX1128" t="s">
        <v>1922</v>
      </c>
      <c r="AY1128" t="s">
        <v>4354</v>
      </c>
      <c r="AZ1128" t="s">
        <v>4355</v>
      </c>
      <c r="BA1128" t="s">
        <v>1456</v>
      </c>
      <c r="BB1128" t="str">
        <f t="shared" si="17"/>
        <v>IHVNekIdoOsi</v>
      </c>
    </row>
    <row r="1129" spans="48:54" x14ac:dyDescent="0.25">
      <c r="AV1129" t="s">
        <v>2127</v>
      </c>
      <c r="AW1129" t="s">
        <v>1473</v>
      </c>
      <c r="AX1129" t="s">
        <v>1923</v>
      </c>
      <c r="AY1129" t="s">
        <v>4356</v>
      </c>
      <c r="AZ1129" t="s">
        <v>4357</v>
      </c>
      <c r="BA1129" t="s">
        <v>1456</v>
      </c>
      <c r="BB1129" t="str">
        <f t="shared" si="17"/>
        <v>IHVNekIlejemeje</v>
      </c>
    </row>
    <row r="1130" spans="48:54" x14ac:dyDescent="0.25">
      <c r="AV1130" t="s">
        <v>2127</v>
      </c>
      <c r="AW1130" t="s">
        <v>1473</v>
      </c>
      <c r="AX1130" t="s">
        <v>1924</v>
      </c>
      <c r="AY1130" t="s">
        <v>4358</v>
      </c>
      <c r="AZ1130" t="s">
        <v>4359</v>
      </c>
      <c r="BA1130" t="s">
        <v>1456</v>
      </c>
      <c r="BB1130" t="str">
        <f t="shared" si="17"/>
        <v>IHVNekIrepodun</v>
      </c>
    </row>
    <row r="1131" spans="48:54" x14ac:dyDescent="0.25">
      <c r="AV1131" t="s">
        <v>2127</v>
      </c>
      <c r="AW1131" t="s">
        <v>1473</v>
      </c>
      <c r="AX1131" t="s">
        <v>1925</v>
      </c>
      <c r="AY1131" t="s">
        <v>4360</v>
      </c>
      <c r="AZ1131" t="s">
        <v>4361</v>
      </c>
      <c r="BA1131" t="s">
        <v>1456</v>
      </c>
      <c r="BB1131" t="str">
        <f t="shared" si="17"/>
        <v>IHVNekOye</v>
      </c>
    </row>
    <row r="1132" spans="48:54" x14ac:dyDescent="0.25">
      <c r="AV1132" t="s">
        <v>2127</v>
      </c>
      <c r="AW1132" t="s">
        <v>1475</v>
      </c>
      <c r="AX1132" t="s">
        <v>1944</v>
      </c>
      <c r="AY1132" t="s">
        <v>4362</v>
      </c>
      <c r="AZ1132" t="s">
        <v>4363</v>
      </c>
      <c r="BA1132" t="s">
        <v>1456</v>
      </c>
      <c r="BB1132" t="str">
        <f t="shared" si="17"/>
        <v>IHVNfcAbaji</v>
      </c>
    </row>
    <row r="1133" spans="48:54" x14ac:dyDescent="0.25">
      <c r="AV1133" t="s">
        <v>2127</v>
      </c>
      <c r="AW1133" t="s">
        <v>1475</v>
      </c>
      <c r="AX1133" t="s">
        <v>1944</v>
      </c>
      <c r="AY1133" t="s">
        <v>4364</v>
      </c>
      <c r="AZ1133" t="s">
        <v>4365</v>
      </c>
      <c r="BA1133" t="s">
        <v>1456</v>
      </c>
      <c r="BB1133" t="str">
        <f t="shared" si="17"/>
        <v>IHVNfcAbaji</v>
      </c>
    </row>
    <row r="1134" spans="48:54" x14ac:dyDescent="0.25">
      <c r="AV1134" t="s">
        <v>2127</v>
      </c>
      <c r="AW1134" t="s">
        <v>1475</v>
      </c>
      <c r="AX1134" t="s">
        <v>1942</v>
      </c>
      <c r="AY1134" t="s">
        <v>4366</v>
      </c>
      <c r="AZ1134" t="s">
        <v>4367</v>
      </c>
      <c r="BA1134" t="s">
        <v>1456</v>
      </c>
      <c r="BB1134" t="str">
        <f t="shared" si="17"/>
        <v>IHVNfcAbujaMunicipalAreaCouncil</v>
      </c>
    </row>
    <row r="1135" spans="48:54" x14ac:dyDescent="0.25">
      <c r="AV1135" t="s">
        <v>2127</v>
      </c>
      <c r="AW1135" t="s">
        <v>1475</v>
      </c>
      <c r="AX1135" t="s">
        <v>1942</v>
      </c>
      <c r="AY1135" t="s">
        <v>4368</v>
      </c>
      <c r="AZ1135" t="s">
        <v>4369</v>
      </c>
      <c r="BA1135" t="s">
        <v>1456</v>
      </c>
      <c r="BB1135" t="str">
        <f t="shared" si="17"/>
        <v>IHVNfcAbujaMunicipalAreaCouncil</v>
      </c>
    </row>
    <row r="1136" spans="48:54" x14ac:dyDescent="0.25">
      <c r="AV1136" t="s">
        <v>2127</v>
      </c>
      <c r="AW1136" t="s">
        <v>1475</v>
      </c>
      <c r="AX1136" t="s">
        <v>1942</v>
      </c>
      <c r="AY1136" t="s">
        <v>4370</v>
      </c>
      <c r="AZ1136" t="s">
        <v>4371</v>
      </c>
      <c r="BA1136" t="s">
        <v>1456</v>
      </c>
      <c r="BB1136" t="str">
        <f t="shared" si="17"/>
        <v>IHVNfcAbujaMunicipalAreaCouncil</v>
      </c>
    </row>
    <row r="1137" spans="48:54" x14ac:dyDescent="0.25">
      <c r="AV1137" t="s">
        <v>2127</v>
      </c>
      <c r="AW1137" t="s">
        <v>1475</v>
      </c>
      <c r="AX1137" t="s">
        <v>1942</v>
      </c>
      <c r="AY1137" t="s">
        <v>4372</v>
      </c>
      <c r="AZ1137" t="s">
        <v>4373</v>
      </c>
      <c r="BA1137" t="s">
        <v>1456</v>
      </c>
      <c r="BB1137" t="str">
        <f t="shared" si="17"/>
        <v>IHVNfcAbujaMunicipalAreaCouncil</v>
      </c>
    </row>
    <row r="1138" spans="48:54" x14ac:dyDescent="0.25">
      <c r="AV1138" t="s">
        <v>2127</v>
      </c>
      <c r="AW1138" t="s">
        <v>1475</v>
      </c>
      <c r="AX1138" t="s">
        <v>1942</v>
      </c>
      <c r="AY1138" t="s">
        <v>4374</v>
      </c>
      <c r="AZ1138" t="s">
        <v>4375</v>
      </c>
      <c r="BA1138" t="s">
        <v>1456</v>
      </c>
      <c r="BB1138" t="str">
        <f t="shared" si="17"/>
        <v>IHVNfcAbujaMunicipalAreaCouncil</v>
      </c>
    </row>
    <row r="1139" spans="48:54" x14ac:dyDescent="0.25">
      <c r="AV1139" t="s">
        <v>2127</v>
      </c>
      <c r="AW1139" t="s">
        <v>1475</v>
      </c>
      <c r="AX1139" t="s">
        <v>1942</v>
      </c>
      <c r="AY1139" t="s">
        <v>4376</v>
      </c>
      <c r="AZ1139" t="s">
        <v>4377</v>
      </c>
      <c r="BA1139" t="s">
        <v>1456</v>
      </c>
      <c r="BB1139" t="str">
        <f t="shared" si="17"/>
        <v>IHVNfcAbujaMunicipalAreaCouncil</v>
      </c>
    </row>
    <row r="1140" spans="48:54" x14ac:dyDescent="0.25">
      <c r="AV1140" t="s">
        <v>2127</v>
      </c>
      <c r="AW1140" t="s">
        <v>1475</v>
      </c>
      <c r="AX1140" t="s">
        <v>1942</v>
      </c>
      <c r="AY1140" t="s">
        <v>4378</v>
      </c>
      <c r="AZ1140" t="s">
        <v>4379</v>
      </c>
      <c r="BA1140" t="s">
        <v>1456</v>
      </c>
      <c r="BB1140" t="str">
        <f t="shared" si="17"/>
        <v>IHVNfcAbujaMunicipalAreaCouncil</v>
      </c>
    </row>
    <row r="1141" spans="48:54" x14ac:dyDescent="0.25">
      <c r="AV1141" t="s">
        <v>2127</v>
      </c>
      <c r="AW1141" t="s">
        <v>1475</v>
      </c>
      <c r="AX1141" t="s">
        <v>1942</v>
      </c>
      <c r="AY1141" t="s">
        <v>4380</v>
      </c>
      <c r="AZ1141" t="s">
        <v>4381</v>
      </c>
      <c r="BA1141" t="s">
        <v>1456</v>
      </c>
      <c r="BB1141" t="str">
        <f t="shared" si="17"/>
        <v>IHVNfcAbujaMunicipalAreaCouncil</v>
      </c>
    </row>
    <row r="1142" spans="48:54" x14ac:dyDescent="0.25">
      <c r="AV1142" t="s">
        <v>2127</v>
      </c>
      <c r="AW1142" t="s">
        <v>1475</v>
      </c>
      <c r="AX1142" t="s">
        <v>1942</v>
      </c>
      <c r="AY1142" t="s">
        <v>4382</v>
      </c>
      <c r="AZ1142" t="s">
        <v>4383</v>
      </c>
      <c r="BA1142" t="s">
        <v>1456</v>
      </c>
      <c r="BB1142" t="str">
        <f t="shared" si="17"/>
        <v>IHVNfcAbujaMunicipalAreaCouncil</v>
      </c>
    </row>
    <row r="1143" spans="48:54" x14ac:dyDescent="0.25">
      <c r="AV1143" t="s">
        <v>2127</v>
      </c>
      <c r="AW1143" t="s">
        <v>1475</v>
      </c>
      <c r="AX1143" t="s">
        <v>1942</v>
      </c>
      <c r="AY1143" t="s">
        <v>4384</v>
      </c>
      <c r="AZ1143" t="s">
        <v>4385</v>
      </c>
      <c r="BA1143" t="s">
        <v>1456</v>
      </c>
      <c r="BB1143" t="str">
        <f t="shared" si="17"/>
        <v>IHVNfcAbujaMunicipalAreaCouncil</v>
      </c>
    </row>
    <row r="1144" spans="48:54" x14ac:dyDescent="0.25">
      <c r="AV1144" t="s">
        <v>2127</v>
      </c>
      <c r="AW1144" t="s">
        <v>1475</v>
      </c>
      <c r="AX1144" t="s">
        <v>1942</v>
      </c>
      <c r="AY1144" t="s">
        <v>4386</v>
      </c>
      <c r="AZ1144" t="s">
        <v>4387</v>
      </c>
      <c r="BA1144" t="s">
        <v>1456</v>
      </c>
      <c r="BB1144" t="str">
        <f t="shared" si="17"/>
        <v>IHVNfcAbujaMunicipalAreaCouncil</v>
      </c>
    </row>
    <row r="1145" spans="48:54" x14ac:dyDescent="0.25">
      <c r="AV1145" t="s">
        <v>2127</v>
      </c>
      <c r="AW1145" t="s">
        <v>1475</v>
      </c>
      <c r="AX1145" t="s">
        <v>1942</v>
      </c>
      <c r="AY1145" t="s">
        <v>4388</v>
      </c>
      <c r="AZ1145" t="s">
        <v>4389</v>
      </c>
      <c r="BA1145" t="s">
        <v>1456</v>
      </c>
      <c r="BB1145" t="str">
        <f t="shared" si="17"/>
        <v>IHVNfcAbujaMunicipalAreaCouncil</v>
      </c>
    </row>
    <row r="1146" spans="48:54" x14ac:dyDescent="0.25">
      <c r="AV1146" t="s">
        <v>2127</v>
      </c>
      <c r="AW1146" t="s">
        <v>1475</v>
      </c>
      <c r="AX1146" t="s">
        <v>1942</v>
      </c>
      <c r="AY1146" t="s">
        <v>4390</v>
      </c>
      <c r="AZ1146" t="s">
        <v>4391</v>
      </c>
      <c r="BA1146" t="s">
        <v>1456</v>
      </c>
      <c r="BB1146" t="str">
        <f t="shared" si="17"/>
        <v>IHVNfcAbujaMunicipalAreaCouncil</v>
      </c>
    </row>
    <row r="1147" spans="48:54" x14ac:dyDescent="0.25">
      <c r="AV1147" t="s">
        <v>2127</v>
      </c>
      <c r="AW1147" t="s">
        <v>1475</v>
      </c>
      <c r="AX1147" t="s">
        <v>1942</v>
      </c>
      <c r="AY1147" t="s">
        <v>4392</v>
      </c>
      <c r="AZ1147" t="s">
        <v>4393</v>
      </c>
      <c r="BA1147" t="s">
        <v>1456</v>
      </c>
      <c r="BB1147" t="str">
        <f t="shared" si="17"/>
        <v>IHVNfcAbujaMunicipalAreaCouncil</v>
      </c>
    </row>
    <row r="1148" spans="48:54" x14ac:dyDescent="0.25">
      <c r="AV1148" t="s">
        <v>2127</v>
      </c>
      <c r="AW1148" t="s">
        <v>1475</v>
      </c>
      <c r="AX1148" t="s">
        <v>1942</v>
      </c>
      <c r="AY1148" t="s">
        <v>4394</v>
      </c>
      <c r="AZ1148" t="s">
        <v>4395</v>
      </c>
      <c r="BA1148" t="s">
        <v>1456</v>
      </c>
      <c r="BB1148" t="str">
        <f t="shared" si="17"/>
        <v>IHVNfcAbujaMunicipalAreaCouncil</v>
      </c>
    </row>
    <row r="1149" spans="48:54" x14ac:dyDescent="0.25">
      <c r="AV1149" t="s">
        <v>2127</v>
      </c>
      <c r="AW1149" t="s">
        <v>1475</v>
      </c>
      <c r="AX1149" t="s">
        <v>1942</v>
      </c>
      <c r="AY1149" t="s">
        <v>4396</v>
      </c>
      <c r="AZ1149" t="s">
        <v>4397</v>
      </c>
      <c r="BA1149" t="s">
        <v>1456</v>
      </c>
      <c r="BB1149" t="str">
        <f t="shared" si="17"/>
        <v>IHVNfcAbujaMunicipalAreaCouncil</v>
      </c>
    </row>
    <row r="1150" spans="48:54" x14ac:dyDescent="0.25">
      <c r="AV1150" t="s">
        <v>2127</v>
      </c>
      <c r="AW1150" t="s">
        <v>1475</v>
      </c>
      <c r="AX1150" t="s">
        <v>1942</v>
      </c>
      <c r="AY1150" t="s">
        <v>4398</v>
      </c>
      <c r="AZ1150" t="s">
        <v>4399</v>
      </c>
      <c r="BA1150" t="s">
        <v>1456</v>
      </c>
      <c r="BB1150" t="str">
        <f t="shared" si="17"/>
        <v>IHVNfcAbujaMunicipalAreaCouncil</v>
      </c>
    </row>
    <row r="1151" spans="48:54" x14ac:dyDescent="0.25">
      <c r="AV1151" t="s">
        <v>2127</v>
      </c>
      <c r="AW1151" t="s">
        <v>1475</v>
      </c>
      <c r="AX1151" t="s">
        <v>1942</v>
      </c>
      <c r="AY1151" t="s">
        <v>4400</v>
      </c>
      <c r="AZ1151" t="s">
        <v>4401</v>
      </c>
      <c r="BA1151" t="s">
        <v>1456</v>
      </c>
      <c r="BB1151" t="str">
        <f t="shared" si="17"/>
        <v>IHVNfcAbujaMunicipalAreaCouncil</v>
      </c>
    </row>
    <row r="1152" spans="48:54" x14ac:dyDescent="0.25">
      <c r="AV1152" t="s">
        <v>2127</v>
      </c>
      <c r="AW1152" t="s">
        <v>1475</v>
      </c>
      <c r="AX1152" t="s">
        <v>1942</v>
      </c>
      <c r="AY1152" t="s">
        <v>4402</v>
      </c>
      <c r="AZ1152" t="s">
        <v>4403</v>
      </c>
      <c r="BA1152" t="s">
        <v>1456</v>
      </c>
      <c r="BB1152" t="str">
        <f t="shared" si="17"/>
        <v>IHVNfcAbujaMunicipalAreaCouncil</v>
      </c>
    </row>
    <row r="1153" spans="48:54" x14ac:dyDescent="0.25">
      <c r="AV1153" t="s">
        <v>2127</v>
      </c>
      <c r="AW1153" t="s">
        <v>1475</v>
      </c>
      <c r="AX1153" t="s">
        <v>1942</v>
      </c>
      <c r="AY1153" t="s">
        <v>4404</v>
      </c>
      <c r="AZ1153" t="s">
        <v>4405</v>
      </c>
      <c r="BA1153" t="s">
        <v>1456</v>
      </c>
      <c r="BB1153" t="str">
        <f t="shared" si="17"/>
        <v>IHVNfcAbujaMunicipalAreaCouncil</v>
      </c>
    </row>
    <row r="1154" spans="48:54" x14ac:dyDescent="0.25">
      <c r="AV1154" t="s">
        <v>2127</v>
      </c>
      <c r="AW1154" t="s">
        <v>1475</v>
      </c>
      <c r="AX1154" t="s">
        <v>1942</v>
      </c>
      <c r="AY1154" t="s">
        <v>4406</v>
      </c>
      <c r="AZ1154" t="s">
        <v>4407</v>
      </c>
      <c r="BA1154" t="s">
        <v>1456</v>
      </c>
      <c r="BB1154" t="str">
        <f t="shared" si="17"/>
        <v>IHVNfcAbujaMunicipalAreaCouncil</v>
      </c>
    </row>
    <row r="1155" spans="48:54" x14ac:dyDescent="0.25">
      <c r="AV1155" t="s">
        <v>2127</v>
      </c>
      <c r="AW1155" t="s">
        <v>1475</v>
      </c>
      <c r="AX1155" t="s">
        <v>1942</v>
      </c>
      <c r="AY1155" t="s">
        <v>4408</v>
      </c>
      <c r="AZ1155" t="s">
        <v>4409</v>
      </c>
      <c r="BA1155" t="s">
        <v>1456</v>
      </c>
      <c r="BB1155" t="str">
        <f t="shared" ref="BB1155:BB1218" si="18">SUBSTITUTE(SUBSTITUTE(BA1155&amp;AX1155," ",""),"-","")</f>
        <v>IHVNfcAbujaMunicipalAreaCouncil</v>
      </c>
    </row>
    <row r="1156" spans="48:54" x14ac:dyDescent="0.25">
      <c r="AV1156" t="s">
        <v>2127</v>
      </c>
      <c r="AW1156" t="s">
        <v>1475</v>
      </c>
      <c r="AX1156" t="s">
        <v>1942</v>
      </c>
      <c r="AY1156" t="s">
        <v>4410</v>
      </c>
      <c r="AZ1156" t="s">
        <v>4411</v>
      </c>
      <c r="BA1156" t="s">
        <v>1456</v>
      </c>
      <c r="BB1156" t="str">
        <f t="shared" si="18"/>
        <v>IHVNfcAbujaMunicipalAreaCouncil</v>
      </c>
    </row>
    <row r="1157" spans="48:54" x14ac:dyDescent="0.25">
      <c r="AV1157" t="s">
        <v>2127</v>
      </c>
      <c r="AW1157" t="s">
        <v>1475</v>
      </c>
      <c r="AX1157" t="s">
        <v>1942</v>
      </c>
      <c r="AY1157" t="s">
        <v>4412</v>
      </c>
      <c r="AZ1157" t="s">
        <v>4413</v>
      </c>
      <c r="BA1157" t="s">
        <v>1456</v>
      </c>
      <c r="BB1157" t="str">
        <f t="shared" si="18"/>
        <v>IHVNfcAbujaMunicipalAreaCouncil</v>
      </c>
    </row>
    <row r="1158" spans="48:54" x14ac:dyDescent="0.25">
      <c r="AV1158" t="s">
        <v>2127</v>
      </c>
      <c r="AW1158" t="s">
        <v>1475</v>
      </c>
      <c r="AX1158" t="s">
        <v>1942</v>
      </c>
      <c r="AY1158" t="s">
        <v>4414</v>
      </c>
      <c r="AZ1158" t="s">
        <v>4415</v>
      </c>
      <c r="BA1158" t="s">
        <v>1456</v>
      </c>
      <c r="BB1158" t="str">
        <f t="shared" si="18"/>
        <v>IHVNfcAbujaMunicipalAreaCouncil</v>
      </c>
    </row>
    <row r="1159" spans="48:54" x14ac:dyDescent="0.25">
      <c r="AV1159" t="s">
        <v>2127</v>
      </c>
      <c r="AW1159" t="s">
        <v>1475</v>
      </c>
      <c r="AX1159" t="s">
        <v>1942</v>
      </c>
      <c r="AY1159" t="s">
        <v>4416</v>
      </c>
      <c r="AZ1159" t="s">
        <v>4417</v>
      </c>
      <c r="BA1159" t="s">
        <v>1456</v>
      </c>
      <c r="BB1159" t="str">
        <f t="shared" si="18"/>
        <v>IHVNfcAbujaMunicipalAreaCouncil</v>
      </c>
    </row>
    <row r="1160" spans="48:54" x14ac:dyDescent="0.25">
      <c r="AV1160" t="s">
        <v>2127</v>
      </c>
      <c r="AW1160" t="s">
        <v>1475</v>
      </c>
      <c r="AX1160" t="s">
        <v>1942</v>
      </c>
      <c r="AY1160" t="s">
        <v>4418</v>
      </c>
      <c r="AZ1160" t="s">
        <v>4419</v>
      </c>
      <c r="BA1160" t="s">
        <v>1456</v>
      </c>
      <c r="BB1160" t="str">
        <f t="shared" si="18"/>
        <v>IHVNfcAbujaMunicipalAreaCouncil</v>
      </c>
    </row>
    <row r="1161" spans="48:54" x14ac:dyDescent="0.25">
      <c r="AV1161" t="s">
        <v>2127</v>
      </c>
      <c r="AW1161" t="s">
        <v>1475</v>
      </c>
      <c r="AX1161" t="s">
        <v>1942</v>
      </c>
      <c r="AY1161" t="s">
        <v>4420</v>
      </c>
      <c r="AZ1161" t="s">
        <v>4421</v>
      </c>
      <c r="BA1161" t="s">
        <v>1456</v>
      </c>
      <c r="BB1161" t="str">
        <f t="shared" si="18"/>
        <v>IHVNfcAbujaMunicipalAreaCouncil</v>
      </c>
    </row>
    <row r="1162" spans="48:54" x14ac:dyDescent="0.25">
      <c r="AV1162" t="s">
        <v>2127</v>
      </c>
      <c r="AW1162" t="s">
        <v>1475</v>
      </c>
      <c r="AX1162" t="s">
        <v>1942</v>
      </c>
      <c r="AY1162" t="s">
        <v>4422</v>
      </c>
      <c r="AZ1162" t="s">
        <v>4423</v>
      </c>
      <c r="BA1162" t="s">
        <v>1456</v>
      </c>
      <c r="BB1162" t="str">
        <f t="shared" si="18"/>
        <v>IHVNfcAbujaMunicipalAreaCouncil</v>
      </c>
    </row>
    <row r="1163" spans="48:54" x14ac:dyDescent="0.25">
      <c r="AV1163" t="s">
        <v>2127</v>
      </c>
      <c r="AW1163" t="s">
        <v>1475</v>
      </c>
      <c r="AX1163" t="s">
        <v>1942</v>
      </c>
      <c r="AY1163" t="s">
        <v>4424</v>
      </c>
      <c r="AZ1163" t="s">
        <v>4425</v>
      </c>
      <c r="BA1163" t="s">
        <v>1456</v>
      </c>
      <c r="BB1163" t="str">
        <f t="shared" si="18"/>
        <v>IHVNfcAbujaMunicipalAreaCouncil</v>
      </c>
    </row>
    <row r="1164" spans="48:54" x14ac:dyDescent="0.25">
      <c r="AV1164" t="s">
        <v>2127</v>
      </c>
      <c r="AW1164" t="s">
        <v>1475</v>
      </c>
      <c r="AX1164" t="s">
        <v>1942</v>
      </c>
      <c r="AY1164" t="s">
        <v>4426</v>
      </c>
      <c r="AZ1164" t="s">
        <v>4427</v>
      </c>
      <c r="BA1164" t="s">
        <v>1456</v>
      </c>
      <c r="BB1164" t="str">
        <f t="shared" si="18"/>
        <v>IHVNfcAbujaMunicipalAreaCouncil</v>
      </c>
    </row>
    <row r="1165" spans="48:54" x14ac:dyDescent="0.25">
      <c r="AV1165" t="s">
        <v>2127</v>
      </c>
      <c r="AW1165" t="s">
        <v>1475</v>
      </c>
      <c r="AX1165" t="s">
        <v>1942</v>
      </c>
      <c r="AY1165" t="s">
        <v>4428</v>
      </c>
      <c r="AZ1165" t="s">
        <v>4429</v>
      </c>
      <c r="BA1165" t="s">
        <v>1456</v>
      </c>
      <c r="BB1165" t="str">
        <f t="shared" si="18"/>
        <v>IHVNfcAbujaMunicipalAreaCouncil</v>
      </c>
    </row>
    <row r="1166" spans="48:54" x14ac:dyDescent="0.25">
      <c r="AV1166" t="s">
        <v>2127</v>
      </c>
      <c r="AW1166" t="s">
        <v>1475</v>
      </c>
      <c r="AX1166" t="s">
        <v>1942</v>
      </c>
      <c r="AY1166" t="s">
        <v>4430</v>
      </c>
      <c r="AZ1166" t="s">
        <v>4431</v>
      </c>
      <c r="BA1166" t="s">
        <v>1456</v>
      </c>
      <c r="BB1166" t="str">
        <f t="shared" si="18"/>
        <v>IHVNfcAbujaMunicipalAreaCouncil</v>
      </c>
    </row>
    <row r="1167" spans="48:54" x14ac:dyDescent="0.25">
      <c r="AV1167" t="s">
        <v>2127</v>
      </c>
      <c r="AW1167" t="s">
        <v>1475</v>
      </c>
      <c r="AX1167" t="s">
        <v>1942</v>
      </c>
      <c r="AY1167" t="s">
        <v>4432</v>
      </c>
      <c r="AZ1167" t="s">
        <v>4433</v>
      </c>
      <c r="BA1167" t="s">
        <v>1456</v>
      </c>
      <c r="BB1167" t="str">
        <f t="shared" si="18"/>
        <v>IHVNfcAbujaMunicipalAreaCouncil</v>
      </c>
    </row>
    <row r="1168" spans="48:54" x14ac:dyDescent="0.25">
      <c r="AV1168" t="s">
        <v>2127</v>
      </c>
      <c r="AW1168" t="s">
        <v>1475</v>
      </c>
      <c r="AX1168" t="s">
        <v>1942</v>
      </c>
      <c r="AY1168" t="s">
        <v>4434</v>
      </c>
      <c r="AZ1168" t="s">
        <v>4435</v>
      </c>
      <c r="BA1168" t="s">
        <v>1456</v>
      </c>
      <c r="BB1168" t="str">
        <f t="shared" si="18"/>
        <v>IHVNfcAbujaMunicipalAreaCouncil</v>
      </c>
    </row>
    <row r="1169" spans="48:54" x14ac:dyDescent="0.25">
      <c r="AV1169" t="s">
        <v>2127</v>
      </c>
      <c r="AW1169" t="s">
        <v>1475</v>
      </c>
      <c r="AX1169" t="s">
        <v>1942</v>
      </c>
      <c r="AY1169" t="s">
        <v>4436</v>
      </c>
      <c r="AZ1169" t="s">
        <v>4437</v>
      </c>
      <c r="BA1169" t="s">
        <v>1456</v>
      </c>
      <c r="BB1169" t="str">
        <f t="shared" si="18"/>
        <v>IHVNfcAbujaMunicipalAreaCouncil</v>
      </c>
    </row>
    <row r="1170" spans="48:54" x14ac:dyDescent="0.25">
      <c r="AV1170" t="s">
        <v>2127</v>
      </c>
      <c r="AW1170" t="s">
        <v>1475</v>
      </c>
      <c r="AX1170" t="s">
        <v>1942</v>
      </c>
      <c r="AY1170" t="s">
        <v>4438</v>
      </c>
      <c r="AZ1170" t="s">
        <v>4439</v>
      </c>
      <c r="BA1170" t="s">
        <v>1456</v>
      </c>
      <c r="BB1170" t="str">
        <f t="shared" si="18"/>
        <v>IHVNfcAbujaMunicipalAreaCouncil</v>
      </c>
    </row>
    <row r="1171" spans="48:54" x14ac:dyDescent="0.25">
      <c r="AV1171" t="s">
        <v>2127</v>
      </c>
      <c r="AW1171" t="s">
        <v>1475</v>
      </c>
      <c r="AX1171" t="s">
        <v>1942</v>
      </c>
      <c r="AY1171" t="s">
        <v>4440</v>
      </c>
      <c r="AZ1171" t="s">
        <v>4441</v>
      </c>
      <c r="BA1171" t="s">
        <v>1456</v>
      </c>
      <c r="BB1171" t="str">
        <f t="shared" si="18"/>
        <v>IHVNfcAbujaMunicipalAreaCouncil</v>
      </c>
    </row>
    <row r="1172" spans="48:54" x14ac:dyDescent="0.25">
      <c r="AV1172" t="s">
        <v>2127</v>
      </c>
      <c r="AW1172" t="s">
        <v>1475</v>
      </c>
      <c r="AX1172" t="s">
        <v>1942</v>
      </c>
      <c r="AY1172" t="s">
        <v>4442</v>
      </c>
      <c r="AZ1172" t="s">
        <v>4443</v>
      </c>
      <c r="BA1172" t="s">
        <v>1456</v>
      </c>
      <c r="BB1172" t="str">
        <f t="shared" si="18"/>
        <v>IHVNfcAbujaMunicipalAreaCouncil</v>
      </c>
    </row>
    <row r="1173" spans="48:54" x14ac:dyDescent="0.25">
      <c r="AV1173" t="s">
        <v>2127</v>
      </c>
      <c r="AW1173" t="s">
        <v>1475</v>
      </c>
      <c r="AX1173" t="s">
        <v>1942</v>
      </c>
      <c r="AY1173" t="s">
        <v>4444</v>
      </c>
      <c r="AZ1173" t="s">
        <v>4445</v>
      </c>
      <c r="BA1173" t="s">
        <v>1456</v>
      </c>
      <c r="BB1173" t="str">
        <f t="shared" si="18"/>
        <v>IHVNfcAbujaMunicipalAreaCouncil</v>
      </c>
    </row>
    <row r="1174" spans="48:54" x14ac:dyDescent="0.25">
      <c r="AV1174" t="s">
        <v>2127</v>
      </c>
      <c r="AW1174" t="s">
        <v>1475</v>
      </c>
      <c r="AX1174" t="s">
        <v>1942</v>
      </c>
      <c r="AY1174" t="s">
        <v>4446</v>
      </c>
      <c r="AZ1174" t="s">
        <v>4447</v>
      </c>
      <c r="BA1174" t="s">
        <v>1456</v>
      </c>
      <c r="BB1174" t="str">
        <f t="shared" si="18"/>
        <v>IHVNfcAbujaMunicipalAreaCouncil</v>
      </c>
    </row>
    <row r="1175" spans="48:54" x14ac:dyDescent="0.25">
      <c r="AV1175" t="s">
        <v>2127</v>
      </c>
      <c r="AW1175" t="s">
        <v>1475</v>
      </c>
      <c r="AX1175" t="s">
        <v>1942</v>
      </c>
      <c r="AY1175" t="s">
        <v>4448</v>
      </c>
      <c r="AZ1175" t="s">
        <v>4449</v>
      </c>
      <c r="BA1175" t="s">
        <v>1456</v>
      </c>
      <c r="BB1175" t="str">
        <f t="shared" si="18"/>
        <v>IHVNfcAbujaMunicipalAreaCouncil</v>
      </c>
    </row>
    <row r="1176" spans="48:54" x14ac:dyDescent="0.25">
      <c r="AV1176" t="s">
        <v>2127</v>
      </c>
      <c r="AW1176" t="s">
        <v>1475</v>
      </c>
      <c r="AX1176" t="s">
        <v>1942</v>
      </c>
      <c r="AY1176" t="s">
        <v>4450</v>
      </c>
      <c r="AZ1176" t="s">
        <v>4451</v>
      </c>
      <c r="BA1176" t="s">
        <v>1456</v>
      </c>
      <c r="BB1176" t="str">
        <f t="shared" si="18"/>
        <v>IHVNfcAbujaMunicipalAreaCouncil</v>
      </c>
    </row>
    <row r="1177" spans="48:54" x14ac:dyDescent="0.25">
      <c r="AV1177" t="s">
        <v>2127</v>
      </c>
      <c r="AW1177" t="s">
        <v>1475</v>
      </c>
      <c r="AX1177" t="s">
        <v>1942</v>
      </c>
      <c r="AY1177" t="s">
        <v>4452</v>
      </c>
      <c r="AZ1177" t="s">
        <v>4453</v>
      </c>
      <c r="BA1177" t="s">
        <v>1456</v>
      </c>
      <c r="BB1177" t="str">
        <f t="shared" si="18"/>
        <v>IHVNfcAbujaMunicipalAreaCouncil</v>
      </c>
    </row>
    <row r="1178" spans="48:54" x14ac:dyDescent="0.25">
      <c r="AV1178" t="s">
        <v>2127</v>
      </c>
      <c r="AW1178" t="s">
        <v>1475</v>
      </c>
      <c r="AX1178" t="s">
        <v>1942</v>
      </c>
      <c r="AY1178" t="s">
        <v>4454</v>
      </c>
      <c r="AZ1178" t="s">
        <v>4455</v>
      </c>
      <c r="BA1178" t="s">
        <v>1456</v>
      </c>
      <c r="BB1178" t="str">
        <f t="shared" si="18"/>
        <v>IHVNfcAbujaMunicipalAreaCouncil</v>
      </c>
    </row>
    <row r="1179" spans="48:54" x14ac:dyDescent="0.25">
      <c r="AV1179" t="s">
        <v>2127</v>
      </c>
      <c r="AW1179" t="s">
        <v>1475</v>
      </c>
      <c r="AX1179" t="s">
        <v>1942</v>
      </c>
      <c r="AY1179" t="s">
        <v>4456</v>
      </c>
      <c r="AZ1179" t="s">
        <v>4457</v>
      </c>
      <c r="BA1179" t="s">
        <v>1456</v>
      </c>
      <c r="BB1179" t="str">
        <f t="shared" si="18"/>
        <v>IHVNfcAbujaMunicipalAreaCouncil</v>
      </c>
    </row>
    <row r="1180" spans="48:54" x14ac:dyDescent="0.25">
      <c r="AV1180" t="s">
        <v>2127</v>
      </c>
      <c r="AW1180" t="s">
        <v>1475</v>
      </c>
      <c r="AX1180" t="s">
        <v>1942</v>
      </c>
      <c r="AY1180" t="s">
        <v>4458</v>
      </c>
      <c r="AZ1180" t="s">
        <v>4459</v>
      </c>
      <c r="BA1180" t="s">
        <v>1456</v>
      </c>
      <c r="BB1180" t="str">
        <f t="shared" si="18"/>
        <v>IHVNfcAbujaMunicipalAreaCouncil</v>
      </c>
    </row>
    <row r="1181" spans="48:54" x14ac:dyDescent="0.25">
      <c r="AV1181" t="s">
        <v>2127</v>
      </c>
      <c r="AW1181" t="s">
        <v>1475</v>
      </c>
      <c r="AX1181" t="s">
        <v>1942</v>
      </c>
      <c r="AY1181" t="s">
        <v>4460</v>
      </c>
      <c r="AZ1181" t="s">
        <v>4461</v>
      </c>
      <c r="BA1181" t="s">
        <v>1456</v>
      </c>
      <c r="BB1181" t="str">
        <f t="shared" si="18"/>
        <v>IHVNfcAbujaMunicipalAreaCouncil</v>
      </c>
    </row>
    <row r="1182" spans="48:54" x14ac:dyDescent="0.25">
      <c r="AV1182" t="s">
        <v>2127</v>
      </c>
      <c r="AW1182" t="s">
        <v>1475</v>
      </c>
      <c r="AX1182" t="s">
        <v>1942</v>
      </c>
      <c r="AY1182" t="s">
        <v>4462</v>
      </c>
      <c r="AZ1182" t="s">
        <v>4463</v>
      </c>
      <c r="BA1182" t="s">
        <v>1456</v>
      </c>
      <c r="BB1182" t="str">
        <f t="shared" si="18"/>
        <v>IHVNfcAbujaMunicipalAreaCouncil</v>
      </c>
    </row>
    <row r="1183" spans="48:54" x14ac:dyDescent="0.25">
      <c r="AV1183" t="s">
        <v>2127</v>
      </c>
      <c r="AW1183" t="s">
        <v>1475</v>
      </c>
      <c r="AX1183" t="s">
        <v>1942</v>
      </c>
      <c r="AY1183" t="s">
        <v>4464</v>
      </c>
      <c r="AZ1183" t="s">
        <v>4465</v>
      </c>
      <c r="BA1183" t="s">
        <v>1456</v>
      </c>
      <c r="BB1183" t="str">
        <f t="shared" si="18"/>
        <v>IHVNfcAbujaMunicipalAreaCouncil</v>
      </c>
    </row>
    <row r="1184" spans="48:54" x14ac:dyDescent="0.25">
      <c r="AV1184" t="s">
        <v>2127</v>
      </c>
      <c r="AW1184" t="s">
        <v>1475</v>
      </c>
      <c r="AX1184" t="s">
        <v>1942</v>
      </c>
      <c r="AY1184" t="s">
        <v>4466</v>
      </c>
      <c r="AZ1184" t="s">
        <v>4467</v>
      </c>
      <c r="BA1184" t="s">
        <v>1456</v>
      </c>
      <c r="BB1184" t="str">
        <f t="shared" si="18"/>
        <v>IHVNfcAbujaMunicipalAreaCouncil</v>
      </c>
    </row>
    <row r="1185" spans="48:54" x14ac:dyDescent="0.25">
      <c r="AV1185" t="s">
        <v>2127</v>
      </c>
      <c r="AW1185" t="s">
        <v>1475</v>
      </c>
      <c r="AX1185" t="s">
        <v>1942</v>
      </c>
      <c r="AY1185" t="s">
        <v>4468</v>
      </c>
      <c r="AZ1185" t="s">
        <v>4469</v>
      </c>
      <c r="BA1185" t="s">
        <v>1456</v>
      </c>
      <c r="BB1185" t="str">
        <f t="shared" si="18"/>
        <v>IHVNfcAbujaMunicipalAreaCouncil</v>
      </c>
    </row>
    <row r="1186" spans="48:54" x14ac:dyDescent="0.25">
      <c r="AV1186" t="s">
        <v>2127</v>
      </c>
      <c r="AW1186" t="s">
        <v>1475</v>
      </c>
      <c r="AX1186" t="s">
        <v>1942</v>
      </c>
      <c r="AY1186" t="s">
        <v>4470</v>
      </c>
      <c r="AZ1186" t="s">
        <v>4471</v>
      </c>
      <c r="BA1186" t="s">
        <v>1456</v>
      </c>
      <c r="BB1186" t="str">
        <f t="shared" si="18"/>
        <v>IHVNfcAbujaMunicipalAreaCouncil</v>
      </c>
    </row>
    <row r="1187" spans="48:54" x14ac:dyDescent="0.25">
      <c r="AV1187" t="s">
        <v>2127</v>
      </c>
      <c r="AW1187" t="s">
        <v>1475</v>
      </c>
      <c r="AX1187" t="s">
        <v>1942</v>
      </c>
      <c r="AY1187" t="s">
        <v>4472</v>
      </c>
      <c r="AZ1187" t="s">
        <v>4473</v>
      </c>
      <c r="BA1187" t="s">
        <v>1456</v>
      </c>
      <c r="BB1187" t="str">
        <f t="shared" si="18"/>
        <v>IHVNfcAbujaMunicipalAreaCouncil</v>
      </c>
    </row>
    <row r="1188" spans="48:54" x14ac:dyDescent="0.25">
      <c r="AV1188" t="s">
        <v>2127</v>
      </c>
      <c r="AW1188" t="s">
        <v>1475</v>
      </c>
      <c r="AX1188" t="s">
        <v>1942</v>
      </c>
      <c r="AY1188" t="s">
        <v>4474</v>
      </c>
      <c r="AZ1188" t="s">
        <v>4475</v>
      </c>
      <c r="BA1188" t="s">
        <v>1456</v>
      </c>
      <c r="BB1188" t="str">
        <f t="shared" si="18"/>
        <v>IHVNfcAbujaMunicipalAreaCouncil</v>
      </c>
    </row>
    <row r="1189" spans="48:54" x14ac:dyDescent="0.25">
      <c r="AV1189" t="s">
        <v>2127</v>
      </c>
      <c r="AW1189" t="s">
        <v>1475</v>
      </c>
      <c r="AX1189" t="s">
        <v>1942</v>
      </c>
      <c r="AY1189" t="s">
        <v>4476</v>
      </c>
      <c r="AZ1189" t="s">
        <v>4477</v>
      </c>
      <c r="BA1189" t="s">
        <v>1456</v>
      </c>
      <c r="BB1189" t="str">
        <f t="shared" si="18"/>
        <v>IHVNfcAbujaMunicipalAreaCouncil</v>
      </c>
    </row>
    <row r="1190" spans="48:54" x14ac:dyDescent="0.25">
      <c r="AV1190" t="s">
        <v>2127</v>
      </c>
      <c r="AW1190" t="s">
        <v>1475</v>
      </c>
      <c r="AX1190" t="s">
        <v>1942</v>
      </c>
      <c r="AY1190" t="s">
        <v>4478</v>
      </c>
      <c r="AZ1190" t="s">
        <v>4479</v>
      </c>
      <c r="BA1190" t="s">
        <v>1456</v>
      </c>
      <c r="BB1190" t="str">
        <f t="shared" si="18"/>
        <v>IHVNfcAbujaMunicipalAreaCouncil</v>
      </c>
    </row>
    <row r="1191" spans="48:54" x14ac:dyDescent="0.25">
      <c r="AV1191" t="s">
        <v>2127</v>
      </c>
      <c r="AW1191" t="s">
        <v>1475</v>
      </c>
      <c r="AX1191" t="s">
        <v>1942</v>
      </c>
      <c r="AY1191" t="s">
        <v>4480</v>
      </c>
      <c r="AZ1191" t="s">
        <v>4481</v>
      </c>
      <c r="BA1191" t="s">
        <v>1456</v>
      </c>
      <c r="BB1191" t="str">
        <f t="shared" si="18"/>
        <v>IHVNfcAbujaMunicipalAreaCouncil</v>
      </c>
    </row>
    <row r="1192" spans="48:54" x14ac:dyDescent="0.25">
      <c r="AV1192" t="s">
        <v>2127</v>
      </c>
      <c r="AW1192" t="s">
        <v>1475</v>
      </c>
      <c r="AX1192" t="s">
        <v>1942</v>
      </c>
      <c r="AY1192" t="s">
        <v>4482</v>
      </c>
      <c r="AZ1192" t="s">
        <v>4483</v>
      </c>
      <c r="BA1192" t="s">
        <v>1456</v>
      </c>
      <c r="BB1192" t="str">
        <f t="shared" si="18"/>
        <v>IHVNfcAbujaMunicipalAreaCouncil</v>
      </c>
    </row>
    <row r="1193" spans="48:54" x14ac:dyDescent="0.25">
      <c r="AV1193" t="s">
        <v>2127</v>
      </c>
      <c r="AW1193" t="s">
        <v>1475</v>
      </c>
      <c r="AX1193" t="s">
        <v>1942</v>
      </c>
      <c r="AY1193" t="s">
        <v>4484</v>
      </c>
      <c r="AZ1193" t="s">
        <v>4485</v>
      </c>
      <c r="BA1193" t="s">
        <v>1456</v>
      </c>
      <c r="BB1193" t="str">
        <f t="shared" si="18"/>
        <v>IHVNfcAbujaMunicipalAreaCouncil</v>
      </c>
    </row>
    <row r="1194" spans="48:54" x14ac:dyDescent="0.25">
      <c r="AV1194" t="s">
        <v>2127</v>
      </c>
      <c r="AW1194" t="s">
        <v>1475</v>
      </c>
      <c r="AX1194" t="s">
        <v>1942</v>
      </c>
      <c r="AY1194" t="s">
        <v>4486</v>
      </c>
      <c r="AZ1194" t="s">
        <v>4487</v>
      </c>
      <c r="BA1194" t="s">
        <v>1456</v>
      </c>
      <c r="BB1194" t="str">
        <f t="shared" si="18"/>
        <v>IHVNfcAbujaMunicipalAreaCouncil</v>
      </c>
    </row>
    <row r="1195" spans="48:54" x14ac:dyDescent="0.25">
      <c r="AV1195" t="s">
        <v>2127</v>
      </c>
      <c r="AW1195" t="s">
        <v>1475</v>
      </c>
      <c r="AX1195" t="s">
        <v>1942</v>
      </c>
      <c r="AY1195" t="s">
        <v>4488</v>
      </c>
      <c r="AZ1195" t="s">
        <v>4489</v>
      </c>
      <c r="BA1195" t="s">
        <v>1456</v>
      </c>
      <c r="BB1195" t="str">
        <f t="shared" si="18"/>
        <v>IHVNfcAbujaMunicipalAreaCouncil</v>
      </c>
    </row>
    <row r="1196" spans="48:54" x14ac:dyDescent="0.25">
      <c r="AV1196" t="s">
        <v>2127</v>
      </c>
      <c r="AW1196" t="s">
        <v>1475</v>
      </c>
      <c r="AX1196" t="s">
        <v>1942</v>
      </c>
      <c r="AY1196" t="s">
        <v>4490</v>
      </c>
      <c r="AZ1196" t="s">
        <v>4491</v>
      </c>
      <c r="BA1196" t="s">
        <v>1456</v>
      </c>
      <c r="BB1196" t="str">
        <f t="shared" si="18"/>
        <v>IHVNfcAbujaMunicipalAreaCouncil</v>
      </c>
    </row>
    <row r="1197" spans="48:54" x14ac:dyDescent="0.25">
      <c r="AV1197" t="s">
        <v>2127</v>
      </c>
      <c r="AW1197" t="s">
        <v>1475</v>
      </c>
      <c r="AX1197" t="s">
        <v>1942</v>
      </c>
      <c r="AY1197" t="s">
        <v>4492</v>
      </c>
      <c r="AZ1197" t="s">
        <v>4493</v>
      </c>
      <c r="BA1197" t="s">
        <v>1456</v>
      </c>
      <c r="BB1197" t="str">
        <f t="shared" si="18"/>
        <v>IHVNfcAbujaMunicipalAreaCouncil</v>
      </c>
    </row>
    <row r="1198" spans="48:54" x14ac:dyDescent="0.25">
      <c r="AV1198" t="s">
        <v>2127</v>
      </c>
      <c r="AW1198" t="s">
        <v>1475</v>
      </c>
      <c r="AX1198" t="s">
        <v>1942</v>
      </c>
      <c r="AY1198" t="s">
        <v>4494</v>
      </c>
      <c r="AZ1198" t="s">
        <v>4495</v>
      </c>
      <c r="BA1198" t="s">
        <v>1456</v>
      </c>
      <c r="BB1198" t="str">
        <f t="shared" si="18"/>
        <v>IHVNfcAbujaMunicipalAreaCouncil</v>
      </c>
    </row>
    <row r="1199" spans="48:54" x14ac:dyDescent="0.25">
      <c r="AV1199" t="s">
        <v>2127</v>
      </c>
      <c r="AW1199" t="s">
        <v>1475</v>
      </c>
      <c r="AX1199" t="s">
        <v>1942</v>
      </c>
      <c r="AY1199" t="s">
        <v>4496</v>
      </c>
      <c r="AZ1199" t="s">
        <v>4497</v>
      </c>
      <c r="BA1199" t="s">
        <v>1456</v>
      </c>
      <c r="BB1199" t="str">
        <f t="shared" si="18"/>
        <v>IHVNfcAbujaMunicipalAreaCouncil</v>
      </c>
    </row>
    <row r="1200" spans="48:54" x14ac:dyDescent="0.25">
      <c r="AV1200" t="s">
        <v>2127</v>
      </c>
      <c r="AW1200" t="s">
        <v>1475</v>
      </c>
      <c r="AX1200" t="s">
        <v>1942</v>
      </c>
      <c r="AY1200" t="s">
        <v>4498</v>
      </c>
      <c r="AZ1200" t="s">
        <v>4499</v>
      </c>
      <c r="BA1200" t="s">
        <v>1456</v>
      </c>
      <c r="BB1200" t="str">
        <f t="shared" si="18"/>
        <v>IHVNfcAbujaMunicipalAreaCouncil</v>
      </c>
    </row>
    <row r="1201" spans="48:54" x14ac:dyDescent="0.25">
      <c r="AV1201" t="s">
        <v>2127</v>
      </c>
      <c r="AW1201" t="s">
        <v>1475</v>
      </c>
      <c r="AX1201" t="s">
        <v>1942</v>
      </c>
      <c r="AY1201" t="s">
        <v>4500</v>
      </c>
      <c r="AZ1201" t="s">
        <v>4501</v>
      </c>
      <c r="BA1201" t="s">
        <v>1456</v>
      </c>
      <c r="BB1201" t="str">
        <f t="shared" si="18"/>
        <v>IHVNfcAbujaMunicipalAreaCouncil</v>
      </c>
    </row>
    <row r="1202" spans="48:54" x14ac:dyDescent="0.25">
      <c r="AV1202" t="s">
        <v>2127</v>
      </c>
      <c r="AW1202" t="s">
        <v>1475</v>
      </c>
      <c r="AX1202" t="s">
        <v>1942</v>
      </c>
      <c r="AY1202" t="s">
        <v>4502</v>
      </c>
      <c r="AZ1202" t="s">
        <v>4503</v>
      </c>
      <c r="BA1202" t="s">
        <v>1456</v>
      </c>
      <c r="BB1202" t="str">
        <f t="shared" si="18"/>
        <v>IHVNfcAbujaMunicipalAreaCouncil</v>
      </c>
    </row>
    <row r="1203" spans="48:54" x14ac:dyDescent="0.25">
      <c r="AV1203" t="s">
        <v>2127</v>
      </c>
      <c r="AW1203" t="s">
        <v>1475</v>
      </c>
      <c r="AX1203" t="s">
        <v>1942</v>
      </c>
      <c r="AY1203" t="s">
        <v>4504</v>
      </c>
      <c r="AZ1203" t="s">
        <v>4505</v>
      </c>
      <c r="BA1203" t="s">
        <v>1456</v>
      </c>
      <c r="BB1203" t="str">
        <f t="shared" si="18"/>
        <v>IHVNfcAbujaMunicipalAreaCouncil</v>
      </c>
    </row>
    <row r="1204" spans="48:54" x14ac:dyDescent="0.25">
      <c r="AV1204" t="s">
        <v>2127</v>
      </c>
      <c r="AW1204" t="s">
        <v>1475</v>
      </c>
      <c r="AX1204" t="s">
        <v>1942</v>
      </c>
      <c r="AY1204" t="s">
        <v>4506</v>
      </c>
      <c r="AZ1204" t="s">
        <v>4507</v>
      </c>
      <c r="BA1204" t="s">
        <v>1456</v>
      </c>
      <c r="BB1204" t="str">
        <f t="shared" si="18"/>
        <v>IHVNfcAbujaMunicipalAreaCouncil</v>
      </c>
    </row>
    <row r="1205" spans="48:54" x14ac:dyDescent="0.25">
      <c r="AV1205" t="s">
        <v>2127</v>
      </c>
      <c r="AW1205" t="s">
        <v>1475</v>
      </c>
      <c r="AX1205" t="s">
        <v>1942</v>
      </c>
      <c r="AY1205" t="s">
        <v>4508</v>
      </c>
      <c r="AZ1205" t="s">
        <v>4509</v>
      </c>
      <c r="BA1205" t="s">
        <v>1456</v>
      </c>
      <c r="BB1205" t="str">
        <f t="shared" si="18"/>
        <v>IHVNfcAbujaMunicipalAreaCouncil</v>
      </c>
    </row>
    <row r="1206" spans="48:54" x14ac:dyDescent="0.25">
      <c r="AV1206" t="s">
        <v>2127</v>
      </c>
      <c r="AW1206" t="s">
        <v>1475</v>
      </c>
      <c r="AX1206" t="s">
        <v>1942</v>
      </c>
      <c r="AY1206" t="s">
        <v>4510</v>
      </c>
      <c r="AZ1206" t="s">
        <v>4511</v>
      </c>
      <c r="BA1206" t="s">
        <v>1456</v>
      </c>
      <c r="BB1206" t="str">
        <f t="shared" si="18"/>
        <v>IHVNfcAbujaMunicipalAreaCouncil</v>
      </c>
    </row>
    <row r="1207" spans="48:54" x14ac:dyDescent="0.25">
      <c r="AV1207" t="s">
        <v>2127</v>
      </c>
      <c r="AW1207" t="s">
        <v>1475</v>
      </c>
      <c r="AX1207" t="s">
        <v>1942</v>
      </c>
      <c r="AY1207" t="s">
        <v>4512</v>
      </c>
      <c r="AZ1207" t="s">
        <v>4513</v>
      </c>
      <c r="BA1207" t="s">
        <v>1456</v>
      </c>
      <c r="BB1207" t="str">
        <f t="shared" si="18"/>
        <v>IHVNfcAbujaMunicipalAreaCouncil</v>
      </c>
    </row>
    <row r="1208" spans="48:54" x14ac:dyDescent="0.25">
      <c r="AV1208" t="s">
        <v>2127</v>
      </c>
      <c r="AW1208" t="s">
        <v>1475</v>
      </c>
      <c r="AX1208" t="s">
        <v>1942</v>
      </c>
      <c r="AY1208" t="s">
        <v>4514</v>
      </c>
      <c r="AZ1208" t="s">
        <v>4515</v>
      </c>
      <c r="BA1208" t="s">
        <v>1456</v>
      </c>
      <c r="BB1208" t="str">
        <f t="shared" si="18"/>
        <v>IHVNfcAbujaMunicipalAreaCouncil</v>
      </c>
    </row>
    <row r="1209" spans="48:54" x14ac:dyDescent="0.25">
      <c r="AV1209" t="s">
        <v>2127</v>
      </c>
      <c r="AW1209" t="s">
        <v>1475</v>
      </c>
      <c r="AX1209" t="s">
        <v>1942</v>
      </c>
      <c r="AY1209" t="s">
        <v>4516</v>
      </c>
      <c r="AZ1209" t="s">
        <v>4517</v>
      </c>
      <c r="BA1209" t="s">
        <v>1456</v>
      </c>
      <c r="BB1209" t="str">
        <f t="shared" si="18"/>
        <v>IHVNfcAbujaMunicipalAreaCouncil</v>
      </c>
    </row>
    <row r="1210" spans="48:54" x14ac:dyDescent="0.25">
      <c r="AV1210" t="s">
        <v>2127</v>
      </c>
      <c r="AW1210" t="s">
        <v>1475</v>
      </c>
      <c r="AX1210" t="s">
        <v>1942</v>
      </c>
      <c r="AY1210" t="s">
        <v>4518</v>
      </c>
      <c r="AZ1210" t="s">
        <v>4519</v>
      </c>
      <c r="BA1210" t="s">
        <v>1456</v>
      </c>
      <c r="BB1210" t="str">
        <f t="shared" si="18"/>
        <v>IHVNfcAbujaMunicipalAreaCouncil</v>
      </c>
    </row>
    <row r="1211" spans="48:54" x14ac:dyDescent="0.25">
      <c r="AV1211" t="s">
        <v>2127</v>
      </c>
      <c r="AW1211" t="s">
        <v>1475</v>
      </c>
      <c r="AX1211" t="s">
        <v>1942</v>
      </c>
      <c r="AY1211" t="s">
        <v>4520</v>
      </c>
      <c r="AZ1211" t="s">
        <v>4521</v>
      </c>
      <c r="BA1211" t="s">
        <v>1456</v>
      </c>
      <c r="BB1211" t="str">
        <f t="shared" si="18"/>
        <v>IHVNfcAbujaMunicipalAreaCouncil</v>
      </c>
    </row>
    <row r="1212" spans="48:54" x14ac:dyDescent="0.25">
      <c r="AV1212" t="s">
        <v>2127</v>
      </c>
      <c r="AW1212" t="s">
        <v>1475</v>
      </c>
      <c r="AX1212" t="s">
        <v>1942</v>
      </c>
      <c r="AY1212" t="s">
        <v>4522</v>
      </c>
      <c r="AZ1212" t="s">
        <v>4523</v>
      </c>
      <c r="BA1212" t="s">
        <v>1456</v>
      </c>
      <c r="BB1212" t="str">
        <f t="shared" si="18"/>
        <v>IHVNfcAbujaMunicipalAreaCouncil</v>
      </c>
    </row>
    <row r="1213" spans="48:54" x14ac:dyDescent="0.25">
      <c r="AV1213" t="s">
        <v>2127</v>
      </c>
      <c r="AW1213" t="s">
        <v>1475</v>
      </c>
      <c r="AX1213" t="s">
        <v>1942</v>
      </c>
      <c r="AY1213" t="s">
        <v>4524</v>
      </c>
      <c r="AZ1213" t="s">
        <v>4525</v>
      </c>
      <c r="BA1213" t="s">
        <v>1456</v>
      </c>
      <c r="BB1213" t="str">
        <f t="shared" si="18"/>
        <v>IHVNfcAbujaMunicipalAreaCouncil</v>
      </c>
    </row>
    <row r="1214" spans="48:54" x14ac:dyDescent="0.25">
      <c r="AV1214" t="s">
        <v>2127</v>
      </c>
      <c r="AW1214" t="s">
        <v>1475</v>
      </c>
      <c r="AX1214" t="s">
        <v>1942</v>
      </c>
      <c r="AY1214" t="s">
        <v>4526</v>
      </c>
      <c r="AZ1214" t="s">
        <v>4527</v>
      </c>
      <c r="BA1214" t="s">
        <v>1456</v>
      </c>
      <c r="BB1214" t="str">
        <f t="shared" si="18"/>
        <v>IHVNfcAbujaMunicipalAreaCouncil</v>
      </c>
    </row>
    <row r="1215" spans="48:54" x14ac:dyDescent="0.25">
      <c r="AV1215" t="s">
        <v>2127</v>
      </c>
      <c r="AW1215" t="s">
        <v>1475</v>
      </c>
      <c r="AX1215" t="s">
        <v>1942</v>
      </c>
      <c r="AY1215" t="s">
        <v>4528</v>
      </c>
      <c r="AZ1215" t="s">
        <v>4529</v>
      </c>
      <c r="BA1215" t="s">
        <v>1456</v>
      </c>
      <c r="BB1215" t="str">
        <f t="shared" si="18"/>
        <v>IHVNfcAbujaMunicipalAreaCouncil</v>
      </c>
    </row>
    <row r="1216" spans="48:54" x14ac:dyDescent="0.25">
      <c r="AV1216" t="s">
        <v>2127</v>
      </c>
      <c r="AW1216" t="s">
        <v>1475</v>
      </c>
      <c r="AX1216" t="s">
        <v>1942</v>
      </c>
      <c r="AY1216" t="s">
        <v>4530</v>
      </c>
      <c r="AZ1216" t="s">
        <v>4531</v>
      </c>
      <c r="BA1216" t="s">
        <v>1456</v>
      </c>
      <c r="BB1216" t="str">
        <f t="shared" si="18"/>
        <v>IHVNfcAbujaMunicipalAreaCouncil</v>
      </c>
    </row>
    <row r="1217" spans="48:54" x14ac:dyDescent="0.25">
      <c r="AV1217" t="s">
        <v>2127</v>
      </c>
      <c r="AW1217" t="s">
        <v>1475</v>
      </c>
      <c r="AX1217" t="s">
        <v>1942</v>
      </c>
      <c r="AY1217" t="s">
        <v>4532</v>
      </c>
      <c r="AZ1217" t="s">
        <v>4533</v>
      </c>
      <c r="BA1217" t="s">
        <v>1456</v>
      </c>
      <c r="BB1217" t="str">
        <f t="shared" si="18"/>
        <v>IHVNfcAbujaMunicipalAreaCouncil</v>
      </c>
    </row>
    <row r="1218" spans="48:54" x14ac:dyDescent="0.25">
      <c r="AV1218" t="s">
        <v>2127</v>
      </c>
      <c r="AW1218" t="s">
        <v>1475</v>
      </c>
      <c r="AX1218" t="s">
        <v>1942</v>
      </c>
      <c r="AY1218" t="s">
        <v>4534</v>
      </c>
      <c r="AZ1218" t="s">
        <v>4535</v>
      </c>
      <c r="BA1218" t="s">
        <v>1456</v>
      </c>
      <c r="BB1218" t="str">
        <f t="shared" si="18"/>
        <v>IHVNfcAbujaMunicipalAreaCouncil</v>
      </c>
    </row>
    <row r="1219" spans="48:54" x14ac:dyDescent="0.25">
      <c r="AV1219" t="s">
        <v>2127</v>
      </c>
      <c r="AW1219" t="s">
        <v>1475</v>
      </c>
      <c r="AX1219" t="s">
        <v>1942</v>
      </c>
      <c r="AY1219" t="s">
        <v>4536</v>
      </c>
      <c r="AZ1219" t="s">
        <v>4537</v>
      </c>
      <c r="BA1219" t="s">
        <v>1456</v>
      </c>
      <c r="BB1219" t="str">
        <f t="shared" ref="BB1219:BB1282" si="19">SUBSTITUTE(SUBSTITUTE(BA1219&amp;AX1219," ",""),"-","")</f>
        <v>IHVNfcAbujaMunicipalAreaCouncil</v>
      </c>
    </row>
    <row r="1220" spans="48:54" x14ac:dyDescent="0.25">
      <c r="AV1220" t="s">
        <v>2127</v>
      </c>
      <c r="AW1220" t="s">
        <v>1475</v>
      </c>
      <c r="AX1220" t="s">
        <v>1942</v>
      </c>
      <c r="AY1220" t="s">
        <v>4538</v>
      </c>
      <c r="AZ1220" t="s">
        <v>4539</v>
      </c>
      <c r="BA1220" t="s">
        <v>1456</v>
      </c>
      <c r="BB1220" t="str">
        <f t="shared" si="19"/>
        <v>IHVNfcAbujaMunicipalAreaCouncil</v>
      </c>
    </row>
    <row r="1221" spans="48:54" x14ac:dyDescent="0.25">
      <c r="AV1221" t="s">
        <v>2127</v>
      </c>
      <c r="AW1221" t="s">
        <v>1475</v>
      </c>
      <c r="AX1221" t="s">
        <v>1942</v>
      </c>
      <c r="AY1221" t="s">
        <v>4540</v>
      </c>
      <c r="AZ1221" t="s">
        <v>4541</v>
      </c>
      <c r="BA1221" t="s">
        <v>1456</v>
      </c>
      <c r="BB1221" t="str">
        <f t="shared" si="19"/>
        <v>IHVNfcAbujaMunicipalAreaCouncil</v>
      </c>
    </row>
    <row r="1222" spans="48:54" x14ac:dyDescent="0.25">
      <c r="AV1222" t="s">
        <v>2127</v>
      </c>
      <c r="AW1222" t="s">
        <v>1475</v>
      </c>
      <c r="AX1222" t="s">
        <v>1942</v>
      </c>
      <c r="AY1222" t="s">
        <v>4542</v>
      </c>
      <c r="AZ1222" t="s">
        <v>4543</v>
      </c>
      <c r="BA1222" t="s">
        <v>1456</v>
      </c>
      <c r="BB1222" t="str">
        <f t="shared" si="19"/>
        <v>IHVNfcAbujaMunicipalAreaCouncil</v>
      </c>
    </row>
    <row r="1223" spans="48:54" x14ac:dyDescent="0.25">
      <c r="AV1223" t="s">
        <v>2127</v>
      </c>
      <c r="AW1223" t="s">
        <v>1475</v>
      </c>
      <c r="AX1223" t="s">
        <v>1942</v>
      </c>
      <c r="AY1223" t="s">
        <v>4544</v>
      </c>
      <c r="AZ1223" t="s">
        <v>4545</v>
      </c>
      <c r="BA1223" t="s">
        <v>1456</v>
      </c>
      <c r="BB1223" t="str">
        <f t="shared" si="19"/>
        <v>IHVNfcAbujaMunicipalAreaCouncil</v>
      </c>
    </row>
    <row r="1224" spans="48:54" x14ac:dyDescent="0.25">
      <c r="AV1224" t="s">
        <v>2127</v>
      </c>
      <c r="AW1224" t="s">
        <v>1475</v>
      </c>
      <c r="AX1224" t="s">
        <v>1942</v>
      </c>
      <c r="AY1224" t="s">
        <v>4546</v>
      </c>
      <c r="AZ1224" t="s">
        <v>4547</v>
      </c>
      <c r="BA1224" t="s">
        <v>1456</v>
      </c>
      <c r="BB1224" t="str">
        <f t="shared" si="19"/>
        <v>IHVNfcAbujaMunicipalAreaCouncil</v>
      </c>
    </row>
    <row r="1225" spans="48:54" x14ac:dyDescent="0.25">
      <c r="AV1225" t="s">
        <v>2127</v>
      </c>
      <c r="AW1225" t="s">
        <v>1475</v>
      </c>
      <c r="AX1225" t="s">
        <v>1942</v>
      </c>
      <c r="AY1225" t="s">
        <v>4548</v>
      </c>
      <c r="AZ1225" t="s">
        <v>4549</v>
      </c>
      <c r="BA1225" t="s">
        <v>1456</v>
      </c>
      <c r="BB1225" t="str">
        <f t="shared" si="19"/>
        <v>IHVNfcAbujaMunicipalAreaCouncil</v>
      </c>
    </row>
    <row r="1226" spans="48:54" x14ac:dyDescent="0.25">
      <c r="AV1226" t="s">
        <v>2127</v>
      </c>
      <c r="AW1226" t="s">
        <v>1475</v>
      </c>
      <c r="AX1226" t="s">
        <v>1943</v>
      </c>
      <c r="AY1226" t="s">
        <v>4550</v>
      </c>
      <c r="AZ1226" t="s">
        <v>4551</v>
      </c>
      <c r="BA1226" t="s">
        <v>1456</v>
      </c>
      <c r="BB1226" t="str">
        <f t="shared" si="19"/>
        <v>IHVNfcBwari</v>
      </c>
    </row>
    <row r="1227" spans="48:54" x14ac:dyDescent="0.25">
      <c r="AV1227" t="s">
        <v>2127</v>
      </c>
      <c r="AW1227" t="s">
        <v>1475</v>
      </c>
      <c r="AX1227" t="s">
        <v>1943</v>
      </c>
      <c r="AY1227" t="s">
        <v>4552</v>
      </c>
      <c r="AZ1227" t="s">
        <v>4553</v>
      </c>
      <c r="BA1227" t="s">
        <v>1456</v>
      </c>
      <c r="BB1227" t="str">
        <f t="shared" si="19"/>
        <v>IHVNfcBwari</v>
      </c>
    </row>
    <row r="1228" spans="48:54" x14ac:dyDescent="0.25">
      <c r="AV1228" t="s">
        <v>2127</v>
      </c>
      <c r="AW1228" t="s">
        <v>1475</v>
      </c>
      <c r="AX1228" t="s">
        <v>1943</v>
      </c>
      <c r="AY1228" t="s">
        <v>4554</v>
      </c>
      <c r="AZ1228" t="s">
        <v>4555</v>
      </c>
      <c r="BA1228" t="s">
        <v>1456</v>
      </c>
      <c r="BB1228" t="str">
        <f t="shared" si="19"/>
        <v>IHVNfcBwari</v>
      </c>
    </row>
    <row r="1229" spans="48:54" x14ac:dyDescent="0.25">
      <c r="AV1229" t="s">
        <v>2127</v>
      </c>
      <c r="AW1229" t="s">
        <v>1475</v>
      </c>
      <c r="AX1229" t="s">
        <v>1943</v>
      </c>
      <c r="AY1229" t="s">
        <v>4556</v>
      </c>
      <c r="AZ1229" t="s">
        <v>4557</v>
      </c>
      <c r="BA1229" t="s">
        <v>1456</v>
      </c>
      <c r="BB1229" t="str">
        <f t="shared" si="19"/>
        <v>IHVNfcBwari</v>
      </c>
    </row>
    <row r="1230" spans="48:54" x14ac:dyDescent="0.25">
      <c r="AV1230" t="s">
        <v>2127</v>
      </c>
      <c r="AW1230" t="s">
        <v>1475</v>
      </c>
      <c r="AX1230" t="s">
        <v>1943</v>
      </c>
      <c r="AY1230" t="s">
        <v>4558</v>
      </c>
      <c r="AZ1230" t="s">
        <v>4559</v>
      </c>
      <c r="BA1230" t="s">
        <v>1456</v>
      </c>
      <c r="BB1230" t="str">
        <f t="shared" si="19"/>
        <v>IHVNfcBwari</v>
      </c>
    </row>
    <row r="1231" spans="48:54" x14ac:dyDescent="0.25">
      <c r="AV1231" t="s">
        <v>2127</v>
      </c>
      <c r="AW1231" t="s">
        <v>1475</v>
      </c>
      <c r="AX1231" t="s">
        <v>1943</v>
      </c>
      <c r="AY1231" t="s">
        <v>4560</v>
      </c>
      <c r="AZ1231" t="s">
        <v>4561</v>
      </c>
      <c r="BA1231" t="s">
        <v>1456</v>
      </c>
      <c r="BB1231" t="str">
        <f t="shared" si="19"/>
        <v>IHVNfcBwari</v>
      </c>
    </row>
    <row r="1232" spans="48:54" x14ac:dyDescent="0.25">
      <c r="AV1232" t="s">
        <v>2127</v>
      </c>
      <c r="AW1232" t="s">
        <v>1475</v>
      </c>
      <c r="AX1232" t="s">
        <v>1943</v>
      </c>
      <c r="AY1232" t="s">
        <v>4562</v>
      </c>
      <c r="AZ1232" t="s">
        <v>4563</v>
      </c>
      <c r="BA1232" t="s">
        <v>1456</v>
      </c>
      <c r="BB1232" t="str">
        <f t="shared" si="19"/>
        <v>IHVNfcBwari</v>
      </c>
    </row>
    <row r="1233" spans="48:54" x14ac:dyDescent="0.25">
      <c r="AV1233" t="s">
        <v>2127</v>
      </c>
      <c r="AW1233" t="s">
        <v>1475</v>
      </c>
      <c r="AX1233" t="s">
        <v>1943</v>
      </c>
      <c r="AY1233" t="s">
        <v>4564</v>
      </c>
      <c r="AZ1233" t="s">
        <v>4565</v>
      </c>
      <c r="BA1233" t="s">
        <v>1456</v>
      </c>
      <c r="BB1233" t="str">
        <f t="shared" si="19"/>
        <v>IHVNfcBwari</v>
      </c>
    </row>
    <row r="1234" spans="48:54" x14ac:dyDescent="0.25">
      <c r="AV1234" t="s">
        <v>2127</v>
      </c>
      <c r="AW1234" t="s">
        <v>1475</v>
      </c>
      <c r="AX1234" t="s">
        <v>1943</v>
      </c>
      <c r="AY1234" t="s">
        <v>4566</v>
      </c>
      <c r="AZ1234" t="s">
        <v>4567</v>
      </c>
      <c r="BA1234" t="s">
        <v>1456</v>
      </c>
      <c r="BB1234" t="str">
        <f t="shared" si="19"/>
        <v>IHVNfcBwari</v>
      </c>
    </row>
    <row r="1235" spans="48:54" x14ac:dyDescent="0.25">
      <c r="AV1235" t="s">
        <v>2127</v>
      </c>
      <c r="AW1235" t="s">
        <v>1475</v>
      </c>
      <c r="AX1235" t="s">
        <v>1943</v>
      </c>
      <c r="AY1235" t="s">
        <v>4568</v>
      </c>
      <c r="AZ1235" t="s">
        <v>4569</v>
      </c>
      <c r="BA1235" t="s">
        <v>1456</v>
      </c>
      <c r="BB1235" t="str">
        <f t="shared" si="19"/>
        <v>IHVNfcBwari</v>
      </c>
    </row>
    <row r="1236" spans="48:54" x14ac:dyDescent="0.25">
      <c r="AV1236" t="s">
        <v>2127</v>
      </c>
      <c r="AW1236" t="s">
        <v>1475</v>
      </c>
      <c r="AX1236" t="s">
        <v>1943</v>
      </c>
      <c r="AY1236" t="s">
        <v>4570</v>
      </c>
      <c r="AZ1236" t="s">
        <v>4571</v>
      </c>
      <c r="BA1236" t="s">
        <v>1456</v>
      </c>
      <c r="BB1236" t="str">
        <f t="shared" si="19"/>
        <v>IHVNfcBwari</v>
      </c>
    </row>
    <row r="1237" spans="48:54" x14ac:dyDescent="0.25">
      <c r="AV1237" t="s">
        <v>2127</v>
      </c>
      <c r="AW1237" t="s">
        <v>1475</v>
      </c>
      <c r="AX1237" t="s">
        <v>1943</v>
      </c>
      <c r="AY1237" t="s">
        <v>4572</v>
      </c>
      <c r="AZ1237" t="s">
        <v>4573</v>
      </c>
      <c r="BA1237" t="s">
        <v>1456</v>
      </c>
      <c r="BB1237" t="str">
        <f t="shared" si="19"/>
        <v>IHVNfcBwari</v>
      </c>
    </row>
    <row r="1238" spans="48:54" x14ac:dyDescent="0.25">
      <c r="AV1238" t="s">
        <v>2127</v>
      </c>
      <c r="AW1238" t="s">
        <v>1475</v>
      </c>
      <c r="AX1238" t="s">
        <v>1943</v>
      </c>
      <c r="AY1238" t="s">
        <v>4574</v>
      </c>
      <c r="AZ1238" t="s">
        <v>4575</v>
      </c>
      <c r="BA1238" t="s">
        <v>1456</v>
      </c>
      <c r="BB1238" t="str">
        <f t="shared" si="19"/>
        <v>IHVNfcBwari</v>
      </c>
    </row>
    <row r="1239" spans="48:54" x14ac:dyDescent="0.25">
      <c r="AV1239" t="s">
        <v>2127</v>
      </c>
      <c r="AW1239" t="s">
        <v>1475</v>
      </c>
      <c r="AX1239" t="s">
        <v>1943</v>
      </c>
      <c r="AY1239" t="s">
        <v>4576</v>
      </c>
      <c r="AZ1239" t="s">
        <v>4577</v>
      </c>
      <c r="BA1239" t="s">
        <v>1456</v>
      </c>
      <c r="BB1239" t="str">
        <f t="shared" si="19"/>
        <v>IHVNfcBwari</v>
      </c>
    </row>
    <row r="1240" spans="48:54" x14ac:dyDescent="0.25">
      <c r="AV1240" t="s">
        <v>2127</v>
      </c>
      <c r="AW1240" t="s">
        <v>1475</v>
      </c>
      <c r="AX1240" t="s">
        <v>1943</v>
      </c>
      <c r="AY1240" t="s">
        <v>4578</v>
      </c>
      <c r="AZ1240" t="s">
        <v>4579</v>
      </c>
      <c r="BA1240" t="s">
        <v>1456</v>
      </c>
      <c r="BB1240" t="str">
        <f t="shared" si="19"/>
        <v>IHVNfcBwari</v>
      </c>
    </row>
    <row r="1241" spans="48:54" x14ac:dyDescent="0.25">
      <c r="AV1241" t="s">
        <v>2127</v>
      </c>
      <c r="AW1241" t="s">
        <v>1475</v>
      </c>
      <c r="AX1241" t="s">
        <v>1943</v>
      </c>
      <c r="AY1241" t="s">
        <v>4580</v>
      </c>
      <c r="AZ1241" t="s">
        <v>4581</v>
      </c>
      <c r="BA1241" t="s">
        <v>1456</v>
      </c>
      <c r="BB1241" t="str">
        <f t="shared" si="19"/>
        <v>IHVNfcBwari</v>
      </c>
    </row>
    <row r="1242" spans="48:54" x14ac:dyDescent="0.25">
      <c r="AV1242" t="s">
        <v>2127</v>
      </c>
      <c r="AW1242" t="s">
        <v>1475</v>
      </c>
      <c r="AX1242" t="s">
        <v>1943</v>
      </c>
      <c r="AY1242" t="s">
        <v>4582</v>
      </c>
      <c r="AZ1242" t="s">
        <v>4583</v>
      </c>
      <c r="BA1242" t="s">
        <v>1456</v>
      </c>
      <c r="BB1242" t="str">
        <f t="shared" si="19"/>
        <v>IHVNfcBwari</v>
      </c>
    </row>
    <row r="1243" spans="48:54" x14ac:dyDescent="0.25">
      <c r="AV1243" t="s">
        <v>2127</v>
      </c>
      <c r="AW1243" t="s">
        <v>1475</v>
      </c>
      <c r="AX1243" t="s">
        <v>1943</v>
      </c>
      <c r="AY1243" t="s">
        <v>4584</v>
      </c>
      <c r="AZ1243" t="s">
        <v>4585</v>
      </c>
      <c r="BA1243" t="s">
        <v>1456</v>
      </c>
      <c r="BB1243" t="str">
        <f t="shared" si="19"/>
        <v>IHVNfcBwari</v>
      </c>
    </row>
    <row r="1244" spans="48:54" x14ac:dyDescent="0.25">
      <c r="AV1244" t="s">
        <v>2127</v>
      </c>
      <c r="AW1244" t="s">
        <v>1475</v>
      </c>
      <c r="AX1244" t="s">
        <v>1943</v>
      </c>
      <c r="AY1244" t="s">
        <v>4586</v>
      </c>
      <c r="AZ1244" t="s">
        <v>4587</v>
      </c>
      <c r="BA1244" t="s">
        <v>1456</v>
      </c>
      <c r="BB1244" t="str">
        <f t="shared" si="19"/>
        <v>IHVNfcBwari</v>
      </c>
    </row>
    <row r="1245" spans="48:54" x14ac:dyDescent="0.25">
      <c r="AV1245" t="s">
        <v>2127</v>
      </c>
      <c r="AW1245" t="s">
        <v>1475</v>
      </c>
      <c r="AX1245" t="s">
        <v>1943</v>
      </c>
      <c r="AY1245" t="s">
        <v>4588</v>
      </c>
      <c r="AZ1245" t="s">
        <v>4589</v>
      </c>
      <c r="BA1245" t="s">
        <v>1456</v>
      </c>
      <c r="BB1245" t="str">
        <f t="shared" si="19"/>
        <v>IHVNfcBwari</v>
      </c>
    </row>
    <row r="1246" spans="48:54" x14ac:dyDescent="0.25">
      <c r="AV1246" t="s">
        <v>2127</v>
      </c>
      <c r="AW1246" t="s">
        <v>1475</v>
      </c>
      <c r="AX1246" t="s">
        <v>1943</v>
      </c>
      <c r="AY1246" t="s">
        <v>4590</v>
      </c>
      <c r="AZ1246" t="s">
        <v>4591</v>
      </c>
      <c r="BA1246" t="s">
        <v>1456</v>
      </c>
      <c r="BB1246" t="str">
        <f t="shared" si="19"/>
        <v>IHVNfcBwari</v>
      </c>
    </row>
    <row r="1247" spans="48:54" x14ac:dyDescent="0.25">
      <c r="AV1247" t="s">
        <v>2127</v>
      </c>
      <c r="AW1247" t="s">
        <v>1475</v>
      </c>
      <c r="AX1247" t="s">
        <v>1943</v>
      </c>
      <c r="AY1247" t="s">
        <v>4592</v>
      </c>
      <c r="AZ1247" t="s">
        <v>4593</v>
      </c>
      <c r="BA1247" t="s">
        <v>1456</v>
      </c>
      <c r="BB1247" t="str">
        <f t="shared" si="19"/>
        <v>IHVNfcBwari</v>
      </c>
    </row>
    <row r="1248" spans="48:54" x14ac:dyDescent="0.25">
      <c r="AV1248" t="s">
        <v>2127</v>
      </c>
      <c r="AW1248" t="s">
        <v>1475</v>
      </c>
      <c r="AX1248" t="s">
        <v>1943</v>
      </c>
      <c r="AY1248" t="s">
        <v>4594</v>
      </c>
      <c r="AZ1248" t="s">
        <v>4595</v>
      </c>
      <c r="BA1248" t="s">
        <v>1456</v>
      </c>
      <c r="BB1248" t="str">
        <f t="shared" si="19"/>
        <v>IHVNfcBwari</v>
      </c>
    </row>
    <row r="1249" spans="48:54" x14ac:dyDescent="0.25">
      <c r="AV1249" t="s">
        <v>2127</v>
      </c>
      <c r="AW1249" t="s">
        <v>1475</v>
      </c>
      <c r="AX1249" t="s">
        <v>1943</v>
      </c>
      <c r="AY1249" t="s">
        <v>4596</v>
      </c>
      <c r="AZ1249" t="s">
        <v>4597</v>
      </c>
      <c r="BA1249" t="s">
        <v>1456</v>
      </c>
      <c r="BB1249" t="str">
        <f t="shared" si="19"/>
        <v>IHVNfcBwari</v>
      </c>
    </row>
    <row r="1250" spans="48:54" x14ac:dyDescent="0.25">
      <c r="AV1250" t="s">
        <v>2127</v>
      </c>
      <c r="AW1250" t="s">
        <v>1475</v>
      </c>
      <c r="AX1250" t="s">
        <v>1943</v>
      </c>
      <c r="AY1250" t="s">
        <v>4598</v>
      </c>
      <c r="AZ1250" t="s">
        <v>4599</v>
      </c>
      <c r="BA1250" t="s">
        <v>1456</v>
      </c>
      <c r="BB1250" t="str">
        <f t="shared" si="19"/>
        <v>IHVNfcBwari</v>
      </c>
    </row>
    <row r="1251" spans="48:54" x14ac:dyDescent="0.25">
      <c r="AV1251" t="s">
        <v>2127</v>
      </c>
      <c r="AW1251" t="s">
        <v>1475</v>
      </c>
      <c r="AX1251" t="s">
        <v>1943</v>
      </c>
      <c r="AY1251" t="s">
        <v>4600</v>
      </c>
      <c r="AZ1251" t="s">
        <v>4601</v>
      </c>
      <c r="BA1251" t="s">
        <v>1456</v>
      </c>
      <c r="BB1251" t="str">
        <f t="shared" si="19"/>
        <v>IHVNfcBwari</v>
      </c>
    </row>
    <row r="1252" spans="48:54" x14ac:dyDescent="0.25">
      <c r="AV1252" t="s">
        <v>2127</v>
      </c>
      <c r="AW1252" t="s">
        <v>1475</v>
      </c>
      <c r="AX1252" t="s">
        <v>1943</v>
      </c>
      <c r="AY1252" t="s">
        <v>4602</v>
      </c>
      <c r="AZ1252" t="s">
        <v>4603</v>
      </c>
      <c r="BA1252" t="s">
        <v>1456</v>
      </c>
      <c r="BB1252" t="str">
        <f t="shared" si="19"/>
        <v>IHVNfcBwari</v>
      </c>
    </row>
    <row r="1253" spans="48:54" x14ac:dyDescent="0.25">
      <c r="AV1253" t="s">
        <v>2127</v>
      </c>
      <c r="AW1253" t="s">
        <v>1475</v>
      </c>
      <c r="AX1253" t="s">
        <v>1943</v>
      </c>
      <c r="AY1253" t="s">
        <v>4604</v>
      </c>
      <c r="AZ1253" t="s">
        <v>4605</v>
      </c>
      <c r="BA1253" t="s">
        <v>1456</v>
      </c>
      <c r="BB1253" t="str">
        <f t="shared" si="19"/>
        <v>IHVNfcBwari</v>
      </c>
    </row>
    <row r="1254" spans="48:54" x14ac:dyDescent="0.25">
      <c r="AV1254" t="s">
        <v>2127</v>
      </c>
      <c r="AW1254" t="s">
        <v>1475</v>
      </c>
      <c r="AX1254" t="s">
        <v>1943</v>
      </c>
      <c r="AY1254" t="s">
        <v>4606</v>
      </c>
      <c r="AZ1254" t="s">
        <v>4607</v>
      </c>
      <c r="BA1254" t="s">
        <v>1456</v>
      </c>
      <c r="BB1254" t="str">
        <f t="shared" si="19"/>
        <v>IHVNfcBwari</v>
      </c>
    </row>
    <row r="1255" spans="48:54" x14ac:dyDescent="0.25">
      <c r="AV1255" t="s">
        <v>2127</v>
      </c>
      <c r="AW1255" t="s">
        <v>1475</v>
      </c>
      <c r="AX1255" t="s">
        <v>1943</v>
      </c>
      <c r="AY1255" t="s">
        <v>4608</v>
      </c>
      <c r="AZ1255" t="s">
        <v>4609</v>
      </c>
      <c r="BA1255" t="s">
        <v>1456</v>
      </c>
      <c r="BB1255" t="str">
        <f t="shared" si="19"/>
        <v>IHVNfcBwari</v>
      </c>
    </row>
    <row r="1256" spans="48:54" x14ac:dyDescent="0.25">
      <c r="AV1256" t="s">
        <v>2127</v>
      </c>
      <c r="AW1256" t="s">
        <v>1475</v>
      </c>
      <c r="AX1256" t="s">
        <v>1943</v>
      </c>
      <c r="AY1256" t="s">
        <v>4610</v>
      </c>
      <c r="AZ1256" t="s">
        <v>4611</v>
      </c>
      <c r="BA1256" t="s">
        <v>1456</v>
      </c>
      <c r="BB1256" t="str">
        <f t="shared" si="19"/>
        <v>IHVNfcBwari</v>
      </c>
    </row>
    <row r="1257" spans="48:54" x14ac:dyDescent="0.25">
      <c r="AV1257" t="s">
        <v>2127</v>
      </c>
      <c r="AW1257" t="s">
        <v>1475</v>
      </c>
      <c r="AX1257" t="s">
        <v>1943</v>
      </c>
      <c r="AY1257" t="s">
        <v>4612</v>
      </c>
      <c r="AZ1257" t="s">
        <v>4613</v>
      </c>
      <c r="BA1257" t="s">
        <v>1456</v>
      </c>
      <c r="BB1257" t="str">
        <f t="shared" si="19"/>
        <v>IHVNfcBwari</v>
      </c>
    </row>
    <row r="1258" spans="48:54" x14ac:dyDescent="0.25">
      <c r="AV1258" t="s">
        <v>2127</v>
      </c>
      <c r="AW1258" t="s">
        <v>1475</v>
      </c>
      <c r="AX1258" t="s">
        <v>1943</v>
      </c>
      <c r="AY1258" t="s">
        <v>4614</v>
      </c>
      <c r="AZ1258" t="s">
        <v>4615</v>
      </c>
      <c r="BA1258" t="s">
        <v>1456</v>
      </c>
      <c r="BB1258" t="str">
        <f t="shared" si="19"/>
        <v>IHVNfcBwari</v>
      </c>
    </row>
    <row r="1259" spans="48:54" x14ac:dyDescent="0.25">
      <c r="AV1259" t="s">
        <v>2127</v>
      </c>
      <c r="AW1259" t="s">
        <v>1475</v>
      </c>
      <c r="AX1259" t="s">
        <v>1943</v>
      </c>
      <c r="AY1259" t="s">
        <v>4616</v>
      </c>
      <c r="AZ1259" t="s">
        <v>4617</v>
      </c>
      <c r="BA1259" t="s">
        <v>1456</v>
      </c>
      <c r="BB1259" t="str">
        <f t="shared" si="19"/>
        <v>IHVNfcBwari</v>
      </c>
    </row>
    <row r="1260" spans="48:54" x14ac:dyDescent="0.25">
      <c r="AV1260" t="s">
        <v>2127</v>
      </c>
      <c r="AW1260" t="s">
        <v>1475</v>
      </c>
      <c r="AX1260" t="s">
        <v>1943</v>
      </c>
      <c r="AY1260" t="s">
        <v>4618</v>
      </c>
      <c r="AZ1260" t="s">
        <v>4619</v>
      </c>
      <c r="BA1260" t="s">
        <v>1456</v>
      </c>
      <c r="BB1260" t="str">
        <f t="shared" si="19"/>
        <v>IHVNfcBwari</v>
      </c>
    </row>
    <row r="1261" spans="48:54" x14ac:dyDescent="0.25">
      <c r="AV1261" t="s">
        <v>2127</v>
      </c>
      <c r="AW1261" t="s">
        <v>1475</v>
      </c>
      <c r="AX1261" t="s">
        <v>1943</v>
      </c>
      <c r="AY1261" t="s">
        <v>4620</v>
      </c>
      <c r="AZ1261" t="s">
        <v>4621</v>
      </c>
      <c r="BA1261" t="s">
        <v>1456</v>
      </c>
      <c r="BB1261" t="str">
        <f t="shared" si="19"/>
        <v>IHVNfcBwari</v>
      </c>
    </row>
    <row r="1262" spans="48:54" x14ac:dyDescent="0.25">
      <c r="AV1262" t="s">
        <v>2127</v>
      </c>
      <c r="AW1262" t="s">
        <v>1475</v>
      </c>
      <c r="AX1262" t="s">
        <v>1943</v>
      </c>
      <c r="AY1262" t="s">
        <v>4622</v>
      </c>
      <c r="AZ1262" t="s">
        <v>4623</v>
      </c>
      <c r="BA1262" t="s">
        <v>1456</v>
      </c>
      <c r="BB1262" t="str">
        <f t="shared" si="19"/>
        <v>IHVNfcBwari</v>
      </c>
    </row>
    <row r="1263" spans="48:54" x14ac:dyDescent="0.25">
      <c r="AV1263" t="s">
        <v>2127</v>
      </c>
      <c r="AW1263" t="s">
        <v>1475</v>
      </c>
      <c r="AX1263" t="s">
        <v>1943</v>
      </c>
      <c r="AY1263" t="s">
        <v>4624</v>
      </c>
      <c r="AZ1263" t="s">
        <v>4625</v>
      </c>
      <c r="BA1263" t="s">
        <v>1456</v>
      </c>
      <c r="BB1263" t="str">
        <f t="shared" si="19"/>
        <v>IHVNfcBwari</v>
      </c>
    </row>
    <row r="1264" spans="48:54" x14ac:dyDescent="0.25">
      <c r="AV1264" t="s">
        <v>2127</v>
      </c>
      <c r="AW1264" t="s">
        <v>1475</v>
      </c>
      <c r="AX1264" t="s">
        <v>1943</v>
      </c>
      <c r="AY1264" t="s">
        <v>4626</v>
      </c>
      <c r="AZ1264" t="s">
        <v>4627</v>
      </c>
      <c r="BA1264" t="s">
        <v>1456</v>
      </c>
      <c r="BB1264" t="str">
        <f t="shared" si="19"/>
        <v>IHVNfcBwari</v>
      </c>
    </row>
    <row r="1265" spans="48:54" x14ac:dyDescent="0.25">
      <c r="AV1265" t="s">
        <v>2127</v>
      </c>
      <c r="AW1265" t="s">
        <v>1475</v>
      </c>
      <c r="AX1265" t="s">
        <v>1943</v>
      </c>
      <c r="AY1265" t="s">
        <v>4628</v>
      </c>
      <c r="AZ1265" t="s">
        <v>4629</v>
      </c>
      <c r="BA1265" t="s">
        <v>1456</v>
      </c>
      <c r="BB1265" t="str">
        <f t="shared" si="19"/>
        <v>IHVNfcBwari</v>
      </c>
    </row>
    <row r="1266" spans="48:54" x14ac:dyDescent="0.25">
      <c r="AV1266" t="s">
        <v>2127</v>
      </c>
      <c r="AW1266" t="s">
        <v>1475</v>
      </c>
      <c r="AX1266" t="s">
        <v>1943</v>
      </c>
      <c r="AY1266" t="s">
        <v>4630</v>
      </c>
      <c r="AZ1266" t="s">
        <v>4631</v>
      </c>
      <c r="BA1266" t="s">
        <v>1456</v>
      </c>
      <c r="BB1266" t="str">
        <f t="shared" si="19"/>
        <v>IHVNfcBwari</v>
      </c>
    </row>
    <row r="1267" spans="48:54" x14ac:dyDescent="0.25">
      <c r="AV1267" t="s">
        <v>2127</v>
      </c>
      <c r="AW1267" t="s">
        <v>1475</v>
      </c>
      <c r="AX1267" t="s">
        <v>1943</v>
      </c>
      <c r="AY1267" t="s">
        <v>4632</v>
      </c>
      <c r="AZ1267" t="s">
        <v>4633</v>
      </c>
      <c r="BA1267" t="s">
        <v>1456</v>
      </c>
      <c r="BB1267" t="str">
        <f t="shared" si="19"/>
        <v>IHVNfcBwari</v>
      </c>
    </row>
    <row r="1268" spans="48:54" x14ac:dyDescent="0.25">
      <c r="AV1268" t="s">
        <v>2127</v>
      </c>
      <c r="AW1268" t="s">
        <v>1475</v>
      </c>
      <c r="AX1268" t="s">
        <v>1943</v>
      </c>
      <c r="AY1268" t="s">
        <v>4634</v>
      </c>
      <c r="AZ1268" t="s">
        <v>4635</v>
      </c>
      <c r="BA1268" t="s">
        <v>1456</v>
      </c>
      <c r="BB1268" t="str">
        <f t="shared" si="19"/>
        <v>IHVNfcBwari</v>
      </c>
    </row>
    <row r="1269" spans="48:54" x14ac:dyDescent="0.25">
      <c r="AV1269" t="s">
        <v>2127</v>
      </c>
      <c r="AW1269" t="s">
        <v>1475</v>
      </c>
      <c r="AX1269" t="s">
        <v>1943</v>
      </c>
      <c r="AY1269" t="s">
        <v>4636</v>
      </c>
      <c r="AZ1269" t="s">
        <v>4637</v>
      </c>
      <c r="BA1269" t="s">
        <v>1456</v>
      </c>
      <c r="BB1269" t="str">
        <f t="shared" si="19"/>
        <v>IHVNfcBwari</v>
      </c>
    </row>
    <row r="1270" spans="48:54" x14ac:dyDescent="0.25">
      <c r="AV1270" t="s">
        <v>2127</v>
      </c>
      <c r="AW1270" t="s">
        <v>1475</v>
      </c>
      <c r="AX1270" t="s">
        <v>1943</v>
      </c>
      <c r="AY1270" t="s">
        <v>4638</v>
      </c>
      <c r="AZ1270" t="s">
        <v>4639</v>
      </c>
      <c r="BA1270" t="s">
        <v>1456</v>
      </c>
      <c r="BB1270" t="str">
        <f t="shared" si="19"/>
        <v>IHVNfcBwari</v>
      </c>
    </row>
    <row r="1271" spans="48:54" x14ac:dyDescent="0.25">
      <c r="AV1271" t="s">
        <v>2127</v>
      </c>
      <c r="AW1271" t="s">
        <v>1475</v>
      </c>
      <c r="AX1271" t="s">
        <v>1943</v>
      </c>
      <c r="AY1271" t="s">
        <v>4640</v>
      </c>
      <c r="AZ1271" t="s">
        <v>4641</v>
      </c>
      <c r="BA1271" t="s">
        <v>1456</v>
      </c>
      <c r="BB1271" t="str">
        <f t="shared" si="19"/>
        <v>IHVNfcBwari</v>
      </c>
    </row>
    <row r="1272" spans="48:54" x14ac:dyDescent="0.25">
      <c r="AV1272" t="s">
        <v>2127</v>
      </c>
      <c r="AW1272" t="s">
        <v>1475</v>
      </c>
      <c r="AX1272" t="s">
        <v>1945</v>
      </c>
      <c r="AY1272" t="s">
        <v>4642</v>
      </c>
      <c r="AZ1272" t="s">
        <v>4643</v>
      </c>
      <c r="BA1272" t="s">
        <v>1456</v>
      </c>
      <c r="BB1272" t="str">
        <f t="shared" si="19"/>
        <v>IHVNfcGwagwalada</v>
      </c>
    </row>
    <row r="1273" spans="48:54" x14ac:dyDescent="0.25">
      <c r="AV1273" t="s">
        <v>2127</v>
      </c>
      <c r="AW1273" t="s">
        <v>1475</v>
      </c>
      <c r="AX1273" t="s">
        <v>1945</v>
      </c>
      <c r="AY1273" t="s">
        <v>4644</v>
      </c>
      <c r="AZ1273" t="s">
        <v>4645</v>
      </c>
      <c r="BA1273" t="s">
        <v>1456</v>
      </c>
      <c r="BB1273" t="str">
        <f t="shared" si="19"/>
        <v>IHVNfcGwagwalada</v>
      </c>
    </row>
    <row r="1274" spans="48:54" x14ac:dyDescent="0.25">
      <c r="AV1274" t="s">
        <v>2127</v>
      </c>
      <c r="AW1274" t="s">
        <v>1475</v>
      </c>
      <c r="AX1274" t="s">
        <v>1945</v>
      </c>
      <c r="AY1274" t="s">
        <v>4646</v>
      </c>
      <c r="AZ1274" t="s">
        <v>4647</v>
      </c>
      <c r="BA1274" t="s">
        <v>1456</v>
      </c>
      <c r="BB1274" t="str">
        <f t="shared" si="19"/>
        <v>IHVNfcGwagwalada</v>
      </c>
    </row>
    <row r="1275" spans="48:54" x14ac:dyDescent="0.25">
      <c r="AV1275" t="s">
        <v>2127</v>
      </c>
      <c r="AW1275" t="s">
        <v>1475</v>
      </c>
      <c r="AX1275" t="s">
        <v>1945</v>
      </c>
      <c r="AY1275" t="s">
        <v>4648</v>
      </c>
      <c r="AZ1275" t="s">
        <v>4649</v>
      </c>
      <c r="BA1275" t="s">
        <v>1456</v>
      </c>
      <c r="BB1275" t="str">
        <f t="shared" si="19"/>
        <v>IHVNfcGwagwalada</v>
      </c>
    </row>
    <row r="1276" spans="48:54" x14ac:dyDescent="0.25">
      <c r="AV1276" t="s">
        <v>2127</v>
      </c>
      <c r="AW1276" t="s">
        <v>1475</v>
      </c>
      <c r="AX1276" t="s">
        <v>1945</v>
      </c>
      <c r="AY1276" t="s">
        <v>4650</v>
      </c>
      <c r="AZ1276" t="s">
        <v>4651</v>
      </c>
      <c r="BA1276" t="s">
        <v>1456</v>
      </c>
      <c r="BB1276" t="str">
        <f t="shared" si="19"/>
        <v>IHVNfcGwagwalada</v>
      </c>
    </row>
    <row r="1277" spans="48:54" x14ac:dyDescent="0.25">
      <c r="AV1277" t="s">
        <v>2127</v>
      </c>
      <c r="AW1277" t="s">
        <v>1475</v>
      </c>
      <c r="AX1277" t="s">
        <v>1945</v>
      </c>
      <c r="AY1277" t="s">
        <v>4652</v>
      </c>
      <c r="AZ1277" t="s">
        <v>4653</v>
      </c>
      <c r="BA1277" t="s">
        <v>1456</v>
      </c>
      <c r="BB1277" t="str">
        <f t="shared" si="19"/>
        <v>IHVNfcGwagwalada</v>
      </c>
    </row>
    <row r="1278" spans="48:54" x14ac:dyDescent="0.25">
      <c r="AV1278" t="s">
        <v>2127</v>
      </c>
      <c r="AW1278" t="s">
        <v>1475</v>
      </c>
      <c r="AX1278" t="s">
        <v>1946</v>
      </c>
      <c r="AY1278" t="s">
        <v>4654</v>
      </c>
      <c r="AZ1278" t="s">
        <v>4655</v>
      </c>
      <c r="BA1278" t="s">
        <v>1456</v>
      </c>
      <c r="BB1278" t="str">
        <f t="shared" si="19"/>
        <v>IHVNfcKuje</v>
      </c>
    </row>
    <row r="1279" spans="48:54" x14ac:dyDescent="0.25">
      <c r="AV1279" t="s">
        <v>2127</v>
      </c>
      <c r="AW1279" t="s">
        <v>1475</v>
      </c>
      <c r="AX1279" t="s">
        <v>1946</v>
      </c>
      <c r="AY1279" t="s">
        <v>4656</v>
      </c>
      <c r="AZ1279" t="s">
        <v>4657</v>
      </c>
      <c r="BA1279" t="s">
        <v>1456</v>
      </c>
      <c r="BB1279" t="str">
        <f t="shared" si="19"/>
        <v>IHVNfcKuje</v>
      </c>
    </row>
    <row r="1280" spans="48:54" x14ac:dyDescent="0.25">
      <c r="AV1280" t="s">
        <v>2127</v>
      </c>
      <c r="AW1280" t="s">
        <v>1479</v>
      </c>
      <c r="AX1280" t="s">
        <v>2001</v>
      </c>
      <c r="AY1280" t="s">
        <v>4658</v>
      </c>
      <c r="AZ1280" t="s">
        <v>4659</v>
      </c>
      <c r="BA1280" t="s">
        <v>1456</v>
      </c>
      <c r="BB1280" t="str">
        <f t="shared" si="19"/>
        <v>IHVNkdZaria</v>
      </c>
    </row>
    <row r="1281" spans="48:54" x14ac:dyDescent="0.25">
      <c r="AV1281" t="s">
        <v>2127</v>
      </c>
      <c r="AW1281" t="s">
        <v>1480</v>
      </c>
      <c r="AX1281" t="s">
        <v>2008</v>
      </c>
      <c r="AY1281" t="s">
        <v>4660</v>
      </c>
      <c r="AZ1281" t="s">
        <v>4661</v>
      </c>
      <c r="BA1281" t="s">
        <v>1456</v>
      </c>
      <c r="BB1281" t="str">
        <f t="shared" si="19"/>
        <v>IHVNknNassarawa</v>
      </c>
    </row>
    <row r="1282" spans="48:54" x14ac:dyDescent="0.25">
      <c r="AV1282" t="s">
        <v>2127</v>
      </c>
      <c r="AW1282" t="s">
        <v>1480</v>
      </c>
      <c r="AX1282" t="s">
        <v>2008</v>
      </c>
      <c r="AY1282" t="s">
        <v>4662</v>
      </c>
      <c r="AZ1282" t="s">
        <v>4663</v>
      </c>
      <c r="BA1282" t="s">
        <v>1456</v>
      </c>
      <c r="BB1282" t="str">
        <f t="shared" si="19"/>
        <v>IHVNknNassarawa</v>
      </c>
    </row>
    <row r="1283" spans="48:54" x14ac:dyDescent="0.25">
      <c r="AV1283" t="s">
        <v>2127</v>
      </c>
      <c r="AW1283" t="s">
        <v>1480</v>
      </c>
      <c r="AX1283" t="s">
        <v>2009</v>
      </c>
      <c r="AY1283" t="s">
        <v>4664</v>
      </c>
      <c r="AZ1283" t="s">
        <v>4665</v>
      </c>
      <c r="BA1283" t="s">
        <v>1456</v>
      </c>
      <c r="BB1283" t="str">
        <f t="shared" ref="BB1283:BB1346" si="20">SUBSTITUTE(SUBSTITUTE(BA1283&amp;AX1283," ",""),"-","")</f>
        <v>IHVNknTarauni</v>
      </c>
    </row>
    <row r="1284" spans="48:54" x14ac:dyDescent="0.25">
      <c r="AV1284" t="s">
        <v>2127</v>
      </c>
      <c r="AW1284" t="s">
        <v>1480</v>
      </c>
      <c r="AX1284" t="s">
        <v>2010</v>
      </c>
      <c r="AY1284" t="s">
        <v>4666</v>
      </c>
      <c r="AZ1284" t="s">
        <v>4667</v>
      </c>
      <c r="BA1284" t="s">
        <v>1456</v>
      </c>
      <c r="BB1284" t="str">
        <f t="shared" si="20"/>
        <v>IHVNknTudunWada</v>
      </c>
    </row>
    <row r="1285" spans="48:54" x14ac:dyDescent="0.25">
      <c r="AV1285" t="s">
        <v>2127</v>
      </c>
      <c r="AW1285" t="s">
        <v>1480</v>
      </c>
      <c r="AX1285" t="s">
        <v>2011</v>
      </c>
      <c r="AY1285" t="s">
        <v>4668</v>
      </c>
      <c r="AZ1285" t="s">
        <v>4669</v>
      </c>
      <c r="BA1285" t="s">
        <v>1456</v>
      </c>
      <c r="BB1285" t="str">
        <f t="shared" si="20"/>
        <v>IHVNknUngogo</v>
      </c>
    </row>
    <row r="1286" spans="48:54" x14ac:dyDescent="0.25">
      <c r="AV1286" t="s">
        <v>2127</v>
      </c>
      <c r="AW1286" t="s">
        <v>1480</v>
      </c>
      <c r="AX1286" t="s">
        <v>2011</v>
      </c>
      <c r="AY1286" t="s">
        <v>4670</v>
      </c>
      <c r="AZ1286" t="s">
        <v>4671</v>
      </c>
      <c r="BA1286" t="s">
        <v>1456</v>
      </c>
      <c r="BB1286" t="str">
        <f t="shared" si="20"/>
        <v>IHVNknUngogo</v>
      </c>
    </row>
    <row r="1287" spans="48:54" x14ac:dyDescent="0.25">
      <c r="AV1287" t="s">
        <v>2127</v>
      </c>
      <c r="AW1287" t="s">
        <v>1481</v>
      </c>
      <c r="AX1287" t="s">
        <v>2012</v>
      </c>
      <c r="AY1287" t="s">
        <v>4672</v>
      </c>
      <c r="AZ1287" t="s">
        <v>4673</v>
      </c>
      <c r="BA1287" t="s">
        <v>1456</v>
      </c>
      <c r="BB1287" t="str">
        <f t="shared" si="20"/>
        <v>IHVNktFuntua</v>
      </c>
    </row>
    <row r="1288" spans="48:54" x14ac:dyDescent="0.25">
      <c r="AV1288" t="s">
        <v>2127</v>
      </c>
      <c r="AW1288" t="s">
        <v>1481</v>
      </c>
      <c r="AX1288" t="s">
        <v>2013</v>
      </c>
      <c r="AY1288" t="s">
        <v>4674</v>
      </c>
      <c r="AZ1288" t="s">
        <v>4675</v>
      </c>
      <c r="BA1288" t="s">
        <v>1456</v>
      </c>
      <c r="BB1288" t="str">
        <f t="shared" si="20"/>
        <v>IHVNktKankia</v>
      </c>
    </row>
    <row r="1289" spans="48:54" x14ac:dyDescent="0.25">
      <c r="AV1289" t="s">
        <v>2127</v>
      </c>
      <c r="AW1289" t="s">
        <v>1481</v>
      </c>
      <c r="AX1289" t="s">
        <v>2014</v>
      </c>
      <c r="AY1289" t="s">
        <v>4676</v>
      </c>
      <c r="AZ1289" t="s">
        <v>4677</v>
      </c>
      <c r="BA1289" t="s">
        <v>1456</v>
      </c>
      <c r="BB1289" t="str">
        <f t="shared" si="20"/>
        <v>IHVNktKatsina</v>
      </c>
    </row>
    <row r="1290" spans="48:54" x14ac:dyDescent="0.25">
      <c r="AV1290" t="s">
        <v>2127</v>
      </c>
      <c r="AW1290" t="s">
        <v>1481</v>
      </c>
      <c r="AX1290" t="s">
        <v>2014</v>
      </c>
      <c r="AY1290" t="s">
        <v>4678</v>
      </c>
      <c r="AZ1290" t="s">
        <v>4679</v>
      </c>
      <c r="BA1290" t="s">
        <v>1456</v>
      </c>
      <c r="BB1290" t="str">
        <f t="shared" si="20"/>
        <v>IHVNktKatsina</v>
      </c>
    </row>
    <row r="1291" spans="48:54" x14ac:dyDescent="0.25">
      <c r="AV1291" t="s">
        <v>2127</v>
      </c>
      <c r="AW1291" t="s">
        <v>1486</v>
      </c>
      <c r="AX1291" t="s">
        <v>2042</v>
      </c>
      <c r="AY1291" t="s">
        <v>4680</v>
      </c>
      <c r="AZ1291" t="s">
        <v>4681</v>
      </c>
      <c r="BA1291" t="s">
        <v>1456</v>
      </c>
      <c r="BB1291" t="str">
        <f t="shared" si="20"/>
        <v>IHVNnaDoma</v>
      </c>
    </row>
    <row r="1292" spans="48:54" x14ac:dyDescent="0.25">
      <c r="AV1292" t="s">
        <v>2127</v>
      </c>
      <c r="AW1292" t="s">
        <v>1486</v>
      </c>
      <c r="AX1292" t="s">
        <v>2042</v>
      </c>
      <c r="AY1292" t="s">
        <v>4682</v>
      </c>
      <c r="AZ1292" t="s">
        <v>4683</v>
      </c>
      <c r="BA1292" t="s">
        <v>1456</v>
      </c>
      <c r="BB1292" t="str">
        <f t="shared" si="20"/>
        <v>IHVNnaDoma</v>
      </c>
    </row>
    <row r="1293" spans="48:54" x14ac:dyDescent="0.25">
      <c r="AV1293" t="s">
        <v>2127</v>
      </c>
      <c r="AW1293" t="s">
        <v>1486</v>
      </c>
      <c r="AX1293" t="s">
        <v>2042</v>
      </c>
      <c r="AY1293" t="s">
        <v>4684</v>
      </c>
      <c r="AZ1293" t="s">
        <v>4685</v>
      </c>
      <c r="BA1293" t="s">
        <v>1456</v>
      </c>
      <c r="BB1293" t="str">
        <f t="shared" si="20"/>
        <v>IHVNnaDoma</v>
      </c>
    </row>
    <row r="1294" spans="48:54" x14ac:dyDescent="0.25">
      <c r="AV1294" t="s">
        <v>2127</v>
      </c>
      <c r="AW1294" t="s">
        <v>1486</v>
      </c>
      <c r="AX1294" t="s">
        <v>2042</v>
      </c>
      <c r="AY1294" t="s">
        <v>4686</v>
      </c>
      <c r="AZ1294" t="s">
        <v>4687</v>
      </c>
      <c r="BA1294" t="s">
        <v>1456</v>
      </c>
      <c r="BB1294" t="str">
        <f t="shared" si="20"/>
        <v>IHVNnaDoma</v>
      </c>
    </row>
    <row r="1295" spans="48:54" x14ac:dyDescent="0.25">
      <c r="AV1295" t="s">
        <v>2127</v>
      </c>
      <c r="AW1295" t="s">
        <v>1486</v>
      </c>
      <c r="AX1295" t="s">
        <v>2042</v>
      </c>
      <c r="AY1295" t="s">
        <v>4688</v>
      </c>
      <c r="AZ1295" t="s">
        <v>4689</v>
      </c>
      <c r="BA1295" t="s">
        <v>1456</v>
      </c>
      <c r="BB1295" t="str">
        <f t="shared" si="20"/>
        <v>IHVNnaDoma</v>
      </c>
    </row>
    <row r="1296" spans="48:54" x14ac:dyDescent="0.25">
      <c r="AV1296" t="s">
        <v>2127</v>
      </c>
      <c r="AW1296" t="s">
        <v>1486</v>
      </c>
      <c r="AX1296" t="s">
        <v>2042</v>
      </c>
      <c r="AY1296" t="s">
        <v>4690</v>
      </c>
      <c r="AZ1296" t="s">
        <v>4691</v>
      </c>
      <c r="BA1296" t="s">
        <v>1456</v>
      </c>
      <c r="BB1296" t="str">
        <f t="shared" si="20"/>
        <v>IHVNnaDoma</v>
      </c>
    </row>
    <row r="1297" spans="48:54" x14ac:dyDescent="0.25">
      <c r="AV1297" t="s">
        <v>2127</v>
      </c>
      <c r="AW1297" t="s">
        <v>1486</v>
      </c>
      <c r="AX1297" t="s">
        <v>2042</v>
      </c>
      <c r="AY1297" t="s">
        <v>4692</v>
      </c>
      <c r="AZ1297" t="s">
        <v>4693</v>
      </c>
      <c r="BA1297" t="s">
        <v>1456</v>
      </c>
      <c r="BB1297" t="str">
        <f t="shared" si="20"/>
        <v>IHVNnaDoma</v>
      </c>
    </row>
    <row r="1298" spans="48:54" x14ac:dyDescent="0.25">
      <c r="AV1298" t="s">
        <v>2127</v>
      </c>
      <c r="AW1298" t="s">
        <v>1486</v>
      </c>
      <c r="AX1298" t="s">
        <v>2042</v>
      </c>
      <c r="AY1298" t="s">
        <v>4694</v>
      </c>
      <c r="AZ1298" t="s">
        <v>4695</v>
      </c>
      <c r="BA1298" t="s">
        <v>1456</v>
      </c>
      <c r="BB1298" t="str">
        <f t="shared" si="20"/>
        <v>IHVNnaDoma</v>
      </c>
    </row>
    <row r="1299" spans="48:54" x14ac:dyDescent="0.25">
      <c r="AV1299" t="s">
        <v>2127</v>
      </c>
      <c r="AW1299" t="s">
        <v>1486</v>
      </c>
      <c r="AX1299" t="s">
        <v>2042</v>
      </c>
      <c r="AY1299" t="s">
        <v>4696</v>
      </c>
      <c r="AZ1299" t="s">
        <v>4697</v>
      </c>
      <c r="BA1299" t="s">
        <v>1456</v>
      </c>
      <c r="BB1299" t="str">
        <f t="shared" si="20"/>
        <v>IHVNnaDoma</v>
      </c>
    </row>
    <row r="1300" spans="48:54" x14ac:dyDescent="0.25">
      <c r="AV1300" t="s">
        <v>2127</v>
      </c>
      <c r="AW1300" t="s">
        <v>1486</v>
      </c>
      <c r="AX1300" t="s">
        <v>2042</v>
      </c>
      <c r="AY1300" t="s">
        <v>4698</v>
      </c>
      <c r="AZ1300" t="s">
        <v>4699</v>
      </c>
      <c r="BA1300" t="s">
        <v>1456</v>
      </c>
      <c r="BB1300" t="str">
        <f t="shared" si="20"/>
        <v>IHVNnaDoma</v>
      </c>
    </row>
    <row r="1301" spans="48:54" x14ac:dyDescent="0.25">
      <c r="AV1301" t="s">
        <v>2127</v>
      </c>
      <c r="AW1301" t="s">
        <v>1486</v>
      </c>
      <c r="AX1301" t="s">
        <v>2042</v>
      </c>
      <c r="AY1301" t="s">
        <v>4700</v>
      </c>
      <c r="AZ1301" t="s">
        <v>4701</v>
      </c>
      <c r="BA1301" t="s">
        <v>1456</v>
      </c>
      <c r="BB1301" t="str">
        <f t="shared" si="20"/>
        <v>IHVNnaDoma</v>
      </c>
    </row>
    <row r="1302" spans="48:54" x14ac:dyDescent="0.25">
      <c r="AV1302" t="s">
        <v>2127</v>
      </c>
      <c r="AW1302" t="s">
        <v>1486</v>
      </c>
      <c r="AX1302" t="s">
        <v>2042</v>
      </c>
      <c r="AY1302" t="s">
        <v>4702</v>
      </c>
      <c r="AZ1302" t="s">
        <v>4703</v>
      </c>
      <c r="BA1302" t="s">
        <v>1456</v>
      </c>
      <c r="BB1302" t="str">
        <f t="shared" si="20"/>
        <v>IHVNnaDoma</v>
      </c>
    </row>
    <row r="1303" spans="48:54" x14ac:dyDescent="0.25">
      <c r="AV1303" t="s">
        <v>2127</v>
      </c>
      <c r="AW1303" t="s">
        <v>1486</v>
      </c>
      <c r="AX1303" t="s">
        <v>2042</v>
      </c>
      <c r="AY1303" t="s">
        <v>4704</v>
      </c>
      <c r="AZ1303" t="s">
        <v>4705</v>
      </c>
      <c r="BA1303" t="s">
        <v>1456</v>
      </c>
      <c r="BB1303" t="str">
        <f t="shared" si="20"/>
        <v>IHVNnaDoma</v>
      </c>
    </row>
    <row r="1304" spans="48:54" x14ac:dyDescent="0.25">
      <c r="AV1304" t="s">
        <v>2127</v>
      </c>
      <c r="AW1304" t="s">
        <v>1486</v>
      </c>
      <c r="AX1304" t="s">
        <v>2042</v>
      </c>
      <c r="AY1304" t="s">
        <v>4706</v>
      </c>
      <c r="AZ1304" t="s">
        <v>4707</v>
      </c>
      <c r="BA1304" t="s">
        <v>1456</v>
      </c>
      <c r="BB1304" t="str">
        <f t="shared" si="20"/>
        <v>IHVNnaDoma</v>
      </c>
    </row>
    <row r="1305" spans="48:54" x14ac:dyDescent="0.25">
      <c r="AV1305" t="s">
        <v>2127</v>
      </c>
      <c r="AW1305" t="s">
        <v>1486</v>
      </c>
      <c r="AX1305" t="s">
        <v>2042</v>
      </c>
      <c r="AY1305" t="s">
        <v>4708</v>
      </c>
      <c r="AZ1305" t="s">
        <v>4709</v>
      </c>
      <c r="BA1305" t="s">
        <v>1456</v>
      </c>
      <c r="BB1305" t="str">
        <f t="shared" si="20"/>
        <v>IHVNnaDoma</v>
      </c>
    </row>
    <row r="1306" spans="48:54" x14ac:dyDescent="0.25">
      <c r="AV1306" t="s">
        <v>2127</v>
      </c>
      <c r="AW1306" t="s">
        <v>1486</v>
      </c>
      <c r="AX1306" t="s">
        <v>2042</v>
      </c>
      <c r="AY1306" t="s">
        <v>4710</v>
      </c>
      <c r="AZ1306" t="s">
        <v>4711</v>
      </c>
      <c r="BA1306" t="s">
        <v>1456</v>
      </c>
      <c r="BB1306" t="str">
        <f t="shared" si="20"/>
        <v>IHVNnaDoma</v>
      </c>
    </row>
    <row r="1307" spans="48:54" x14ac:dyDescent="0.25">
      <c r="AV1307" t="s">
        <v>2127</v>
      </c>
      <c r="AW1307" t="s">
        <v>1486</v>
      </c>
      <c r="AX1307" t="s">
        <v>2042</v>
      </c>
      <c r="AY1307" t="s">
        <v>4712</v>
      </c>
      <c r="AZ1307" t="s">
        <v>4713</v>
      </c>
      <c r="BA1307" t="s">
        <v>1456</v>
      </c>
      <c r="BB1307" t="str">
        <f t="shared" si="20"/>
        <v>IHVNnaDoma</v>
      </c>
    </row>
    <row r="1308" spans="48:54" x14ac:dyDescent="0.25">
      <c r="AV1308" t="s">
        <v>2127</v>
      </c>
      <c r="AW1308" t="s">
        <v>1486</v>
      </c>
      <c r="AX1308" t="s">
        <v>2042</v>
      </c>
      <c r="AY1308" t="s">
        <v>4714</v>
      </c>
      <c r="AZ1308" t="s">
        <v>4715</v>
      </c>
      <c r="BA1308" t="s">
        <v>1456</v>
      </c>
      <c r="BB1308" t="str">
        <f t="shared" si="20"/>
        <v>IHVNnaDoma</v>
      </c>
    </row>
    <row r="1309" spans="48:54" x14ac:dyDescent="0.25">
      <c r="AV1309" t="s">
        <v>2127</v>
      </c>
      <c r="AW1309" t="s">
        <v>1486</v>
      </c>
      <c r="AX1309" t="s">
        <v>2042</v>
      </c>
      <c r="AY1309" t="s">
        <v>4716</v>
      </c>
      <c r="AZ1309" t="s">
        <v>4717</v>
      </c>
      <c r="BA1309" t="s">
        <v>1456</v>
      </c>
      <c r="BB1309" t="str">
        <f t="shared" si="20"/>
        <v>IHVNnaDoma</v>
      </c>
    </row>
    <row r="1310" spans="48:54" x14ac:dyDescent="0.25">
      <c r="AV1310" t="s">
        <v>2127</v>
      </c>
      <c r="AW1310" t="s">
        <v>1486</v>
      </c>
      <c r="AX1310" t="s">
        <v>2042</v>
      </c>
      <c r="AY1310" t="s">
        <v>4718</v>
      </c>
      <c r="AZ1310" t="s">
        <v>4719</v>
      </c>
      <c r="BA1310" t="s">
        <v>1456</v>
      </c>
      <c r="BB1310" t="str">
        <f t="shared" si="20"/>
        <v>IHVNnaDoma</v>
      </c>
    </row>
    <row r="1311" spans="48:54" x14ac:dyDescent="0.25">
      <c r="AV1311" t="s">
        <v>2127</v>
      </c>
      <c r="AW1311" t="s">
        <v>1486</v>
      </c>
      <c r="AX1311" t="s">
        <v>2046</v>
      </c>
      <c r="AY1311" t="s">
        <v>4720</v>
      </c>
      <c r="AZ1311" t="s">
        <v>4721</v>
      </c>
      <c r="BA1311" t="s">
        <v>1456</v>
      </c>
      <c r="BB1311" t="str">
        <f t="shared" si="20"/>
        <v>IHVNnaKaru</v>
      </c>
    </row>
    <row r="1312" spans="48:54" x14ac:dyDescent="0.25">
      <c r="AV1312" t="s">
        <v>2127</v>
      </c>
      <c r="AW1312" t="s">
        <v>1486</v>
      </c>
      <c r="AX1312" t="s">
        <v>2046</v>
      </c>
      <c r="AY1312" t="s">
        <v>4722</v>
      </c>
      <c r="AZ1312" t="s">
        <v>4723</v>
      </c>
      <c r="BA1312" t="s">
        <v>1456</v>
      </c>
      <c r="BB1312" t="str">
        <f t="shared" si="20"/>
        <v>IHVNnaKaru</v>
      </c>
    </row>
    <row r="1313" spans="48:54" x14ac:dyDescent="0.25">
      <c r="AV1313" t="s">
        <v>2127</v>
      </c>
      <c r="AW1313" t="s">
        <v>1486</v>
      </c>
      <c r="AX1313" t="s">
        <v>2046</v>
      </c>
      <c r="AY1313" t="s">
        <v>4724</v>
      </c>
      <c r="AZ1313" t="s">
        <v>4725</v>
      </c>
      <c r="BA1313" t="s">
        <v>1456</v>
      </c>
      <c r="BB1313" t="str">
        <f t="shared" si="20"/>
        <v>IHVNnaKaru</v>
      </c>
    </row>
    <row r="1314" spans="48:54" x14ac:dyDescent="0.25">
      <c r="AV1314" t="s">
        <v>2127</v>
      </c>
      <c r="AW1314" t="s">
        <v>1486</v>
      </c>
      <c r="AX1314" t="s">
        <v>2046</v>
      </c>
      <c r="AY1314" t="s">
        <v>4726</v>
      </c>
      <c r="AZ1314" t="s">
        <v>4727</v>
      </c>
      <c r="BA1314" t="s">
        <v>1456</v>
      </c>
      <c r="BB1314" t="str">
        <f t="shared" si="20"/>
        <v>IHVNnaKaru</v>
      </c>
    </row>
    <row r="1315" spans="48:54" x14ac:dyDescent="0.25">
      <c r="AV1315" t="s">
        <v>2127</v>
      </c>
      <c r="AW1315" t="s">
        <v>1486</v>
      </c>
      <c r="AX1315" t="s">
        <v>2046</v>
      </c>
      <c r="AY1315" t="s">
        <v>4728</v>
      </c>
      <c r="AZ1315" t="s">
        <v>4729</v>
      </c>
      <c r="BA1315" t="s">
        <v>1456</v>
      </c>
      <c r="BB1315" t="str">
        <f t="shared" si="20"/>
        <v>IHVNnaKaru</v>
      </c>
    </row>
    <row r="1316" spans="48:54" x14ac:dyDescent="0.25">
      <c r="AV1316" t="s">
        <v>2127</v>
      </c>
      <c r="AW1316" t="s">
        <v>1486</v>
      </c>
      <c r="AX1316" t="s">
        <v>2046</v>
      </c>
      <c r="AY1316" t="s">
        <v>4730</v>
      </c>
      <c r="AZ1316" t="s">
        <v>4731</v>
      </c>
      <c r="BA1316" t="s">
        <v>1456</v>
      </c>
      <c r="BB1316" t="str">
        <f t="shared" si="20"/>
        <v>IHVNnaKaru</v>
      </c>
    </row>
    <row r="1317" spans="48:54" x14ac:dyDescent="0.25">
      <c r="AV1317" t="s">
        <v>2127</v>
      </c>
      <c r="AW1317" t="s">
        <v>1486</v>
      </c>
      <c r="AX1317" t="s">
        <v>2046</v>
      </c>
      <c r="AY1317" t="s">
        <v>4732</v>
      </c>
      <c r="AZ1317" t="s">
        <v>4733</v>
      </c>
      <c r="BA1317" t="s">
        <v>1456</v>
      </c>
      <c r="BB1317" t="str">
        <f t="shared" si="20"/>
        <v>IHVNnaKaru</v>
      </c>
    </row>
    <row r="1318" spans="48:54" x14ac:dyDescent="0.25">
      <c r="AV1318" t="s">
        <v>2127</v>
      </c>
      <c r="AW1318" t="s">
        <v>1486</v>
      </c>
      <c r="AX1318" t="s">
        <v>2046</v>
      </c>
      <c r="AY1318" t="s">
        <v>4734</v>
      </c>
      <c r="AZ1318" t="s">
        <v>4735</v>
      </c>
      <c r="BA1318" t="s">
        <v>1456</v>
      </c>
      <c r="BB1318" t="str">
        <f t="shared" si="20"/>
        <v>IHVNnaKaru</v>
      </c>
    </row>
    <row r="1319" spans="48:54" x14ac:dyDescent="0.25">
      <c r="AV1319" t="s">
        <v>2127</v>
      </c>
      <c r="AW1319" t="s">
        <v>1486</v>
      </c>
      <c r="AX1319" t="s">
        <v>2046</v>
      </c>
      <c r="AY1319" t="s">
        <v>4736</v>
      </c>
      <c r="AZ1319" t="s">
        <v>4737</v>
      </c>
      <c r="BA1319" t="s">
        <v>1456</v>
      </c>
      <c r="BB1319" t="str">
        <f t="shared" si="20"/>
        <v>IHVNnaKaru</v>
      </c>
    </row>
    <row r="1320" spans="48:54" x14ac:dyDescent="0.25">
      <c r="AV1320" t="s">
        <v>2127</v>
      </c>
      <c r="AW1320" t="s">
        <v>1486</v>
      </c>
      <c r="AX1320" t="s">
        <v>2046</v>
      </c>
      <c r="AY1320" t="s">
        <v>4738</v>
      </c>
      <c r="AZ1320" t="s">
        <v>4739</v>
      </c>
      <c r="BA1320" t="s">
        <v>1456</v>
      </c>
      <c r="BB1320" t="str">
        <f t="shared" si="20"/>
        <v>IHVNnaKaru</v>
      </c>
    </row>
    <row r="1321" spans="48:54" x14ac:dyDescent="0.25">
      <c r="AV1321" t="s">
        <v>2127</v>
      </c>
      <c r="AW1321" t="s">
        <v>1486</v>
      </c>
      <c r="AX1321" t="s">
        <v>2046</v>
      </c>
      <c r="AY1321" t="s">
        <v>4740</v>
      </c>
      <c r="AZ1321" t="s">
        <v>4741</v>
      </c>
      <c r="BA1321" t="s">
        <v>1456</v>
      </c>
      <c r="BB1321" t="str">
        <f t="shared" si="20"/>
        <v>IHVNnaKaru</v>
      </c>
    </row>
    <row r="1322" spans="48:54" x14ac:dyDescent="0.25">
      <c r="AV1322" t="s">
        <v>2127</v>
      </c>
      <c r="AW1322" t="s">
        <v>1486</v>
      </c>
      <c r="AX1322" t="s">
        <v>2046</v>
      </c>
      <c r="AY1322" t="s">
        <v>4742</v>
      </c>
      <c r="AZ1322" t="s">
        <v>4743</v>
      </c>
      <c r="BA1322" t="s">
        <v>1456</v>
      </c>
      <c r="BB1322" t="str">
        <f t="shared" si="20"/>
        <v>IHVNnaKaru</v>
      </c>
    </row>
    <row r="1323" spans="48:54" x14ac:dyDescent="0.25">
      <c r="AV1323" t="s">
        <v>2127</v>
      </c>
      <c r="AW1323" t="s">
        <v>1486</v>
      </c>
      <c r="AX1323" t="s">
        <v>2046</v>
      </c>
      <c r="AY1323" t="s">
        <v>4744</v>
      </c>
      <c r="AZ1323" t="s">
        <v>4745</v>
      </c>
      <c r="BA1323" t="s">
        <v>1456</v>
      </c>
      <c r="BB1323" t="str">
        <f t="shared" si="20"/>
        <v>IHVNnaKaru</v>
      </c>
    </row>
    <row r="1324" spans="48:54" x14ac:dyDescent="0.25">
      <c r="AV1324" t="s">
        <v>2127</v>
      </c>
      <c r="AW1324" t="s">
        <v>1486</v>
      </c>
      <c r="AX1324" t="s">
        <v>2046</v>
      </c>
      <c r="AY1324" t="s">
        <v>4746</v>
      </c>
      <c r="AZ1324" t="s">
        <v>4747</v>
      </c>
      <c r="BA1324" t="s">
        <v>1456</v>
      </c>
      <c r="BB1324" t="str">
        <f t="shared" si="20"/>
        <v>IHVNnaKaru</v>
      </c>
    </row>
    <row r="1325" spans="48:54" x14ac:dyDescent="0.25">
      <c r="AV1325" t="s">
        <v>2127</v>
      </c>
      <c r="AW1325" t="s">
        <v>1486</v>
      </c>
      <c r="AX1325" t="s">
        <v>2046</v>
      </c>
      <c r="AY1325" t="s">
        <v>4748</v>
      </c>
      <c r="AZ1325" t="s">
        <v>4749</v>
      </c>
      <c r="BA1325" t="s">
        <v>1456</v>
      </c>
      <c r="BB1325" t="str">
        <f t="shared" si="20"/>
        <v>IHVNnaKaru</v>
      </c>
    </row>
    <row r="1326" spans="48:54" x14ac:dyDescent="0.25">
      <c r="AV1326" t="s">
        <v>2127</v>
      </c>
      <c r="AW1326" t="s">
        <v>1486</v>
      </c>
      <c r="AX1326" t="s">
        <v>2046</v>
      </c>
      <c r="AY1326" t="s">
        <v>4750</v>
      </c>
      <c r="AZ1326" t="s">
        <v>4751</v>
      </c>
      <c r="BA1326" t="s">
        <v>1456</v>
      </c>
      <c r="BB1326" t="str">
        <f t="shared" si="20"/>
        <v>IHVNnaKaru</v>
      </c>
    </row>
    <row r="1327" spans="48:54" x14ac:dyDescent="0.25">
      <c r="AV1327" t="s">
        <v>2127</v>
      </c>
      <c r="AW1327" t="s">
        <v>1486</v>
      </c>
      <c r="AX1327" t="s">
        <v>2046</v>
      </c>
      <c r="AY1327" t="s">
        <v>4752</v>
      </c>
      <c r="AZ1327" t="s">
        <v>4753</v>
      </c>
      <c r="BA1327" t="s">
        <v>1456</v>
      </c>
      <c r="BB1327" t="str">
        <f t="shared" si="20"/>
        <v>IHVNnaKaru</v>
      </c>
    </row>
    <row r="1328" spans="48:54" x14ac:dyDescent="0.25">
      <c r="AV1328" t="s">
        <v>2127</v>
      </c>
      <c r="AW1328" t="s">
        <v>1486</v>
      </c>
      <c r="AX1328" t="s">
        <v>2046</v>
      </c>
      <c r="AY1328" t="s">
        <v>4754</v>
      </c>
      <c r="AZ1328" t="s">
        <v>4755</v>
      </c>
      <c r="BA1328" t="s">
        <v>1456</v>
      </c>
      <c r="BB1328" t="str">
        <f t="shared" si="20"/>
        <v>IHVNnaKaru</v>
      </c>
    </row>
    <row r="1329" spans="48:54" x14ac:dyDescent="0.25">
      <c r="AV1329" t="s">
        <v>2127</v>
      </c>
      <c r="AW1329" t="s">
        <v>1486</v>
      </c>
      <c r="AX1329" t="s">
        <v>2046</v>
      </c>
      <c r="AY1329" t="s">
        <v>4756</v>
      </c>
      <c r="AZ1329" t="s">
        <v>4757</v>
      </c>
      <c r="BA1329" t="s">
        <v>1456</v>
      </c>
      <c r="BB1329" t="str">
        <f t="shared" si="20"/>
        <v>IHVNnaKaru</v>
      </c>
    </row>
    <row r="1330" spans="48:54" x14ac:dyDescent="0.25">
      <c r="AV1330" t="s">
        <v>2127</v>
      </c>
      <c r="AW1330" t="s">
        <v>1486</v>
      </c>
      <c r="AX1330" t="s">
        <v>2046</v>
      </c>
      <c r="AY1330" t="s">
        <v>4758</v>
      </c>
      <c r="AZ1330" t="s">
        <v>4759</v>
      </c>
      <c r="BA1330" t="s">
        <v>1456</v>
      </c>
      <c r="BB1330" t="str">
        <f t="shared" si="20"/>
        <v>IHVNnaKaru</v>
      </c>
    </row>
    <row r="1331" spans="48:54" x14ac:dyDescent="0.25">
      <c r="AV1331" t="s">
        <v>2127</v>
      </c>
      <c r="AW1331" t="s">
        <v>1486</v>
      </c>
      <c r="AX1331" t="s">
        <v>2046</v>
      </c>
      <c r="AY1331" t="s">
        <v>4760</v>
      </c>
      <c r="AZ1331" t="s">
        <v>4761</v>
      </c>
      <c r="BA1331" t="s">
        <v>1456</v>
      </c>
      <c r="BB1331" t="str">
        <f t="shared" si="20"/>
        <v>IHVNnaKaru</v>
      </c>
    </row>
    <row r="1332" spans="48:54" x14ac:dyDescent="0.25">
      <c r="AV1332" t="s">
        <v>2127</v>
      </c>
      <c r="AW1332" t="s">
        <v>1486</v>
      </c>
      <c r="AX1332" t="s">
        <v>2046</v>
      </c>
      <c r="AY1332" t="s">
        <v>4762</v>
      </c>
      <c r="AZ1332" t="s">
        <v>4763</v>
      </c>
      <c r="BA1332" t="s">
        <v>1456</v>
      </c>
      <c r="BB1332" t="str">
        <f t="shared" si="20"/>
        <v>IHVNnaKaru</v>
      </c>
    </row>
    <row r="1333" spans="48:54" x14ac:dyDescent="0.25">
      <c r="AV1333" t="s">
        <v>2127</v>
      </c>
      <c r="AW1333" t="s">
        <v>1486</v>
      </c>
      <c r="AX1333" t="s">
        <v>2046</v>
      </c>
      <c r="AY1333" t="s">
        <v>4458</v>
      </c>
      <c r="AZ1333" t="s">
        <v>4764</v>
      </c>
      <c r="BA1333" t="s">
        <v>1456</v>
      </c>
      <c r="BB1333" t="str">
        <f t="shared" si="20"/>
        <v>IHVNnaKaru</v>
      </c>
    </row>
    <row r="1334" spans="48:54" x14ac:dyDescent="0.25">
      <c r="AV1334" t="s">
        <v>2127</v>
      </c>
      <c r="AW1334" t="s">
        <v>1486</v>
      </c>
      <c r="AX1334" t="s">
        <v>2046</v>
      </c>
      <c r="AY1334" t="s">
        <v>4460</v>
      </c>
      <c r="AZ1334" t="s">
        <v>4765</v>
      </c>
      <c r="BA1334" t="s">
        <v>1456</v>
      </c>
      <c r="BB1334" t="str">
        <f t="shared" si="20"/>
        <v>IHVNnaKaru</v>
      </c>
    </row>
    <row r="1335" spans="48:54" x14ac:dyDescent="0.25">
      <c r="AV1335" t="s">
        <v>2127</v>
      </c>
      <c r="AW1335" t="s">
        <v>1486</v>
      </c>
      <c r="AX1335" t="s">
        <v>2046</v>
      </c>
      <c r="AY1335" t="s">
        <v>4766</v>
      </c>
      <c r="AZ1335" t="s">
        <v>4767</v>
      </c>
      <c r="BA1335" t="s">
        <v>1456</v>
      </c>
      <c r="BB1335" t="str">
        <f t="shared" si="20"/>
        <v>IHVNnaKaru</v>
      </c>
    </row>
    <row r="1336" spans="48:54" x14ac:dyDescent="0.25">
      <c r="AV1336" t="s">
        <v>2127</v>
      </c>
      <c r="AW1336" t="s">
        <v>1486</v>
      </c>
      <c r="AX1336" t="s">
        <v>2046</v>
      </c>
      <c r="AY1336" t="s">
        <v>4768</v>
      </c>
      <c r="AZ1336" t="s">
        <v>4769</v>
      </c>
      <c r="BA1336" t="s">
        <v>1456</v>
      </c>
      <c r="BB1336" t="str">
        <f t="shared" si="20"/>
        <v>IHVNnaKaru</v>
      </c>
    </row>
    <row r="1337" spans="48:54" x14ac:dyDescent="0.25">
      <c r="AV1337" t="s">
        <v>2127</v>
      </c>
      <c r="AW1337" t="s">
        <v>1486</v>
      </c>
      <c r="AX1337" t="s">
        <v>2046</v>
      </c>
      <c r="AY1337" t="s">
        <v>4770</v>
      </c>
      <c r="AZ1337" t="s">
        <v>4771</v>
      </c>
      <c r="BA1337" t="s">
        <v>1456</v>
      </c>
      <c r="BB1337" t="str">
        <f t="shared" si="20"/>
        <v>IHVNnaKaru</v>
      </c>
    </row>
    <row r="1338" spans="48:54" x14ac:dyDescent="0.25">
      <c r="AV1338" t="s">
        <v>2127</v>
      </c>
      <c r="AW1338" t="s">
        <v>1486</v>
      </c>
      <c r="AX1338" t="s">
        <v>2046</v>
      </c>
      <c r="AY1338" t="s">
        <v>4772</v>
      </c>
      <c r="AZ1338" t="s">
        <v>4773</v>
      </c>
      <c r="BA1338" t="s">
        <v>1456</v>
      </c>
      <c r="BB1338" t="str">
        <f t="shared" si="20"/>
        <v>IHVNnaKaru</v>
      </c>
    </row>
    <row r="1339" spans="48:54" x14ac:dyDescent="0.25">
      <c r="AV1339" t="s">
        <v>2127</v>
      </c>
      <c r="AW1339" t="s">
        <v>1486</v>
      </c>
      <c r="AX1339" t="s">
        <v>2046</v>
      </c>
      <c r="AY1339" t="s">
        <v>4774</v>
      </c>
      <c r="AZ1339" t="s">
        <v>4775</v>
      </c>
      <c r="BA1339" t="s">
        <v>1456</v>
      </c>
      <c r="BB1339" t="str">
        <f t="shared" si="20"/>
        <v>IHVNnaKaru</v>
      </c>
    </row>
    <row r="1340" spans="48:54" x14ac:dyDescent="0.25">
      <c r="AV1340" t="s">
        <v>2127</v>
      </c>
      <c r="AW1340" t="s">
        <v>1486</v>
      </c>
      <c r="AX1340" t="s">
        <v>2046</v>
      </c>
      <c r="AY1340" t="s">
        <v>4776</v>
      </c>
      <c r="AZ1340" t="s">
        <v>4777</v>
      </c>
      <c r="BA1340" t="s">
        <v>1456</v>
      </c>
      <c r="BB1340" t="str">
        <f t="shared" si="20"/>
        <v>IHVNnaKaru</v>
      </c>
    </row>
    <row r="1341" spans="48:54" x14ac:dyDescent="0.25">
      <c r="AV1341" t="s">
        <v>2127</v>
      </c>
      <c r="AW1341" t="s">
        <v>1486</v>
      </c>
      <c r="AX1341" t="s">
        <v>2046</v>
      </c>
      <c r="AY1341" t="s">
        <v>4778</v>
      </c>
      <c r="AZ1341" t="s">
        <v>4779</v>
      </c>
      <c r="BA1341" t="s">
        <v>1456</v>
      </c>
      <c r="BB1341" t="str">
        <f t="shared" si="20"/>
        <v>IHVNnaKaru</v>
      </c>
    </row>
    <row r="1342" spans="48:54" x14ac:dyDescent="0.25">
      <c r="AV1342" t="s">
        <v>2127</v>
      </c>
      <c r="AW1342" t="s">
        <v>1486</v>
      </c>
      <c r="AX1342" t="s">
        <v>2046</v>
      </c>
      <c r="AY1342" t="s">
        <v>4780</v>
      </c>
      <c r="AZ1342" t="s">
        <v>4781</v>
      </c>
      <c r="BA1342" t="s">
        <v>1456</v>
      </c>
      <c r="BB1342" t="str">
        <f t="shared" si="20"/>
        <v>IHVNnaKaru</v>
      </c>
    </row>
    <row r="1343" spans="48:54" x14ac:dyDescent="0.25">
      <c r="AV1343" t="s">
        <v>2127</v>
      </c>
      <c r="AW1343" t="s">
        <v>1486</v>
      </c>
      <c r="AX1343" t="s">
        <v>2046</v>
      </c>
      <c r="AY1343" t="s">
        <v>4782</v>
      </c>
      <c r="AZ1343" t="s">
        <v>4783</v>
      </c>
      <c r="BA1343" t="s">
        <v>1456</v>
      </c>
      <c r="BB1343" t="str">
        <f t="shared" si="20"/>
        <v>IHVNnaKaru</v>
      </c>
    </row>
    <row r="1344" spans="48:54" x14ac:dyDescent="0.25">
      <c r="AV1344" t="s">
        <v>2127</v>
      </c>
      <c r="AW1344" t="s">
        <v>1486</v>
      </c>
      <c r="AX1344" t="s">
        <v>2046</v>
      </c>
      <c r="AY1344" t="s">
        <v>4784</v>
      </c>
      <c r="AZ1344" t="s">
        <v>4785</v>
      </c>
      <c r="BA1344" t="s">
        <v>1456</v>
      </c>
      <c r="BB1344" t="str">
        <f t="shared" si="20"/>
        <v>IHVNnaKaru</v>
      </c>
    </row>
    <row r="1345" spans="48:54" x14ac:dyDescent="0.25">
      <c r="AV1345" t="s">
        <v>2127</v>
      </c>
      <c r="AW1345" t="s">
        <v>1486</v>
      </c>
      <c r="AX1345" t="s">
        <v>2046</v>
      </c>
      <c r="AY1345" t="s">
        <v>4786</v>
      </c>
      <c r="AZ1345" t="s">
        <v>4787</v>
      </c>
      <c r="BA1345" t="s">
        <v>1456</v>
      </c>
      <c r="BB1345" t="str">
        <f t="shared" si="20"/>
        <v>IHVNnaKaru</v>
      </c>
    </row>
    <row r="1346" spans="48:54" x14ac:dyDescent="0.25">
      <c r="AV1346" t="s">
        <v>2127</v>
      </c>
      <c r="AW1346" t="s">
        <v>1486</v>
      </c>
      <c r="AX1346" t="s">
        <v>2046</v>
      </c>
      <c r="AY1346" t="s">
        <v>4788</v>
      </c>
      <c r="AZ1346" t="s">
        <v>4789</v>
      </c>
      <c r="BA1346" t="s">
        <v>1456</v>
      </c>
      <c r="BB1346" t="str">
        <f t="shared" si="20"/>
        <v>IHVNnaKaru</v>
      </c>
    </row>
    <row r="1347" spans="48:54" x14ac:dyDescent="0.25">
      <c r="AV1347" t="s">
        <v>2127</v>
      </c>
      <c r="AW1347" t="s">
        <v>1486</v>
      </c>
      <c r="AX1347" t="s">
        <v>2046</v>
      </c>
      <c r="AY1347" t="s">
        <v>4790</v>
      </c>
      <c r="AZ1347" t="s">
        <v>4791</v>
      </c>
      <c r="BA1347" t="s">
        <v>1456</v>
      </c>
      <c r="BB1347" t="str">
        <f t="shared" ref="BB1347:BB1410" si="21">SUBSTITUTE(SUBSTITUTE(BA1347&amp;AX1347," ",""),"-","")</f>
        <v>IHVNnaKaru</v>
      </c>
    </row>
    <row r="1348" spans="48:54" x14ac:dyDescent="0.25">
      <c r="AV1348" t="s">
        <v>2127</v>
      </c>
      <c r="AW1348" t="s">
        <v>1486</v>
      </c>
      <c r="AX1348" t="s">
        <v>2046</v>
      </c>
      <c r="AY1348" t="s">
        <v>4792</v>
      </c>
      <c r="AZ1348" t="s">
        <v>4793</v>
      </c>
      <c r="BA1348" t="s">
        <v>1456</v>
      </c>
      <c r="BB1348" t="str">
        <f t="shared" si="21"/>
        <v>IHVNnaKaru</v>
      </c>
    </row>
    <row r="1349" spans="48:54" x14ac:dyDescent="0.25">
      <c r="AV1349" t="s">
        <v>2127</v>
      </c>
      <c r="AW1349" t="s">
        <v>1486</v>
      </c>
      <c r="AX1349" t="s">
        <v>2046</v>
      </c>
      <c r="AY1349" t="s">
        <v>4794</v>
      </c>
      <c r="AZ1349" t="s">
        <v>4795</v>
      </c>
      <c r="BA1349" t="s">
        <v>1456</v>
      </c>
      <c r="BB1349" t="str">
        <f t="shared" si="21"/>
        <v>IHVNnaKaru</v>
      </c>
    </row>
    <row r="1350" spans="48:54" x14ac:dyDescent="0.25">
      <c r="AV1350" t="s">
        <v>2127</v>
      </c>
      <c r="AW1350" t="s">
        <v>1486</v>
      </c>
      <c r="AX1350" t="s">
        <v>2046</v>
      </c>
      <c r="AY1350" t="s">
        <v>4796</v>
      </c>
      <c r="AZ1350" t="s">
        <v>4797</v>
      </c>
      <c r="BA1350" t="s">
        <v>1456</v>
      </c>
      <c r="BB1350" t="str">
        <f t="shared" si="21"/>
        <v>IHVNnaKaru</v>
      </c>
    </row>
    <row r="1351" spans="48:54" x14ac:dyDescent="0.25">
      <c r="AV1351" t="s">
        <v>2127</v>
      </c>
      <c r="AW1351" t="s">
        <v>1486</v>
      </c>
      <c r="AX1351" t="s">
        <v>2046</v>
      </c>
      <c r="AY1351" t="s">
        <v>4798</v>
      </c>
      <c r="AZ1351" t="s">
        <v>4799</v>
      </c>
      <c r="BA1351" t="s">
        <v>1456</v>
      </c>
      <c r="BB1351" t="str">
        <f t="shared" si="21"/>
        <v>IHVNnaKaru</v>
      </c>
    </row>
    <row r="1352" spans="48:54" x14ac:dyDescent="0.25">
      <c r="AV1352" t="s">
        <v>2127</v>
      </c>
      <c r="AW1352" t="s">
        <v>1486</v>
      </c>
      <c r="AX1352" t="s">
        <v>2046</v>
      </c>
      <c r="AY1352" t="s">
        <v>4800</v>
      </c>
      <c r="AZ1352" t="s">
        <v>4801</v>
      </c>
      <c r="BA1352" t="s">
        <v>1456</v>
      </c>
      <c r="BB1352" t="str">
        <f t="shared" si="21"/>
        <v>IHVNnaKaru</v>
      </c>
    </row>
    <row r="1353" spans="48:54" x14ac:dyDescent="0.25">
      <c r="AV1353" t="s">
        <v>2127</v>
      </c>
      <c r="AW1353" t="s">
        <v>1486</v>
      </c>
      <c r="AX1353" t="s">
        <v>2046</v>
      </c>
      <c r="AY1353" t="s">
        <v>4802</v>
      </c>
      <c r="AZ1353" t="s">
        <v>4803</v>
      </c>
      <c r="BA1353" t="s">
        <v>1456</v>
      </c>
      <c r="BB1353" t="str">
        <f t="shared" si="21"/>
        <v>IHVNnaKaru</v>
      </c>
    </row>
    <row r="1354" spans="48:54" x14ac:dyDescent="0.25">
      <c r="AV1354" t="s">
        <v>2127</v>
      </c>
      <c r="AW1354" t="s">
        <v>1486</v>
      </c>
      <c r="AX1354" t="s">
        <v>2046</v>
      </c>
      <c r="AY1354" t="s">
        <v>4221</v>
      </c>
      <c r="AZ1354" t="s">
        <v>4804</v>
      </c>
      <c r="BA1354" t="s">
        <v>1456</v>
      </c>
      <c r="BB1354" t="str">
        <f t="shared" si="21"/>
        <v>IHVNnaKaru</v>
      </c>
    </row>
    <row r="1355" spans="48:54" x14ac:dyDescent="0.25">
      <c r="AV1355" t="s">
        <v>2127</v>
      </c>
      <c r="AW1355" t="s">
        <v>1486</v>
      </c>
      <c r="AX1355" t="s">
        <v>2046</v>
      </c>
      <c r="AY1355" t="s">
        <v>4805</v>
      </c>
      <c r="AZ1355" t="s">
        <v>4806</v>
      </c>
      <c r="BA1355" t="s">
        <v>1456</v>
      </c>
      <c r="BB1355" t="str">
        <f t="shared" si="21"/>
        <v>IHVNnaKaru</v>
      </c>
    </row>
    <row r="1356" spans="48:54" x14ac:dyDescent="0.25">
      <c r="AV1356" t="s">
        <v>2127</v>
      </c>
      <c r="AW1356" t="s">
        <v>1486</v>
      </c>
      <c r="AX1356" t="s">
        <v>2046</v>
      </c>
      <c r="AY1356" t="s">
        <v>4807</v>
      </c>
      <c r="AZ1356" t="s">
        <v>4808</v>
      </c>
      <c r="BA1356" t="s">
        <v>1456</v>
      </c>
      <c r="BB1356" t="str">
        <f t="shared" si="21"/>
        <v>IHVNnaKaru</v>
      </c>
    </row>
    <row r="1357" spans="48:54" x14ac:dyDescent="0.25">
      <c r="AV1357" t="s">
        <v>2127</v>
      </c>
      <c r="AW1357" t="s">
        <v>1486</v>
      </c>
      <c r="AX1357" t="s">
        <v>2047</v>
      </c>
      <c r="AY1357" t="s">
        <v>4809</v>
      </c>
      <c r="AZ1357" t="s">
        <v>4810</v>
      </c>
      <c r="BA1357" t="s">
        <v>1456</v>
      </c>
      <c r="BB1357" t="str">
        <f t="shared" si="21"/>
        <v>IHVNnaKeana</v>
      </c>
    </row>
    <row r="1358" spans="48:54" x14ac:dyDescent="0.25">
      <c r="AV1358" t="s">
        <v>2127</v>
      </c>
      <c r="AW1358" t="s">
        <v>1486</v>
      </c>
      <c r="AX1358" t="s">
        <v>2043</v>
      </c>
      <c r="AY1358" t="s">
        <v>4811</v>
      </c>
      <c r="AZ1358" t="s">
        <v>4812</v>
      </c>
      <c r="BA1358" t="s">
        <v>1456</v>
      </c>
      <c r="BB1358" t="str">
        <f t="shared" si="21"/>
        <v>IHVNnaKeffi</v>
      </c>
    </row>
    <row r="1359" spans="48:54" x14ac:dyDescent="0.25">
      <c r="AV1359" t="s">
        <v>2127</v>
      </c>
      <c r="AW1359" t="s">
        <v>1486</v>
      </c>
      <c r="AX1359" t="s">
        <v>2043</v>
      </c>
      <c r="AY1359" t="s">
        <v>4813</v>
      </c>
      <c r="AZ1359" t="s">
        <v>4814</v>
      </c>
      <c r="BA1359" t="s">
        <v>1456</v>
      </c>
      <c r="BB1359" t="str">
        <f t="shared" si="21"/>
        <v>IHVNnaKeffi</v>
      </c>
    </row>
    <row r="1360" spans="48:54" x14ac:dyDescent="0.25">
      <c r="AV1360" t="s">
        <v>2127</v>
      </c>
      <c r="AW1360" t="s">
        <v>1486</v>
      </c>
      <c r="AX1360" t="s">
        <v>2043</v>
      </c>
      <c r="AY1360" t="s">
        <v>4815</v>
      </c>
      <c r="AZ1360" t="s">
        <v>4816</v>
      </c>
      <c r="BA1360" t="s">
        <v>1456</v>
      </c>
      <c r="BB1360" t="str">
        <f t="shared" si="21"/>
        <v>IHVNnaKeffi</v>
      </c>
    </row>
    <row r="1361" spans="48:54" x14ac:dyDescent="0.25">
      <c r="AV1361" t="s">
        <v>2127</v>
      </c>
      <c r="AW1361" t="s">
        <v>1486</v>
      </c>
      <c r="AX1361" t="s">
        <v>2043</v>
      </c>
      <c r="AY1361" t="s">
        <v>4817</v>
      </c>
      <c r="AZ1361" t="s">
        <v>4818</v>
      </c>
      <c r="BA1361" t="s">
        <v>1456</v>
      </c>
      <c r="BB1361" t="str">
        <f t="shared" si="21"/>
        <v>IHVNnaKeffi</v>
      </c>
    </row>
    <row r="1362" spans="48:54" x14ac:dyDescent="0.25">
      <c r="AV1362" t="s">
        <v>2127</v>
      </c>
      <c r="AW1362" t="s">
        <v>1486</v>
      </c>
      <c r="AX1362" t="s">
        <v>2048</v>
      </c>
      <c r="AY1362" t="s">
        <v>4819</v>
      </c>
      <c r="AZ1362" t="s">
        <v>4820</v>
      </c>
      <c r="BA1362" t="s">
        <v>1456</v>
      </c>
      <c r="BB1362" t="str">
        <f t="shared" si="21"/>
        <v>IHVNnaKokona</v>
      </c>
    </row>
    <row r="1363" spans="48:54" x14ac:dyDescent="0.25">
      <c r="AV1363" t="s">
        <v>2127</v>
      </c>
      <c r="AW1363" t="s">
        <v>1486</v>
      </c>
      <c r="AX1363" t="s">
        <v>2044</v>
      </c>
      <c r="AY1363" t="s">
        <v>4821</v>
      </c>
      <c r="AZ1363" t="s">
        <v>4822</v>
      </c>
      <c r="BA1363" t="s">
        <v>1456</v>
      </c>
      <c r="BB1363" t="str">
        <f t="shared" si="21"/>
        <v>IHVNnaLafia</v>
      </c>
    </row>
    <row r="1364" spans="48:54" x14ac:dyDescent="0.25">
      <c r="AV1364" t="s">
        <v>2127</v>
      </c>
      <c r="AW1364" t="s">
        <v>1486</v>
      </c>
      <c r="AX1364" t="s">
        <v>2044</v>
      </c>
      <c r="AY1364" t="s">
        <v>4823</v>
      </c>
      <c r="AZ1364" t="s">
        <v>4824</v>
      </c>
      <c r="BA1364" t="s">
        <v>1456</v>
      </c>
      <c r="BB1364" t="str">
        <f t="shared" si="21"/>
        <v>IHVNnaLafia</v>
      </c>
    </row>
    <row r="1365" spans="48:54" x14ac:dyDescent="0.25">
      <c r="AV1365" t="s">
        <v>2127</v>
      </c>
      <c r="AW1365" t="s">
        <v>1486</v>
      </c>
      <c r="AX1365" t="s">
        <v>2044</v>
      </c>
      <c r="AY1365" t="s">
        <v>4825</v>
      </c>
      <c r="AZ1365" t="s">
        <v>4826</v>
      </c>
      <c r="BA1365" t="s">
        <v>1456</v>
      </c>
      <c r="BB1365" t="str">
        <f t="shared" si="21"/>
        <v>IHVNnaLafia</v>
      </c>
    </row>
    <row r="1366" spans="48:54" x14ac:dyDescent="0.25">
      <c r="AV1366" t="s">
        <v>2127</v>
      </c>
      <c r="AW1366" t="s">
        <v>1486</v>
      </c>
      <c r="AX1366" t="s">
        <v>2044</v>
      </c>
      <c r="AY1366" t="s">
        <v>4827</v>
      </c>
      <c r="AZ1366" t="s">
        <v>4828</v>
      </c>
      <c r="BA1366" t="s">
        <v>1456</v>
      </c>
      <c r="BB1366" t="str">
        <f t="shared" si="21"/>
        <v>IHVNnaLafia</v>
      </c>
    </row>
    <row r="1367" spans="48:54" x14ac:dyDescent="0.25">
      <c r="AV1367" t="s">
        <v>2127</v>
      </c>
      <c r="AW1367" t="s">
        <v>1486</v>
      </c>
      <c r="AX1367" t="s">
        <v>2044</v>
      </c>
      <c r="AY1367" t="s">
        <v>4829</v>
      </c>
      <c r="AZ1367" t="s">
        <v>4830</v>
      </c>
      <c r="BA1367" t="s">
        <v>1456</v>
      </c>
      <c r="BB1367" t="str">
        <f t="shared" si="21"/>
        <v>IHVNnaLafia</v>
      </c>
    </row>
    <row r="1368" spans="48:54" x14ac:dyDescent="0.25">
      <c r="AV1368" t="s">
        <v>2127</v>
      </c>
      <c r="AW1368" t="s">
        <v>1486</v>
      </c>
      <c r="AX1368" t="s">
        <v>2044</v>
      </c>
      <c r="AY1368" t="s">
        <v>4831</v>
      </c>
      <c r="AZ1368" t="s">
        <v>4832</v>
      </c>
      <c r="BA1368" t="s">
        <v>1456</v>
      </c>
      <c r="BB1368" t="str">
        <f t="shared" si="21"/>
        <v>IHVNnaLafia</v>
      </c>
    </row>
    <row r="1369" spans="48:54" x14ac:dyDescent="0.25">
      <c r="AV1369" t="s">
        <v>2127</v>
      </c>
      <c r="AW1369" t="s">
        <v>1486</v>
      </c>
      <c r="AX1369" t="s">
        <v>2044</v>
      </c>
      <c r="AY1369" t="s">
        <v>4833</v>
      </c>
      <c r="AZ1369" t="s">
        <v>4834</v>
      </c>
      <c r="BA1369" t="s">
        <v>1456</v>
      </c>
      <c r="BB1369" t="str">
        <f t="shared" si="21"/>
        <v>IHVNnaLafia</v>
      </c>
    </row>
    <row r="1370" spans="48:54" x14ac:dyDescent="0.25">
      <c r="AV1370" t="s">
        <v>2127</v>
      </c>
      <c r="AW1370" t="s">
        <v>1486</v>
      </c>
      <c r="AX1370" t="s">
        <v>2044</v>
      </c>
      <c r="AY1370" t="s">
        <v>4835</v>
      </c>
      <c r="AZ1370" t="s">
        <v>4836</v>
      </c>
      <c r="BA1370" t="s">
        <v>1456</v>
      </c>
      <c r="BB1370" t="str">
        <f t="shared" si="21"/>
        <v>IHVNnaLafia</v>
      </c>
    </row>
    <row r="1371" spans="48:54" x14ac:dyDescent="0.25">
      <c r="AV1371" t="s">
        <v>2127</v>
      </c>
      <c r="AW1371" t="s">
        <v>1486</v>
      </c>
      <c r="AX1371" t="s">
        <v>2044</v>
      </c>
      <c r="AY1371" t="s">
        <v>4837</v>
      </c>
      <c r="AZ1371" t="s">
        <v>4838</v>
      </c>
      <c r="BA1371" t="s">
        <v>1456</v>
      </c>
      <c r="BB1371" t="str">
        <f t="shared" si="21"/>
        <v>IHVNnaLafia</v>
      </c>
    </row>
    <row r="1372" spans="48:54" x14ac:dyDescent="0.25">
      <c r="AV1372" t="s">
        <v>2127</v>
      </c>
      <c r="AW1372" t="s">
        <v>1486</v>
      </c>
      <c r="AX1372" t="s">
        <v>2044</v>
      </c>
      <c r="AY1372" t="s">
        <v>4839</v>
      </c>
      <c r="AZ1372" t="s">
        <v>4840</v>
      </c>
      <c r="BA1372" t="s">
        <v>1456</v>
      </c>
      <c r="BB1372" t="str">
        <f t="shared" si="21"/>
        <v>IHVNnaLafia</v>
      </c>
    </row>
    <row r="1373" spans="48:54" x14ac:dyDescent="0.25">
      <c r="AV1373" t="s">
        <v>2127</v>
      </c>
      <c r="AW1373" t="s">
        <v>1486</v>
      </c>
      <c r="AX1373" t="s">
        <v>2044</v>
      </c>
      <c r="AY1373" t="s">
        <v>4841</v>
      </c>
      <c r="AZ1373" t="s">
        <v>4842</v>
      </c>
      <c r="BA1373" t="s">
        <v>1456</v>
      </c>
      <c r="BB1373" t="str">
        <f t="shared" si="21"/>
        <v>IHVNnaLafia</v>
      </c>
    </row>
    <row r="1374" spans="48:54" x14ac:dyDescent="0.25">
      <c r="AV1374" t="s">
        <v>2127</v>
      </c>
      <c r="AW1374" t="s">
        <v>1486</v>
      </c>
      <c r="AX1374" t="s">
        <v>2044</v>
      </c>
      <c r="AY1374" t="s">
        <v>4843</v>
      </c>
      <c r="AZ1374" t="s">
        <v>4844</v>
      </c>
      <c r="BA1374" t="s">
        <v>1456</v>
      </c>
      <c r="BB1374" t="str">
        <f t="shared" si="21"/>
        <v>IHVNnaLafia</v>
      </c>
    </row>
    <row r="1375" spans="48:54" x14ac:dyDescent="0.25">
      <c r="AV1375" t="s">
        <v>2127</v>
      </c>
      <c r="AW1375" t="s">
        <v>1486</v>
      </c>
      <c r="AX1375" t="s">
        <v>2044</v>
      </c>
      <c r="AY1375" t="s">
        <v>4845</v>
      </c>
      <c r="AZ1375" t="s">
        <v>4846</v>
      </c>
      <c r="BA1375" t="s">
        <v>1456</v>
      </c>
      <c r="BB1375" t="str">
        <f t="shared" si="21"/>
        <v>IHVNnaLafia</v>
      </c>
    </row>
    <row r="1376" spans="48:54" x14ac:dyDescent="0.25">
      <c r="AV1376" t="s">
        <v>2127</v>
      </c>
      <c r="AW1376" t="s">
        <v>1486</v>
      </c>
      <c r="AX1376" t="s">
        <v>2044</v>
      </c>
      <c r="AY1376" t="s">
        <v>4847</v>
      </c>
      <c r="AZ1376" t="s">
        <v>4848</v>
      </c>
      <c r="BA1376" t="s">
        <v>1456</v>
      </c>
      <c r="BB1376" t="str">
        <f t="shared" si="21"/>
        <v>IHVNnaLafia</v>
      </c>
    </row>
    <row r="1377" spans="48:54" x14ac:dyDescent="0.25">
      <c r="AV1377" t="s">
        <v>2127</v>
      </c>
      <c r="AW1377" t="s">
        <v>1486</v>
      </c>
      <c r="AX1377" t="s">
        <v>2044</v>
      </c>
      <c r="AY1377" t="s">
        <v>4849</v>
      </c>
      <c r="AZ1377" t="s">
        <v>4850</v>
      </c>
      <c r="BA1377" t="s">
        <v>1456</v>
      </c>
      <c r="BB1377" t="str">
        <f t="shared" si="21"/>
        <v>IHVNnaLafia</v>
      </c>
    </row>
    <row r="1378" spans="48:54" x14ac:dyDescent="0.25">
      <c r="AV1378" t="s">
        <v>2127</v>
      </c>
      <c r="AW1378" t="s">
        <v>1486</v>
      </c>
      <c r="AX1378" t="s">
        <v>2044</v>
      </c>
      <c r="AY1378" t="s">
        <v>4851</v>
      </c>
      <c r="AZ1378" t="s">
        <v>4852</v>
      </c>
      <c r="BA1378" t="s">
        <v>1456</v>
      </c>
      <c r="BB1378" t="str">
        <f t="shared" si="21"/>
        <v>IHVNnaLafia</v>
      </c>
    </row>
    <row r="1379" spans="48:54" x14ac:dyDescent="0.25">
      <c r="AV1379" t="s">
        <v>2127</v>
      </c>
      <c r="AW1379" t="s">
        <v>1486</v>
      </c>
      <c r="AX1379" t="s">
        <v>2044</v>
      </c>
      <c r="AY1379" t="s">
        <v>4853</v>
      </c>
      <c r="AZ1379" t="s">
        <v>4854</v>
      </c>
      <c r="BA1379" t="s">
        <v>1456</v>
      </c>
      <c r="BB1379" t="str">
        <f t="shared" si="21"/>
        <v>IHVNnaLafia</v>
      </c>
    </row>
    <row r="1380" spans="48:54" x14ac:dyDescent="0.25">
      <c r="AV1380" t="s">
        <v>2127</v>
      </c>
      <c r="AW1380" t="s">
        <v>1486</v>
      </c>
      <c r="AX1380" t="s">
        <v>2044</v>
      </c>
      <c r="AY1380" t="s">
        <v>4855</v>
      </c>
      <c r="AZ1380" t="s">
        <v>4856</v>
      </c>
      <c r="BA1380" t="s">
        <v>1456</v>
      </c>
      <c r="BB1380" t="str">
        <f t="shared" si="21"/>
        <v>IHVNnaLafia</v>
      </c>
    </row>
    <row r="1381" spans="48:54" x14ac:dyDescent="0.25">
      <c r="AV1381" t="s">
        <v>2127</v>
      </c>
      <c r="AW1381" t="s">
        <v>1486</v>
      </c>
      <c r="AX1381" t="s">
        <v>2044</v>
      </c>
      <c r="AY1381" t="s">
        <v>4857</v>
      </c>
      <c r="AZ1381" t="s">
        <v>4858</v>
      </c>
      <c r="BA1381" t="s">
        <v>1456</v>
      </c>
      <c r="BB1381" t="str">
        <f t="shared" si="21"/>
        <v>IHVNnaLafia</v>
      </c>
    </row>
    <row r="1382" spans="48:54" x14ac:dyDescent="0.25">
      <c r="AV1382" t="s">
        <v>2127</v>
      </c>
      <c r="AW1382" t="s">
        <v>1486</v>
      </c>
      <c r="AX1382" t="s">
        <v>2044</v>
      </c>
      <c r="AY1382" t="s">
        <v>4859</v>
      </c>
      <c r="AZ1382" t="s">
        <v>4860</v>
      </c>
      <c r="BA1382" t="s">
        <v>1456</v>
      </c>
      <c r="BB1382" t="str">
        <f t="shared" si="21"/>
        <v>IHVNnaLafia</v>
      </c>
    </row>
    <row r="1383" spans="48:54" x14ac:dyDescent="0.25">
      <c r="AV1383" t="s">
        <v>2127</v>
      </c>
      <c r="AW1383" t="s">
        <v>1486</v>
      </c>
      <c r="AX1383" t="s">
        <v>2044</v>
      </c>
      <c r="AY1383" t="s">
        <v>4861</v>
      </c>
      <c r="AZ1383" t="s">
        <v>4862</v>
      </c>
      <c r="BA1383" t="s">
        <v>1456</v>
      </c>
      <c r="BB1383" t="str">
        <f t="shared" si="21"/>
        <v>IHVNnaLafia</v>
      </c>
    </row>
    <row r="1384" spans="48:54" x14ac:dyDescent="0.25">
      <c r="AV1384" t="s">
        <v>2127</v>
      </c>
      <c r="AW1384" t="s">
        <v>1486</v>
      </c>
      <c r="AX1384" t="s">
        <v>2044</v>
      </c>
      <c r="AY1384" t="s">
        <v>4863</v>
      </c>
      <c r="AZ1384" t="s">
        <v>4864</v>
      </c>
      <c r="BA1384" t="s">
        <v>1456</v>
      </c>
      <c r="BB1384" t="str">
        <f t="shared" si="21"/>
        <v>IHVNnaLafia</v>
      </c>
    </row>
    <row r="1385" spans="48:54" x14ac:dyDescent="0.25">
      <c r="AV1385" t="s">
        <v>2127</v>
      </c>
      <c r="AW1385" t="s">
        <v>1486</v>
      </c>
      <c r="AX1385" t="s">
        <v>2044</v>
      </c>
      <c r="AY1385" t="s">
        <v>4865</v>
      </c>
      <c r="AZ1385" t="s">
        <v>4866</v>
      </c>
      <c r="BA1385" t="s">
        <v>1456</v>
      </c>
      <c r="BB1385" t="str">
        <f t="shared" si="21"/>
        <v>IHVNnaLafia</v>
      </c>
    </row>
    <row r="1386" spans="48:54" x14ac:dyDescent="0.25">
      <c r="AV1386" t="s">
        <v>2127</v>
      </c>
      <c r="AW1386" t="s">
        <v>1486</v>
      </c>
      <c r="AX1386" t="s">
        <v>2044</v>
      </c>
      <c r="AY1386" t="s">
        <v>4867</v>
      </c>
      <c r="AZ1386" t="s">
        <v>4868</v>
      </c>
      <c r="BA1386" t="s">
        <v>1456</v>
      </c>
      <c r="BB1386" t="str">
        <f t="shared" si="21"/>
        <v>IHVNnaLafia</v>
      </c>
    </row>
    <row r="1387" spans="48:54" x14ac:dyDescent="0.25">
      <c r="AV1387" t="s">
        <v>2127</v>
      </c>
      <c r="AW1387" t="s">
        <v>1486</v>
      </c>
      <c r="AX1387" t="s">
        <v>2044</v>
      </c>
      <c r="AY1387" t="s">
        <v>4869</v>
      </c>
      <c r="AZ1387" t="s">
        <v>4870</v>
      </c>
      <c r="BA1387" t="s">
        <v>1456</v>
      </c>
      <c r="BB1387" t="str">
        <f t="shared" si="21"/>
        <v>IHVNnaLafia</v>
      </c>
    </row>
    <row r="1388" spans="48:54" x14ac:dyDescent="0.25">
      <c r="AV1388" t="s">
        <v>2127</v>
      </c>
      <c r="AW1388" t="s">
        <v>1486</v>
      </c>
      <c r="AX1388" t="s">
        <v>2044</v>
      </c>
      <c r="AY1388" t="s">
        <v>4871</v>
      </c>
      <c r="AZ1388" t="s">
        <v>4872</v>
      </c>
      <c r="BA1388" t="s">
        <v>1456</v>
      </c>
      <c r="BB1388" t="str">
        <f t="shared" si="21"/>
        <v>IHVNnaLafia</v>
      </c>
    </row>
    <row r="1389" spans="48:54" x14ac:dyDescent="0.25">
      <c r="AV1389" t="s">
        <v>2127</v>
      </c>
      <c r="AW1389" t="s">
        <v>1486</v>
      </c>
      <c r="AX1389" t="s">
        <v>2044</v>
      </c>
      <c r="AY1389" t="s">
        <v>4873</v>
      </c>
      <c r="AZ1389" t="s">
        <v>4874</v>
      </c>
      <c r="BA1389" t="s">
        <v>1456</v>
      </c>
      <c r="BB1389" t="str">
        <f t="shared" si="21"/>
        <v>IHVNnaLafia</v>
      </c>
    </row>
    <row r="1390" spans="48:54" x14ac:dyDescent="0.25">
      <c r="AV1390" t="s">
        <v>2127</v>
      </c>
      <c r="AW1390" t="s">
        <v>1486</v>
      </c>
      <c r="AX1390" t="s">
        <v>2044</v>
      </c>
      <c r="AY1390" t="s">
        <v>4875</v>
      </c>
      <c r="AZ1390" t="s">
        <v>4876</v>
      </c>
      <c r="BA1390" t="s">
        <v>1456</v>
      </c>
      <c r="BB1390" t="str">
        <f t="shared" si="21"/>
        <v>IHVNnaLafia</v>
      </c>
    </row>
    <row r="1391" spans="48:54" x14ac:dyDescent="0.25">
      <c r="AV1391" t="s">
        <v>2127</v>
      </c>
      <c r="AW1391" t="s">
        <v>1486</v>
      </c>
      <c r="AX1391" t="s">
        <v>2044</v>
      </c>
      <c r="AY1391" t="s">
        <v>4877</v>
      </c>
      <c r="AZ1391" t="s">
        <v>4878</v>
      </c>
      <c r="BA1391" t="s">
        <v>1456</v>
      </c>
      <c r="BB1391" t="str">
        <f t="shared" si="21"/>
        <v>IHVNnaLafia</v>
      </c>
    </row>
    <row r="1392" spans="48:54" x14ac:dyDescent="0.25">
      <c r="AV1392" t="s">
        <v>2127</v>
      </c>
      <c r="AW1392" t="s">
        <v>1486</v>
      </c>
      <c r="AX1392" t="s">
        <v>2044</v>
      </c>
      <c r="AY1392" t="s">
        <v>4879</v>
      </c>
      <c r="AZ1392" t="s">
        <v>4880</v>
      </c>
      <c r="BA1392" t="s">
        <v>1456</v>
      </c>
      <c r="BB1392" t="str">
        <f t="shared" si="21"/>
        <v>IHVNnaLafia</v>
      </c>
    </row>
    <row r="1393" spans="48:54" x14ac:dyDescent="0.25">
      <c r="AV1393" t="s">
        <v>2127</v>
      </c>
      <c r="AW1393" t="s">
        <v>1486</v>
      </c>
      <c r="AX1393" t="s">
        <v>2044</v>
      </c>
      <c r="AY1393" t="s">
        <v>4881</v>
      </c>
      <c r="AZ1393" t="s">
        <v>4882</v>
      </c>
      <c r="BA1393" t="s">
        <v>1456</v>
      </c>
      <c r="BB1393" t="str">
        <f t="shared" si="21"/>
        <v>IHVNnaLafia</v>
      </c>
    </row>
    <row r="1394" spans="48:54" x14ac:dyDescent="0.25">
      <c r="AV1394" t="s">
        <v>2127</v>
      </c>
      <c r="AW1394" t="s">
        <v>1486</v>
      </c>
      <c r="AX1394" t="s">
        <v>2044</v>
      </c>
      <c r="AY1394" t="s">
        <v>4883</v>
      </c>
      <c r="AZ1394" t="s">
        <v>4884</v>
      </c>
      <c r="BA1394" t="s">
        <v>1456</v>
      </c>
      <c r="BB1394" t="str">
        <f t="shared" si="21"/>
        <v>IHVNnaLafia</v>
      </c>
    </row>
    <row r="1395" spans="48:54" x14ac:dyDescent="0.25">
      <c r="AV1395" t="s">
        <v>2127</v>
      </c>
      <c r="AW1395" t="s">
        <v>1486</v>
      </c>
      <c r="AX1395" t="s">
        <v>2044</v>
      </c>
      <c r="AY1395" t="s">
        <v>4885</v>
      </c>
      <c r="AZ1395" t="s">
        <v>4886</v>
      </c>
      <c r="BA1395" t="s">
        <v>1456</v>
      </c>
      <c r="BB1395" t="str">
        <f t="shared" si="21"/>
        <v>IHVNnaLafia</v>
      </c>
    </row>
    <row r="1396" spans="48:54" x14ac:dyDescent="0.25">
      <c r="AV1396" t="s">
        <v>2127</v>
      </c>
      <c r="AW1396" t="s">
        <v>1486</v>
      </c>
      <c r="AX1396" t="s">
        <v>2044</v>
      </c>
      <c r="AY1396" t="s">
        <v>4887</v>
      </c>
      <c r="AZ1396" t="s">
        <v>4888</v>
      </c>
      <c r="BA1396" t="s">
        <v>1456</v>
      </c>
      <c r="BB1396" t="str">
        <f t="shared" si="21"/>
        <v>IHVNnaLafia</v>
      </c>
    </row>
    <row r="1397" spans="48:54" x14ac:dyDescent="0.25">
      <c r="AV1397" t="s">
        <v>2127</v>
      </c>
      <c r="AW1397" t="s">
        <v>1486</v>
      </c>
      <c r="AX1397" t="s">
        <v>2044</v>
      </c>
      <c r="AY1397" t="s">
        <v>4889</v>
      </c>
      <c r="AZ1397" t="s">
        <v>4890</v>
      </c>
      <c r="BA1397" t="s">
        <v>1456</v>
      </c>
      <c r="BB1397" t="str">
        <f t="shared" si="21"/>
        <v>IHVNnaLafia</v>
      </c>
    </row>
    <row r="1398" spans="48:54" x14ac:dyDescent="0.25">
      <c r="AV1398" t="s">
        <v>2127</v>
      </c>
      <c r="AW1398" t="s">
        <v>1486</v>
      </c>
      <c r="AX1398" t="s">
        <v>2044</v>
      </c>
      <c r="AY1398" t="s">
        <v>4891</v>
      </c>
      <c r="AZ1398" t="s">
        <v>4892</v>
      </c>
      <c r="BA1398" t="s">
        <v>1456</v>
      </c>
      <c r="BB1398" t="str">
        <f t="shared" si="21"/>
        <v>IHVNnaLafia</v>
      </c>
    </row>
    <row r="1399" spans="48:54" x14ac:dyDescent="0.25">
      <c r="AV1399" t="s">
        <v>2127</v>
      </c>
      <c r="AW1399" t="s">
        <v>1486</v>
      </c>
      <c r="AX1399" t="s">
        <v>2044</v>
      </c>
      <c r="AY1399" t="s">
        <v>4893</v>
      </c>
      <c r="AZ1399" t="s">
        <v>4894</v>
      </c>
      <c r="BA1399" t="s">
        <v>1456</v>
      </c>
      <c r="BB1399" t="str">
        <f t="shared" si="21"/>
        <v>IHVNnaLafia</v>
      </c>
    </row>
    <row r="1400" spans="48:54" x14ac:dyDescent="0.25">
      <c r="AV1400" t="s">
        <v>2127</v>
      </c>
      <c r="AW1400" t="s">
        <v>1486</v>
      </c>
      <c r="AX1400" t="s">
        <v>2044</v>
      </c>
      <c r="AY1400" t="s">
        <v>4895</v>
      </c>
      <c r="AZ1400" t="s">
        <v>4896</v>
      </c>
      <c r="BA1400" t="s">
        <v>1456</v>
      </c>
      <c r="BB1400" t="str">
        <f t="shared" si="21"/>
        <v>IHVNnaLafia</v>
      </c>
    </row>
    <row r="1401" spans="48:54" x14ac:dyDescent="0.25">
      <c r="AV1401" t="s">
        <v>2127</v>
      </c>
      <c r="AW1401" t="s">
        <v>1486</v>
      </c>
      <c r="AX1401" t="s">
        <v>2044</v>
      </c>
      <c r="AY1401" t="s">
        <v>4897</v>
      </c>
      <c r="AZ1401" t="s">
        <v>4898</v>
      </c>
      <c r="BA1401" t="s">
        <v>1456</v>
      </c>
      <c r="BB1401" t="str">
        <f t="shared" si="21"/>
        <v>IHVNnaLafia</v>
      </c>
    </row>
    <row r="1402" spans="48:54" x14ac:dyDescent="0.25">
      <c r="AV1402" t="s">
        <v>2127</v>
      </c>
      <c r="AW1402" t="s">
        <v>1486</v>
      </c>
      <c r="AX1402" t="s">
        <v>2049</v>
      </c>
      <c r="AY1402" t="s">
        <v>4899</v>
      </c>
      <c r="AZ1402" t="s">
        <v>4900</v>
      </c>
      <c r="BA1402" t="s">
        <v>1456</v>
      </c>
      <c r="BB1402" t="str">
        <f t="shared" si="21"/>
        <v>IHVNnaNasarawa</v>
      </c>
    </row>
    <row r="1403" spans="48:54" x14ac:dyDescent="0.25">
      <c r="AV1403" t="s">
        <v>2127</v>
      </c>
      <c r="AW1403" t="s">
        <v>1486</v>
      </c>
      <c r="AX1403" t="s">
        <v>2049</v>
      </c>
      <c r="AY1403" t="s">
        <v>4901</v>
      </c>
      <c r="AZ1403" t="s">
        <v>4902</v>
      </c>
      <c r="BA1403" t="s">
        <v>1456</v>
      </c>
      <c r="BB1403" t="str">
        <f t="shared" si="21"/>
        <v>IHVNnaNasarawa</v>
      </c>
    </row>
    <row r="1404" spans="48:54" x14ac:dyDescent="0.25">
      <c r="AV1404" t="s">
        <v>2127</v>
      </c>
      <c r="AW1404" t="s">
        <v>1486</v>
      </c>
      <c r="AX1404" t="s">
        <v>2049</v>
      </c>
      <c r="AY1404" t="s">
        <v>4903</v>
      </c>
      <c r="AZ1404" t="s">
        <v>4904</v>
      </c>
      <c r="BA1404" t="s">
        <v>1456</v>
      </c>
      <c r="BB1404" t="str">
        <f t="shared" si="21"/>
        <v>IHVNnaNasarawa</v>
      </c>
    </row>
    <row r="1405" spans="48:54" x14ac:dyDescent="0.25">
      <c r="AV1405" t="s">
        <v>2127</v>
      </c>
      <c r="AW1405" t="s">
        <v>1486</v>
      </c>
      <c r="AX1405" t="s">
        <v>2049</v>
      </c>
      <c r="AY1405" t="s">
        <v>4905</v>
      </c>
      <c r="AZ1405" t="s">
        <v>4906</v>
      </c>
      <c r="BA1405" t="s">
        <v>1456</v>
      </c>
      <c r="BB1405" t="str">
        <f t="shared" si="21"/>
        <v>IHVNnaNasarawa</v>
      </c>
    </row>
    <row r="1406" spans="48:54" x14ac:dyDescent="0.25">
      <c r="AV1406" t="s">
        <v>2127</v>
      </c>
      <c r="AW1406" t="s">
        <v>1486</v>
      </c>
      <c r="AX1406" t="s">
        <v>2049</v>
      </c>
      <c r="AY1406" t="s">
        <v>4907</v>
      </c>
      <c r="AZ1406" t="s">
        <v>4908</v>
      </c>
      <c r="BA1406" t="s">
        <v>1456</v>
      </c>
      <c r="BB1406" t="str">
        <f t="shared" si="21"/>
        <v>IHVNnaNasarawa</v>
      </c>
    </row>
    <row r="1407" spans="48:54" x14ac:dyDescent="0.25">
      <c r="AV1407" t="s">
        <v>2127</v>
      </c>
      <c r="AW1407" t="s">
        <v>1486</v>
      </c>
      <c r="AX1407" t="s">
        <v>2049</v>
      </c>
      <c r="AY1407" t="s">
        <v>4909</v>
      </c>
      <c r="AZ1407" t="s">
        <v>4910</v>
      </c>
      <c r="BA1407" t="s">
        <v>1456</v>
      </c>
      <c r="BB1407" t="str">
        <f t="shared" si="21"/>
        <v>IHVNnaNasarawa</v>
      </c>
    </row>
    <row r="1408" spans="48:54" x14ac:dyDescent="0.25">
      <c r="AV1408" t="s">
        <v>2127</v>
      </c>
      <c r="AW1408" t="s">
        <v>1486</v>
      </c>
      <c r="AX1408" t="s">
        <v>2049</v>
      </c>
      <c r="AY1408" t="s">
        <v>4911</v>
      </c>
      <c r="AZ1408" t="s">
        <v>4912</v>
      </c>
      <c r="BA1408" t="s">
        <v>1456</v>
      </c>
      <c r="BB1408" t="str">
        <f t="shared" si="21"/>
        <v>IHVNnaNasarawa</v>
      </c>
    </row>
    <row r="1409" spans="48:54" x14ac:dyDescent="0.25">
      <c r="AV1409" t="s">
        <v>2127</v>
      </c>
      <c r="AW1409" t="s">
        <v>1486</v>
      </c>
      <c r="AX1409" t="s">
        <v>2049</v>
      </c>
      <c r="AY1409" t="s">
        <v>4913</v>
      </c>
      <c r="AZ1409" t="s">
        <v>4914</v>
      </c>
      <c r="BA1409" t="s">
        <v>1456</v>
      </c>
      <c r="BB1409" t="str">
        <f t="shared" si="21"/>
        <v>IHVNnaNasarawa</v>
      </c>
    </row>
    <row r="1410" spans="48:54" x14ac:dyDescent="0.25">
      <c r="AV1410" t="s">
        <v>2127</v>
      </c>
      <c r="AW1410" t="s">
        <v>1486</v>
      </c>
      <c r="AX1410" t="s">
        <v>2049</v>
      </c>
      <c r="AY1410" t="s">
        <v>4915</v>
      </c>
      <c r="AZ1410" t="s">
        <v>4916</v>
      </c>
      <c r="BA1410" t="s">
        <v>1456</v>
      </c>
      <c r="BB1410" t="str">
        <f t="shared" si="21"/>
        <v>IHVNnaNasarawa</v>
      </c>
    </row>
    <row r="1411" spans="48:54" x14ac:dyDescent="0.25">
      <c r="AV1411" t="s">
        <v>2127</v>
      </c>
      <c r="AW1411" t="s">
        <v>1486</v>
      </c>
      <c r="AX1411" t="s">
        <v>2049</v>
      </c>
      <c r="AY1411" t="s">
        <v>4917</v>
      </c>
      <c r="AZ1411" t="s">
        <v>4918</v>
      </c>
      <c r="BA1411" t="s">
        <v>1456</v>
      </c>
      <c r="BB1411" t="str">
        <f t="shared" ref="BB1411:BB1474" si="22">SUBSTITUTE(SUBSTITUTE(BA1411&amp;AX1411," ",""),"-","")</f>
        <v>IHVNnaNasarawa</v>
      </c>
    </row>
    <row r="1412" spans="48:54" x14ac:dyDescent="0.25">
      <c r="AV1412" t="s">
        <v>2127</v>
      </c>
      <c r="AW1412" t="s">
        <v>1486</v>
      </c>
      <c r="AX1412" t="s">
        <v>2049</v>
      </c>
      <c r="AY1412" t="s">
        <v>4919</v>
      </c>
      <c r="AZ1412" t="s">
        <v>4920</v>
      </c>
      <c r="BA1412" t="s">
        <v>1456</v>
      </c>
      <c r="BB1412" t="str">
        <f t="shared" si="22"/>
        <v>IHVNnaNasarawa</v>
      </c>
    </row>
    <row r="1413" spans="48:54" x14ac:dyDescent="0.25">
      <c r="AV1413" t="s">
        <v>2127</v>
      </c>
      <c r="AW1413" t="s">
        <v>1486</v>
      </c>
      <c r="AX1413" t="s">
        <v>2049</v>
      </c>
      <c r="AY1413" t="s">
        <v>4921</v>
      </c>
      <c r="AZ1413" t="s">
        <v>4922</v>
      </c>
      <c r="BA1413" t="s">
        <v>1456</v>
      </c>
      <c r="BB1413" t="str">
        <f t="shared" si="22"/>
        <v>IHVNnaNasarawa</v>
      </c>
    </row>
    <row r="1414" spans="48:54" x14ac:dyDescent="0.25">
      <c r="AV1414" t="s">
        <v>2127</v>
      </c>
      <c r="AW1414" t="s">
        <v>1486</v>
      </c>
      <c r="AX1414" t="s">
        <v>2049</v>
      </c>
      <c r="AY1414" t="s">
        <v>4923</v>
      </c>
      <c r="AZ1414" t="s">
        <v>4924</v>
      </c>
      <c r="BA1414" t="s">
        <v>1456</v>
      </c>
      <c r="BB1414" t="str">
        <f t="shared" si="22"/>
        <v>IHVNnaNasarawa</v>
      </c>
    </row>
    <row r="1415" spans="48:54" x14ac:dyDescent="0.25">
      <c r="AV1415" t="s">
        <v>2127</v>
      </c>
      <c r="AW1415" t="s">
        <v>1486</v>
      </c>
      <c r="AX1415" t="s">
        <v>2049</v>
      </c>
      <c r="AY1415" t="s">
        <v>4925</v>
      </c>
      <c r="AZ1415" t="s">
        <v>4926</v>
      </c>
      <c r="BA1415" t="s">
        <v>1456</v>
      </c>
      <c r="BB1415" t="str">
        <f t="shared" si="22"/>
        <v>IHVNnaNasarawa</v>
      </c>
    </row>
    <row r="1416" spans="48:54" x14ac:dyDescent="0.25">
      <c r="AV1416" t="s">
        <v>2127</v>
      </c>
      <c r="AW1416" t="s">
        <v>1486</v>
      </c>
      <c r="AX1416" t="s">
        <v>2049</v>
      </c>
      <c r="AY1416" t="s">
        <v>4927</v>
      </c>
      <c r="AZ1416" t="s">
        <v>4928</v>
      </c>
      <c r="BA1416" t="s">
        <v>1456</v>
      </c>
      <c r="BB1416" t="str">
        <f t="shared" si="22"/>
        <v>IHVNnaNasarawa</v>
      </c>
    </row>
    <row r="1417" spans="48:54" x14ac:dyDescent="0.25">
      <c r="AV1417" t="s">
        <v>2127</v>
      </c>
      <c r="AW1417" t="s">
        <v>1486</v>
      </c>
      <c r="AX1417" t="s">
        <v>2049</v>
      </c>
      <c r="AY1417" t="s">
        <v>4929</v>
      </c>
      <c r="AZ1417" t="s">
        <v>4930</v>
      </c>
      <c r="BA1417" t="s">
        <v>1456</v>
      </c>
      <c r="BB1417" t="str">
        <f t="shared" si="22"/>
        <v>IHVNnaNasarawa</v>
      </c>
    </row>
    <row r="1418" spans="48:54" x14ac:dyDescent="0.25">
      <c r="AV1418" t="s">
        <v>2127</v>
      </c>
      <c r="AW1418" t="s">
        <v>1486</v>
      </c>
      <c r="AX1418" t="s">
        <v>2049</v>
      </c>
      <c r="AY1418" t="s">
        <v>4931</v>
      </c>
      <c r="AZ1418" t="s">
        <v>4932</v>
      </c>
      <c r="BA1418" t="s">
        <v>1456</v>
      </c>
      <c r="BB1418" t="str">
        <f t="shared" si="22"/>
        <v>IHVNnaNasarawa</v>
      </c>
    </row>
    <row r="1419" spans="48:54" x14ac:dyDescent="0.25">
      <c r="AV1419" t="s">
        <v>2127</v>
      </c>
      <c r="AW1419" t="s">
        <v>1486</v>
      </c>
      <c r="AX1419" t="s">
        <v>2049</v>
      </c>
      <c r="AY1419" t="s">
        <v>4933</v>
      </c>
      <c r="AZ1419" t="s">
        <v>4934</v>
      </c>
      <c r="BA1419" t="s">
        <v>1456</v>
      </c>
      <c r="BB1419" t="str">
        <f t="shared" si="22"/>
        <v>IHVNnaNasarawa</v>
      </c>
    </row>
    <row r="1420" spans="48:54" x14ac:dyDescent="0.25">
      <c r="AV1420" t="s">
        <v>2127</v>
      </c>
      <c r="AW1420" t="s">
        <v>1486</v>
      </c>
      <c r="AX1420" t="s">
        <v>2049</v>
      </c>
      <c r="AY1420" t="s">
        <v>4935</v>
      </c>
      <c r="AZ1420" t="s">
        <v>4936</v>
      </c>
      <c r="BA1420" t="s">
        <v>1456</v>
      </c>
      <c r="BB1420" t="str">
        <f t="shared" si="22"/>
        <v>IHVNnaNasarawa</v>
      </c>
    </row>
    <row r="1421" spans="48:54" x14ac:dyDescent="0.25">
      <c r="AV1421" t="s">
        <v>2127</v>
      </c>
      <c r="AW1421" t="s">
        <v>1486</v>
      </c>
      <c r="AX1421" t="s">
        <v>2049</v>
      </c>
      <c r="AY1421" t="s">
        <v>4937</v>
      </c>
      <c r="AZ1421" t="s">
        <v>4938</v>
      </c>
      <c r="BA1421" t="s">
        <v>1456</v>
      </c>
      <c r="BB1421" t="str">
        <f t="shared" si="22"/>
        <v>IHVNnaNasarawa</v>
      </c>
    </row>
    <row r="1422" spans="48:54" x14ac:dyDescent="0.25">
      <c r="AV1422" t="s">
        <v>2127</v>
      </c>
      <c r="AW1422" t="s">
        <v>1486</v>
      </c>
      <c r="AX1422" t="s">
        <v>2049</v>
      </c>
      <c r="AY1422" t="s">
        <v>4939</v>
      </c>
      <c r="AZ1422" t="s">
        <v>4940</v>
      </c>
      <c r="BA1422" t="s">
        <v>1456</v>
      </c>
      <c r="BB1422" t="str">
        <f t="shared" si="22"/>
        <v>IHVNnaNasarawa</v>
      </c>
    </row>
    <row r="1423" spans="48:54" x14ac:dyDescent="0.25">
      <c r="AV1423" t="s">
        <v>2127</v>
      </c>
      <c r="AW1423" t="s">
        <v>1486</v>
      </c>
      <c r="AX1423" t="s">
        <v>2049</v>
      </c>
      <c r="AY1423" t="s">
        <v>4941</v>
      </c>
      <c r="AZ1423" t="s">
        <v>4942</v>
      </c>
      <c r="BA1423" t="s">
        <v>1456</v>
      </c>
      <c r="BB1423" t="str">
        <f t="shared" si="22"/>
        <v>IHVNnaNasarawa</v>
      </c>
    </row>
    <row r="1424" spans="48:54" x14ac:dyDescent="0.25">
      <c r="AV1424" t="s">
        <v>2127</v>
      </c>
      <c r="AW1424" t="s">
        <v>1486</v>
      </c>
      <c r="AX1424" t="s">
        <v>2049</v>
      </c>
      <c r="AY1424" t="s">
        <v>4943</v>
      </c>
      <c r="AZ1424" t="s">
        <v>4944</v>
      </c>
      <c r="BA1424" t="s">
        <v>1456</v>
      </c>
      <c r="BB1424" t="str">
        <f t="shared" si="22"/>
        <v>IHVNnaNasarawa</v>
      </c>
    </row>
    <row r="1425" spans="48:54" x14ac:dyDescent="0.25">
      <c r="AV1425" t="s">
        <v>2127</v>
      </c>
      <c r="AW1425" t="s">
        <v>1486</v>
      </c>
      <c r="AX1425" t="s">
        <v>2049</v>
      </c>
      <c r="AY1425" t="s">
        <v>4945</v>
      </c>
      <c r="AZ1425" t="s">
        <v>4946</v>
      </c>
      <c r="BA1425" t="s">
        <v>1456</v>
      </c>
      <c r="BB1425" t="str">
        <f t="shared" si="22"/>
        <v>IHVNnaNasarawa</v>
      </c>
    </row>
    <row r="1426" spans="48:54" x14ac:dyDescent="0.25">
      <c r="AV1426" t="s">
        <v>2127</v>
      </c>
      <c r="AW1426" t="s">
        <v>1486</v>
      </c>
      <c r="AX1426" t="s">
        <v>2049</v>
      </c>
      <c r="AY1426" t="s">
        <v>4947</v>
      </c>
      <c r="AZ1426" t="s">
        <v>4948</v>
      </c>
      <c r="BA1426" t="s">
        <v>1456</v>
      </c>
      <c r="BB1426" t="str">
        <f t="shared" si="22"/>
        <v>IHVNnaNasarawa</v>
      </c>
    </row>
    <row r="1427" spans="48:54" x14ac:dyDescent="0.25">
      <c r="AV1427" t="s">
        <v>2127</v>
      </c>
      <c r="AW1427" t="s">
        <v>1486</v>
      </c>
      <c r="AX1427" t="s">
        <v>2049</v>
      </c>
      <c r="AY1427" t="s">
        <v>4949</v>
      </c>
      <c r="AZ1427" t="s">
        <v>4950</v>
      </c>
      <c r="BA1427" t="s">
        <v>1456</v>
      </c>
      <c r="BB1427" t="str">
        <f t="shared" si="22"/>
        <v>IHVNnaNasarawa</v>
      </c>
    </row>
    <row r="1428" spans="48:54" x14ac:dyDescent="0.25">
      <c r="AV1428" t="s">
        <v>2127</v>
      </c>
      <c r="AW1428" t="s">
        <v>1486</v>
      </c>
      <c r="AX1428" t="s">
        <v>2049</v>
      </c>
      <c r="AY1428" t="s">
        <v>4951</v>
      </c>
      <c r="AZ1428" t="s">
        <v>4952</v>
      </c>
      <c r="BA1428" t="s">
        <v>1456</v>
      </c>
      <c r="BB1428" t="str">
        <f t="shared" si="22"/>
        <v>IHVNnaNasarawa</v>
      </c>
    </row>
    <row r="1429" spans="48:54" x14ac:dyDescent="0.25">
      <c r="AV1429" t="s">
        <v>2127</v>
      </c>
      <c r="AW1429" t="s">
        <v>1486</v>
      </c>
      <c r="AX1429" t="s">
        <v>2050</v>
      </c>
      <c r="AY1429" t="s">
        <v>4953</v>
      </c>
      <c r="AZ1429" t="s">
        <v>4954</v>
      </c>
      <c r="BA1429" t="s">
        <v>1456</v>
      </c>
      <c r="BB1429" t="str">
        <f t="shared" si="22"/>
        <v>IHVNnaNasarawaEggon</v>
      </c>
    </row>
    <row r="1430" spans="48:54" x14ac:dyDescent="0.25">
      <c r="AV1430" t="s">
        <v>2127</v>
      </c>
      <c r="AW1430" t="s">
        <v>1486</v>
      </c>
      <c r="AX1430" t="s">
        <v>2045</v>
      </c>
      <c r="AY1430" t="s">
        <v>4955</v>
      </c>
      <c r="AZ1430" t="s">
        <v>4956</v>
      </c>
      <c r="BA1430" t="s">
        <v>1456</v>
      </c>
      <c r="BB1430" t="str">
        <f t="shared" si="22"/>
        <v>IHVNnaObi</v>
      </c>
    </row>
    <row r="1431" spans="48:54" x14ac:dyDescent="0.25">
      <c r="AV1431" t="s">
        <v>2127</v>
      </c>
      <c r="AW1431" t="s">
        <v>1486</v>
      </c>
      <c r="AX1431" t="s">
        <v>2045</v>
      </c>
      <c r="AY1431" t="s">
        <v>4957</v>
      </c>
      <c r="AZ1431" t="s">
        <v>4958</v>
      </c>
      <c r="BA1431" t="s">
        <v>1456</v>
      </c>
      <c r="BB1431" t="str">
        <f t="shared" si="22"/>
        <v>IHVNnaObi</v>
      </c>
    </row>
    <row r="1432" spans="48:54" x14ac:dyDescent="0.25">
      <c r="AV1432" t="s">
        <v>2127</v>
      </c>
      <c r="AW1432" t="s">
        <v>1486</v>
      </c>
      <c r="AX1432" t="s">
        <v>2045</v>
      </c>
      <c r="AY1432" t="s">
        <v>4959</v>
      </c>
      <c r="AZ1432" t="s">
        <v>4960</v>
      </c>
      <c r="BA1432" t="s">
        <v>1456</v>
      </c>
      <c r="BB1432" t="str">
        <f t="shared" si="22"/>
        <v>IHVNnaObi</v>
      </c>
    </row>
    <row r="1433" spans="48:54" x14ac:dyDescent="0.25">
      <c r="AV1433" t="s">
        <v>2127</v>
      </c>
      <c r="AW1433" t="s">
        <v>1486</v>
      </c>
      <c r="AX1433" t="s">
        <v>2045</v>
      </c>
      <c r="AY1433" t="s">
        <v>4961</v>
      </c>
      <c r="AZ1433" t="s">
        <v>4962</v>
      </c>
      <c r="BA1433" t="s">
        <v>1456</v>
      </c>
      <c r="BB1433" t="str">
        <f t="shared" si="22"/>
        <v>IHVNnaObi</v>
      </c>
    </row>
    <row r="1434" spans="48:54" x14ac:dyDescent="0.25">
      <c r="AV1434" t="s">
        <v>2127</v>
      </c>
      <c r="AW1434" t="s">
        <v>1486</v>
      </c>
      <c r="AX1434" t="s">
        <v>2045</v>
      </c>
      <c r="AY1434" t="s">
        <v>4963</v>
      </c>
      <c r="AZ1434" t="s">
        <v>4964</v>
      </c>
      <c r="BA1434" t="s">
        <v>1456</v>
      </c>
      <c r="BB1434" t="str">
        <f t="shared" si="22"/>
        <v>IHVNnaObi</v>
      </c>
    </row>
    <row r="1435" spans="48:54" x14ac:dyDescent="0.25">
      <c r="AV1435" t="s">
        <v>2127</v>
      </c>
      <c r="AW1435" t="s">
        <v>1486</v>
      </c>
      <c r="AX1435" t="s">
        <v>2045</v>
      </c>
      <c r="AY1435" t="s">
        <v>4965</v>
      </c>
      <c r="AZ1435" t="s">
        <v>4966</v>
      </c>
      <c r="BA1435" t="s">
        <v>1456</v>
      </c>
      <c r="BB1435" t="str">
        <f t="shared" si="22"/>
        <v>IHVNnaObi</v>
      </c>
    </row>
    <row r="1436" spans="48:54" x14ac:dyDescent="0.25">
      <c r="AV1436" t="s">
        <v>2127</v>
      </c>
      <c r="AW1436" t="s">
        <v>1486</v>
      </c>
      <c r="AX1436" t="s">
        <v>2045</v>
      </c>
      <c r="AY1436" t="s">
        <v>4967</v>
      </c>
      <c r="AZ1436" t="s">
        <v>4968</v>
      </c>
      <c r="BA1436" t="s">
        <v>1456</v>
      </c>
      <c r="BB1436" t="str">
        <f t="shared" si="22"/>
        <v>IHVNnaObi</v>
      </c>
    </row>
    <row r="1437" spans="48:54" x14ac:dyDescent="0.25">
      <c r="AV1437" t="s">
        <v>2127</v>
      </c>
      <c r="AW1437" t="s">
        <v>1486</v>
      </c>
      <c r="AX1437" t="s">
        <v>2045</v>
      </c>
      <c r="AY1437" t="s">
        <v>4969</v>
      </c>
      <c r="AZ1437" t="s">
        <v>4970</v>
      </c>
      <c r="BA1437" t="s">
        <v>1456</v>
      </c>
      <c r="BB1437" t="str">
        <f t="shared" si="22"/>
        <v>IHVNnaObi</v>
      </c>
    </row>
    <row r="1438" spans="48:54" x14ac:dyDescent="0.25">
      <c r="AV1438" t="s">
        <v>2127</v>
      </c>
      <c r="AW1438" t="s">
        <v>1486</v>
      </c>
      <c r="AX1438" t="s">
        <v>2045</v>
      </c>
      <c r="AY1438" t="s">
        <v>4971</v>
      </c>
      <c r="AZ1438" t="s">
        <v>4972</v>
      </c>
      <c r="BA1438" t="s">
        <v>1456</v>
      </c>
      <c r="BB1438" t="str">
        <f t="shared" si="22"/>
        <v>IHVNnaObi</v>
      </c>
    </row>
    <row r="1439" spans="48:54" x14ac:dyDescent="0.25">
      <c r="AV1439" t="s">
        <v>2127</v>
      </c>
      <c r="AW1439" t="s">
        <v>1486</v>
      </c>
      <c r="AX1439" t="s">
        <v>2045</v>
      </c>
      <c r="AY1439" t="s">
        <v>4973</v>
      </c>
      <c r="AZ1439" t="s">
        <v>4974</v>
      </c>
      <c r="BA1439" t="s">
        <v>1456</v>
      </c>
      <c r="BB1439" t="str">
        <f t="shared" si="22"/>
        <v>IHVNnaObi</v>
      </c>
    </row>
    <row r="1440" spans="48:54" x14ac:dyDescent="0.25">
      <c r="AV1440" t="s">
        <v>2127</v>
      </c>
      <c r="AW1440" t="s">
        <v>1486</v>
      </c>
      <c r="AX1440" t="s">
        <v>2045</v>
      </c>
      <c r="AY1440" t="s">
        <v>4975</v>
      </c>
      <c r="AZ1440" t="s">
        <v>4976</v>
      </c>
      <c r="BA1440" t="s">
        <v>1456</v>
      </c>
      <c r="BB1440" t="str">
        <f t="shared" si="22"/>
        <v>IHVNnaObi</v>
      </c>
    </row>
    <row r="1441" spans="48:54" x14ac:dyDescent="0.25">
      <c r="AV1441" t="s">
        <v>2127</v>
      </c>
      <c r="AW1441" t="s">
        <v>1486</v>
      </c>
      <c r="AX1441" t="s">
        <v>2045</v>
      </c>
      <c r="AY1441" t="s">
        <v>4977</v>
      </c>
      <c r="AZ1441" t="s">
        <v>4978</v>
      </c>
      <c r="BA1441" t="s">
        <v>1456</v>
      </c>
      <c r="BB1441" t="str">
        <f t="shared" si="22"/>
        <v>IHVNnaObi</v>
      </c>
    </row>
    <row r="1442" spans="48:54" x14ac:dyDescent="0.25">
      <c r="AV1442" t="s">
        <v>2127</v>
      </c>
      <c r="AW1442" t="s">
        <v>1486</v>
      </c>
      <c r="AX1442" t="s">
        <v>2045</v>
      </c>
      <c r="AY1442" t="s">
        <v>4979</v>
      </c>
      <c r="AZ1442" t="s">
        <v>4980</v>
      </c>
      <c r="BA1442" t="s">
        <v>1456</v>
      </c>
      <c r="BB1442" t="str">
        <f t="shared" si="22"/>
        <v>IHVNnaObi</v>
      </c>
    </row>
    <row r="1443" spans="48:54" x14ac:dyDescent="0.25">
      <c r="AV1443" t="s">
        <v>2127</v>
      </c>
      <c r="AW1443" t="s">
        <v>1486</v>
      </c>
      <c r="AX1443" t="s">
        <v>2051</v>
      </c>
      <c r="AY1443" t="s">
        <v>4981</v>
      </c>
      <c r="AZ1443" t="s">
        <v>4982</v>
      </c>
      <c r="BA1443" t="s">
        <v>1456</v>
      </c>
      <c r="BB1443" t="str">
        <f t="shared" si="22"/>
        <v>IHVNnaToto</v>
      </c>
    </row>
    <row r="1444" spans="48:54" x14ac:dyDescent="0.25">
      <c r="AV1444" t="s">
        <v>2127</v>
      </c>
      <c r="AW1444" t="s">
        <v>1486</v>
      </c>
      <c r="AX1444" t="s">
        <v>2051</v>
      </c>
      <c r="AY1444" t="s">
        <v>4983</v>
      </c>
      <c r="AZ1444" t="s">
        <v>4984</v>
      </c>
      <c r="BA1444" t="s">
        <v>1456</v>
      </c>
      <c r="BB1444" t="str">
        <f t="shared" si="22"/>
        <v>IHVNnaToto</v>
      </c>
    </row>
    <row r="1445" spans="48:54" x14ac:dyDescent="0.25">
      <c r="AV1445" t="s">
        <v>2127</v>
      </c>
      <c r="AW1445" t="s">
        <v>1486</v>
      </c>
      <c r="AX1445" t="s">
        <v>2051</v>
      </c>
      <c r="AY1445" t="s">
        <v>4985</v>
      </c>
      <c r="AZ1445" t="s">
        <v>4986</v>
      </c>
      <c r="BA1445" t="s">
        <v>1456</v>
      </c>
      <c r="BB1445" t="str">
        <f t="shared" si="22"/>
        <v>IHVNnaToto</v>
      </c>
    </row>
    <row r="1446" spans="48:54" x14ac:dyDescent="0.25">
      <c r="AV1446" t="s">
        <v>2127</v>
      </c>
      <c r="AW1446" t="s">
        <v>1488</v>
      </c>
      <c r="AX1446" t="s">
        <v>2058</v>
      </c>
      <c r="AY1446" t="s">
        <v>4987</v>
      </c>
      <c r="AZ1446" t="s">
        <v>4988</v>
      </c>
      <c r="BA1446" t="s">
        <v>1456</v>
      </c>
      <c r="BB1446" t="str">
        <f t="shared" si="22"/>
        <v>IHVNogAbeokutaNorth</v>
      </c>
    </row>
    <row r="1447" spans="48:54" x14ac:dyDescent="0.25">
      <c r="AV1447" t="s">
        <v>2127</v>
      </c>
      <c r="AW1447" t="s">
        <v>1488</v>
      </c>
      <c r="AX1447" t="s">
        <v>2059</v>
      </c>
      <c r="AY1447" t="s">
        <v>4989</v>
      </c>
      <c r="AZ1447" t="s">
        <v>4990</v>
      </c>
      <c r="BA1447" t="s">
        <v>1456</v>
      </c>
      <c r="BB1447" t="str">
        <f t="shared" si="22"/>
        <v>IHVNogAbeokutaSouth</v>
      </c>
    </row>
    <row r="1448" spans="48:54" x14ac:dyDescent="0.25">
      <c r="AV1448" t="s">
        <v>2127</v>
      </c>
      <c r="AW1448" t="s">
        <v>1488</v>
      </c>
      <c r="AX1448" t="s">
        <v>2059</v>
      </c>
      <c r="AY1448" t="s">
        <v>4991</v>
      </c>
      <c r="AZ1448" t="s">
        <v>4992</v>
      </c>
      <c r="BA1448" t="s">
        <v>1456</v>
      </c>
      <c r="BB1448" t="str">
        <f t="shared" si="22"/>
        <v>IHVNogAbeokutaSouth</v>
      </c>
    </row>
    <row r="1449" spans="48:54" x14ac:dyDescent="0.25">
      <c r="AV1449" t="s">
        <v>2127</v>
      </c>
      <c r="AW1449" t="s">
        <v>1488</v>
      </c>
      <c r="AX1449" t="s">
        <v>2057</v>
      </c>
      <c r="AY1449" t="s">
        <v>4993</v>
      </c>
      <c r="AZ1449" t="s">
        <v>4994</v>
      </c>
      <c r="BA1449" t="s">
        <v>1456</v>
      </c>
      <c r="BB1449" t="str">
        <f t="shared" si="22"/>
        <v>IHVNogIfo</v>
      </c>
    </row>
    <row r="1450" spans="48:54" x14ac:dyDescent="0.25">
      <c r="AV1450" t="s">
        <v>2127</v>
      </c>
      <c r="AW1450" t="s">
        <v>1488</v>
      </c>
      <c r="AX1450" t="s">
        <v>2057</v>
      </c>
      <c r="AY1450" t="s">
        <v>4995</v>
      </c>
      <c r="AZ1450" t="s">
        <v>4996</v>
      </c>
      <c r="BA1450" t="s">
        <v>1456</v>
      </c>
      <c r="BB1450" t="str">
        <f t="shared" si="22"/>
        <v>IHVNogIfo</v>
      </c>
    </row>
    <row r="1451" spans="48:54" x14ac:dyDescent="0.25">
      <c r="AV1451" t="s">
        <v>2127</v>
      </c>
      <c r="AW1451" t="s">
        <v>1488</v>
      </c>
      <c r="AX1451" t="s">
        <v>2060</v>
      </c>
      <c r="AY1451" t="s">
        <v>4997</v>
      </c>
      <c r="AZ1451" t="s">
        <v>4998</v>
      </c>
      <c r="BA1451" t="s">
        <v>1456</v>
      </c>
      <c r="BB1451" t="str">
        <f t="shared" si="22"/>
        <v>IHVNogIjebuOde</v>
      </c>
    </row>
    <row r="1452" spans="48:54" x14ac:dyDescent="0.25">
      <c r="AV1452" t="s">
        <v>2127</v>
      </c>
      <c r="AW1452" t="s">
        <v>1488</v>
      </c>
      <c r="AX1452" t="s">
        <v>2060</v>
      </c>
      <c r="AY1452" t="s">
        <v>4999</v>
      </c>
      <c r="AZ1452" t="s">
        <v>5000</v>
      </c>
      <c r="BA1452" t="s">
        <v>1456</v>
      </c>
      <c r="BB1452" t="str">
        <f t="shared" si="22"/>
        <v>IHVNogIjebuOde</v>
      </c>
    </row>
    <row r="1453" spans="48:54" x14ac:dyDescent="0.25">
      <c r="AV1453" t="s">
        <v>2127</v>
      </c>
      <c r="AW1453" t="s">
        <v>1488</v>
      </c>
      <c r="AX1453" t="s">
        <v>2061</v>
      </c>
      <c r="AY1453" t="s">
        <v>5001</v>
      </c>
      <c r="AZ1453" t="s">
        <v>5002</v>
      </c>
      <c r="BA1453" t="s">
        <v>1456</v>
      </c>
      <c r="BB1453" t="str">
        <f t="shared" si="22"/>
        <v>IHVNogSagamu</v>
      </c>
    </row>
    <row r="1454" spans="48:54" x14ac:dyDescent="0.25">
      <c r="AV1454" t="s">
        <v>2127</v>
      </c>
      <c r="AW1454" t="s">
        <v>1488</v>
      </c>
      <c r="AX1454" t="s">
        <v>2061</v>
      </c>
      <c r="AY1454" t="s">
        <v>5003</v>
      </c>
      <c r="AZ1454" t="s">
        <v>5004</v>
      </c>
      <c r="BA1454" t="s">
        <v>1456</v>
      </c>
      <c r="BB1454" t="str">
        <f t="shared" si="22"/>
        <v>IHVNogSagamu</v>
      </c>
    </row>
    <row r="1455" spans="48:54" x14ac:dyDescent="0.25">
      <c r="AV1455" t="s">
        <v>2127</v>
      </c>
      <c r="AW1455" t="s">
        <v>1489</v>
      </c>
      <c r="AX1455" t="s">
        <v>2066</v>
      </c>
      <c r="AY1455" t="s">
        <v>5005</v>
      </c>
      <c r="AZ1455" t="s">
        <v>5006</v>
      </c>
      <c r="BA1455" t="s">
        <v>1456</v>
      </c>
      <c r="BB1455" t="str">
        <f t="shared" si="22"/>
        <v>IHVNonAkokoNorthEast</v>
      </c>
    </row>
    <row r="1456" spans="48:54" x14ac:dyDescent="0.25">
      <c r="AV1456" t="s">
        <v>2127</v>
      </c>
      <c r="AW1456" t="s">
        <v>1489</v>
      </c>
      <c r="AX1456" t="s">
        <v>2062</v>
      </c>
      <c r="AY1456" t="s">
        <v>5007</v>
      </c>
      <c r="AZ1456" t="s">
        <v>5008</v>
      </c>
      <c r="BA1456" t="s">
        <v>1456</v>
      </c>
      <c r="BB1456" t="str">
        <f t="shared" si="22"/>
        <v>IHVNonAkokoSouthWest</v>
      </c>
    </row>
    <row r="1457" spans="48:54" x14ac:dyDescent="0.25">
      <c r="AV1457" t="s">
        <v>2127</v>
      </c>
      <c r="AW1457" t="s">
        <v>1489</v>
      </c>
      <c r="AX1457" t="s">
        <v>2067</v>
      </c>
      <c r="AY1457" t="s">
        <v>5009</v>
      </c>
      <c r="AZ1457" t="s">
        <v>5010</v>
      </c>
      <c r="BA1457" t="s">
        <v>1456</v>
      </c>
      <c r="BB1457" t="str">
        <f t="shared" si="22"/>
        <v>IHVNonAkureSouth</v>
      </c>
    </row>
    <row r="1458" spans="48:54" x14ac:dyDescent="0.25">
      <c r="AV1458" t="s">
        <v>2127</v>
      </c>
      <c r="AW1458" t="s">
        <v>1489</v>
      </c>
      <c r="AX1458" t="s">
        <v>2067</v>
      </c>
      <c r="AY1458" t="s">
        <v>5011</v>
      </c>
      <c r="AZ1458" t="s">
        <v>5012</v>
      </c>
      <c r="BA1458" t="s">
        <v>1456</v>
      </c>
      <c r="BB1458" t="str">
        <f t="shared" si="22"/>
        <v>IHVNonAkureSouth</v>
      </c>
    </row>
    <row r="1459" spans="48:54" x14ac:dyDescent="0.25">
      <c r="AV1459" t="s">
        <v>2127</v>
      </c>
      <c r="AW1459" t="s">
        <v>1489</v>
      </c>
      <c r="AX1459" t="s">
        <v>2067</v>
      </c>
      <c r="AY1459" t="s">
        <v>5013</v>
      </c>
      <c r="AZ1459" t="s">
        <v>5014</v>
      </c>
      <c r="BA1459" t="s">
        <v>1456</v>
      </c>
      <c r="BB1459" t="str">
        <f t="shared" si="22"/>
        <v>IHVNonAkureSouth</v>
      </c>
    </row>
    <row r="1460" spans="48:54" x14ac:dyDescent="0.25">
      <c r="AV1460" t="s">
        <v>2127</v>
      </c>
      <c r="AW1460" t="s">
        <v>1489</v>
      </c>
      <c r="AX1460" t="s">
        <v>2068</v>
      </c>
      <c r="AY1460" t="s">
        <v>5015</v>
      </c>
      <c r="AZ1460" t="s">
        <v>5016</v>
      </c>
      <c r="BA1460" t="s">
        <v>1456</v>
      </c>
      <c r="BB1460" t="str">
        <f t="shared" si="22"/>
        <v>IHVNonOdigbo</v>
      </c>
    </row>
    <row r="1461" spans="48:54" x14ac:dyDescent="0.25">
      <c r="AV1461" t="s">
        <v>2127</v>
      </c>
      <c r="AW1461" t="s">
        <v>1489</v>
      </c>
      <c r="AX1461" t="s">
        <v>2064</v>
      </c>
      <c r="AY1461" t="s">
        <v>5017</v>
      </c>
      <c r="AZ1461" t="s">
        <v>5018</v>
      </c>
      <c r="BA1461" t="s">
        <v>1456</v>
      </c>
      <c r="BB1461" t="str">
        <f t="shared" si="22"/>
        <v>IHVNonOndoWest</v>
      </c>
    </row>
    <row r="1462" spans="48:54" x14ac:dyDescent="0.25">
      <c r="AV1462" t="s">
        <v>2127</v>
      </c>
      <c r="AW1462" t="s">
        <v>1489</v>
      </c>
      <c r="AX1462" t="s">
        <v>2065</v>
      </c>
      <c r="AY1462" t="s">
        <v>5019</v>
      </c>
      <c r="AZ1462" t="s">
        <v>5020</v>
      </c>
      <c r="BA1462" t="s">
        <v>1456</v>
      </c>
      <c r="BB1462" t="str">
        <f t="shared" si="22"/>
        <v>IHVNonOwo</v>
      </c>
    </row>
    <row r="1463" spans="48:54" x14ac:dyDescent="0.25">
      <c r="AV1463" t="s">
        <v>2127</v>
      </c>
      <c r="AW1463" t="s">
        <v>1490</v>
      </c>
      <c r="AX1463" t="s">
        <v>2072</v>
      </c>
      <c r="AY1463" t="s">
        <v>5021</v>
      </c>
      <c r="AZ1463" t="s">
        <v>5022</v>
      </c>
      <c r="BA1463" t="s">
        <v>1456</v>
      </c>
      <c r="BB1463" t="str">
        <f t="shared" si="22"/>
        <v>IHVNosEdeSouth</v>
      </c>
    </row>
    <row r="1464" spans="48:54" x14ac:dyDescent="0.25">
      <c r="AV1464" t="s">
        <v>2127</v>
      </c>
      <c r="AW1464" t="s">
        <v>1490</v>
      </c>
      <c r="AX1464" t="s">
        <v>2073</v>
      </c>
      <c r="AY1464" t="s">
        <v>5023</v>
      </c>
      <c r="AZ1464" t="s">
        <v>5024</v>
      </c>
      <c r="BA1464" t="s">
        <v>1456</v>
      </c>
      <c r="BB1464" t="str">
        <f t="shared" si="22"/>
        <v>IHVNosIfeCentral</v>
      </c>
    </row>
    <row r="1465" spans="48:54" x14ac:dyDescent="0.25">
      <c r="AV1465" t="s">
        <v>2127</v>
      </c>
      <c r="AW1465" t="s">
        <v>1490</v>
      </c>
      <c r="AX1465" t="s">
        <v>2073</v>
      </c>
      <c r="AY1465" t="s">
        <v>5025</v>
      </c>
      <c r="AZ1465" t="s">
        <v>5026</v>
      </c>
      <c r="BA1465" t="s">
        <v>1456</v>
      </c>
      <c r="BB1465" t="str">
        <f t="shared" si="22"/>
        <v>IHVNosIfeCentral</v>
      </c>
    </row>
    <row r="1466" spans="48:54" x14ac:dyDescent="0.25">
      <c r="AV1466" t="s">
        <v>2127</v>
      </c>
      <c r="AW1466" t="s">
        <v>1490</v>
      </c>
      <c r="AX1466" t="s">
        <v>2074</v>
      </c>
      <c r="AY1466" t="s">
        <v>5027</v>
      </c>
      <c r="AZ1466" t="s">
        <v>5028</v>
      </c>
      <c r="BA1466" t="s">
        <v>1456</v>
      </c>
      <c r="BB1466" t="str">
        <f t="shared" si="22"/>
        <v>IHVNosIla</v>
      </c>
    </row>
    <row r="1467" spans="48:54" x14ac:dyDescent="0.25">
      <c r="AV1467" t="s">
        <v>2127</v>
      </c>
      <c r="AW1467" t="s">
        <v>1490</v>
      </c>
      <c r="AX1467" t="s">
        <v>2074</v>
      </c>
      <c r="AY1467" t="s">
        <v>5029</v>
      </c>
      <c r="AZ1467" t="s">
        <v>5030</v>
      </c>
      <c r="BA1467" t="s">
        <v>1456</v>
      </c>
      <c r="BB1467" t="str">
        <f t="shared" si="22"/>
        <v>IHVNosIla</v>
      </c>
    </row>
    <row r="1468" spans="48:54" x14ac:dyDescent="0.25">
      <c r="AV1468" t="s">
        <v>2127</v>
      </c>
      <c r="AW1468" t="s">
        <v>1490</v>
      </c>
      <c r="AX1468" t="s">
        <v>2075</v>
      </c>
      <c r="AY1468" t="s">
        <v>5031</v>
      </c>
      <c r="AZ1468" t="s">
        <v>5032</v>
      </c>
      <c r="BA1468" t="s">
        <v>1456</v>
      </c>
      <c r="BB1468" t="str">
        <f t="shared" si="22"/>
        <v>IHVNosIleshaEast</v>
      </c>
    </row>
    <row r="1469" spans="48:54" x14ac:dyDescent="0.25">
      <c r="AV1469" t="s">
        <v>2127</v>
      </c>
      <c r="AW1469" t="s">
        <v>1490</v>
      </c>
      <c r="AX1469" t="s">
        <v>2076</v>
      </c>
      <c r="AY1469" t="s">
        <v>5033</v>
      </c>
      <c r="AZ1469" t="s">
        <v>5034</v>
      </c>
      <c r="BA1469" t="s">
        <v>1456</v>
      </c>
      <c r="BB1469" t="str">
        <f t="shared" si="22"/>
        <v>IHVNosIrewole</v>
      </c>
    </row>
    <row r="1470" spans="48:54" x14ac:dyDescent="0.25">
      <c r="AV1470" t="s">
        <v>2127</v>
      </c>
      <c r="AW1470" t="s">
        <v>1490</v>
      </c>
      <c r="AX1470" t="s">
        <v>2076</v>
      </c>
      <c r="AY1470" t="s">
        <v>5035</v>
      </c>
      <c r="AZ1470" t="s">
        <v>5036</v>
      </c>
      <c r="BA1470" t="s">
        <v>1456</v>
      </c>
      <c r="BB1470" t="str">
        <f t="shared" si="22"/>
        <v>IHVNosIrewole</v>
      </c>
    </row>
    <row r="1471" spans="48:54" x14ac:dyDescent="0.25">
      <c r="AV1471" t="s">
        <v>2127</v>
      </c>
      <c r="AW1471" t="s">
        <v>1490</v>
      </c>
      <c r="AX1471" t="s">
        <v>2071</v>
      </c>
      <c r="AY1471" t="s">
        <v>5037</v>
      </c>
      <c r="AZ1471" t="s">
        <v>5038</v>
      </c>
      <c r="BA1471" t="s">
        <v>1456</v>
      </c>
      <c r="BB1471" t="str">
        <f t="shared" si="22"/>
        <v>IHVNosIwo</v>
      </c>
    </row>
    <row r="1472" spans="48:54" x14ac:dyDescent="0.25">
      <c r="AV1472" t="s">
        <v>2127</v>
      </c>
      <c r="AW1472" t="s">
        <v>1490</v>
      </c>
      <c r="AX1472" t="s">
        <v>2077</v>
      </c>
      <c r="AY1472" t="s">
        <v>5039</v>
      </c>
      <c r="AZ1472" t="s">
        <v>5040</v>
      </c>
      <c r="BA1472" t="s">
        <v>1456</v>
      </c>
      <c r="BB1472" t="str">
        <f t="shared" si="22"/>
        <v>IHVNosOsogbo</v>
      </c>
    </row>
    <row r="1473" spans="48:54" x14ac:dyDescent="0.25">
      <c r="AV1473" t="s">
        <v>2127</v>
      </c>
      <c r="AW1473" t="s">
        <v>1475</v>
      </c>
      <c r="AX1473" t="s">
        <v>1947</v>
      </c>
      <c r="AY1473" t="s">
        <v>5041</v>
      </c>
      <c r="AZ1473" t="s">
        <v>5042</v>
      </c>
      <c r="BA1473" t="s">
        <v>5043</v>
      </c>
      <c r="BB1473" t="str">
        <f t="shared" si="22"/>
        <v>ProHealthfcKwali</v>
      </c>
    </row>
    <row r="1474" spans="48:54" x14ac:dyDescent="0.25">
      <c r="AV1474" t="s">
        <v>2127</v>
      </c>
      <c r="AW1474" t="s">
        <v>1475</v>
      </c>
      <c r="AX1474" t="s">
        <v>1947</v>
      </c>
      <c r="AY1474" t="s">
        <v>5044</v>
      </c>
      <c r="AZ1474" t="s">
        <v>5045</v>
      </c>
      <c r="BA1474" t="s">
        <v>5043</v>
      </c>
      <c r="BB1474" t="str">
        <f t="shared" si="22"/>
        <v>ProHealthfcKwali</v>
      </c>
    </row>
    <row r="1475" spans="48:54" x14ac:dyDescent="0.25">
      <c r="AV1475" t="s">
        <v>2127</v>
      </c>
      <c r="AW1475" t="s">
        <v>1475</v>
      </c>
      <c r="AX1475" t="s">
        <v>1947</v>
      </c>
      <c r="AY1475" t="s">
        <v>5046</v>
      </c>
      <c r="AZ1475" t="s">
        <v>5047</v>
      </c>
      <c r="BA1475" t="s">
        <v>5043</v>
      </c>
      <c r="BB1475" t="str">
        <f t="shared" ref="BB1475:BB1504" si="23">SUBSTITUTE(SUBSTITUTE(BA1475&amp;AX1475," ",""),"-","")</f>
        <v>ProHealthfcKwali</v>
      </c>
    </row>
    <row r="1476" spans="48:54" x14ac:dyDescent="0.25">
      <c r="AV1476" t="s">
        <v>2127</v>
      </c>
      <c r="AW1476" t="s">
        <v>1475</v>
      </c>
      <c r="AX1476" t="s">
        <v>1947</v>
      </c>
      <c r="AY1476" t="s">
        <v>5048</v>
      </c>
      <c r="AZ1476" t="s">
        <v>5049</v>
      </c>
      <c r="BA1476" t="s">
        <v>5043</v>
      </c>
      <c r="BB1476" t="str">
        <f t="shared" si="23"/>
        <v>ProHealthfcKwali</v>
      </c>
    </row>
    <row r="1477" spans="48:54" x14ac:dyDescent="0.25">
      <c r="AV1477" t="s">
        <v>2127</v>
      </c>
      <c r="AW1477" t="s">
        <v>1475</v>
      </c>
      <c r="AX1477" t="s">
        <v>1947</v>
      </c>
      <c r="AY1477" t="s">
        <v>5050</v>
      </c>
      <c r="AZ1477" t="s">
        <v>5051</v>
      </c>
      <c r="BA1477" t="s">
        <v>5043</v>
      </c>
      <c r="BB1477" t="str">
        <f t="shared" si="23"/>
        <v>ProHealthfcKwali</v>
      </c>
    </row>
    <row r="1478" spans="48:54" x14ac:dyDescent="0.25">
      <c r="AV1478" t="s">
        <v>2127</v>
      </c>
      <c r="AW1478" t="s">
        <v>1486</v>
      </c>
      <c r="AX1478" t="s">
        <v>2041</v>
      </c>
      <c r="AY1478" t="s">
        <v>5052</v>
      </c>
      <c r="AZ1478" t="s">
        <v>5053</v>
      </c>
      <c r="BA1478" t="s">
        <v>5043</v>
      </c>
      <c r="BB1478" t="str">
        <f t="shared" si="23"/>
        <v>ProHealthnaAkwanga</v>
      </c>
    </row>
    <row r="1479" spans="48:54" x14ac:dyDescent="0.25">
      <c r="AV1479" t="s">
        <v>2127</v>
      </c>
      <c r="AW1479" t="s">
        <v>1486</v>
      </c>
      <c r="AX1479" t="s">
        <v>2041</v>
      </c>
      <c r="AY1479" t="s">
        <v>5054</v>
      </c>
      <c r="AZ1479" t="s">
        <v>5055</v>
      </c>
      <c r="BA1479" t="s">
        <v>5043</v>
      </c>
      <c r="BB1479" t="str">
        <f t="shared" si="23"/>
        <v>ProHealthnaAkwanga</v>
      </c>
    </row>
    <row r="1480" spans="48:54" x14ac:dyDescent="0.25">
      <c r="AV1480" t="s">
        <v>2127</v>
      </c>
      <c r="AW1480" t="s">
        <v>1486</v>
      </c>
      <c r="AX1480" t="s">
        <v>2041</v>
      </c>
      <c r="AY1480" t="s">
        <v>5056</v>
      </c>
      <c r="AZ1480" t="s">
        <v>5057</v>
      </c>
      <c r="BA1480" t="s">
        <v>5043</v>
      </c>
      <c r="BB1480" t="str">
        <f t="shared" si="23"/>
        <v>ProHealthnaAkwanga</v>
      </c>
    </row>
    <row r="1481" spans="48:54" x14ac:dyDescent="0.25">
      <c r="AV1481" t="s">
        <v>2127</v>
      </c>
      <c r="AW1481" t="s">
        <v>1486</v>
      </c>
      <c r="AX1481" t="s">
        <v>2041</v>
      </c>
      <c r="AY1481" t="s">
        <v>5058</v>
      </c>
      <c r="AZ1481" t="s">
        <v>5059</v>
      </c>
      <c r="BA1481" t="s">
        <v>5043</v>
      </c>
      <c r="BB1481" t="str">
        <f t="shared" si="23"/>
        <v>ProHealthnaAkwanga</v>
      </c>
    </row>
    <row r="1482" spans="48:54" x14ac:dyDescent="0.25">
      <c r="AV1482" t="s">
        <v>2127</v>
      </c>
      <c r="AW1482" t="s">
        <v>1486</v>
      </c>
      <c r="AX1482" t="s">
        <v>2041</v>
      </c>
      <c r="AY1482" t="s">
        <v>5060</v>
      </c>
      <c r="AZ1482" t="s">
        <v>5061</v>
      </c>
      <c r="BA1482" t="s">
        <v>5043</v>
      </c>
      <c r="BB1482" t="str">
        <f t="shared" si="23"/>
        <v>ProHealthnaAkwanga</v>
      </c>
    </row>
    <row r="1483" spans="48:54" x14ac:dyDescent="0.25">
      <c r="AV1483" t="s">
        <v>2127</v>
      </c>
      <c r="AW1483" t="s">
        <v>1486</v>
      </c>
      <c r="AX1483" t="s">
        <v>2041</v>
      </c>
      <c r="AY1483" t="s">
        <v>5062</v>
      </c>
      <c r="AZ1483" t="s">
        <v>5063</v>
      </c>
      <c r="BA1483" t="s">
        <v>5043</v>
      </c>
      <c r="BB1483" t="str">
        <f t="shared" si="23"/>
        <v>ProHealthnaAkwanga</v>
      </c>
    </row>
    <row r="1484" spans="48:54" x14ac:dyDescent="0.25">
      <c r="AV1484" t="s">
        <v>2127</v>
      </c>
      <c r="AW1484" t="s">
        <v>1486</v>
      </c>
      <c r="AX1484" t="s">
        <v>2041</v>
      </c>
      <c r="AY1484" t="s">
        <v>5064</v>
      </c>
      <c r="AZ1484" t="s">
        <v>5065</v>
      </c>
      <c r="BA1484" t="s">
        <v>5043</v>
      </c>
      <c r="BB1484" t="str">
        <f t="shared" si="23"/>
        <v>ProHealthnaAkwanga</v>
      </c>
    </row>
    <row r="1485" spans="48:54" x14ac:dyDescent="0.25">
      <c r="AV1485" t="s">
        <v>2127</v>
      </c>
      <c r="AW1485" t="s">
        <v>1486</v>
      </c>
      <c r="AX1485" t="s">
        <v>2041</v>
      </c>
      <c r="AY1485" t="s">
        <v>5066</v>
      </c>
      <c r="AZ1485" t="s">
        <v>5067</v>
      </c>
      <c r="BA1485" t="s">
        <v>5043</v>
      </c>
      <c r="BB1485" t="str">
        <f t="shared" si="23"/>
        <v>ProHealthnaAkwanga</v>
      </c>
    </row>
    <row r="1486" spans="48:54" x14ac:dyDescent="0.25">
      <c r="AV1486" t="s">
        <v>2127</v>
      </c>
      <c r="AW1486" t="s">
        <v>1486</v>
      </c>
      <c r="AX1486" t="s">
        <v>2041</v>
      </c>
      <c r="AY1486" t="s">
        <v>5068</v>
      </c>
      <c r="AZ1486" t="s">
        <v>5069</v>
      </c>
      <c r="BA1486" t="s">
        <v>5043</v>
      </c>
      <c r="BB1486" t="str">
        <f t="shared" si="23"/>
        <v>ProHealthnaAkwanga</v>
      </c>
    </row>
    <row r="1487" spans="48:54" x14ac:dyDescent="0.25">
      <c r="AV1487" t="s">
        <v>2127</v>
      </c>
      <c r="AW1487" t="s">
        <v>1486</v>
      </c>
      <c r="AX1487" t="s">
        <v>2050</v>
      </c>
      <c r="AY1487" t="s">
        <v>5070</v>
      </c>
      <c r="AZ1487" t="s">
        <v>5071</v>
      </c>
      <c r="BA1487" t="s">
        <v>5043</v>
      </c>
      <c r="BB1487" t="str">
        <f t="shared" si="23"/>
        <v>ProHealthnaNasarawaEggon</v>
      </c>
    </row>
    <row r="1488" spans="48:54" x14ac:dyDescent="0.25">
      <c r="AV1488" t="s">
        <v>2127</v>
      </c>
      <c r="AW1488" t="s">
        <v>1486</v>
      </c>
      <c r="AX1488" t="s">
        <v>2050</v>
      </c>
      <c r="AY1488" t="s">
        <v>5072</v>
      </c>
      <c r="AZ1488" t="s">
        <v>5073</v>
      </c>
      <c r="BA1488" t="s">
        <v>5043</v>
      </c>
      <c r="BB1488" t="str">
        <f t="shared" si="23"/>
        <v>ProHealthnaNasarawaEggon</v>
      </c>
    </row>
    <row r="1489" spans="48:54" x14ac:dyDescent="0.25">
      <c r="AV1489" t="s">
        <v>2127</v>
      </c>
      <c r="AW1489" t="s">
        <v>1486</v>
      </c>
      <c r="AX1489" t="s">
        <v>2050</v>
      </c>
      <c r="AY1489" t="s">
        <v>5074</v>
      </c>
      <c r="AZ1489" t="s">
        <v>5075</v>
      </c>
      <c r="BA1489" t="s">
        <v>5043</v>
      </c>
      <c r="BB1489" t="str">
        <f t="shared" si="23"/>
        <v>ProHealthnaNasarawaEggon</v>
      </c>
    </row>
    <row r="1490" spans="48:54" x14ac:dyDescent="0.25">
      <c r="AV1490" t="s">
        <v>2127</v>
      </c>
      <c r="AW1490" t="s">
        <v>1486</v>
      </c>
      <c r="AX1490" t="s">
        <v>2052</v>
      </c>
      <c r="AY1490" t="s">
        <v>5076</v>
      </c>
      <c r="AZ1490" t="s">
        <v>5077</v>
      </c>
      <c r="BA1490" t="s">
        <v>5043</v>
      </c>
      <c r="BB1490" t="str">
        <f t="shared" si="23"/>
        <v>ProHealthnaWamba</v>
      </c>
    </row>
    <row r="1491" spans="48:54" x14ac:dyDescent="0.25">
      <c r="AV1491" t="s">
        <v>2127</v>
      </c>
      <c r="AW1491" t="s">
        <v>1486</v>
      </c>
      <c r="AX1491" t="s">
        <v>2052</v>
      </c>
      <c r="AY1491" t="s">
        <v>5078</v>
      </c>
      <c r="AZ1491" t="s">
        <v>5079</v>
      </c>
      <c r="BA1491" t="s">
        <v>5043</v>
      </c>
      <c r="BB1491" t="str">
        <f t="shared" si="23"/>
        <v>ProHealthnaWamba</v>
      </c>
    </row>
    <row r="1492" spans="48:54" x14ac:dyDescent="0.25">
      <c r="AV1492" t="s">
        <v>2127</v>
      </c>
      <c r="AW1492" t="s">
        <v>1486</v>
      </c>
      <c r="AX1492" t="s">
        <v>2052</v>
      </c>
      <c r="AY1492" t="s">
        <v>5080</v>
      </c>
      <c r="AZ1492" t="s">
        <v>5081</v>
      </c>
      <c r="BA1492" t="s">
        <v>5043</v>
      </c>
      <c r="BB1492" t="str">
        <f t="shared" si="23"/>
        <v>ProHealthnaWamba</v>
      </c>
    </row>
    <row r="1493" spans="48:54" x14ac:dyDescent="0.25">
      <c r="AV1493" t="s">
        <v>2127</v>
      </c>
      <c r="AW1493" t="s">
        <v>1486</v>
      </c>
      <c r="AX1493" t="s">
        <v>2052</v>
      </c>
      <c r="AY1493" t="s">
        <v>5082</v>
      </c>
      <c r="AZ1493" t="s">
        <v>5083</v>
      </c>
      <c r="BA1493" t="s">
        <v>5043</v>
      </c>
      <c r="BB1493" t="str">
        <f t="shared" si="23"/>
        <v>ProHealthnaWamba</v>
      </c>
    </row>
    <row r="1494" spans="48:54" x14ac:dyDescent="0.25">
      <c r="AV1494" t="s">
        <v>2127</v>
      </c>
      <c r="AW1494" t="s">
        <v>1486</v>
      </c>
      <c r="AX1494" t="s">
        <v>2052</v>
      </c>
      <c r="AY1494" t="s">
        <v>5084</v>
      </c>
      <c r="AZ1494" t="s">
        <v>5085</v>
      </c>
      <c r="BA1494" t="s">
        <v>5043</v>
      </c>
      <c r="BB1494" t="str">
        <f t="shared" si="23"/>
        <v>ProHealthnaWamba</v>
      </c>
    </row>
    <row r="1495" spans="48:54" x14ac:dyDescent="0.25">
      <c r="AV1495" t="s">
        <v>2127</v>
      </c>
      <c r="AW1495" t="s">
        <v>1486</v>
      </c>
      <c r="AX1495" t="s">
        <v>2052</v>
      </c>
      <c r="AY1495" t="s">
        <v>5086</v>
      </c>
      <c r="AZ1495" t="s">
        <v>5087</v>
      </c>
      <c r="BA1495" t="s">
        <v>5043</v>
      </c>
      <c r="BB1495" t="str">
        <f t="shared" si="23"/>
        <v>ProHealthnaWamba</v>
      </c>
    </row>
    <row r="1496" spans="48:54" x14ac:dyDescent="0.25">
      <c r="AV1496" t="s">
        <v>2127</v>
      </c>
      <c r="AW1496" t="s">
        <v>1492</v>
      </c>
      <c r="AX1496" t="s">
        <v>2120</v>
      </c>
      <c r="AY1496" t="s">
        <v>5088</v>
      </c>
      <c r="AZ1496" t="s">
        <v>5089</v>
      </c>
      <c r="BA1496" t="s">
        <v>5043</v>
      </c>
      <c r="BB1496" t="str">
        <f t="shared" si="23"/>
        <v>ProHealthplKanam</v>
      </c>
    </row>
    <row r="1497" spans="48:54" x14ac:dyDescent="0.25">
      <c r="AV1497" t="s">
        <v>2127</v>
      </c>
      <c r="AW1497" t="s">
        <v>1492</v>
      </c>
      <c r="AX1497" t="s">
        <v>2120</v>
      </c>
      <c r="AY1497" t="s">
        <v>5090</v>
      </c>
      <c r="AZ1497" t="s">
        <v>5091</v>
      </c>
      <c r="BA1497" t="s">
        <v>5043</v>
      </c>
      <c r="BB1497" t="str">
        <f t="shared" si="23"/>
        <v>ProHealthplKanam</v>
      </c>
    </row>
    <row r="1498" spans="48:54" x14ac:dyDescent="0.25">
      <c r="AV1498" t="s">
        <v>2127</v>
      </c>
      <c r="AW1498" t="s">
        <v>1492</v>
      </c>
      <c r="AX1498" t="s">
        <v>2120</v>
      </c>
      <c r="AY1498" t="s">
        <v>5092</v>
      </c>
      <c r="AZ1498" t="s">
        <v>5093</v>
      </c>
      <c r="BA1498" t="s">
        <v>5043</v>
      </c>
      <c r="BB1498" t="str">
        <f t="shared" si="23"/>
        <v>ProHealthplKanam</v>
      </c>
    </row>
    <row r="1499" spans="48:54" x14ac:dyDescent="0.25">
      <c r="AV1499" t="s">
        <v>2127</v>
      </c>
      <c r="AW1499" t="s">
        <v>1492</v>
      </c>
      <c r="AX1499" t="s">
        <v>2121</v>
      </c>
      <c r="AY1499" t="s">
        <v>5094</v>
      </c>
      <c r="AZ1499" t="s">
        <v>5095</v>
      </c>
      <c r="BA1499" t="s">
        <v>5043</v>
      </c>
      <c r="BB1499" t="str">
        <f t="shared" si="23"/>
        <v>ProHealthplKanke</v>
      </c>
    </row>
    <row r="1500" spans="48:54" x14ac:dyDescent="0.25">
      <c r="AV1500" t="s">
        <v>2127</v>
      </c>
      <c r="AW1500" t="s">
        <v>1492</v>
      </c>
      <c r="AX1500" t="s">
        <v>2121</v>
      </c>
      <c r="AY1500" t="s">
        <v>5096</v>
      </c>
      <c r="AZ1500" t="s">
        <v>5097</v>
      </c>
      <c r="BA1500" t="s">
        <v>5043</v>
      </c>
      <c r="BB1500" t="str">
        <f t="shared" si="23"/>
        <v>ProHealthplKanke</v>
      </c>
    </row>
    <row r="1501" spans="48:54" x14ac:dyDescent="0.25">
      <c r="AV1501" t="s">
        <v>2127</v>
      </c>
      <c r="AW1501" t="s">
        <v>1492</v>
      </c>
      <c r="AX1501" t="s">
        <v>2122</v>
      </c>
      <c r="AY1501" t="s">
        <v>5098</v>
      </c>
      <c r="AZ1501" t="s">
        <v>5099</v>
      </c>
      <c r="BA1501" t="s">
        <v>5043</v>
      </c>
      <c r="BB1501" t="str">
        <f t="shared" si="23"/>
        <v>ProHealthplLangtangSouth</v>
      </c>
    </row>
    <row r="1502" spans="48:54" x14ac:dyDescent="0.25">
      <c r="AV1502" t="s">
        <v>2127</v>
      </c>
      <c r="AW1502" t="s">
        <v>1492</v>
      </c>
      <c r="AX1502" t="s">
        <v>2122</v>
      </c>
      <c r="AY1502" t="s">
        <v>5100</v>
      </c>
      <c r="AZ1502" t="s">
        <v>5101</v>
      </c>
      <c r="BA1502" t="s">
        <v>5043</v>
      </c>
      <c r="BB1502" t="str">
        <f t="shared" si="23"/>
        <v>ProHealthplLangtangSouth</v>
      </c>
    </row>
    <row r="1503" spans="48:54" x14ac:dyDescent="0.25">
      <c r="AV1503" t="s">
        <v>2127</v>
      </c>
      <c r="AW1503" t="s">
        <v>1492</v>
      </c>
      <c r="AX1503" t="s">
        <v>2123</v>
      </c>
      <c r="AY1503" t="s">
        <v>5102</v>
      </c>
      <c r="AZ1503" t="s">
        <v>5103</v>
      </c>
      <c r="BA1503" t="s">
        <v>5043</v>
      </c>
      <c r="BB1503" t="str">
        <f t="shared" si="23"/>
        <v>ProHealthplMikang</v>
      </c>
    </row>
    <row r="1504" spans="48:54" x14ac:dyDescent="0.25">
      <c r="AV1504" t="s">
        <v>2127</v>
      </c>
      <c r="AW1504" t="s">
        <v>1492</v>
      </c>
      <c r="AX1504" t="s">
        <v>2123</v>
      </c>
      <c r="AY1504" t="s">
        <v>5104</v>
      </c>
      <c r="AZ1504" t="s">
        <v>5105</v>
      </c>
      <c r="BA1504" t="s">
        <v>5043</v>
      </c>
      <c r="BB1504" t="str">
        <f t="shared" si="23"/>
        <v>ProHealthplMikang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182</vt:i4>
      </vt:variant>
    </vt:vector>
  </HeadingPairs>
  <TitlesOfParts>
    <vt:vector size="187" baseType="lpstr">
      <vt:lpstr>DQ Dimensions</vt:lpstr>
      <vt:lpstr>Summary Page</vt:lpstr>
      <vt:lpstr>Data entry</vt:lpstr>
      <vt:lpstr>Worksheet</vt:lpstr>
      <vt:lpstr>Data_donotedit</vt:lpstr>
      <vt:lpstr>Abia</vt:lpstr>
      <vt:lpstr>Adamawa</vt:lpstr>
      <vt:lpstr>AHNIogAdoOdo</vt:lpstr>
      <vt:lpstr>AHNIogIpokia</vt:lpstr>
      <vt:lpstr>AHNIogYewaNorth</vt:lpstr>
      <vt:lpstr>AHNIoyAtisbo</vt:lpstr>
      <vt:lpstr>AHNIoyIrepo</vt:lpstr>
      <vt:lpstr>AHNIoyIseyin</vt:lpstr>
      <vt:lpstr>AHNIoyKajola</vt:lpstr>
      <vt:lpstr>AHNIoyOgoOluwa</vt:lpstr>
      <vt:lpstr>AHNIoyOlorunsogo</vt:lpstr>
      <vt:lpstr>AHNIoyOrelope</vt:lpstr>
      <vt:lpstr>AHNIoyOriIre</vt:lpstr>
      <vt:lpstr>AHNIoySakiEast</vt:lpstr>
      <vt:lpstr>AkwaIbom</vt:lpstr>
      <vt:lpstr>Anambra</vt:lpstr>
      <vt:lpstr>ANDONI</vt:lpstr>
      <vt:lpstr>APINlaAlimosho</vt:lpstr>
      <vt:lpstr>APINlaAmuwoOdofin</vt:lpstr>
      <vt:lpstr>APINlaEpe</vt:lpstr>
      <vt:lpstr>APINlaEtiOsa</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APINoyOgbomosoNorth</vt:lpstr>
      <vt:lpstr>APINoyOgbomosoSouth</vt:lpstr>
      <vt:lpstr>APINoyOluyole</vt:lpstr>
      <vt:lpstr>APINoyOnaAra</vt:lpstr>
      <vt:lpstr>APINoyOyoEast</vt:lpstr>
      <vt:lpstr>APINoyOyoWest</vt:lpstr>
      <vt:lpstr>APINoySakiWest</vt:lpstr>
      <vt:lpstr>APINoySurulere</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CCCRNebAbakaliki</vt:lpstr>
      <vt:lpstr>CCCRNebAfikpoNorth</vt:lpstr>
      <vt:lpstr>CCCRNebEbonyi</vt:lpstr>
      <vt:lpstr>CCCRNebIvo</vt:lpstr>
      <vt:lpstr>CCCRNebIzzi</vt:lpstr>
      <vt:lpstr>CCCRNebOhaozara</vt:lpstr>
      <vt:lpstr>CCCRNebOhaukwu</vt:lpstr>
      <vt:lpstr>CCCRNebOnicha</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CCFNbeOkpokwu</vt:lpstr>
      <vt:lpstr>CCFNbeOtukpo</vt:lpstr>
      <vt:lpstr>CCFNbeTarka</vt:lpstr>
      <vt:lpstr>CCFNbeUkum</vt:lpstr>
      <vt:lpstr>CCFNbeUshongo</vt:lpstr>
      <vt:lpstr>CCFNbeVandeikya</vt:lpstr>
      <vt:lpstr>CCFNdeAniochaNorth</vt:lpstr>
      <vt:lpstr>CCFNdeEthiopeEast</vt:lpstr>
      <vt:lpstr>CCFNdeSapele</vt:lpstr>
      <vt:lpstr>CCFNdeWarriNorth</vt:lpstr>
      <vt:lpstr>CCFNfcAbujaMunicipalAreaCouncil</vt:lpstr>
      <vt:lpstr>CCFNfcBwari</vt:lpstr>
      <vt:lpstr>CCFNkdChikun</vt:lpstr>
      <vt:lpstr>CCFNkdJemaa</vt:lpstr>
      <vt:lpstr>CCFNkdKadunaSouth</vt:lpstr>
      <vt:lpstr>CCFNkdKubau</vt:lpstr>
      <vt:lpstr>CCFNkdLere</vt:lpstr>
      <vt:lpstr>CCFNkdSanga</vt:lpstr>
      <vt:lpstr>CCFNkdZangoKataf</vt:lpstr>
      <vt:lpstr>CCFNkoDekina</vt:lpstr>
      <vt:lpstr>CCFNkoIdah</vt:lpstr>
      <vt:lpstr>CCFNkoKabba</vt:lpstr>
      <vt:lpstr>CCFNlaIkeja</vt:lpstr>
      <vt:lpstr>CCFNnaAkwanga</vt:lpstr>
      <vt:lpstr>CCFNnaDoma</vt:lpstr>
      <vt:lpstr>CCFNnaKeffi</vt:lpstr>
      <vt:lpstr>CCFNnaLafia</vt:lpstr>
      <vt:lpstr>CCFNnaObi</vt:lpstr>
      <vt:lpstr>CCFNogIfo</vt:lpstr>
      <vt:lpstr>CCFNogYewaNorth</vt:lpstr>
      <vt:lpstr>CCFNonAkokoSouthWest</vt:lpstr>
      <vt:lpstr>CCFNonEseOdo</vt:lpstr>
      <vt:lpstr>CCFNonOndoWest</vt:lpstr>
      <vt:lpstr>CCFNonOwo</vt:lpstr>
      <vt:lpstr>CCFNosIfeNorth</vt:lpstr>
      <vt:lpstr>CCFNosIsokan</vt:lpstr>
      <vt:lpstr>CCFNosIwo</vt:lpstr>
      <vt:lpstr>CCFNoyEgbeda</vt:lpstr>
      <vt:lpstr>CCFNplBassa</vt:lpstr>
      <vt:lpstr>CCFNplBokkos</vt:lpstr>
      <vt:lpstr>CCFNplJosNorth</vt:lpstr>
      <vt:lpstr>CrossRiver</vt:lpstr>
      <vt:lpstr>Delta</vt:lpstr>
      <vt:lpstr>Ebonyi</vt:lpstr>
      <vt:lpstr>Edo</vt:lpstr>
      <vt:lpstr>Ekiti</vt:lpstr>
      <vt:lpstr>Enugu</vt:lpstr>
      <vt:lpstr>FCT</vt:lpstr>
      <vt:lpstr>Gombe</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Plateau</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Stephen Ohakanu</cp:lastModifiedBy>
  <cp:lastPrinted>2017-01-11T15:12:50Z</cp:lastPrinted>
  <dcterms:created xsi:type="dcterms:W3CDTF">2017-01-08T13:42:03Z</dcterms:created>
  <dcterms:modified xsi:type="dcterms:W3CDTF">2017-02-15T07:44:52Z</dcterms:modified>
</cp:coreProperties>
</file>