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<sst xmlns="http://schemas.openxmlformats.org/spreadsheetml/2006/main" count="4033" uniqueCount="4033">
  <si>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</si>
  <si>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</si>
  <si>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</si>
  <si>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</si>
  <si>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</si>
  <si>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</si>
  <si>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</si>
  <si>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</si>
  <si>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</si>
  <si>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</si>
  <si>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</si>
  <si>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</si>
  <si>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</si>
  <si>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</si>
  <si>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</si>
  <si>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</si>
  <si>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</si>
  <si>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</si>
  <si>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</si>
  <si>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</si>
  <si>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</si>
  <si>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</si>
  <si>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</si>
  <si>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</si>
  <si>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</si>
  <si>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</si>
  <si>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</si>
  <si>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</si>
  <si>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</si>
  <si>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</si>
  <si>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</si>
  <si>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</si>
  <si>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</si>
  <si>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</si>
  <si>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</si>
  <si>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</si>
  <si>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</si>
  <si>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</si>
  <si>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</si>
  <si>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</si>
  <si>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</si>
  <si>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</si>
  <si>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</si>
  <si>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</si>
  <si>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</si>
  <si>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</si>
  <si>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</si>
  <si>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</si>
  <si>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</si>
  <si>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</si>
  <si>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</si>
  <si>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</si>
  <si>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</si>
  <si>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</si>
  <si>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</si>
  <si>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</si>
  <si>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</si>
  <si>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</si>
  <si>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</si>
  <si>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</si>
  <si>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</si>
  <si>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</si>
  <si>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</si>
  <si>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</si>
  <si>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</si>
  <si>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</si>
  <si>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</si>
  <si>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</si>
  <si>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</si>
  <si>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</si>
  <si>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</si>
  <si>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</si>
  <si>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</si>
  <si>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</si>
  <si>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</si>
  <si>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</si>
  <si>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</si>
  <si>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</si>
  <si>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</si>
  <si>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</si>
  <si>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</si>
  <si>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</si>
  <si>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</si>
  <si>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</si>
  <si>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</si>
  <si>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</si>
  <si>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</si>
  <si>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</si>
  <si>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</si>
  <si>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</si>
  <si>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</si>
  <si>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</si>
  <si>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</si>
  <si>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</si>
  <si>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</si>
  <si>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</si>
  <si>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</si>
  <si>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</si>
  <si>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</si>
  <si>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</si>
  <si>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</si>
  <si>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</si>
  <si>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</si>
  <si>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</si>
  <si>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</si>
  <si>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</si>
  <si>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</si>
  <si>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</si>
  <si>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</si>
  <si>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</si>
  <si>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</si>
  <si>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</si>
  <si>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</si>
  <si>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</si>
  <si>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</si>
  <si>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</si>
  <si>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</si>
  <si>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</si>
  <si>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</si>
  <si>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</si>
  <si>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</si>
  <si>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</si>
  <si>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</si>
  <si>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</si>
  <si>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</si>
  <si>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</si>
  <si>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</si>
  <si>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</si>
  <si>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</si>
  <si>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</si>
  <si>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</si>
  <si>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</si>
  <si>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</si>
  <si>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</si>
  <si>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</si>
  <si>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</si>
  <si>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</si>
  <si>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</si>
  <si>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</si>
  <si>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</si>
  <si>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</si>
  <si>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</si>
  <si>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</si>
  <si>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</si>
  <si>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</si>
  <si>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</si>
  <si>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</si>
  <si>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</si>
  <si>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</si>
  <si>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</si>
  <si>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</si>
  <si>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</si>
  <si>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</si>
  <si>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</si>
  <si>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</si>
  <si>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</si>
  <si>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</si>
  <si>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</si>
  <si>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</si>
  <si>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</si>
  <si>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</si>
  <si>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</si>
  <si>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</si>
  <si>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</si>
  <si>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</si>
  <si>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</si>
  <si>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</si>
  <si>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</si>
  <si>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</si>
  <si>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</si>
  <si>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</si>
  <si>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</si>
  <si>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</si>
  <si>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</si>
  <si>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</si>
  <si>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</si>
  <si>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</si>
  <si>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</si>
  <si>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</si>
  <si>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</si>
  <si>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</si>
  <si>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</si>
  <si>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</si>
  <si>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</si>
  <si>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</si>
  <si>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</si>
  <si>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</si>
  <si>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</si>
  <si>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</si>
  <si>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</si>
  <si>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</si>
  <si>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</si>
  <si>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</si>
  <si>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</si>
  <si>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</si>
  <si>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</si>
  <si>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</si>
  <si>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</si>
  <si>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</si>
  <si>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</si>
  <si>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</si>
  <si>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</si>
  <si>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</si>
  <si>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</si>
  <si>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</si>
  <si>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</si>
  <si>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</si>
  <si>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</si>
  <si>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</si>
  <si>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</si>
  <si>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</si>
  <si>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</si>
  <si>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</si>
  <si>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</si>
  <si>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</si>
  <si>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</si>
  <si>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</si>
  <si>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</si>
  <si>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</si>
  <si>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</si>
  <si>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</si>
  <si>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</si>
  <si>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</si>
  <si>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</si>
  <si>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</si>
  <si>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</si>
  <si>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</si>
  <si>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</si>
  <si>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</si>
  <si>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</si>
  <si>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</si>
  <si>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</si>
  <si>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</si>
  <si>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</si>
  <si>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</si>
  <si>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</si>
  <si>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</si>
  <si>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</si>
  <si>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</si>
  <si>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</si>
  <si>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</si>
  <si>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</si>
  <si>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</si>
  <si>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</si>
  <si>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</si>
  <si>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</si>
  <si>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</si>
  <si>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</si>
  <si>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</si>
  <si>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</si>
  <si>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</si>
  <si>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</si>
  <si>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</si>
  <si>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</si>
  <si>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</si>
  <si>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</si>
  <si>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</si>
  <si>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</si>
  <si>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</si>
  <si>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</si>
  <si>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</si>
  <si>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</si>
  <si>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</si>
  <si>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</si>
  <si>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</si>
  <si>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</si>
  <si>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</si>
  <si>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</si>
  <si>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</si>
  <si>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</si>
  <si>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</si>
  <si>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</si>
  <si>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</si>
  <si>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</si>
  <si>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</si>
  <si>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</si>
  <si>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</si>
  <si>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</si>
  <si>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</si>
  <si>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</si>
  <si>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</si>
  <si>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</si>
  <si>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</si>
  <si>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</si>
  <si>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</si>
  <si>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</si>
  <si>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</si>
  <si>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Oturkpo</t>
  </si>
  <si>
    <t>Facility Name:</t>
  </si>
  <si>
    <t>St. Charles' Hospital</t>
  </si>
  <si>
    <t>Reporting Period:</t>
  </si>
  <si>
    <t>Q1(Oct - Dec)</t>
  </si>
  <si>
    <t>Facility Code:</t>
  </si>
  <si>
    <t>jwRjWD3wLjp</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</si>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</sst>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1623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35</v>
      </c>
      <c r="E10" s="299">
        <v>35</v>
      </c>
      <c r="F10" s="299">
        <v>35</v>
      </c>
      <c r="G10" s="207" t="s">
        <v>67</v>
      </c>
    </row>
    <row r="11" ht="45" customHeight="1">
      <c r="A11" s="226"/>
      <c r="B11" s="238">
        <v>1114</v>
      </c>
      <c r="C11" s="243" t="s">
        <v>84</v>
      </c>
      <c r="D11" s="299">
        <v>35</v>
      </c>
      <c r="E11" s="299">
        <v>35</v>
      </c>
      <c r="F11" s="299">
        <v>35</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6</v>
      </c>
      <c r="E13" s="299">
        <v>6</v>
      </c>
      <c r="F13" s="299">
        <v>7</v>
      </c>
      <c r="G13" s="207" t="s">
        <v>67</v>
      </c>
    </row>
    <row r="14" ht="45" customHeight="1">
      <c r="A14" s="226"/>
      <c r="B14" s="238">
        <v>1117</v>
      </c>
      <c r="C14" s="242" t="s">
        <v>88</v>
      </c>
      <c r="D14" s="299">
        <v>6</v>
      </c>
      <c r="E14" s="299">
        <v>6</v>
      </c>
      <c r="F14" s="299">
        <v>7</v>
      </c>
      <c r="G14" s="207" t="s">
        <v>67</v>
      </c>
    </row>
    <row r="15" ht="45" customHeight="1">
      <c r="A15" s="226">
        <v>1116</v>
      </c>
      <c r="B15" s="238">
        <v>1121</v>
      </c>
      <c r="C15" s="243" t="str">
        <f>C13</f>
        <v>How many HTC clients have a completed Client intake form </v>
      </c>
      <c r="D15" s="300">
        <v>6</v>
      </c>
      <c r="E15" s="300">
        <v>6</v>
      </c>
      <c r="F15" s="300">
        <v>7</v>
      </c>
      <c r="G15" s="207"/>
    </row>
    <row r="16" ht="45" customHeight="1">
      <c r="A16" s="226"/>
      <c r="B16" s="238">
        <v>1122</v>
      </c>
      <c r="C16" s="243" t="s">
        <v>89</v>
      </c>
      <c r="D16" s="299">
        <v>6</v>
      </c>
      <c r="E16" s="299">
        <v>6</v>
      </c>
      <c r="F16" s="299">
        <v>7</v>
      </c>
      <c r="G16" s="207" t="s">
        <v>67</v>
      </c>
    </row>
    <row r="17" ht="45" customHeight="1">
      <c r="A17" s="226"/>
      <c r="B17" s="238">
        <v>1123</v>
      </c>
      <c r="C17" s="242" t="s">
        <v>90</v>
      </c>
      <c r="D17" s="299">
        <v>6</v>
      </c>
      <c r="E17" s="299">
        <v>6</v>
      </c>
      <c r="F17" s="299">
        <v>7</v>
      </c>
      <c r="G17" s="207" t="s">
        <v>67</v>
      </c>
    </row>
    <row r="18" ht="45" customHeight="1">
      <c r="A18" s="226"/>
      <c r="B18" s="238">
        <v>1124</v>
      </c>
      <c r="C18" s="242" t="s">
        <v>91</v>
      </c>
      <c r="D18" s="299">
        <v>6</v>
      </c>
      <c r="E18" s="299">
        <v>6</v>
      </c>
      <c r="F18" s="299">
        <v>7</v>
      </c>
      <c r="G18" s="207" t="s">
        <v>67</v>
      </c>
    </row>
    <row r="19" ht="45" customHeight="1">
      <c r="A19" s="226"/>
      <c r="B19" s="238">
        <v>1125</v>
      </c>
      <c r="C19" s="242" t="s">
        <v>92</v>
      </c>
      <c r="D19" s="299">
        <v>6</v>
      </c>
      <c r="E19" s="299">
        <v>6</v>
      </c>
      <c r="F19" s="299">
        <v>7</v>
      </c>
      <c r="G19" s="207" t="s">
        <v>67</v>
      </c>
    </row>
    <row r="20" ht="45" customHeight="1">
      <c r="A20" s="226"/>
      <c r="B20" s="238">
        <v>1126</v>
      </c>
      <c r="C20" s="242" t="s">
        <v>93</v>
      </c>
      <c r="D20" s="299">
        <v>6</v>
      </c>
      <c r="E20" s="299">
        <v>6</v>
      </c>
      <c r="F20" s="299">
        <v>7</v>
      </c>
      <c r="G20" s="207" t="s">
        <v>67</v>
      </c>
    </row>
    <row r="21" ht="45" customHeight="1">
      <c r="A21" s="226"/>
      <c r="B21" s="238">
        <v>1127</v>
      </c>
      <c r="C21" s="242" t="s">
        <v>94</v>
      </c>
      <c r="D21" s="299">
        <v>6</v>
      </c>
      <c r="E21" s="299">
        <v>6</v>
      </c>
      <c r="F21" s="299">
        <v>7</v>
      </c>
      <c r="G21" s="207" t="s">
        <v>67</v>
      </c>
    </row>
    <row r="22" ht="45" customHeight="1">
      <c r="A22" s="226"/>
      <c r="B22" s="238"/>
      <c r="C22" s="245" t="s">
        <v>95</v>
      </c>
      <c r="D22" s="246"/>
      <c r="E22" s="246"/>
      <c r="F22" s="247"/>
      <c r="G22" s="207" t="s">
        <v>67</v>
      </c>
    </row>
    <row r="23" ht="45" customHeight="1">
      <c r="A23" s="226"/>
      <c r="B23" s="238">
        <v>1131</v>
      </c>
      <c r="C23" s="242" t="s">
        <v>96</v>
      </c>
      <c r="D23" s="299">
        <v>2</v>
      </c>
      <c r="E23" s="299">
        <v>3</v>
      </c>
      <c r="F23" s="299">
        <v>3</v>
      </c>
      <c r="G23" s="207" t="s">
        <v>67</v>
      </c>
    </row>
    <row r="24" ht="45" customHeight="1">
      <c r="A24" s="226"/>
      <c r="B24" s="238">
        <v>1132</v>
      </c>
      <c r="C24" s="242" t="s">
        <v>97</v>
      </c>
      <c r="D24" s="299">
        <v>4</v>
      </c>
      <c r="E24" s="299">
        <v>3</v>
      </c>
      <c r="F24" s="299">
        <v>4</v>
      </c>
      <c r="G24" s="207" t="s">
        <v>67</v>
      </c>
    </row>
    <row r="25" ht="45" customHeight="1">
      <c r="A25" s="226"/>
      <c r="B25" s="238">
        <v>1133</v>
      </c>
      <c r="C25" s="242" t="s">
        <v>98</v>
      </c>
      <c r="D25" s="299">
        <v>286</v>
      </c>
      <c r="E25" s="299">
        <v>292</v>
      </c>
      <c r="F25" s="299">
        <v>318</v>
      </c>
      <c r="G25" s="207" t="s">
        <v>67</v>
      </c>
    </row>
    <row r="26" ht="45" customHeight="1">
      <c r="A26" s="226"/>
      <c r="B26" s="238">
        <v>1134</v>
      </c>
      <c r="C26" s="242" t="s">
        <v>99</v>
      </c>
      <c r="D26" s="299">
        <v>59</v>
      </c>
      <c r="E26" s="299">
        <v>130</v>
      </c>
      <c r="F26" s="299">
        <v>116</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1</v>
      </c>
      <c r="E29" s="299">
        <v>5</v>
      </c>
      <c r="F29" s="299">
        <v>1</v>
      </c>
      <c r="G29" s="207" t="s">
        <v>67</v>
      </c>
    </row>
    <row r="30" ht="45" customHeight="1">
      <c r="A30" s="226"/>
      <c r="B30" s="238">
        <v>1138</v>
      </c>
      <c r="C30" s="242" t="s">
        <v>103</v>
      </c>
      <c r="D30" s="299">
        <v>222</v>
      </c>
      <c r="E30" s="299">
        <v>323</v>
      </c>
      <c r="F30" s="299">
        <v>321</v>
      </c>
      <c r="G30" s="207" t="s">
        <v>67</v>
      </c>
    </row>
    <row r="31" ht="45" customHeight="1">
      <c r="A31" s="226">
        <v>1116</v>
      </c>
      <c r="B31" s="238">
        <v>1141</v>
      </c>
      <c r="C31" s="242" t="s">
        <v>104</v>
      </c>
      <c r="D31" s="300">
        <v>6</v>
      </c>
      <c r="E31" s="300">
        <v>6</v>
      </c>
      <c r="F31" s="300">
        <v>7</v>
      </c>
      <c r="G31" s="207"/>
    </row>
    <row r="32" ht="45" customHeight="1">
      <c r="A32" s="226"/>
      <c r="B32" s="238">
        <v>1142</v>
      </c>
      <c r="C32" s="243" t="s">
        <v>105</v>
      </c>
      <c r="D32" s="300">
        <v>6</v>
      </c>
      <c r="E32" s="300">
        <v>6</v>
      </c>
      <c r="F32" s="300">
        <v>7</v>
      </c>
      <c r="G32" s="207"/>
    </row>
    <row r="33" ht="45" customHeight="1">
      <c r="A33" s="226"/>
      <c r="B33" s="238">
        <v>1143</v>
      </c>
      <c r="C33" s="242" t="s">
        <v>106</v>
      </c>
      <c r="D33" s="299">
        <v>345</v>
      </c>
      <c r="E33" s="299">
        <v>422</v>
      </c>
      <c r="F33" s="299">
        <v>424</v>
      </c>
      <c r="G33" s="207" t="s">
        <v>67</v>
      </c>
    </row>
    <row r="34" ht="45" customHeight="1">
      <c r="A34" s="226"/>
      <c r="B34" s="238">
        <v>1144</v>
      </c>
      <c r="C34" s="242" t="s">
        <v>107</v>
      </c>
      <c r="D34" s="299">
        <v>223</v>
      </c>
      <c r="E34" s="299">
        <v>328</v>
      </c>
      <c r="F34" s="299">
        <v>322</v>
      </c>
      <c r="G34" s="207" t="s">
        <v>67</v>
      </c>
    </row>
    <row r="35" ht="45" customHeight="1">
      <c r="A35" s="226"/>
      <c r="B35" s="238">
        <v>1145</v>
      </c>
      <c r="C35" s="242" t="s">
        <v>108</v>
      </c>
      <c r="D35" s="299">
        <v>496</v>
      </c>
      <c r="E35" s="299">
        <v>621</v>
      </c>
      <c r="F35" s="299">
        <v>568</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286</v>
      </c>
      <c r="E37" s="299">
        <v>292</v>
      </c>
      <c r="F37" s="299">
        <v>318</v>
      </c>
      <c r="G37" s="207" t="s">
        <v>67</v>
      </c>
    </row>
    <row r="38" ht="45" customHeight="1">
      <c r="A38" s="226"/>
      <c r="B38" s="238">
        <v>1153</v>
      </c>
      <c r="C38" s="242" t="s">
        <v>111</v>
      </c>
      <c r="D38" s="299">
        <v>437</v>
      </c>
      <c r="E38" s="299">
        <v>495</v>
      </c>
      <c r="F38" s="299">
        <v>450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286</v>
      </c>
      <c r="E40" s="299">
        <v>292</v>
      </c>
      <c r="F40" s="299">
        <v>318</v>
      </c>
      <c r="G40" s="207" t="s">
        <v>67</v>
      </c>
    </row>
    <row r="41" ht="45" customHeight="1">
      <c r="A41" s="226"/>
      <c r="B41" s="238">
        <v>1156</v>
      </c>
      <c r="C41" s="242" t="s">
        <v>113</v>
      </c>
      <c r="D41" s="299">
        <v>437</v>
      </c>
      <c r="E41" s="299">
        <v>495</v>
      </c>
      <c r="F41" s="299">
        <v>450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v>
      </c>
      <c r="E43" s="299">
        <v>8</v>
      </c>
      <c r="F43" s="299">
        <v>2</v>
      </c>
      <c r="G43" s="207" t="s">
        <v>67</v>
      </c>
    </row>
    <row r="44" ht="45" customHeight="1" s="250" customFormat="1">
      <c r="A44" s="226"/>
      <c r="B44" s="238">
        <v>1159</v>
      </c>
      <c r="C44" s="242" t="s">
        <v>116</v>
      </c>
      <c r="D44" s="299">
        <v>5</v>
      </c>
      <c r="E44" s="299">
        <v>8</v>
      </c>
      <c r="F44" s="299">
        <v>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342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32</v>
      </c>
      <c r="E53" s="299">
        <v>20</v>
      </c>
      <c r="F53" s="299">
        <v>30</v>
      </c>
      <c r="G53" s="207" t="s">
        <v>117</v>
      </c>
    </row>
    <row r="54" ht="45" customHeight="1">
      <c r="A54" s="226"/>
      <c r="B54" s="238">
        <v>1214</v>
      </c>
      <c r="C54" s="264" t="s">
        <v>132</v>
      </c>
      <c r="D54" s="299">
        <v>32</v>
      </c>
      <c r="E54" s="299">
        <v>20</v>
      </c>
      <c r="F54" s="299">
        <v>30</v>
      </c>
      <c r="G54" s="207" t="s">
        <v>117</v>
      </c>
    </row>
    <row r="55" ht="45" customHeight="1">
      <c r="A55" s="226"/>
      <c r="B55" s="238">
        <v>1215</v>
      </c>
      <c r="C55" s="242" t="s">
        <v>133</v>
      </c>
      <c r="D55" s="299">
        <v>32</v>
      </c>
      <c r="E55" s="299">
        <v>20</v>
      </c>
      <c r="F55" s="299">
        <v>30</v>
      </c>
      <c r="G55" s="207" t="s">
        <v>117</v>
      </c>
    </row>
    <row r="56" ht="45" customHeight="1">
      <c r="A56" s="226"/>
      <c r="B56" s="238">
        <v>1216</v>
      </c>
      <c r="C56" s="243" t="s">
        <v>134</v>
      </c>
      <c r="D56" s="299">
        <v>32</v>
      </c>
      <c r="E56" s="299">
        <v>20</v>
      </c>
      <c r="F56" s="299">
        <v>30</v>
      </c>
      <c r="G56" s="207" t="s">
        <v>117</v>
      </c>
    </row>
    <row r="57" ht="45" customHeight="1">
      <c r="A57" s="226"/>
      <c r="B57" s="238">
        <v>1217</v>
      </c>
      <c r="C57" s="243" t="s">
        <v>135</v>
      </c>
      <c r="D57" s="299">
        <v>1</v>
      </c>
      <c r="E57" s="299">
        <v>1</v>
      </c>
      <c r="F57" s="299">
        <v>3</v>
      </c>
      <c r="G57" s="207" t="s">
        <v>117</v>
      </c>
    </row>
    <row r="58" ht="45" customHeight="1">
      <c r="A58" s="226"/>
      <c r="B58" s="238">
        <v>1218</v>
      </c>
      <c r="C58" s="243" t="s">
        <v>136</v>
      </c>
      <c r="D58" s="299">
        <v>0</v>
      </c>
      <c r="E58" s="299">
        <v>0</v>
      </c>
      <c r="F58" s="299">
        <v>1</v>
      </c>
      <c r="G58" s="207" t="s">
        <v>117</v>
      </c>
    </row>
    <row r="59" ht="45" customHeight="1">
      <c r="A59" s="226"/>
      <c r="B59" s="238">
        <v>1221</v>
      </c>
      <c r="C59" s="264" t="s">
        <v>137</v>
      </c>
      <c r="D59" s="299">
        <v>32</v>
      </c>
      <c r="E59" s="299">
        <v>20</v>
      </c>
      <c r="F59" s="299">
        <v>30</v>
      </c>
      <c r="G59" s="207" t="s">
        <v>117</v>
      </c>
    </row>
    <row r="60" ht="45" customHeight="1">
      <c r="A60" s="226"/>
      <c r="B60" s="238">
        <v>1222</v>
      </c>
      <c r="C60" s="264" t="s">
        <v>138</v>
      </c>
      <c r="D60" s="299">
        <v>31</v>
      </c>
      <c r="E60" s="299">
        <v>19</v>
      </c>
      <c r="F60" s="299">
        <v>27</v>
      </c>
      <c r="G60" s="207" t="s">
        <v>117</v>
      </c>
    </row>
    <row r="61" ht="45" customHeight="1">
      <c r="A61" s="226"/>
      <c r="B61" s="238">
        <v>1223</v>
      </c>
      <c r="C61" s="264" t="s">
        <v>139</v>
      </c>
      <c r="D61" s="299">
        <v>31</v>
      </c>
      <c r="E61" s="299">
        <v>19</v>
      </c>
      <c r="F61" s="299">
        <v>27</v>
      </c>
      <c r="G61" s="207" t="s">
        <v>117</v>
      </c>
    </row>
    <row r="62" ht="54.65" customHeight="1">
      <c r="A62" s="226"/>
      <c r="B62" s="238">
        <v>1224</v>
      </c>
      <c r="C62" s="264" t="s">
        <v>140</v>
      </c>
      <c r="D62" s="299">
        <v>31</v>
      </c>
      <c r="E62" s="299">
        <v>19</v>
      </c>
      <c r="F62" s="299">
        <v>27</v>
      </c>
      <c r="G62" s="207" t="s">
        <v>117</v>
      </c>
    </row>
    <row r="63" ht="66.65" customHeight="1">
      <c r="A63" s="226"/>
      <c r="B63" s="238">
        <v>1225</v>
      </c>
      <c r="C63" s="264" t="s">
        <v>141</v>
      </c>
      <c r="D63" s="299">
        <v>31</v>
      </c>
      <c r="E63" s="299">
        <v>19</v>
      </c>
      <c r="F63" s="299">
        <v>27</v>
      </c>
      <c r="G63" s="207" t="s">
        <v>117</v>
      </c>
    </row>
    <row r="64" ht="45" customHeight="1">
      <c r="A64" s="226"/>
      <c r="B64" s="238">
        <v>1226</v>
      </c>
      <c r="C64" s="264" t="s">
        <v>142</v>
      </c>
      <c r="D64" s="299">
        <v>1</v>
      </c>
      <c r="E64" s="299">
        <v>1</v>
      </c>
      <c r="F64" s="299">
        <v>3</v>
      </c>
      <c r="G64" s="207" t="s">
        <v>117</v>
      </c>
    </row>
    <row r="65" ht="45" customHeight="1">
      <c r="A65" s="226"/>
      <c r="B65" s="238">
        <v>1227</v>
      </c>
      <c r="C65" s="264" t="s">
        <v>143</v>
      </c>
      <c r="D65" s="299">
        <v>1</v>
      </c>
      <c r="E65" s="299">
        <v>1</v>
      </c>
      <c r="F65" s="299">
        <v>3</v>
      </c>
      <c r="G65" s="207" t="s">
        <v>117</v>
      </c>
    </row>
    <row r="66" ht="45" customHeight="1">
      <c r="A66" s="226"/>
      <c r="B66" s="238"/>
      <c r="C66" s="245" t="s">
        <v>144</v>
      </c>
      <c r="D66" s="246"/>
      <c r="E66" s="246"/>
      <c r="F66" s="247"/>
      <c r="G66" s="207" t="s">
        <v>117</v>
      </c>
    </row>
    <row r="67" ht="45" customHeight="1">
      <c r="A67" s="226"/>
      <c r="B67" s="238">
        <v>1231</v>
      </c>
      <c r="C67" s="242" t="s">
        <v>145</v>
      </c>
      <c r="D67" s="299">
        <v>114</v>
      </c>
      <c r="E67" s="299">
        <v>111</v>
      </c>
      <c r="F67" s="299">
        <v>97</v>
      </c>
      <c r="G67" s="207" t="s">
        <v>117</v>
      </c>
    </row>
    <row r="68" ht="42" customHeight="1">
      <c r="A68" s="226"/>
      <c r="B68" s="238">
        <v>1232</v>
      </c>
      <c r="C68" s="242" t="s">
        <v>146</v>
      </c>
      <c r="D68" s="299">
        <v>1</v>
      </c>
      <c r="E68" s="299">
        <v>0</v>
      </c>
      <c r="F68" s="299">
        <v>0</v>
      </c>
      <c r="G68" s="207" t="s">
        <v>117</v>
      </c>
    </row>
    <row r="69" ht="44.5" customHeight="1">
      <c r="A69" s="226"/>
      <c r="B69" s="238">
        <v>1233</v>
      </c>
      <c r="C69" s="242" t="s">
        <v>147</v>
      </c>
      <c r="D69" s="299">
        <v>1</v>
      </c>
      <c r="E69" s="299">
        <v>1</v>
      </c>
      <c r="F69" s="299">
        <v>3</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114</v>
      </c>
      <c r="E71" s="299">
        <v>110</v>
      </c>
      <c r="F71" s="299">
        <v>96</v>
      </c>
      <c r="G71" s="207" t="s">
        <v>117</v>
      </c>
    </row>
    <row r="72" ht="45" customHeight="1">
      <c r="A72" s="226"/>
      <c r="B72" s="238">
        <v>1236</v>
      </c>
      <c r="C72" s="242" t="s">
        <v>150</v>
      </c>
      <c r="D72" s="299">
        <v>0</v>
      </c>
      <c r="E72" s="299">
        <v>0</v>
      </c>
      <c r="F72" s="299">
        <v>1</v>
      </c>
      <c r="G72" s="207" t="s">
        <v>117</v>
      </c>
    </row>
    <row r="73" ht="45" customHeight="1">
      <c r="A73" s="226"/>
      <c r="B73" s="238">
        <v>1241</v>
      </c>
      <c r="C73" s="242" t="s">
        <v>151</v>
      </c>
      <c r="D73" s="299">
        <v>0</v>
      </c>
      <c r="E73" s="299">
        <v>0</v>
      </c>
      <c r="F73" s="299">
        <v>1</v>
      </c>
      <c r="G73" s="207" t="s">
        <v>117</v>
      </c>
    </row>
    <row r="74" ht="45" customHeight="1">
      <c r="A74" s="226"/>
      <c r="B74" s="238">
        <v>1242</v>
      </c>
      <c r="C74" s="242" t="s">
        <v>152</v>
      </c>
      <c r="D74" s="299">
        <v>1</v>
      </c>
      <c r="E74" s="299">
        <v>1</v>
      </c>
      <c r="F74" s="299">
        <v>3</v>
      </c>
      <c r="G74" s="207" t="s">
        <v>117</v>
      </c>
    </row>
    <row r="75" ht="45" customHeight="1">
      <c r="A75" s="226"/>
      <c r="B75" s="238">
        <v>1243</v>
      </c>
      <c r="C75" s="243" t="s">
        <v>153</v>
      </c>
      <c r="D75" s="299">
        <v>114</v>
      </c>
      <c r="E75" s="299">
        <v>110</v>
      </c>
      <c r="F75" s="299">
        <v>94</v>
      </c>
      <c r="G75" s="207" t="s">
        <v>117</v>
      </c>
    </row>
    <row r="76" ht="45" customHeight="1">
      <c r="A76" s="226"/>
      <c r="B76" s="238">
        <v>1244</v>
      </c>
      <c r="C76" s="243" t="s">
        <v>154</v>
      </c>
      <c r="D76" s="299">
        <v>1</v>
      </c>
      <c r="E76" s="299">
        <v>1</v>
      </c>
      <c r="F76" s="299">
        <v>3</v>
      </c>
      <c r="G76" s="207" t="s">
        <v>117</v>
      </c>
    </row>
    <row r="77" ht="45" customHeight="1">
      <c r="A77" s="226"/>
      <c r="B77" s="238">
        <v>1245</v>
      </c>
      <c r="C77" s="243" t="s">
        <v>155</v>
      </c>
      <c r="D77" s="299">
        <v>114</v>
      </c>
      <c r="E77" s="299">
        <v>110</v>
      </c>
      <c r="F77" s="299">
        <v>94</v>
      </c>
      <c r="G77" s="207" t="s">
        <v>117</v>
      </c>
    </row>
    <row r="78" ht="45" customHeight="1">
      <c r="A78" s="226"/>
      <c r="B78" s="238">
        <v>1246</v>
      </c>
      <c r="C78" s="243" t="s">
        <v>156</v>
      </c>
      <c r="D78" s="299">
        <v>1</v>
      </c>
      <c r="E78" s="299">
        <v>1</v>
      </c>
      <c r="F78" s="299">
        <v>3</v>
      </c>
      <c r="G78" s="207" t="s">
        <v>117</v>
      </c>
    </row>
    <row r="79" ht="45" customHeight="1">
      <c r="A79" s="226"/>
      <c r="B79" s="238">
        <v>1247</v>
      </c>
      <c r="C79" s="242" t="s">
        <v>157</v>
      </c>
      <c r="D79" s="299">
        <v>114</v>
      </c>
      <c r="E79" s="299">
        <v>110</v>
      </c>
      <c r="F79" s="299">
        <v>94</v>
      </c>
      <c r="G79" s="207" t="s">
        <v>117</v>
      </c>
    </row>
    <row r="80" ht="45" customHeight="1">
      <c r="A80" s="226"/>
      <c r="B80" s="238">
        <v>1248</v>
      </c>
      <c r="C80" s="242" t="s">
        <v>158</v>
      </c>
      <c r="D80" s="299">
        <v>1</v>
      </c>
      <c r="E80" s="299">
        <v>1</v>
      </c>
      <c r="F80" s="299">
        <v>3</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114</v>
      </c>
      <c r="E82" s="299">
        <v>110</v>
      </c>
      <c r="F82" s="299">
        <v>94</v>
      </c>
      <c r="G82" s="207" t="s">
        <v>117</v>
      </c>
    </row>
    <row r="83" ht="45" customHeight="1">
      <c r="A83" s="226"/>
      <c r="B83" s="238">
        <v>1253</v>
      </c>
      <c r="C83" s="242" t="s">
        <v>161</v>
      </c>
      <c r="D83" s="299">
        <v>114</v>
      </c>
      <c r="E83" s="299">
        <v>110</v>
      </c>
      <c r="F83" s="299">
        <v>94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1</v>
      </c>
      <c r="G85" s="207" t="s">
        <v>117</v>
      </c>
    </row>
    <row r="86" ht="45" customHeight="1">
      <c r="A86" s="226"/>
      <c r="B86" s="238">
        <v>1256</v>
      </c>
      <c r="C86" s="242" t="s">
        <v>164</v>
      </c>
      <c r="D86" s="299">
        <v>0</v>
      </c>
      <c r="E86" s="299">
        <v>0</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1</v>
      </c>
      <c r="F88" s="299">
        <v>3</v>
      </c>
      <c r="G88" s="207" t="s">
        <v>117</v>
      </c>
    </row>
    <row r="89" ht="45" customHeight="1">
      <c r="A89" s="226"/>
      <c r="B89" s="238">
        <v>1259</v>
      </c>
      <c r="C89" s="242" t="s">
        <v>167</v>
      </c>
      <c r="D89" s="299">
        <v>1</v>
      </c>
      <c r="E89" s="299">
        <v>1</v>
      </c>
      <c r="F89" s="299">
        <v>3</v>
      </c>
      <c r="G89" s="207" t="s">
        <v>117</v>
      </c>
    </row>
    <row r="90" ht="45" customHeight="1">
      <c r="A90" s="226"/>
      <c r="C90" s="252"/>
      <c r="D90" s="253"/>
      <c r="E90" s="254"/>
      <c r="F90" s="254"/>
      <c r="G90" s="265"/>
    </row>
    <row r="91" ht="45" customHeight="1">
      <c r="A91" s="226"/>
      <c r="B91" s="220" t="s">
        <v>168</v>
      </c>
      <c r="C91" s="260" t="s">
        <v>169</v>
      </c>
      <c r="D91" s="228"/>
      <c r="E91" s="231"/>
      <c r="F91" s="298">
        <v>9</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1</v>
      </c>
      <c r="F93" s="299">
        <v>4</v>
      </c>
      <c r="G93" s="265" t="s">
        <v>168</v>
      </c>
    </row>
    <row r="94" ht="45" customHeight="1">
      <c r="A94" s="226"/>
      <c r="B94" s="238">
        <v>1314</v>
      </c>
      <c r="C94" s="268" t="s">
        <v>173</v>
      </c>
      <c r="D94" s="299">
        <v>1</v>
      </c>
      <c r="E94" s="299">
        <v>0</v>
      </c>
      <c r="F94" s="299">
        <v>4</v>
      </c>
      <c r="G94" s="265" t="s">
        <v>168</v>
      </c>
    </row>
    <row r="95" ht="45" customHeight="1">
      <c r="A95" s="226"/>
      <c r="B95" s="238">
        <v>1315</v>
      </c>
      <c r="C95" s="243" t="s">
        <v>174</v>
      </c>
      <c r="D95" s="299">
        <v>1</v>
      </c>
      <c r="E95" s="299">
        <v>0</v>
      </c>
      <c r="F95" s="299">
        <v>4</v>
      </c>
      <c r="G95" s="265" t="s">
        <v>168</v>
      </c>
    </row>
    <row r="96" ht="45" customHeight="1" s="269" customFormat="1">
      <c r="A96" s="226"/>
      <c r="B96" s="238">
        <v>1316</v>
      </c>
      <c r="C96" s="243" t="s">
        <v>175</v>
      </c>
      <c r="D96" s="299">
        <v>1</v>
      </c>
      <c r="E96" s="299">
        <v>0</v>
      </c>
      <c r="F96" s="299">
        <v>4</v>
      </c>
      <c r="G96" s="265" t="s">
        <v>168</v>
      </c>
    </row>
    <row r="97" ht="45" customHeight="1" s="269" customFormat="1">
      <c r="A97" s="226"/>
      <c r="B97" s="238">
        <v>1321</v>
      </c>
      <c r="C97" s="242" t="s">
        <v>176</v>
      </c>
      <c r="D97" s="299">
        <v>1</v>
      </c>
      <c r="E97" s="299">
        <v>1</v>
      </c>
      <c r="F97" s="299">
        <v>4</v>
      </c>
      <c r="G97" s="265" t="s">
        <v>168</v>
      </c>
    </row>
    <row r="98" ht="45" customHeight="1" s="269" customFormat="1">
      <c r="A98" s="226"/>
      <c r="B98" s="238">
        <v>1322</v>
      </c>
      <c r="C98" s="242" t="s">
        <v>177</v>
      </c>
      <c r="D98" s="299">
        <v>1</v>
      </c>
      <c r="E98" s="299">
        <v>1</v>
      </c>
      <c r="F98" s="299">
        <v>4</v>
      </c>
      <c r="G98" s="265" t="s">
        <v>168</v>
      </c>
    </row>
    <row r="99" ht="45" customHeight="1" s="269" customFormat="1">
      <c r="A99" s="226"/>
      <c r="B99" s="238">
        <v>1323</v>
      </c>
      <c r="C99" s="242" t="s">
        <v>178</v>
      </c>
      <c r="D99" s="299">
        <v>1</v>
      </c>
      <c r="E99" s="299">
        <v>0</v>
      </c>
      <c r="F99" s="299">
        <v>4</v>
      </c>
      <c r="G99" s="265" t="s">
        <v>168</v>
      </c>
    </row>
    <row r="100" ht="45" customHeight="1" s="269" customFormat="1">
      <c r="A100" s="226"/>
      <c r="B100" s="238">
        <v>1324</v>
      </c>
      <c r="C100" s="242" t="s">
        <v>179</v>
      </c>
      <c r="D100" s="299">
        <v>1</v>
      </c>
      <c r="E100" s="299">
        <v>0</v>
      </c>
      <c r="F100" s="299">
        <v>4</v>
      </c>
      <c r="G100" s="265" t="s">
        <v>168</v>
      </c>
    </row>
    <row r="101" ht="45" customHeight="1" s="269" customFormat="1">
      <c r="A101" s="226"/>
      <c r="B101" s="238">
        <v>1331</v>
      </c>
      <c r="C101" s="242" t="s">
        <v>180</v>
      </c>
      <c r="D101" s="299">
        <v>1</v>
      </c>
      <c r="E101" s="299">
        <v>0</v>
      </c>
      <c r="F101" s="299">
        <v>3</v>
      </c>
      <c r="G101" s="265" t="s">
        <v>168</v>
      </c>
    </row>
    <row r="102" ht="45" customHeight="1" s="269" customFormat="1">
      <c r="A102" s="226"/>
      <c r="B102" s="238">
        <v>1332</v>
      </c>
      <c r="C102" s="242" t="s">
        <v>181</v>
      </c>
      <c r="D102" s="299">
        <v>1</v>
      </c>
      <c r="E102" s="299">
        <v>0</v>
      </c>
      <c r="F102" s="299">
        <v>3</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2</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1</v>
      </c>
      <c r="G108" s="265" t="s">
        <v>168</v>
      </c>
    </row>
    <row r="109" ht="45" customHeight="1" s="269" customFormat="1">
      <c r="A109" s="226"/>
      <c r="B109" s="238">
        <v>1344</v>
      </c>
      <c r="C109" s="242" t="s">
        <v>188</v>
      </c>
      <c r="D109" s="299">
        <v>0</v>
      </c>
      <c r="E109" s="299">
        <v>0</v>
      </c>
      <c r="F109" s="299">
        <v>2</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1</v>
      </c>
      <c r="G111" s="265" t="s">
        <v>168</v>
      </c>
    </row>
    <row r="112" ht="45" customHeight="1" s="269" customFormat="1">
      <c r="A112" s="226"/>
      <c r="B112" s="238">
        <v>1353</v>
      </c>
      <c r="C112" s="242" t="s">
        <v>191</v>
      </c>
      <c r="D112" s="299">
        <v>0</v>
      </c>
      <c r="E112" s="299">
        <v>0</v>
      </c>
      <c r="F112" s="299">
        <v>1</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1</v>
      </c>
      <c r="G114" s="265" t="s">
        <v>168</v>
      </c>
    </row>
    <row r="115" ht="45" customHeight="1" s="269" customFormat="1">
      <c r="A115" s="226"/>
      <c r="B115" s="238">
        <v>1356</v>
      </c>
      <c r="C115" s="242" t="s">
        <v>193</v>
      </c>
      <c r="D115" s="299">
        <v>0</v>
      </c>
      <c r="E115" s="299">
        <v>0</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9</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2</v>
      </c>
      <c r="E119" s="299">
        <v>2</v>
      </c>
      <c r="F119" s="299">
        <v>1</v>
      </c>
      <c r="G119" s="207" t="s">
        <v>194</v>
      </c>
    </row>
    <row r="120" ht="45" customHeight="1" s="269" customFormat="1">
      <c r="A120" s="226"/>
      <c r="B120" s="238">
        <v>1414</v>
      </c>
      <c r="C120" s="243" t="s">
        <v>198</v>
      </c>
      <c r="D120" s="299">
        <v>2</v>
      </c>
      <c r="E120" s="299">
        <v>2</v>
      </c>
      <c r="F120" s="299">
        <v>1</v>
      </c>
      <c r="G120" s="207" t="s">
        <v>194</v>
      </c>
    </row>
    <row r="121" ht="45" customHeight="1" s="269" customFormat="1">
      <c r="A121" s="226"/>
      <c r="B121" s="238">
        <v>1422</v>
      </c>
      <c r="C121" s="242" t="s">
        <v>199</v>
      </c>
      <c r="D121" s="299">
        <v>2</v>
      </c>
      <c r="E121" s="299">
        <v>2</v>
      </c>
      <c r="F121" s="299">
        <v>1</v>
      </c>
      <c r="G121" s="207" t="s">
        <v>194</v>
      </c>
    </row>
    <row r="122" ht="45" customHeight="1" s="269" customFormat="1">
      <c r="A122" s="226"/>
      <c r="B122" s="238">
        <v>1423</v>
      </c>
      <c r="C122" s="242" t="s">
        <v>200</v>
      </c>
      <c r="D122" s="299">
        <v>2</v>
      </c>
      <c r="E122" s="299">
        <v>2</v>
      </c>
      <c r="F122" s="299">
        <v>1</v>
      </c>
      <c r="G122" s="207" t="s">
        <v>194</v>
      </c>
    </row>
    <row r="123" ht="45" customHeight="1" s="269" customFormat="1">
      <c r="A123" s="226"/>
      <c r="B123" s="238">
        <v>1424</v>
      </c>
      <c r="C123" s="242" t="s">
        <v>201</v>
      </c>
      <c r="D123" s="299">
        <v>2</v>
      </c>
      <c r="E123" s="299">
        <v>2</v>
      </c>
      <c r="F123" s="299">
        <v>1</v>
      </c>
      <c r="G123" s="207" t="s">
        <v>194</v>
      </c>
    </row>
    <row r="124" ht="45" customHeight="1" s="269" customFormat="1">
      <c r="A124" s="226"/>
      <c r="B124" s="238">
        <v>1425</v>
      </c>
      <c r="C124" s="242" t="s">
        <v>202</v>
      </c>
      <c r="D124" s="299">
        <v>2</v>
      </c>
      <c r="E124" s="299">
        <v>2</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2</v>
      </c>
      <c r="E126" s="299">
        <v>2</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2</v>
      </c>
      <c r="E129" s="299">
        <v>2</v>
      </c>
      <c r="F129" s="299">
        <v>0</v>
      </c>
      <c r="G129" s="207" t="s">
        <v>194</v>
      </c>
    </row>
    <row r="130" ht="45" customHeight="1" s="269" customFormat="1">
      <c r="A130" s="226"/>
      <c r="B130" s="238">
        <v>1435</v>
      </c>
      <c r="C130" s="242" t="s">
        <v>209</v>
      </c>
      <c r="D130" s="299">
        <v>2</v>
      </c>
      <c r="E130" s="299">
        <v>2</v>
      </c>
      <c r="F130" s="299">
        <v>1</v>
      </c>
      <c r="G130" s="207" t="s">
        <v>194</v>
      </c>
    </row>
    <row r="131" ht="45" customHeight="1" s="269" customFormat="1">
      <c r="A131" s="226"/>
      <c r="B131" s="238">
        <v>1441</v>
      </c>
      <c r="C131" s="242" t="s">
        <v>210</v>
      </c>
      <c r="D131" s="299">
        <v>2</v>
      </c>
      <c r="E131" s="299">
        <v>2</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2</v>
      </c>
      <c r="E133" s="299">
        <v>2</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2</v>
      </c>
      <c r="E135" s="299">
        <v>2</v>
      </c>
      <c r="F135" s="299">
        <v>0</v>
      </c>
      <c r="G135" s="207" t="s">
        <v>194</v>
      </c>
    </row>
    <row r="136" ht="45" customHeight="1" s="269" customFormat="1">
      <c r="A136" s="226"/>
      <c r="B136" s="238">
        <v>1453</v>
      </c>
      <c r="C136" s="242" t="s">
        <v>215</v>
      </c>
      <c r="D136" s="299">
        <v>2</v>
      </c>
      <c r="E136" s="299">
        <v>2</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2</v>
      </c>
      <c r="E138" s="299">
        <v>2</v>
      </c>
      <c r="F138" s="299">
        <v>0</v>
      </c>
      <c r="G138" s="207" t="s">
        <v>194</v>
      </c>
    </row>
    <row r="139" ht="45" customHeight="1">
      <c r="A139" s="226"/>
      <c r="B139" s="238">
        <v>1456</v>
      </c>
      <c r="C139" s="242" t="s">
        <v>218</v>
      </c>
      <c r="D139" s="299">
        <v>2</v>
      </c>
      <c r="E139" s="299">
        <v>2</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13</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4</v>
      </c>
      <c r="E144" s="299">
        <v>4</v>
      </c>
      <c r="F144" s="299">
        <v>4</v>
      </c>
      <c r="G144" s="207" t="s">
        <v>219</v>
      </c>
    </row>
    <row r="145" ht="45" customHeight="1">
      <c r="A145" s="226"/>
      <c r="B145" s="238">
        <v>1514</v>
      </c>
      <c r="C145" s="264" t="s">
        <v>225</v>
      </c>
      <c r="D145" s="299">
        <v>4</v>
      </c>
      <c r="E145" s="299">
        <v>4</v>
      </c>
      <c r="F145" s="299">
        <v>4</v>
      </c>
      <c r="G145" s="207" t="s">
        <v>219</v>
      </c>
    </row>
    <row r="146" ht="45" customHeight="1">
      <c r="A146" s="226">
        <v>1541</v>
      </c>
      <c r="B146" s="238">
        <v>1515</v>
      </c>
      <c r="C146" s="264" t="s">
        <v>226</v>
      </c>
      <c r="D146" s="299">
        <v>4</v>
      </c>
      <c r="E146" s="299">
        <v>4</v>
      </c>
      <c r="F146" s="299">
        <v>4</v>
      </c>
      <c r="G146" s="207" t="s">
        <v>219</v>
      </c>
    </row>
    <row r="147" ht="45" customHeight="1">
      <c r="A147" s="226"/>
      <c r="B147" s="238">
        <v>1521</v>
      </c>
      <c r="C147" s="264" t="s">
        <v>227</v>
      </c>
      <c r="D147" s="299">
        <v>4</v>
      </c>
      <c r="E147" s="299">
        <v>4</v>
      </c>
      <c r="F147" s="299">
        <v>4</v>
      </c>
      <c r="G147" s="207" t="s">
        <v>219</v>
      </c>
    </row>
    <row r="148" ht="45" customHeight="1">
      <c r="A148" s="226"/>
      <c r="B148" s="238">
        <v>1522</v>
      </c>
      <c r="C148" s="264" t="s">
        <v>228</v>
      </c>
      <c r="D148" s="299">
        <v>4</v>
      </c>
      <c r="E148" s="299">
        <v>4</v>
      </c>
      <c r="F148" s="299">
        <v>4</v>
      </c>
      <c r="G148" s="207" t="s">
        <v>219</v>
      </c>
    </row>
    <row r="149" ht="45" customHeight="1">
      <c r="A149" s="226"/>
      <c r="B149" s="238">
        <v>1523</v>
      </c>
      <c r="C149" s="264" t="s">
        <v>229</v>
      </c>
      <c r="D149" s="299">
        <v>4</v>
      </c>
      <c r="E149" s="299">
        <v>4</v>
      </c>
      <c r="F149" s="299">
        <v>4</v>
      </c>
      <c r="G149" s="207" t="s">
        <v>219</v>
      </c>
    </row>
    <row r="150" ht="45" customHeight="1">
      <c r="A150" s="226"/>
      <c r="B150" s="238">
        <v>1524</v>
      </c>
      <c r="C150" s="264" t="s">
        <v>230</v>
      </c>
      <c r="D150" s="299">
        <v>4</v>
      </c>
      <c r="E150" s="299">
        <v>4</v>
      </c>
      <c r="F150" s="299">
        <v>4</v>
      </c>
      <c r="G150" s="207" t="s">
        <v>219</v>
      </c>
    </row>
    <row r="151" ht="45" customHeight="1">
      <c r="A151" s="226"/>
      <c r="B151" s="238">
        <v>1531</v>
      </c>
      <c r="C151" s="242" t="s">
        <v>231</v>
      </c>
      <c r="D151" s="299">
        <v>1</v>
      </c>
      <c r="E151" s="299">
        <v>2</v>
      </c>
      <c r="F151" s="299">
        <v>1</v>
      </c>
      <c r="G151" s="207" t="s">
        <v>219</v>
      </c>
    </row>
    <row r="152" ht="45" customHeight="1">
      <c r="A152" s="226"/>
      <c r="B152" s="238">
        <v>1532</v>
      </c>
      <c r="C152" s="242" t="s">
        <v>232</v>
      </c>
      <c r="D152" s="299">
        <v>3</v>
      </c>
      <c r="E152" s="299">
        <v>2</v>
      </c>
      <c r="F152" s="299">
        <v>3</v>
      </c>
      <c r="G152" s="207" t="s">
        <v>219</v>
      </c>
    </row>
    <row r="153" ht="45" customHeight="1">
      <c r="A153" s="226"/>
      <c r="B153" s="238">
        <v>1533</v>
      </c>
      <c r="C153" s="242" t="s">
        <v>233</v>
      </c>
      <c r="D153" s="299">
        <v>3</v>
      </c>
      <c r="E153" s="299">
        <v>4</v>
      </c>
      <c r="F153" s="299">
        <v>4</v>
      </c>
      <c r="G153" s="207" t="s">
        <v>219</v>
      </c>
    </row>
    <row r="154" ht="45" customHeight="1">
      <c r="A154" s="226"/>
      <c r="B154" s="238">
        <v>1534</v>
      </c>
      <c r="C154" s="242" t="s">
        <v>234</v>
      </c>
      <c r="D154" s="299">
        <v>1</v>
      </c>
      <c r="E154" s="299">
        <v>0</v>
      </c>
      <c r="F154" s="299">
        <v>0</v>
      </c>
      <c r="G154" s="207" t="s">
        <v>219</v>
      </c>
    </row>
    <row r="155" ht="45" customHeight="1">
      <c r="A155" s="226"/>
      <c r="B155" s="238">
        <v>1541</v>
      </c>
      <c r="C155" s="242" t="s">
        <v>235</v>
      </c>
      <c r="D155" s="299">
        <v>4</v>
      </c>
      <c r="E155" s="299">
        <v>4</v>
      </c>
      <c r="F155" s="299">
        <v>4</v>
      </c>
      <c r="G155" s="207" t="s">
        <v>219</v>
      </c>
    </row>
    <row r="156" ht="45" customHeight="1">
      <c r="A156" s="226"/>
      <c r="B156" s="238">
        <v>1542</v>
      </c>
      <c r="C156" s="264" t="s">
        <v>236</v>
      </c>
      <c r="D156" s="299">
        <v>4</v>
      </c>
      <c r="E156" s="299">
        <v>4</v>
      </c>
      <c r="F156" s="299">
        <v>4</v>
      </c>
      <c r="G156" s="207" t="s">
        <v>219</v>
      </c>
    </row>
    <row r="157" ht="45" customHeight="1">
      <c r="A157" s="226"/>
      <c r="B157" s="238">
        <v>1543</v>
      </c>
      <c r="C157" s="264" t="s">
        <v>237</v>
      </c>
      <c r="D157" s="299">
        <v>4</v>
      </c>
      <c r="E157" s="299">
        <v>4</v>
      </c>
      <c r="F157" s="299">
        <v>4</v>
      </c>
      <c r="G157" s="207" t="s">
        <v>219</v>
      </c>
    </row>
    <row r="158" ht="45" customHeight="1">
      <c r="A158" s="226"/>
      <c r="B158" s="238">
        <v>1544</v>
      </c>
      <c r="C158" s="242" t="s">
        <v>238</v>
      </c>
      <c r="D158" s="299">
        <v>4</v>
      </c>
      <c r="E158" s="299">
        <v>4</v>
      </c>
      <c r="F158" s="299">
        <v>4</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4</v>
      </c>
      <c r="E160" s="299">
        <v>4</v>
      </c>
      <c r="F160" s="299">
        <v>4</v>
      </c>
      <c r="G160" s="207" t="s">
        <v>219</v>
      </c>
    </row>
    <row r="161" ht="45" customHeight="1">
      <c r="A161" s="226"/>
      <c r="B161" s="238">
        <v>1553</v>
      </c>
      <c r="C161" s="242" t="s">
        <v>241</v>
      </c>
      <c r="D161" s="299">
        <v>4</v>
      </c>
      <c r="E161" s="299">
        <v>4</v>
      </c>
      <c r="F161" s="299">
        <v>4</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4</v>
      </c>
      <c r="E163" s="299">
        <v>4</v>
      </c>
      <c r="F163" s="299">
        <v>4</v>
      </c>
      <c r="G163" s="207" t="s">
        <v>219</v>
      </c>
    </row>
    <row r="164" ht="45" customHeight="1">
      <c r="A164" s="226"/>
      <c r="B164" s="238">
        <v>1556</v>
      </c>
      <c r="C164" s="242" t="s">
        <v>241</v>
      </c>
      <c r="D164" s="299">
        <v>4</v>
      </c>
      <c r="E164" s="299">
        <v>4</v>
      </c>
      <c r="F164" s="299">
        <v>4</v>
      </c>
      <c r="G164" s="207" t="s">
        <v>219</v>
      </c>
    </row>
    <row r="165" ht="45" customHeight="1">
      <c r="A165" s="226"/>
      <c r="C165" s="276"/>
      <c r="D165" s="277"/>
      <c r="G165" s="207"/>
    </row>
    <row r="166" ht="45" customHeight="1">
      <c r="A166" s="226"/>
      <c r="B166" s="279" t="s">
        <v>244</v>
      </c>
      <c r="C166" s="260" t="s">
        <v>245</v>
      </c>
      <c r="D166" s="228"/>
      <c r="E166" s="231"/>
      <c r="F166" s="298">
        <v>435</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33</v>
      </c>
      <c r="E171" s="299">
        <v>28</v>
      </c>
      <c r="F171" s="299">
        <v>26</v>
      </c>
      <c r="G171" s="207" t="s">
        <v>244</v>
      </c>
    </row>
    <row r="172" ht="45" customHeight="1">
      <c r="A172" s="226"/>
      <c r="B172" s="238">
        <v>1614</v>
      </c>
      <c r="C172" s="281" t="s">
        <v>251</v>
      </c>
      <c r="D172" s="299">
        <v>4</v>
      </c>
      <c r="E172" s="299">
        <v>4</v>
      </c>
      <c r="F172" s="299">
        <v>4</v>
      </c>
      <c r="G172" s="207" t="s">
        <v>244</v>
      </c>
    </row>
    <row r="173" ht="45" customHeight="1">
      <c r="A173" s="226"/>
      <c r="B173" s="238">
        <v>1615</v>
      </c>
      <c r="C173" s="242" t="s">
        <v>252</v>
      </c>
      <c r="D173" s="299">
        <v>33</v>
      </c>
      <c r="E173" s="299">
        <v>28</v>
      </c>
      <c r="F173" s="299">
        <v>26</v>
      </c>
      <c r="G173" s="207" t="s">
        <v>244</v>
      </c>
    </row>
    <row r="174" ht="45" customHeight="1">
      <c r="A174" s="226"/>
      <c r="B174" s="238">
        <v>1616</v>
      </c>
      <c r="C174" s="242" t="s">
        <v>253</v>
      </c>
      <c r="D174" s="299">
        <v>33</v>
      </c>
      <c r="E174" s="299">
        <v>28</v>
      </c>
      <c r="F174" s="299">
        <v>26</v>
      </c>
      <c r="G174" s="207" t="s">
        <v>244</v>
      </c>
    </row>
    <row r="175" ht="45" customHeight="1">
      <c r="A175" s="226"/>
      <c r="B175" s="238">
        <v>1621</v>
      </c>
      <c r="C175" s="242" t="s">
        <v>254</v>
      </c>
      <c r="D175" s="299">
        <v>33</v>
      </c>
      <c r="E175" s="299">
        <v>28</v>
      </c>
      <c r="F175" s="299">
        <v>26</v>
      </c>
      <c r="G175" s="207" t="s">
        <v>244</v>
      </c>
    </row>
    <row r="176" ht="45" customHeight="1">
      <c r="A176" s="226"/>
      <c r="B176" s="238">
        <v>1622</v>
      </c>
      <c r="C176" s="242" t="s">
        <v>255</v>
      </c>
      <c r="D176" s="299">
        <v>33</v>
      </c>
      <c r="E176" s="299">
        <v>28</v>
      </c>
      <c r="F176" s="299">
        <v>26</v>
      </c>
      <c r="G176" s="207" t="s">
        <v>244</v>
      </c>
    </row>
    <row r="177" ht="45" customHeight="1">
      <c r="A177" s="226"/>
      <c r="B177" s="238">
        <v>1623</v>
      </c>
      <c r="C177" s="242" t="s">
        <v>256</v>
      </c>
      <c r="D177" s="299">
        <v>30</v>
      </c>
      <c r="E177" s="299">
        <v>33</v>
      </c>
      <c r="F177" s="299">
        <v>31</v>
      </c>
      <c r="G177" s="207" t="s">
        <v>244</v>
      </c>
    </row>
    <row r="178" ht="45" customHeight="1">
      <c r="A178" s="226"/>
      <c r="B178" s="238">
        <v>1624</v>
      </c>
      <c r="C178" s="242" t="s">
        <v>257</v>
      </c>
      <c r="D178" s="299">
        <v>4</v>
      </c>
      <c r="E178" s="299">
        <v>4</v>
      </c>
      <c r="F178" s="299">
        <v>4</v>
      </c>
      <c r="G178" s="207" t="s">
        <v>244</v>
      </c>
    </row>
    <row r="179" ht="45" customHeight="1">
      <c r="A179" s="226"/>
      <c r="B179" s="238">
        <v>1625</v>
      </c>
      <c r="C179" s="242" t="s">
        <v>258</v>
      </c>
      <c r="D179" s="299">
        <v>33</v>
      </c>
      <c r="E179" s="299">
        <v>28</v>
      </c>
      <c r="F179" s="299">
        <v>26</v>
      </c>
      <c r="G179" s="207" t="s">
        <v>244</v>
      </c>
    </row>
    <row r="180" ht="45" customHeight="1">
      <c r="A180" s="226"/>
      <c r="B180" s="238"/>
      <c r="C180" s="245" t="s">
        <v>259</v>
      </c>
      <c r="D180" s="246"/>
      <c r="E180" s="246"/>
      <c r="F180" s="247"/>
      <c r="G180" s="207" t="s">
        <v>244</v>
      </c>
    </row>
    <row r="181" ht="45" customHeight="1">
      <c r="A181" s="226"/>
      <c r="B181" s="238">
        <v>1631</v>
      </c>
      <c r="C181" s="242" t="s">
        <v>260</v>
      </c>
      <c r="D181" s="299">
        <v>107</v>
      </c>
      <c r="E181" s="299">
        <v>108</v>
      </c>
      <c r="F181" s="299">
        <v>144</v>
      </c>
      <c r="G181" s="207" t="s">
        <v>244</v>
      </c>
    </row>
    <row r="182" ht="45" customHeight="1">
      <c r="A182" s="226"/>
      <c r="B182" s="238">
        <v>1632</v>
      </c>
      <c r="C182" s="242" t="s">
        <v>261</v>
      </c>
      <c r="D182" s="299">
        <v>217</v>
      </c>
      <c r="E182" s="299">
        <v>219</v>
      </c>
      <c r="F182" s="299">
        <v>291</v>
      </c>
      <c r="G182" s="207" t="s">
        <v>244</v>
      </c>
    </row>
    <row r="183" ht="45" customHeight="1">
      <c r="A183" s="226"/>
      <c r="B183" s="238">
        <v>1633</v>
      </c>
      <c r="C183" s="242" t="s">
        <v>262</v>
      </c>
      <c r="D183" s="299">
        <v>301</v>
      </c>
      <c r="E183" s="299">
        <v>304</v>
      </c>
      <c r="F183" s="299">
        <v>408</v>
      </c>
      <c r="G183" s="207" t="s">
        <v>244</v>
      </c>
    </row>
    <row r="184" ht="45" customHeight="1">
      <c r="A184" s="226"/>
      <c r="B184" s="238">
        <v>1634</v>
      </c>
      <c r="C184" s="242" t="s">
        <v>263</v>
      </c>
      <c r="D184" s="299">
        <v>23</v>
      </c>
      <c r="E184" s="299">
        <v>23</v>
      </c>
      <c r="F184" s="299">
        <v>27</v>
      </c>
      <c r="G184" s="207" t="s">
        <v>244</v>
      </c>
    </row>
    <row r="185" ht="45" customHeight="1">
      <c r="A185" s="226"/>
      <c r="B185" s="238">
        <v>1635</v>
      </c>
      <c r="C185" s="242" t="s">
        <v>264</v>
      </c>
      <c r="D185" s="299">
        <v>201</v>
      </c>
      <c r="E185" s="299">
        <v>208</v>
      </c>
      <c r="F185" s="299">
        <v>197</v>
      </c>
      <c r="G185" s="207" t="s">
        <v>244</v>
      </c>
    </row>
    <row r="186" ht="45" customHeight="1">
      <c r="A186" s="226"/>
      <c r="B186" s="238">
        <v>1641</v>
      </c>
      <c r="C186" s="242" t="s">
        <v>265</v>
      </c>
      <c r="D186" s="299">
        <v>4</v>
      </c>
      <c r="E186" s="299">
        <v>4</v>
      </c>
      <c r="F186" s="299">
        <v>5</v>
      </c>
      <c r="G186" s="207" t="s">
        <v>244</v>
      </c>
    </row>
    <row r="187" ht="45" customHeight="1">
      <c r="A187" s="226"/>
      <c r="B187" s="238">
        <v>1642</v>
      </c>
      <c r="C187" s="242" t="s">
        <v>264</v>
      </c>
      <c r="D187" s="299">
        <v>201</v>
      </c>
      <c r="E187" s="299">
        <v>208</v>
      </c>
      <c r="F187" s="299">
        <v>197</v>
      </c>
      <c r="G187" s="207" t="s">
        <v>244</v>
      </c>
    </row>
    <row r="188" ht="45" customHeight="1">
      <c r="A188" s="226"/>
      <c r="B188" s="238">
        <v>1643</v>
      </c>
      <c r="C188" s="242" t="s">
        <v>266</v>
      </c>
      <c r="D188" s="299">
        <v>324</v>
      </c>
      <c r="E188" s="299">
        <v>327</v>
      </c>
      <c r="F188" s="299">
        <v>435</v>
      </c>
      <c r="G188" s="207" t="s">
        <v>244</v>
      </c>
    </row>
    <row r="189" ht="45" customHeight="1">
      <c r="A189" s="226"/>
      <c r="B189" s="238">
        <v>1644</v>
      </c>
      <c r="C189" s="242" t="s">
        <v>267</v>
      </c>
      <c r="D189" s="299">
        <v>4</v>
      </c>
      <c r="E189" s="299">
        <v>6</v>
      </c>
      <c r="F189" s="299">
        <v>10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566</v>
      </c>
      <c r="E191" s="299">
        <v>568</v>
      </c>
      <c r="F191" s="299">
        <v>574</v>
      </c>
      <c r="G191" s="207" t="s">
        <v>244</v>
      </c>
    </row>
    <row r="192" ht="45" customHeight="1">
      <c r="A192" s="226"/>
      <c r="B192" s="238">
        <v>1653</v>
      </c>
      <c r="C192" s="242" t="s">
        <v>270</v>
      </c>
      <c r="D192" s="299">
        <v>324</v>
      </c>
      <c r="E192" s="299">
        <v>327</v>
      </c>
      <c r="F192" s="299">
        <v>435</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1</v>
      </c>
      <c r="E194" s="299">
        <v>1</v>
      </c>
      <c r="F194" s="299">
        <v>0</v>
      </c>
      <c r="G194" s="207" t="s">
        <v>244</v>
      </c>
    </row>
    <row r="195" ht="45" customHeight="1">
      <c r="A195" s="226"/>
      <c r="B195" s="238">
        <v>1656</v>
      </c>
      <c r="C195" s="242" t="s">
        <v>273</v>
      </c>
      <c r="D195" s="299">
        <v>1</v>
      </c>
      <c r="E195" s="299">
        <v>1</v>
      </c>
      <c r="F195" s="299">
        <v>1</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1</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1933</v>
      </c>
      <c r="AZ444" s="0" t="s">
        <v>1934</v>
      </c>
      <c r="BA444" s="0" t="s">
        <v>285</v>
      </c>
      <c r="BB444" s="0" t="str">
        <f t="shared" si="6"/>
        <v>CCFNbeKwande</v>
      </c>
    </row>
    <row r="445">
      <c r="AV445" s="0" t="s">
        <v>473</v>
      </c>
      <c r="AW445" s="0" t="s">
        <v>286</v>
      </c>
      <c r="AX445" s="0" t="s">
        <v>748</v>
      </c>
      <c r="AY445" s="0" t="s">
        <v>1935</v>
      </c>
      <c r="AZ445" s="0" t="s">
        <v>1936</v>
      </c>
      <c r="BA445" s="0" t="s">
        <v>285</v>
      </c>
      <c r="BB445" s="0" t="str">
        <f t="shared" si="6"/>
        <v>CCFNbeKwande</v>
      </c>
    </row>
    <row r="446">
      <c r="AV446" s="0" t="s">
        <v>473</v>
      </c>
      <c r="AW446" s="0" t="s">
        <v>286</v>
      </c>
      <c r="AX446" s="0" t="s">
        <v>780</v>
      </c>
      <c r="AY446" s="0" t="s">
        <v>1937</v>
      </c>
      <c r="AZ446" s="0" t="s">
        <v>1938</v>
      </c>
      <c r="BA446" s="0" t="s">
        <v>285</v>
      </c>
      <c r="BB446" s="0" t="str">
        <f t="shared" si="6"/>
        <v>CCFNbeLogo</v>
      </c>
    </row>
    <row r="447">
      <c r="AV447" s="0" t="s">
        <v>473</v>
      </c>
      <c r="AW447" s="0" t="s">
        <v>286</v>
      </c>
      <c r="AX447" s="0" t="s">
        <v>780</v>
      </c>
      <c r="AY447" s="0" t="s">
        <v>1939</v>
      </c>
      <c r="AZ447" s="0" t="s">
        <v>1940</v>
      </c>
      <c r="BA447" s="0" t="s">
        <v>285</v>
      </c>
      <c r="BB447" s="0" t="str">
        <f t="shared" si="6"/>
        <v>CCFNbeLogo</v>
      </c>
    </row>
    <row r="448">
      <c r="AV448" s="0" t="s">
        <v>473</v>
      </c>
      <c r="AW448" s="0" t="s">
        <v>286</v>
      </c>
      <c r="AX448" s="0" t="s">
        <v>810</v>
      </c>
      <c r="AY448" s="0" t="s">
        <v>1941</v>
      </c>
      <c r="AZ448" s="0" t="s">
        <v>1942</v>
      </c>
      <c r="BA448" s="0" t="s">
        <v>285</v>
      </c>
      <c r="BB448" s="0" t="str">
        <f t="shared" si="6"/>
        <v>CCFNbeMakurdi</v>
      </c>
    </row>
    <row r="449">
      <c r="AV449" s="0" t="s">
        <v>473</v>
      </c>
      <c r="AW449" s="0" t="s">
        <v>286</v>
      </c>
      <c r="AX449" s="0" t="s">
        <v>839</v>
      </c>
      <c r="AY449" s="0" t="s">
        <v>1943</v>
      </c>
      <c r="AZ449" s="0" t="s">
        <v>1944</v>
      </c>
      <c r="BA449" s="0" t="s">
        <v>285</v>
      </c>
      <c r="BB449" s="0" t="str">
        <f t="shared" si="6"/>
        <v>CCFNbeOkpokwu</v>
      </c>
    </row>
    <row r="450">
      <c r="AV450" s="0" t="s">
        <v>473</v>
      </c>
      <c r="AW450" s="0" t="s">
        <v>286</v>
      </c>
      <c r="AX450" s="0" t="s">
        <v>839</v>
      </c>
      <c r="AY450" s="0" t="s">
        <v>1945</v>
      </c>
      <c r="AZ450" s="0" t="s">
        <v>1946</v>
      </c>
      <c r="BA450" s="0" t="s">
        <v>285</v>
      </c>
      <c r="BB450" s="0" t="str">
        <f t="shared" si="6"/>
        <v>CCFNbeOkpokwu</v>
      </c>
    </row>
    <row r="451">
      <c r="AV451" s="0" t="s">
        <v>473</v>
      </c>
      <c r="AW451" s="0" t="s">
        <v>286</v>
      </c>
      <c r="AX451" s="0" t="s">
        <v>839</v>
      </c>
      <c r="AY451" s="0" t="s">
        <v>1947</v>
      </c>
      <c r="AZ451" s="0" t="s">
        <v>1948</v>
      </c>
      <c r="BA451" s="0" t="s">
        <v>285</v>
      </c>
      <c r="BB451" s="0" t="str">
        <f ref="BB451:BB514" t="shared" si="7">SUBSTITUTE(SUBSTITUTE(BA451&amp;AX451," ",""),"-","")</f>
        <v>CCFNbeOkpokwu</v>
      </c>
    </row>
    <row r="452">
      <c r="AV452" s="0" t="s">
        <v>473</v>
      </c>
      <c r="AW452" s="0" t="s">
        <v>286</v>
      </c>
      <c r="AX452" s="0" t="s">
        <v>867</v>
      </c>
      <c r="AY452" s="0" t="s">
        <v>1949</v>
      </c>
      <c r="AZ452" s="0" t="s">
        <v>1950</v>
      </c>
      <c r="BA452" s="0" t="s">
        <v>285</v>
      </c>
      <c r="BB452" s="0" t="str">
        <f t="shared" si="7"/>
        <v>CCFNbeOtukpo</v>
      </c>
    </row>
    <row r="453">
      <c r="AV453" s="0" t="s">
        <v>473</v>
      </c>
      <c r="AW453" s="0" t="s">
        <v>286</v>
      </c>
      <c r="AX453" s="0" t="s">
        <v>867</v>
      </c>
      <c r="AY453" s="0" t="s">
        <v>289</v>
      </c>
      <c r="AZ453" s="0" t="s">
        <v>293</v>
      </c>
      <c r="BA453" s="0" t="s">
        <v>285</v>
      </c>
      <c r="BB453" s="0" t="str">
        <f t="shared" si="7"/>
        <v>CCFNbeOtukpo</v>
      </c>
    </row>
    <row r="454">
      <c r="AV454" s="0" t="s">
        <v>473</v>
      </c>
      <c r="AW454" s="0" t="s">
        <v>286</v>
      </c>
      <c r="AX454" s="0" t="s">
        <v>867</v>
      </c>
      <c r="AY454" s="0" t="s">
        <v>1951</v>
      </c>
      <c r="AZ454" s="0" t="s">
        <v>1952</v>
      </c>
      <c r="BA454" s="0" t="s">
        <v>285</v>
      </c>
      <c r="BB454" s="0" t="str">
        <f t="shared" si="7"/>
        <v>CCFNbeOtukpo</v>
      </c>
    </row>
    <row r="455">
      <c r="AV455" s="0" t="s">
        <v>473</v>
      </c>
      <c r="AW455" s="0" t="s">
        <v>286</v>
      </c>
      <c r="AX455" s="0" t="s">
        <v>893</v>
      </c>
      <c r="AY455" s="0" t="s">
        <v>1953</v>
      </c>
      <c r="AZ455" s="0" t="s">
        <v>1954</v>
      </c>
      <c r="BA455" s="0" t="s">
        <v>285</v>
      </c>
      <c r="BB455" s="0" t="str">
        <f t="shared" si="7"/>
        <v>CCFNbeTarka</v>
      </c>
    </row>
    <row r="456">
      <c r="AV456" s="0" t="s">
        <v>473</v>
      </c>
      <c r="AW456" s="0" t="s">
        <v>286</v>
      </c>
      <c r="AX456" s="0" t="s">
        <v>893</v>
      </c>
      <c r="AY456" s="0" t="s">
        <v>1955</v>
      </c>
      <c r="AZ456" s="0" t="s">
        <v>1956</v>
      </c>
      <c r="BA456" s="0" t="s">
        <v>285</v>
      </c>
      <c r="BB456" s="0" t="str">
        <f t="shared" si="7"/>
        <v>CCFNbeTarka</v>
      </c>
    </row>
    <row r="457">
      <c r="AV457" s="0" t="s">
        <v>473</v>
      </c>
      <c r="AW457" s="0" t="s">
        <v>286</v>
      </c>
      <c r="AX457" s="0" t="s">
        <v>918</v>
      </c>
      <c r="AY457" s="0" t="s">
        <v>1957</v>
      </c>
      <c r="AZ457" s="0" t="s">
        <v>1958</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