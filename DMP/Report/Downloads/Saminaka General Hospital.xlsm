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<sst xmlns="http://schemas.openxmlformats.org/spreadsheetml/2006/main" count="4034" uniqueCount="4034">
  <si>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</si>
  <si>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</si>
  <si>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</si>
  <si>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</si>
  <si>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</si>
  <si>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</si>
  <si>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</si>
  <si>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</si>
  <si>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</si>
  <si>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</si>
  <si>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</si>
  <si>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</si>
  <si>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</si>
  <si>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</si>
  <si>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</si>
  <si>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</si>
  <si>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</si>
  <si>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</si>
  <si>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</si>
  <si>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</si>
  <si>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</si>
  <si>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</si>
  <si>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</si>
  <si>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</si>
  <si>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</si>
  <si>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</si>
  <si>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</si>
  <si>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</si>
  <si>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</si>
  <si>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</si>
  <si>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</si>
  <si>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</si>
  <si>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</si>
  <si>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</si>
  <si>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</si>
  <si>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</si>
  <si>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</si>
  <si>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</si>
  <si>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</si>
  <si>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</si>
  <si>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</si>
  <si>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</si>
  <si>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</si>
  <si>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</si>
  <si>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</si>
  <si>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</si>
  <si>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</si>
  <si>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</si>
  <si>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</si>
  <si>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</si>
  <si>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</si>
  <si>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</si>
  <si>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</si>
  <si>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</si>
  <si>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</si>
  <si>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</si>
  <si>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</si>
  <si>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</si>
  <si>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</si>
  <si>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</si>
  <si>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</si>
  <si>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</si>
  <si>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</si>
  <si>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</si>
  <si>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</si>
  <si>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</si>
  <si>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</si>
  <si>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</si>
  <si>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</si>
  <si>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</si>
  <si>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</si>
  <si>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</si>
  <si>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</si>
  <si>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</si>
  <si>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</si>
  <si>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</si>
  <si>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</si>
  <si>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</si>
  <si>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</si>
  <si>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</si>
  <si>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</si>
  <si>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</si>
  <si>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</si>
  <si>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</si>
  <si>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</si>
  <si>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</si>
  <si>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</si>
  <si>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</si>
  <si>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</si>
  <si>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</si>
  <si>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</si>
  <si>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</si>
  <si>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</si>
  <si>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</si>
  <si>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</si>
  <si>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</si>
  <si>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</si>
  <si>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</si>
  <si>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</si>
  <si>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</si>
  <si>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</si>
  <si>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</si>
  <si>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</si>
  <si>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</si>
  <si>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</si>
  <si>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</si>
  <si>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</si>
  <si>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</si>
  <si>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</si>
  <si>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</si>
  <si>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</si>
  <si>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</si>
  <si>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</si>
  <si>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</si>
  <si>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</si>
  <si>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</si>
  <si>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</si>
  <si>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</si>
  <si>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</si>
  <si>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</si>
  <si>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</si>
  <si>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</si>
  <si>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</si>
  <si>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</si>
  <si>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</si>
  <si>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</si>
  <si>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</si>
  <si>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</si>
  <si>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</si>
  <si>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</si>
  <si>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</si>
  <si>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</si>
  <si>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</si>
  <si>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</si>
  <si>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</si>
  <si>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</si>
  <si>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</si>
  <si>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</si>
  <si>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</si>
  <si>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</si>
  <si>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</si>
  <si>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</si>
  <si>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</si>
  <si>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</si>
  <si>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</si>
  <si>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</si>
  <si>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</si>
  <si>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</si>
  <si>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</si>
  <si>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</si>
  <si>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</si>
  <si>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</si>
  <si>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</si>
  <si>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</si>
  <si>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</si>
  <si>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</si>
  <si>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</si>
  <si>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</si>
  <si>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</si>
  <si>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</si>
  <si>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</si>
  <si>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</si>
  <si>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</si>
  <si>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</si>
  <si>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</si>
  <si>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</si>
  <si>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</si>
  <si>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</si>
  <si>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</si>
  <si>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</si>
  <si>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</si>
  <si>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</si>
  <si>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</si>
  <si>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</si>
  <si>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</si>
  <si>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</si>
  <si>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</si>
  <si>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</si>
  <si>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</si>
  <si>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</si>
  <si>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</si>
  <si>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</si>
  <si>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</si>
  <si>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</si>
  <si>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</si>
  <si>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</si>
  <si>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</si>
  <si>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</si>
  <si>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</si>
  <si>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</si>
  <si>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</si>
  <si>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</si>
  <si>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</si>
  <si>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</si>
  <si>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</si>
  <si>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</si>
  <si>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</si>
  <si>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</si>
  <si>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</si>
  <si>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</si>
  <si>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</si>
  <si>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</si>
  <si>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</si>
  <si>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</si>
  <si>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</si>
  <si>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</si>
  <si>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</si>
  <si>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</si>
  <si>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</si>
  <si>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</si>
  <si>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</si>
  <si>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</si>
  <si>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</si>
  <si>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</si>
  <si>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</si>
  <si>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</si>
  <si>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</si>
  <si>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</si>
  <si>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</si>
  <si>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</si>
  <si>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</si>
  <si>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</si>
  <si>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</si>
  <si>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</si>
  <si>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</si>
  <si>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</si>
  <si>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</si>
  <si>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</si>
  <si>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</si>
  <si>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</si>
  <si>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</si>
  <si>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</si>
  <si>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</si>
  <si>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</si>
  <si>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</si>
  <si>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</si>
  <si>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</si>
  <si>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</si>
  <si>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</si>
  <si>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</si>
  <si>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</si>
  <si>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</si>
  <si>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</si>
  <si>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</si>
  <si>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</si>
  <si>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</si>
  <si>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</si>
  <si>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</si>
  <si>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</si>
  <si>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</si>
  <si>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</si>
  <si>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</si>
  <si>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</si>
  <si>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</si>
  <si>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</si>
  <si>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</si>
  <si>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</si>
  <si>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</si>
  <si>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</si>
  <si>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</si>
  <si>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</si>
  <si>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</si>
  <si>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</si>
  <si>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</si>
  <si>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</si>
  <si>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</si>
  <si>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</si>
  <si>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</si>
  <si>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</si>
  <si>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</si>
  <si>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</si>
  <si>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</si>
  <si>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</si>
  <si>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</si>
  <si>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</si>
  <si>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</si>
  <si>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</si>
  <si>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</si>
  <si>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</si>
  <si>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</si>
  <si>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</si>
  <si>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</si>
  <si>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</si>
  <si>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</si>
  <si>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</si>
  <si>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</si>
  <si>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</si>
  <si>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</si>
  <si>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</si>
  <si>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Saminaka General Hospital</t>
  </si>
  <si>
    <t>Reporting Period:</t>
  </si>
  <si>
    <t>Q1(Oct - Dec)</t>
  </si>
  <si>
    <t>Facility Code:</t>
  </si>
  <si>
    <t>XCixcBgl6uz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</si>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</sst>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344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244</v>
      </c>
      <c r="E11" s="299">
        <v>344</v>
      </c>
      <c r="F11" s="299">
        <v>375</v>
      </c>
      <c r="G11" s="207" t="s">
        <v>67</v>
      </c>
    </row>
    <row r="12" ht="45" customHeight="1">
      <c r="A12" s="226"/>
      <c r="B12" s="238">
        <v>1115</v>
      </c>
      <c r="C12" s="242" t="s">
        <v>85</v>
      </c>
      <c r="D12" s="299">
        <v>244</v>
      </c>
      <c r="E12" s="299">
        <v>344</v>
      </c>
      <c r="F12" s="299">
        <v>375</v>
      </c>
      <c r="G12" s="207" t="s">
        <v>67</v>
      </c>
    </row>
    <row r="13" ht="45" customHeight="1">
      <c r="A13" s="226" t="s">
        <v>86</v>
      </c>
      <c r="B13" s="238">
        <v>1116</v>
      </c>
      <c r="C13" s="242" t="s">
        <v>87</v>
      </c>
      <c r="D13" s="299">
        <v>244</v>
      </c>
      <c r="E13" s="299">
        <v>344</v>
      </c>
      <c r="F13" s="299">
        <v>376</v>
      </c>
      <c r="G13" s="207" t="s">
        <v>67</v>
      </c>
    </row>
    <row r="14" ht="45" customHeight="1">
      <c r="A14" s="226"/>
      <c r="B14" s="238">
        <v>1117</v>
      </c>
      <c r="C14" s="242" t="s">
        <v>88</v>
      </c>
      <c r="D14" s="299">
        <v>244</v>
      </c>
      <c r="E14" s="299">
        <v>344</v>
      </c>
      <c r="F14" s="299">
        <v>376</v>
      </c>
      <c r="G14" s="207" t="s">
        <v>67</v>
      </c>
    </row>
    <row r="15" ht="45" customHeight="1">
      <c r="A15" s="226">
        <v>1116</v>
      </c>
      <c r="B15" s="238">
        <v>1121</v>
      </c>
      <c r="C15" s="243" t="str">
        <f>C13</f>
        <v>How many HTC clients have a completed Client intake form </v>
      </c>
      <c r="D15" s="300">
        <v>244</v>
      </c>
      <c r="E15" s="300">
        <v>344</v>
      </c>
      <c r="F15" s="300">
        <v>376</v>
      </c>
      <c r="G15" s="207"/>
    </row>
    <row r="16" ht="45" customHeight="1">
      <c r="A16" s="226"/>
      <c r="B16" s="238">
        <v>1122</v>
      </c>
      <c r="C16" s="243" t="s">
        <v>89</v>
      </c>
      <c r="D16" s="299">
        <v>244</v>
      </c>
      <c r="E16" s="299">
        <v>344</v>
      </c>
      <c r="F16" s="299">
        <v>376</v>
      </c>
      <c r="G16" s="207" t="s">
        <v>67</v>
      </c>
    </row>
    <row r="17" ht="45" customHeight="1">
      <c r="A17" s="226"/>
      <c r="B17" s="238">
        <v>1123</v>
      </c>
      <c r="C17" s="242" t="s">
        <v>90</v>
      </c>
      <c r="D17" s="299">
        <v>244</v>
      </c>
      <c r="E17" s="299">
        <v>344</v>
      </c>
      <c r="F17" s="299">
        <v>376</v>
      </c>
      <c r="G17" s="207" t="s">
        <v>67</v>
      </c>
    </row>
    <row r="18" ht="45" customHeight="1">
      <c r="A18" s="226"/>
      <c r="B18" s="238">
        <v>1124</v>
      </c>
      <c r="C18" s="242" t="s">
        <v>91</v>
      </c>
      <c r="D18" s="299">
        <v>244</v>
      </c>
      <c r="E18" s="299">
        <v>344</v>
      </c>
      <c r="F18" s="299">
        <v>376</v>
      </c>
      <c r="G18" s="207" t="s">
        <v>67</v>
      </c>
    </row>
    <row r="19" ht="45" customHeight="1">
      <c r="A19" s="226"/>
      <c r="B19" s="238">
        <v>1125</v>
      </c>
      <c r="C19" s="242" t="s">
        <v>92</v>
      </c>
      <c r="D19" s="299">
        <v>244</v>
      </c>
      <c r="E19" s="299">
        <v>344</v>
      </c>
      <c r="F19" s="299">
        <v>376</v>
      </c>
      <c r="G19" s="207" t="s">
        <v>67</v>
      </c>
    </row>
    <row r="20" ht="45" customHeight="1">
      <c r="A20" s="226"/>
      <c r="B20" s="238">
        <v>1126</v>
      </c>
      <c r="C20" s="242" t="s">
        <v>93</v>
      </c>
      <c r="D20" s="299">
        <v>241</v>
      </c>
      <c r="E20" s="299">
        <v>344</v>
      </c>
      <c r="F20" s="299">
        <v>375</v>
      </c>
      <c r="G20" s="207" t="s">
        <v>67</v>
      </c>
    </row>
    <row r="21" ht="45" customHeight="1">
      <c r="A21" s="226"/>
      <c r="B21" s="238">
        <v>1127</v>
      </c>
      <c r="C21" s="242" t="s">
        <v>94</v>
      </c>
      <c r="D21" s="299">
        <v>241</v>
      </c>
      <c r="E21" s="299">
        <v>344</v>
      </c>
      <c r="F21" s="299">
        <v>375</v>
      </c>
      <c r="G21" s="207" t="s">
        <v>67</v>
      </c>
    </row>
    <row r="22" ht="45" customHeight="1">
      <c r="A22" s="226"/>
      <c r="B22" s="238"/>
      <c r="C22" s="245" t="s">
        <v>95</v>
      </c>
      <c r="D22" s="246"/>
      <c r="E22" s="246"/>
      <c r="F22" s="247"/>
      <c r="G22" s="207" t="s">
        <v>67</v>
      </c>
    </row>
    <row r="23" ht="45" customHeight="1">
      <c r="A23" s="226"/>
      <c r="B23" s="238">
        <v>1131</v>
      </c>
      <c r="C23" s="242" t="s">
        <v>96</v>
      </c>
      <c r="D23" s="299">
        <v>114</v>
      </c>
      <c r="E23" s="299">
        <v>178</v>
      </c>
      <c r="F23" s="299">
        <v>221</v>
      </c>
      <c r="G23" s="207" t="s">
        <v>67</v>
      </c>
    </row>
    <row r="24" ht="45" customHeight="1">
      <c r="A24" s="226"/>
      <c r="B24" s="238">
        <v>1132</v>
      </c>
      <c r="C24" s="242" t="s">
        <v>97</v>
      </c>
      <c r="D24" s="299">
        <v>127</v>
      </c>
      <c r="E24" s="299">
        <v>166</v>
      </c>
      <c r="F24" s="299">
        <v>154</v>
      </c>
      <c r="G24" s="207" t="s">
        <v>67</v>
      </c>
    </row>
    <row r="25" ht="45" customHeight="1">
      <c r="A25" s="226"/>
      <c r="B25" s="238">
        <v>1133</v>
      </c>
      <c r="C25" s="242" t="s">
        <v>98</v>
      </c>
      <c r="D25" s="299">
        <v>244</v>
      </c>
      <c r="E25" s="299">
        <v>344</v>
      </c>
      <c r="F25" s="299">
        <v>376</v>
      </c>
      <c r="G25" s="207" t="s">
        <v>67</v>
      </c>
    </row>
    <row r="26" ht="45" customHeight="1">
      <c r="A26" s="226"/>
      <c r="B26" s="238">
        <v>1134</v>
      </c>
      <c r="C26" s="242" t="s">
        <v>99</v>
      </c>
      <c r="D26" s="299">
        <v>6</v>
      </c>
      <c r="E26" s="299">
        <v>13</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23</v>
      </c>
      <c r="E29" s="299">
        <v>27</v>
      </c>
      <c r="F29" s="299">
        <v>32</v>
      </c>
      <c r="G29" s="207" t="s">
        <v>67</v>
      </c>
    </row>
    <row r="30" ht="45" customHeight="1">
      <c r="A30" s="226"/>
      <c r="B30" s="238">
        <v>1138</v>
      </c>
      <c r="C30" s="242" t="s">
        <v>103</v>
      </c>
      <c r="D30" s="299">
        <v>198</v>
      </c>
      <c r="E30" s="299">
        <v>290</v>
      </c>
      <c r="F30" s="299">
        <v>312</v>
      </c>
      <c r="G30" s="207" t="s">
        <v>67</v>
      </c>
    </row>
    <row r="31" ht="45" customHeight="1">
      <c r="A31" s="226">
        <v>1116</v>
      </c>
      <c r="B31" s="238">
        <v>1141</v>
      </c>
      <c r="C31" s="242" t="s">
        <v>104</v>
      </c>
      <c r="D31" s="300">
        <v>244</v>
      </c>
      <c r="E31" s="300">
        <v>344</v>
      </c>
      <c r="F31" s="300">
        <v>376</v>
      </c>
      <c r="G31" s="207"/>
    </row>
    <row r="32" ht="45" customHeight="1">
      <c r="A32" s="226"/>
      <c r="B32" s="238">
        <v>1142</v>
      </c>
      <c r="C32" s="243" t="s">
        <v>105</v>
      </c>
      <c r="D32" s="300">
        <v>244</v>
      </c>
      <c r="E32" s="300">
        <v>344</v>
      </c>
      <c r="F32" s="300">
        <v>376</v>
      </c>
      <c r="G32" s="207"/>
    </row>
    <row r="33" ht="45" customHeight="1">
      <c r="A33" s="226"/>
      <c r="B33" s="238">
        <v>1143</v>
      </c>
      <c r="C33" s="242" t="s">
        <v>106</v>
      </c>
      <c r="D33" s="299">
        <v>244</v>
      </c>
      <c r="E33" s="299">
        <v>344</v>
      </c>
      <c r="F33" s="299">
        <v>376</v>
      </c>
      <c r="G33" s="207" t="s">
        <v>67</v>
      </c>
    </row>
    <row r="34" ht="45" customHeight="1">
      <c r="A34" s="226"/>
      <c r="B34" s="238">
        <v>1144</v>
      </c>
      <c r="C34" s="242" t="s">
        <v>107</v>
      </c>
      <c r="D34" s="299">
        <v>244</v>
      </c>
      <c r="E34" s="299">
        <v>344</v>
      </c>
      <c r="F34" s="299">
        <v>376</v>
      </c>
      <c r="G34" s="207" t="s">
        <v>67</v>
      </c>
    </row>
    <row r="35" ht="45" customHeight="1">
      <c r="A35" s="226"/>
      <c r="B35" s="238">
        <v>1145</v>
      </c>
      <c r="C35" s="242" t="s">
        <v>108</v>
      </c>
      <c r="D35" s="299">
        <v>244</v>
      </c>
      <c r="E35" s="299">
        <v>344</v>
      </c>
      <c r="F35" s="299">
        <v>376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217</v>
      </c>
      <c r="E37" s="299">
        <v>311</v>
      </c>
      <c r="F37" s="299">
        <v>329</v>
      </c>
      <c r="G37" s="207" t="s">
        <v>67</v>
      </c>
    </row>
    <row r="38" ht="45" customHeight="1">
      <c r="A38" s="226"/>
      <c r="B38" s="238">
        <v>1153</v>
      </c>
      <c r="C38" s="242" t="s">
        <v>111</v>
      </c>
      <c r="D38" s="299">
        <v>217</v>
      </c>
      <c r="E38" s="299">
        <v>311</v>
      </c>
      <c r="F38" s="299">
        <v>329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217</v>
      </c>
      <c r="E40" s="299">
        <v>311</v>
      </c>
      <c r="F40" s="299">
        <v>329</v>
      </c>
      <c r="G40" s="207" t="s">
        <v>67</v>
      </c>
    </row>
    <row r="41" ht="45" customHeight="1">
      <c r="A41" s="226"/>
      <c r="B41" s="238">
        <v>1156</v>
      </c>
      <c r="C41" s="242" t="s">
        <v>113</v>
      </c>
      <c r="D41" s="299">
        <v>217</v>
      </c>
      <c r="E41" s="299">
        <v>311</v>
      </c>
      <c r="F41" s="299">
        <v>329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23</v>
      </c>
      <c r="E43" s="299">
        <v>27</v>
      </c>
      <c r="F43" s="299">
        <v>32</v>
      </c>
      <c r="G43" s="207" t="s">
        <v>67</v>
      </c>
    </row>
    <row r="44" ht="45" customHeight="1" s="250" customFormat="1">
      <c r="A44" s="226"/>
      <c r="B44" s="238">
        <v>1159</v>
      </c>
      <c r="C44" s="242" t="s">
        <v>116</v>
      </c>
      <c r="D44" s="299">
        <v>23</v>
      </c>
      <c r="E44" s="299">
        <v>27</v>
      </c>
      <c r="F44" s="299">
        <v>32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932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227</v>
      </c>
      <c r="E54" s="299">
        <v>462</v>
      </c>
      <c r="F54" s="299">
        <v>255</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227</v>
      </c>
      <c r="E56" s="299">
        <v>462</v>
      </c>
      <c r="F56" s="299">
        <v>255</v>
      </c>
      <c r="G56" s="207" t="s">
        <v>117</v>
      </c>
    </row>
    <row r="57" ht="45" customHeight="1">
      <c r="A57" s="226"/>
      <c r="B57" s="238">
        <v>1217</v>
      </c>
      <c r="C57" s="243" t="s">
        <v>135</v>
      </c>
      <c r="D57" s="299">
        <v>5</v>
      </c>
      <c r="E57" s="299">
        <v>6</v>
      </c>
      <c r="F57" s="299">
        <v>1</v>
      </c>
      <c r="G57" s="207" t="s">
        <v>117</v>
      </c>
    </row>
    <row r="58" ht="45" customHeight="1">
      <c r="A58" s="226"/>
      <c r="B58" s="238">
        <v>1218</v>
      </c>
      <c r="C58" s="243" t="s">
        <v>136</v>
      </c>
      <c r="D58" s="299">
        <v>1</v>
      </c>
      <c r="E58" s="299">
        <v>3</v>
      </c>
      <c r="F58" s="299">
        <v>0</v>
      </c>
      <c r="G58" s="207" t="s">
        <v>117</v>
      </c>
    </row>
    <row r="59" ht="45" customHeight="1">
      <c r="A59" s="226"/>
      <c r="B59" s="238">
        <v>1221</v>
      </c>
      <c r="C59" s="264" t="s">
        <v>137</v>
      </c>
      <c r="D59" s="299">
        <v>227</v>
      </c>
      <c r="E59" s="299">
        <v>462</v>
      </c>
      <c r="F59" s="299">
        <v>255</v>
      </c>
      <c r="G59" s="207" t="s">
        <v>117</v>
      </c>
    </row>
    <row r="60" ht="45" customHeight="1">
      <c r="A60" s="226"/>
      <c r="B60" s="238">
        <v>1222</v>
      </c>
      <c r="C60" s="264" t="s">
        <v>138</v>
      </c>
      <c r="D60" s="299">
        <v>227</v>
      </c>
      <c r="E60" s="299">
        <v>462</v>
      </c>
      <c r="F60" s="299">
        <v>255</v>
      </c>
      <c r="G60" s="207" t="s">
        <v>117</v>
      </c>
    </row>
    <row r="61" ht="45" customHeight="1">
      <c r="A61" s="226"/>
      <c r="B61" s="238">
        <v>1223</v>
      </c>
      <c r="C61" s="264" t="s">
        <v>139</v>
      </c>
      <c r="D61" s="299">
        <v>227</v>
      </c>
      <c r="E61" s="299">
        <v>462</v>
      </c>
      <c r="F61" s="299">
        <v>255</v>
      </c>
      <c r="G61" s="207" t="s">
        <v>117</v>
      </c>
    </row>
    <row r="62" ht="54.65" customHeight="1">
      <c r="A62" s="226"/>
      <c r="B62" s="238">
        <v>1224</v>
      </c>
      <c r="C62" s="264" t="s">
        <v>140</v>
      </c>
      <c r="D62" s="299">
        <v>221</v>
      </c>
      <c r="E62" s="299">
        <v>453</v>
      </c>
      <c r="F62" s="299">
        <v>254</v>
      </c>
      <c r="G62" s="207" t="s">
        <v>117</v>
      </c>
    </row>
    <row r="63" ht="66.65" customHeight="1">
      <c r="A63" s="226"/>
      <c r="B63" s="238">
        <v>1225</v>
      </c>
      <c r="C63" s="264" t="s">
        <v>141</v>
      </c>
      <c r="D63" s="299">
        <v>227</v>
      </c>
      <c r="E63" s="299">
        <v>462</v>
      </c>
      <c r="F63" s="299">
        <v>255</v>
      </c>
      <c r="G63" s="207" t="s">
        <v>117</v>
      </c>
    </row>
    <row r="64" ht="45" customHeight="1">
      <c r="A64" s="226"/>
      <c r="B64" s="238">
        <v>1226</v>
      </c>
      <c r="C64" s="264" t="s">
        <v>142</v>
      </c>
      <c r="D64" s="299">
        <v>5</v>
      </c>
      <c r="E64" s="299">
        <v>6</v>
      </c>
      <c r="F64" s="299">
        <v>1</v>
      </c>
      <c r="G64" s="207" t="s">
        <v>117</v>
      </c>
    </row>
    <row r="65" ht="45" customHeight="1">
      <c r="A65" s="226"/>
      <c r="B65" s="238">
        <v>1227</v>
      </c>
      <c r="C65" s="264" t="s">
        <v>143</v>
      </c>
      <c r="D65" s="299">
        <v>5</v>
      </c>
      <c r="E65" s="299">
        <v>6</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227</v>
      </c>
      <c r="E67" s="299">
        <v>462</v>
      </c>
      <c r="F67" s="299">
        <v>255</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6</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227</v>
      </c>
      <c r="E71" s="299">
        <v>462</v>
      </c>
      <c r="F71" s="299">
        <v>255</v>
      </c>
      <c r="G71" s="207" t="s">
        <v>117</v>
      </c>
    </row>
    <row r="72" ht="45" customHeight="1">
      <c r="A72" s="226"/>
      <c r="B72" s="238">
        <v>1236</v>
      </c>
      <c r="C72" s="242" t="s">
        <v>150</v>
      </c>
      <c r="D72" s="299">
        <v>6</v>
      </c>
      <c r="E72" s="299">
        <v>9</v>
      </c>
      <c r="F72" s="299">
        <v>1</v>
      </c>
      <c r="G72" s="207" t="s">
        <v>117</v>
      </c>
    </row>
    <row r="73" ht="45" customHeight="1">
      <c r="A73" s="226"/>
      <c r="B73" s="238">
        <v>1241</v>
      </c>
      <c r="C73" s="242" t="s">
        <v>151</v>
      </c>
      <c r="D73" s="299">
        <v>227</v>
      </c>
      <c r="E73" s="299">
        <v>462</v>
      </c>
      <c r="F73" s="299">
        <v>255</v>
      </c>
      <c r="G73" s="207" t="s">
        <v>117</v>
      </c>
    </row>
    <row r="74" ht="45" customHeight="1">
      <c r="A74" s="226"/>
      <c r="B74" s="238">
        <v>1242</v>
      </c>
      <c r="C74" s="242" t="s">
        <v>152</v>
      </c>
      <c r="D74" s="299">
        <v>5</v>
      </c>
      <c r="E74" s="299">
        <v>6</v>
      </c>
      <c r="F74" s="299">
        <v>1</v>
      </c>
      <c r="G74" s="207" t="s">
        <v>117</v>
      </c>
    </row>
    <row r="75" ht="45" customHeight="1">
      <c r="A75" s="226"/>
      <c r="B75" s="238">
        <v>1243</v>
      </c>
      <c r="C75" s="243" t="s">
        <v>153</v>
      </c>
      <c r="D75" s="299">
        <v>227</v>
      </c>
      <c r="E75" s="299">
        <v>462</v>
      </c>
      <c r="F75" s="299">
        <v>255</v>
      </c>
      <c r="G75" s="207" t="s">
        <v>117</v>
      </c>
    </row>
    <row r="76" ht="45" customHeight="1">
      <c r="A76" s="226"/>
      <c r="B76" s="238">
        <v>1244</v>
      </c>
      <c r="C76" s="243" t="s">
        <v>154</v>
      </c>
      <c r="D76" s="299">
        <v>5</v>
      </c>
      <c r="E76" s="299">
        <v>6</v>
      </c>
      <c r="F76" s="299">
        <v>1</v>
      </c>
      <c r="G76" s="207" t="s">
        <v>117</v>
      </c>
    </row>
    <row r="77" ht="45" customHeight="1">
      <c r="A77" s="226"/>
      <c r="B77" s="238">
        <v>1245</v>
      </c>
      <c r="C77" s="243" t="s">
        <v>155</v>
      </c>
      <c r="D77" s="299">
        <v>227</v>
      </c>
      <c r="E77" s="299">
        <v>462</v>
      </c>
      <c r="F77" s="299">
        <v>255</v>
      </c>
      <c r="G77" s="207" t="s">
        <v>117</v>
      </c>
    </row>
    <row r="78" ht="45" customHeight="1">
      <c r="A78" s="226"/>
      <c r="B78" s="238">
        <v>1246</v>
      </c>
      <c r="C78" s="243" t="s">
        <v>156</v>
      </c>
      <c r="D78" s="299">
        <v>5</v>
      </c>
      <c r="E78" s="299">
        <v>6</v>
      </c>
      <c r="F78" s="299">
        <v>1</v>
      </c>
      <c r="G78" s="207" t="s">
        <v>117</v>
      </c>
    </row>
    <row r="79" ht="45" customHeight="1">
      <c r="A79" s="226"/>
      <c r="B79" s="238">
        <v>1247</v>
      </c>
      <c r="C79" s="242" t="s">
        <v>157</v>
      </c>
      <c r="D79" s="299">
        <v>227</v>
      </c>
      <c r="E79" s="299">
        <v>462</v>
      </c>
      <c r="F79" s="299">
        <v>255</v>
      </c>
      <c r="G79" s="207" t="s">
        <v>117</v>
      </c>
    </row>
    <row r="80" ht="45" customHeight="1">
      <c r="A80" s="226"/>
      <c r="B80" s="238">
        <v>1248</v>
      </c>
      <c r="C80" s="242" t="s">
        <v>158</v>
      </c>
      <c r="D80" s="299">
        <v>227</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277</v>
      </c>
      <c r="E82" s="299">
        <v>462</v>
      </c>
      <c r="F82" s="299">
        <v>255</v>
      </c>
      <c r="G82" s="207" t="s">
        <v>117</v>
      </c>
    </row>
    <row r="83" ht="45" customHeight="1">
      <c r="A83" s="226"/>
      <c r="B83" s="238">
        <v>1253</v>
      </c>
      <c r="C83" s="242" t="s">
        <v>161</v>
      </c>
      <c r="D83" s="299">
        <v>227</v>
      </c>
      <c r="E83" s="299">
        <v>462</v>
      </c>
      <c r="F83" s="299">
        <v>255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3</v>
      </c>
      <c r="F85" s="299">
        <v>0</v>
      </c>
      <c r="G85" s="207" t="s">
        <v>117</v>
      </c>
    </row>
    <row r="86" ht="45" customHeight="1">
      <c r="A86" s="226"/>
      <c r="B86" s="238">
        <v>1256</v>
      </c>
      <c r="C86" s="242" t="s">
        <v>164</v>
      </c>
      <c r="D86" s="299">
        <v>1</v>
      </c>
      <c r="E86" s="299">
        <v>3</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6</v>
      </c>
      <c r="F88" s="299">
        <v>1</v>
      </c>
      <c r="G88" s="207" t="s">
        <v>117</v>
      </c>
    </row>
    <row r="89" ht="45" customHeight="1">
      <c r="A89" s="226"/>
      <c r="B89" s="238">
        <v>1259</v>
      </c>
      <c r="C89" s="242" t="s">
        <v>167</v>
      </c>
      <c r="D89" s="299">
        <v>5</v>
      </c>
      <c r="E89" s="299">
        <v>6</v>
      </c>
      <c r="F89" s="299">
        <v>1</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9</v>
      </c>
      <c r="F93" s="299">
        <v>1</v>
      </c>
      <c r="G93" s="265" t="s">
        <v>168</v>
      </c>
    </row>
    <row r="94" ht="45" customHeight="1">
      <c r="A94" s="226"/>
      <c r="B94" s="238">
        <v>1314</v>
      </c>
      <c r="C94" s="268" t="s">
        <v>173</v>
      </c>
      <c r="D94" s="299">
        <v>1</v>
      </c>
      <c r="E94" s="299">
        <v>1</v>
      </c>
      <c r="F94" s="299">
        <v>1</v>
      </c>
      <c r="G94" s="265" t="s">
        <v>168</v>
      </c>
    </row>
    <row r="95" ht="45" customHeight="1">
      <c r="A95" s="226"/>
      <c r="B95" s="238">
        <v>1315</v>
      </c>
      <c r="C95" s="243" t="s">
        <v>174</v>
      </c>
      <c r="D95" s="299">
        <v>6</v>
      </c>
      <c r="E95" s="299">
        <v>9</v>
      </c>
      <c r="F95" s="299">
        <v>1</v>
      </c>
      <c r="G95" s="265" t="s">
        <v>168</v>
      </c>
    </row>
    <row r="96" ht="45" customHeight="1" s="269" customFormat="1">
      <c r="A96" s="226"/>
      <c r="B96" s="238">
        <v>1316</v>
      </c>
      <c r="C96" s="243" t="s">
        <v>175</v>
      </c>
      <c r="D96" s="299">
        <v>6</v>
      </c>
      <c r="E96" s="299">
        <v>9</v>
      </c>
      <c r="F96" s="299">
        <v>1</v>
      </c>
      <c r="G96" s="265" t="s">
        <v>168</v>
      </c>
    </row>
    <row r="97" ht="45" customHeight="1" s="269" customFormat="1">
      <c r="A97" s="226"/>
      <c r="B97" s="238">
        <v>1321</v>
      </c>
      <c r="C97" s="242" t="s">
        <v>176</v>
      </c>
      <c r="D97" s="299">
        <v>6</v>
      </c>
      <c r="E97" s="299">
        <v>9</v>
      </c>
      <c r="F97" s="299">
        <v>1</v>
      </c>
      <c r="G97" s="265" t="s">
        <v>168</v>
      </c>
    </row>
    <row r="98" ht="45" customHeight="1" s="269" customFormat="1">
      <c r="A98" s="226"/>
      <c r="B98" s="238">
        <v>1322</v>
      </c>
      <c r="C98" s="242" t="s">
        <v>177</v>
      </c>
      <c r="D98" s="299">
        <v>6</v>
      </c>
      <c r="E98" s="299">
        <v>9</v>
      </c>
      <c r="F98" s="299">
        <v>1</v>
      </c>
      <c r="G98" s="265" t="s">
        <v>168</v>
      </c>
    </row>
    <row r="99" ht="45" customHeight="1" s="269" customFormat="1">
      <c r="A99" s="226"/>
      <c r="B99" s="238">
        <v>1323</v>
      </c>
      <c r="C99" s="242" t="s">
        <v>178</v>
      </c>
      <c r="D99" s="299">
        <v>6</v>
      </c>
      <c r="E99" s="299">
        <v>9</v>
      </c>
      <c r="F99" s="299">
        <v>1</v>
      </c>
      <c r="G99" s="265" t="s">
        <v>168</v>
      </c>
    </row>
    <row r="100" ht="45" customHeight="1" s="269" customFormat="1">
      <c r="A100" s="226"/>
      <c r="B100" s="238">
        <v>1324</v>
      </c>
      <c r="C100" s="242" t="s">
        <v>179</v>
      </c>
      <c r="D100" s="299">
        <v>6</v>
      </c>
      <c r="E100" s="299">
        <v>9</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3</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3</v>
      </c>
      <c r="F108" s="299">
        <v>0</v>
      </c>
      <c r="G108" s="265" t="s">
        <v>168</v>
      </c>
    </row>
    <row r="109" ht="45" customHeight="1" s="269" customFormat="1">
      <c r="A109" s="226"/>
      <c r="B109" s="238">
        <v>1344</v>
      </c>
      <c r="C109" s="242" t="s">
        <v>188</v>
      </c>
      <c r="D109" s="299">
        <v>1</v>
      </c>
      <c r="E109" s="299">
        <v>3</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3</v>
      </c>
      <c r="F111" s="299">
        <v>0</v>
      </c>
      <c r="G111" s="265" t="s">
        <v>168</v>
      </c>
    </row>
    <row r="112" ht="45" customHeight="1" s="269" customFormat="1">
      <c r="A112" s="226"/>
      <c r="B112" s="238">
        <v>1353</v>
      </c>
      <c r="C112" s="242" t="s">
        <v>191</v>
      </c>
      <c r="D112" s="299">
        <v>1</v>
      </c>
      <c r="E112" s="299">
        <v>3</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3</v>
      </c>
      <c r="F114" s="299">
        <v>0</v>
      </c>
      <c r="G114" s="265" t="s">
        <v>168</v>
      </c>
    </row>
    <row r="115" ht="45" customHeight="1" s="269" customFormat="1">
      <c r="A115" s="226"/>
      <c r="B115" s="238">
        <v>1356</v>
      </c>
      <c r="C115" s="242" t="s">
        <v>193</v>
      </c>
      <c r="D115" s="299">
        <v>1</v>
      </c>
      <c r="E115" s="299">
        <v>3</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38</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33</v>
      </c>
      <c r="E120" s="299">
        <v>5</v>
      </c>
      <c r="F120" s="299">
        <v>0</v>
      </c>
      <c r="G120" s="207" t="s">
        <v>194</v>
      </c>
    </row>
    <row r="121" ht="45" customHeight="1" s="269" customFormat="1">
      <c r="A121" s="226"/>
      <c r="B121" s="238">
        <v>1422</v>
      </c>
      <c r="C121" s="242" t="s">
        <v>199</v>
      </c>
      <c r="D121" s="299">
        <v>33</v>
      </c>
      <c r="E121" s="299">
        <v>5</v>
      </c>
      <c r="F121" s="299">
        <v>1</v>
      </c>
      <c r="G121" s="207" t="s">
        <v>194</v>
      </c>
    </row>
    <row r="122" ht="45" customHeight="1" s="269" customFormat="1">
      <c r="A122" s="226"/>
      <c r="B122" s="238">
        <v>1423</v>
      </c>
      <c r="C122" s="242" t="s">
        <v>200</v>
      </c>
      <c r="D122" s="299">
        <v>33</v>
      </c>
      <c r="E122" s="299">
        <v>5</v>
      </c>
      <c r="F122" s="299">
        <v>1</v>
      </c>
      <c r="G122" s="207" t="s">
        <v>194</v>
      </c>
    </row>
    <row r="123" ht="45" customHeight="1" s="269" customFormat="1">
      <c r="A123" s="226"/>
      <c r="B123" s="238">
        <v>1424</v>
      </c>
      <c r="C123" s="242" t="s">
        <v>201</v>
      </c>
      <c r="D123" s="299">
        <v>33</v>
      </c>
      <c r="E123" s="299">
        <v>5</v>
      </c>
      <c r="F123" s="299">
        <v>1</v>
      </c>
      <c r="G123" s="207" t="s">
        <v>194</v>
      </c>
    </row>
    <row r="124" ht="45" customHeight="1" s="269" customFormat="1">
      <c r="A124" s="226"/>
      <c r="B124" s="238">
        <v>1425</v>
      </c>
      <c r="C124" s="242" t="s">
        <v>202</v>
      </c>
      <c r="D124" s="299">
        <v>33</v>
      </c>
      <c r="E124" s="299">
        <v>5</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12</v>
      </c>
      <c r="E126" s="299">
        <v>3</v>
      </c>
      <c r="F126" s="299">
        <v>0</v>
      </c>
      <c r="G126" s="207" t="s">
        <v>194</v>
      </c>
    </row>
    <row r="127" ht="45" customHeight="1" s="269" customFormat="1">
      <c r="A127" s="226"/>
      <c r="B127" s="238">
        <v>1432</v>
      </c>
      <c r="C127" s="242" t="s">
        <v>206</v>
      </c>
      <c r="D127" s="299">
        <v>21</v>
      </c>
      <c r="E127" s="299">
        <v>2</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9</v>
      </c>
      <c r="E130" s="299">
        <v>18</v>
      </c>
      <c r="F130" s="299">
        <v>20</v>
      </c>
      <c r="G130" s="207" t="s">
        <v>194</v>
      </c>
    </row>
    <row r="131" ht="45" customHeight="1" s="269" customFormat="1">
      <c r="A131" s="226"/>
      <c r="B131" s="238">
        <v>1441</v>
      </c>
      <c r="C131" s="242" t="s">
        <v>210</v>
      </c>
      <c r="D131" s="299">
        <v>21</v>
      </c>
      <c r="E131" s="299">
        <v>2</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21</v>
      </c>
      <c r="E133" s="299">
        <v>2</v>
      </c>
      <c r="F133" s="299">
        <v>1</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12</v>
      </c>
      <c r="E135" s="299">
        <v>3</v>
      </c>
      <c r="F135" s="299">
        <v>1</v>
      </c>
      <c r="G135" s="207" t="s">
        <v>194</v>
      </c>
    </row>
    <row r="136" ht="45" customHeight="1" s="269" customFormat="1">
      <c r="A136" s="226"/>
      <c r="B136" s="238">
        <v>1453</v>
      </c>
      <c r="C136" s="242" t="s">
        <v>215</v>
      </c>
      <c r="D136" s="299">
        <v>12</v>
      </c>
      <c r="E136" s="299">
        <v>3</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21</v>
      </c>
      <c r="E138" s="299">
        <v>2</v>
      </c>
      <c r="F138" s="299">
        <v>0</v>
      </c>
      <c r="G138" s="207" t="s">
        <v>194</v>
      </c>
    </row>
    <row r="139" ht="45" customHeight="1">
      <c r="A139" s="226"/>
      <c r="B139" s="238">
        <v>1456</v>
      </c>
      <c r="C139" s="242" t="s">
        <v>218</v>
      </c>
      <c r="D139" s="299">
        <v>21</v>
      </c>
      <c r="E139" s="299">
        <v>2</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99</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10</v>
      </c>
      <c r="F144" s="299">
        <v>10</v>
      </c>
      <c r="G144" s="207" t="s">
        <v>219</v>
      </c>
    </row>
    <row r="145" ht="45" customHeight="1">
      <c r="A145" s="226"/>
      <c r="B145" s="238">
        <v>1514</v>
      </c>
      <c r="C145" s="264" t="s">
        <v>225</v>
      </c>
      <c r="D145" s="299">
        <v>35</v>
      </c>
      <c r="E145" s="299">
        <v>34</v>
      </c>
      <c r="F145" s="299">
        <v>31</v>
      </c>
      <c r="G145" s="207" t="s">
        <v>219</v>
      </c>
    </row>
    <row r="146" ht="45" customHeight="1">
      <c r="A146" s="226">
        <v>1541</v>
      </c>
      <c r="B146" s="238">
        <v>1515</v>
      </c>
      <c r="C146" s="264" t="s">
        <v>226</v>
      </c>
      <c r="D146" s="299">
        <v>35</v>
      </c>
      <c r="E146" s="299">
        <v>34</v>
      </c>
      <c r="F146" s="299">
        <v>31</v>
      </c>
      <c r="G146" s="207" t="s">
        <v>219</v>
      </c>
    </row>
    <row r="147" ht="45" customHeight="1">
      <c r="A147" s="226"/>
      <c r="B147" s="238">
        <v>1521</v>
      </c>
      <c r="C147" s="264" t="s">
        <v>227</v>
      </c>
      <c r="D147" s="299">
        <v>35</v>
      </c>
      <c r="E147" s="299">
        <v>34</v>
      </c>
      <c r="F147" s="299">
        <v>31</v>
      </c>
      <c r="G147" s="207" t="s">
        <v>219</v>
      </c>
    </row>
    <row r="148" ht="45" customHeight="1">
      <c r="A148" s="226"/>
      <c r="B148" s="238">
        <v>1522</v>
      </c>
      <c r="C148" s="264" t="s">
        <v>228</v>
      </c>
      <c r="D148" s="299">
        <v>35</v>
      </c>
      <c r="E148" s="299">
        <v>34</v>
      </c>
      <c r="F148" s="299">
        <v>31</v>
      </c>
      <c r="G148" s="207" t="s">
        <v>219</v>
      </c>
    </row>
    <row r="149" ht="45" customHeight="1">
      <c r="A149" s="226"/>
      <c r="B149" s="238">
        <v>1523</v>
      </c>
      <c r="C149" s="264" t="s">
        <v>229</v>
      </c>
      <c r="D149" s="299">
        <v>35</v>
      </c>
      <c r="E149" s="299">
        <v>34</v>
      </c>
      <c r="F149" s="299">
        <v>31</v>
      </c>
      <c r="G149" s="207" t="s">
        <v>219</v>
      </c>
    </row>
    <row r="150" ht="45" customHeight="1">
      <c r="A150" s="226"/>
      <c r="B150" s="238">
        <v>1524</v>
      </c>
      <c r="C150" s="264" t="s">
        <v>230</v>
      </c>
      <c r="D150" s="299">
        <v>35</v>
      </c>
      <c r="E150" s="299">
        <v>34</v>
      </c>
      <c r="F150" s="299">
        <v>31</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35</v>
      </c>
      <c r="E153" s="299">
        <v>34</v>
      </c>
      <c r="F153" s="299">
        <v>31</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35</v>
      </c>
      <c r="E155" s="299">
        <v>34</v>
      </c>
      <c r="F155" s="299">
        <v>31</v>
      </c>
      <c r="G155" s="207" t="s">
        <v>219</v>
      </c>
    </row>
    <row r="156" ht="45" customHeight="1">
      <c r="A156" s="226"/>
      <c r="B156" s="238">
        <v>1542</v>
      </c>
      <c r="C156" s="264" t="s">
        <v>236</v>
      </c>
      <c r="D156" s="299">
        <v>35</v>
      </c>
      <c r="E156" s="299">
        <v>34</v>
      </c>
      <c r="F156" s="299">
        <v>31</v>
      </c>
      <c r="G156" s="207" t="s">
        <v>219</v>
      </c>
    </row>
    <row r="157" ht="45" customHeight="1">
      <c r="A157" s="226"/>
      <c r="B157" s="238">
        <v>1543</v>
      </c>
      <c r="C157" s="264" t="s">
        <v>237</v>
      </c>
      <c r="D157" s="299">
        <v>35</v>
      </c>
      <c r="E157" s="299">
        <v>34</v>
      </c>
      <c r="F157" s="299">
        <v>31</v>
      </c>
      <c r="G157" s="207" t="s">
        <v>219</v>
      </c>
    </row>
    <row r="158" ht="45" customHeight="1">
      <c r="A158" s="226"/>
      <c r="B158" s="238">
        <v>1544</v>
      </c>
      <c r="C158" s="242" t="s">
        <v>238</v>
      </c>
      <c r="D158" s="299">
        <v>35</v>
      </c>
      <c r="E158" s="299">
        <v>34</v>
      </c>
      <c r="F158" s="299">
        <v>31</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35</v>
      </c>
      <c r="E160" s="299">
        <v>34</v>
      </c>
      <c r="F160" s="299">
        <v>31</v>
      </c>
      <c r="G160" s="207" t="s">
        <v>219</v>
      </c>
    </row>
    <row r="161" ht="45" customHeight="1">
      <c r="A161" s="226"/>
      <c r="B161" s="238">
        <v>1553</v>
      </c>
      <c r="C161" s="242" t="s">
        <v>241</v>
      </c>
      <c r="D161" s="299">
        <v>35</v>
      </c>
      <c r="E161" s="299">
        <v>34</v>
      </c>
      <c r="F161" s="299">
        <v>31</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35</v>
      </c>
      <c r="E163" s="299">
        <v>34</v>
      </c>
      <c r="F163" s="299">
        <v>31</v>
      </c>
      <c r="G163" s="207" t="s">
        <v>219</v>
      </c>
    </row>
    <row r="164" ht="45" customHeight="1">
      <c r="A164" s="226"/>
      <c r="B164" s="238">
        <v>1556</v>
      </c>
      <c r="C164" s="242" t="s">
        <v>241</v>
      </c>
      <c r="D164" s="299">
        <v>35</v>
      </c>
      <c r="E164" s="299">
        <v>34</v>
      </c>
      <c r="F164" s="299">
        <v>31</v>
      </c>
      <c r="G164" s="207" t="s">
        <v>219</v>
      </c>
    </row>
    <row r="165" ht="45" customHeight="1">
      <c r="A165" s="226"/>
      <c r="C165" s="276"/>
      <c r="D165" s="277"/>
      <c r="G165" s="207"/>
    </row>
    <row r="166" ht="45" customHeight="1">
      <c r="A166" s="226"/>
      <c r="B166" s="279" t="s">
        <v>244</v>
      </c>
      <c r="C166" s="260" t="s">
        <v>245</v>
      </c>
      <c r="D166" s="228"/>
      <c r="E166" s="231"/>
      <c r="F166" s="298">
        <v>1396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64</v>
      </c>
      <c r="E172" s="299">
        <v>66</v>
      </c>
      <c r="F172" s="299">
        <v>68</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107</v>
      </c>
      <c r="E174" s="299">
        <v>104</v>
      </c>
      <c r="F174" s="299">
        <v>105</v>
      </c>
      <c r="G174" s="207" t="s">
        <v>244</v>
      </c>
    </row>
    <row r="175" ht="45" customHeight="1">
      <c r="A175" s="226"/>
      <c r="B175" s="238">
        <v>1621</v>
      </c>
      <c r="C175" s="242" t="s">
        <v>254</v>
      </c>
      <c r="D175" s="299">
        <v>64</v>
      </c>
      <c r="E175" s="299">
        <v>66</v>
      </c>
      <c r="F175" s="299">
        <v>68</v>
      </c>
      <c r="G175" s="207" t="s">
        <v>244</v>
      </c>
    </row>
    <row r="176" ht="45" customHeight="1">
      <c r="A176" s="226"/>
      <c r="B176" s="238">
        <v>1622</v>
      </c>
      <c r="C176" s="242" t="s">
        <v>255</v>
      </c>
      <c r="D176" s="299">
        <v>64</v>
      </c>
      <c r="E176" s="299">
        <v>66</v>
      </c>
      <c r="F176" s="299">
        <v>68</v>
      </c>
      <c r="G176" s="207" t="s">
        <v>244</v>
      </c>
    </row>
    <row r="177" ht="45" customHeight="1">
      <c r="A177" s="226"/>
      <c r="B177" s="238">
        <v>1623</v>
      </c>
      <c r="C177" s="242" t="s">
        <v>256</v>
      </c>
      <c r="D177" s="299">
        <v>64</v>
      </c>
      <c r="E177" s="299">
        <v>66</v>
      </c>
      <c r="F177" s="299">
        <v>68</v>
      </c>
      <c r="G177" s="207" t="s">
        <v>244</v>
      </c>
    </row>
    <row r="178" ht="45" customHeight="1">
      <c r="A178" s="226"/>
      <c r="B178" s="238">
        <v>1624</v>
      </c>
      <c r="C178" s="242" t="s">
        <v>257</v>
      </c>
      <c r="D178" s="299">
        <v>64</v>
      </c>
      <c r="E178" s="299">
        <v>66</v>
      </c>
      <c r="F178" s="299">
        <v>68</v>
      </c>
      <c r="G178" s="207" t="s">
        <v>244</v>
      </c>
    </row>
    <row r="179" ht="45" customHeight="1">
      <c r="A179" s="226"/>
      <c r="B179" s="238">
        <v>1625</v>
      </c>
      <c r="C179" s="242" t="s">
        <v>258</v>
      </c>
      <c r="D179" s="299">
        <v>64</v>
      </c>
      <c r="E179" s="299">
        <v>66</v>
      </c>
      <c r="F179" s="299">
        <v>68</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1372</v>
      </c>
      <c r="E183" s="299">
        <v>1376</v>
      </c>
      <c r="F183" s="299">
        <v>1388</v>
      </c>
      <c r="G183" s="207" t="s">
        <v>244</v>
      </c>
    </row>
    <row r="184" ht="45" customHeight="1">
      <c r="A184" s="226"/>
      <c r="B184" s="238">
        <v>1634</v>
      </c>
      <c r="C184" s="242" t="s">
        <v>263</v>
      </c>
      <c r="D184" s="299">
        <v>37</v>
      </c>
      <c r="E184" s="299">
        <v>28</v>
      </c>
      <c r="F184" s="299">
        <v>17</v>
      </c>
      <c r="G184" s="207" t="s">
        <v>244</v>
      </c>
    </row>
    <row r="185" ht="45" customHeight="1">
      <c r="A185" s="226"/>
      <c r="B185" s="238">
        <v>1635</v>
      </c>
      <c r="C185" s="242" t="s">
        <v>264</v>
      </c>
      <c r="D185" s="299">
        <v>1407</v>
      </c>
      <c r="E185" s="299">
        <v>1404</v>
      </c>
      <c r="F185" s="299">
        <v>1405</v>
      </c>
      <c r="G185" s="207" t="s">
        <v>244</v>
      </c>
    </row>
    <row r="186" ht="45" customHeight="1">
      <c r="A186" s="226"/>
      <c r="B186" s="238">
        <v>1641</v>
      </c>
      <c r="C186" s="242" t="s">
        <v>265</v>
      </c>
      <c r="D186" s="299">
        <v>1407</v>
      </c>
      <c r="E186" s="299">
        <v>1404</v>
      </c>
      <c r="F186" s="299">
        <v>1405</v>
      </c>
      <c r="G186" s="207" t="s">
        <v>244</v>
      </c>
    </row>
    <row r="187" ht="45" customHeight="1">
      <c r="A187" s="226"/>
      <c r="B187" s="238">
        <v>1642</v>
      </c>
      <c r="C187" s="242" t="s">
        <v>264</v>
      </c>
      <c r="D187" s="299">
        <v>1407</v>
      </c>
      <c r="E187" s="299">
        <v>1404</v>
      </c>
      <c r="F187" s="299">
        <v>1405</v>
      </c>
      <c r="G187" s="207" t="s">
        <v>244</v>
      </c>
    </row>
    <row r="188" ht="45" customHeight="1">
      <c r="A188" s="226"/>
      <c r="B188" s="238">
        <v>1643</v>
      </c>
      <c r="C188" s="242" t="s">
        <v>266</v>
      </c>
      <c r="D188" s="299">
        <v>1407</v>
      </c>
      <c r="E188" s="299">
        <v>1404</v>
      </c>
      <c r="F188" s="299">
        <v>1405</v>
      </c>
      <c r="G188" s="207" t="s">
        <v>244</v>
      </c>
    </row>
    <row r="189" ht="45" customHeight="1">
      <c r="A189" s="226"/>
      <c r="B189" s="238">
        <v>1644</v>
      </c>
      <c r="C189" s="242" t="s">
        <v>267</v>
      </c>
      <c r="D189" s="299">
        <v>1407</v>
      </c>
      <c r="E189" s="299">
        <v>1404</v>
      </c>
      <c r="F189" s="299">
        <v>1405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2885</v>
      </c>
      <c r="E191" s="299">
        <v>2919</v>
      </c>
      <c r="F191" s="299">
        <v>2953</v>
      </c>
      <c r="G191" s="207" t="s">
        <v>244</v>
      </c>
    </row>
    <row r="192" ht="45" customHeight="1">
      <c r="A192" s="226"/>
      <c r="B192" s="238">
        <v>1653</v>
      </c>
      <c r="C192" s="242" t="s">
        <v>270</v>
      </c>
      <c r="D192" s="299">
        <v>2885</v>
      </c>
      <c r="E192" s="299">
        <v>2919</v>
      </c>
      <c r="F192" s="299">
        <v>2953</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42</v>
      </c>
      <c r="E197" s="299">
        <v>42</v>
      </c>
      <c r="F197" s="299">
        <v>42</v>
      </c>
      <c r="G197" s="207" t="s">
        <v>244</v>
      </c>
    </row>
    <row r="198" ht="45" customHeight="1">
      <c r="A198" s="226"/>
      <c r="B198" s="238">
        <v>1659</v>
      </c>
      <c r="C198" s="242" t="s">
        <v>276</v>
      </c>
      <c r="D198" s="299">
        <v>42</v>
      </c>
      <c r="E198" s="299">
        <v>42</v>
      </c>
      <c r="F198" s="299">
        <v>42</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2232</v>
      </c>
      <c r="E200" s="299">
        <v>2212</v>
      </c>
      <c r="F200" s="299">
        <v>2173</v>
      </c>
      <c r="G200" s="207" t="s">
        <v>244</v>
      </c>
    </row>
    <row r="201" ht="45" customHeight="1">
      <c r="A201" s="226"/>
      <c r="B201" s="238">
        <v>1662</v>
      </c>
      <c r="C201" s="242" t="s">
        <v>279</v>
      </c>
      <c r="D201" s="299">
        <v>2232</v>
      </c>
      <c r="E201" s="299">
        <v>2212</v>
      </c>
      <c r="F201" s="299">
        <v>2173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2988</v>
      </c>
      <c r="AZ978" s="0" t="s">
        <v>2989</v>
      </c>
      <c r="BA978" s="0" t="s">
        <v>673</v>
      </c>
      <c r="BB978" s="0" t="str">
        <f t="shared" si="15"/>
        <v>FGHINkdGiwa</v>
      </c>
    </row>
    <row r="979">
      <c r="AV979" s="0" t="s">
        <v>473</v>
      </c>
      <c r="AW979" s="0" t="s">
        <v>286</v>
      </c>
      <c r="AX979" s="0" t="s">
        <v>1007</v>
      </c>
      <c r="AY979" s="0" t="s">
        <v>2990</v>
      </c>
      <c r="AZ979" s="0" t="s">
        <v>2991</v>
      </c>
      <c r="BA979" s="0" t="s">
        <v>673</v>
      </c>
      <c r="BB979" s="0" t="str">
        <f t="shared" si="15"/>
        <v>FGHINkdKauru</v>
      </c>
    </row>
    <row r="980">
      <c r="AV980" s="0" t="s">
        <v>473</v>
      </c>
      <c r="AW980" s="0" t="s">
        <v>286</v>
      </c>
      <c r="AX980" s="0" t="s">
        <v>1007</v>
      </c>
      <c r="AY980" s="0" t="s">
        <v>2992</v>
      </c>
      <c r="AZ980" s="0" t="s">
        <v>2993</v>
      </c>
      <c r="BA980" s="0" t="s">
        <v>673</v>
      </c>
      <c r="BB980" s="0" t="str">
        <f t="shared" si="15"/>
        <v>FGHINkdKauru</v>
      </c>
    </row>
    <row r="981">
      <c r="AV981" s="0" t="s">
        <v>473</v>
      </c>
      <c r="AW981" s="0" t="s">
        <v>286</v>
      </c>
      <c r="AX981" s="0" t="s">
        <v>1007</v>
      </c>
      <c r="AY981" s="0" t="s">
        <v>2994</v>
      </c>
      <c r="AZ981" s="0" t="s">
        <v>2995</v>
      </c>
      <c r="BA981" s="0" t="s">
        <v>673</v>
      </c>
      <c r="BB981" s="0" t="str">
        <f t="shared" si="15"/>
        <v>FGHINkdKauru</v>
      </c>
    </row>
    <row r="982">
      <c r="AV982" s="0" t="s">
        <v>473</v>
      </c>
      <c r="AW982" s="0" t="s">
        <v>286</v>
      </c>
      <c r="AX982" s="0" t="s">
        <v>1007</v>
      </c>
      <c r="AY982" s="0" t="s">
        <v>2996</v>
      </c>
      <c r="AZ982" s="0" t="s">
        <v>2997</v>
      </c>
      <c r="BA982" s="0" t="s">
        <v>673</v>
      </c>
      <c r="BB982" s="0" t="str">
        <f t="shared" si="15"/>
        <v>FGHINkdKauru</v>
      </c>
    </row>
    <row r="983">
      <c r="AV983" s="0" t="s">
        <v>473</v>
      </c>
      <c r="AW983" s="0" t="s">
        <v>286</v>
      </c>
      <c r="AX983" s="0" t="s">
        <v>1007</v>
      </c>
      <c r="AY983" s="0" t="s">
        <v>2998</v>
      </c>
      <c r="AZ983" s="0" t="s">
        <v>2999</v>
      </c>
      <c r="BA983" s="0" t="s">
        <v>673</v>
      </c>
      <c r="BB983" s="0" t="str">
        <f t="shared" si="15"/>
        <v>FGHINkdKauru</v>
      </c>
    </row>
    <row r="984">
      <c r="AV984" s="0" t="s">
        <v>473</v>
      </c>
      <c r="AW984" s="0" t="s">
        <v>286</v>
      </c>
      <c r="AX984" s="0" t="s">
        <v>1007</v>
      </c>
      <c r="AY984" s="0" t="s">
        <v>3000</v>
      </c>
      <c r="AZ984" s="0" t="s">
        <v>3001</v>
      </c>
      <c r="BA984" s="0" t="s">
        <v>673</v>
      </c>
      <c r="BB984" s="0" t="str">
        <f t="shared" si="15"/>
        <v>FGHINkdKauru</v>
      </c>
    </row>
    <row r="985">
      <c r="AV985" s="0" t="s">
        <v>473</v>
      </c>
      <c r="AW985" s="0" t="s">
        <v>286</v>
      </c>
      <c r="AX985" s="0" t="s">
        <v>615</v>
      </c>
      <c r="AY985" s="0" t="s">
        <v>3002</v>
      </c>
      <c r="AZ985" s="0" t="s">
        <v>3003</v>
      </c>
      <c r="BA985" s="0" t="s">
        <v>673</v>
      </c>
      <c r="BB985" s="0" t="str">
        <f t="shared" si="15"/>
        <v>FGHINkdLere</v>
      </c>
    </row>
    <row r="986">
      <c r="AV986" s="0" t="s">
        <v>473</v>
      </c>
      <c r="AW986" s="0" t="s">
        <v>286</v>
      </c>
      <c r="AX986" s="0" t="s">
        <v>615</v>
      </c>
      <c r="AY986" s="0" t="s">
        <v>3004</v>
      </c>
      <c r="AZ986" s="0" t="s">
        <v>3005</v>
      </c>
      <c r="BA986" s="0" t="s">
        <v>673</v>
      </c>
      <c r="BB986" s="0" t="str">
        <f t="shared" si="15"/>
        <v>FGHINkdLere</v>
      </c>
    </row>
    <row r="987">
      <c r="AV987" s="0" t="s">
        <v>473</v>
      </c>
      <c r="AW987" s="0" t="s">
        <v>286</v>
      </c>
      <c r="AX987" s="0" t="s">
        <v>615</v>
      </c>
      <c r="AY987" s="0" t="s">
        <v>3006</v>
      </c>
      <c r="AZ987" s="0" t="s">
        <v>3007</v>
      </c>
      <c r="BA987" s="0" t="s">
        <v>673</v>
      </c>
      <c r="BB987" s="0" t="str">
        <f t="shared" si="15"/>
        <v>FGHINkdLere</v>
      </c>
    </row>
    <row r="988">
      <c r="AV988" s="0" t="s">
        <v>473</v>
      </c>
      <c r="AW988" s="0" t="s">
        <v>286</v>
      </c>
      <c r="AX988" s="0" t="s">
        <v>615</v>
      </c>
      <c r="AY988" s="0" t="s">
        <v>2149</v>
      </c>
      <c r="AZ988" s="0" t="s">
        <v>3008</v>
      </c>
      <c r="BA988" s="0" t="s">
        <v>673</v>
      </c>
      <c r="BB988" s="0" t="str">
        <f t="shared" si="15"/>
        <v>FGHINkdLere</v>
      </c>
    </row>
    <row r="989">
      <c r="AV989" s="0" t="s">
        <v>473</v>
      </c>
      <c r="AW989" s="0" t="s">
        <v>286</v>
      </c>
      <c r="AX989" s="0" t="s">
        <v>615</v>
      </c>
      <c r="AY989" s="0" t="s">
        <v>3009</v>
      </c>
      <c r="AZ989" s="0" t="s">
        <v>3010</v>
      </c>
      <c r="BA989" s="0" t="s">
        <v>673</v>
      </c>
      <c r="BB989" s="0" t="str">
        <f t="shared" si="15"/>
        <v>FGHINkdLere</v>
      </c>
    </row>
    <row r="990">
      <c r="AV990" s="0" t="s">
        <v>473</v>
      </c>
      <c r="AW990" s="0" t="s">
        <v>286</v>
      </c>
      <c r="AX990" s="0" t="s">
        <v>615</v>
      </c>
      <c r="AY990" s="0" t="s">
        <v>3011</v>
      </c>
      <c r="AZ990" s="0" t="s">
        <v>3012</v>
      </c>
      <c r="BA990" s="0" t="s">
        <v>673</v>
      </c>
      <c r="BB990" s="0" t="str">
        <f t="shared" si="15"/>
        <v>FGHINkdLere</v>
      </c>
    </row>
    <row r="991">
      <c r="AV991" s="0" t="s">
        <v>473</v>
      </c>
      <c r="AW991" s="0" t="s">
        <v>286</v>
      </c>
      <c r="AX991" s="0" t="s">
        <v>615</v>
      </c>
      <c r="AY991" s="0" t="s">
        <v>3013</v>
      </c>
      <c r="AZ991" s="0" t="s">
        <v>3014</v>
      </c>
      <c r="BA991" s="0" t="s">
        <v>673</v>
      </c>
      <c r="BB991" s="0" t="str">
        <f t="shared" si="15"/>
        <v>FGHINkdLere</v>
      </c>
    </row>
    <row r="992">
      <c r="AV992" s="0" t="s">
        <v>473</v>
      </c>
      <c r="AW992" s="0" t="s">
        <v>286</v>
      </c>
      <c r="AX992" s="0" t="s">
        <v>615</v>
      </c>
      <c r="AY992" s="0" t="s">
        <v>3015</v>
      </c>
      <c r="AZ992" s="0" t="s">
        <v>3016</v>
      </c>
      <c r="BA992" s="0" t="s">
        <v>673</v>
      </c>
      <c r="BB992" s="0" t="str">
        <f t="shared" si="15"/>
        <v>FGHINkdLere</v>
      </c>
    </row>
    <row r="993">
      <c r="AV993" s="0" t="s">
        <v>473</v>
      </c>
      <c r="AW993" s="0" t="s">
        <v>286</v>
      </c>
      <c r="AX993" s="0" t="s">
        <v>615</v>
      </c>
      <c r="AY993" s="0" t="s">
        <v>3017</v>
      </c>
      <c r="AZ993" s="0" t="s">
        <v>3018</v>
      </c>
      <c r="BA993" s="0" t="s">
        <v>673</v>
      </c>
      <c r="BB993" s="0" t="str">
        <f t="shared" si="15"/>
        <v>FGHINkdLere</v>
      </c>
    </row>
    <row r="994">
      <c r="AV994" s="0" t="s">
        <v>473</v>
      </c>
      <c r="AW994" s="0" t="s">
        <v>286</v>
      </c>
      <c r="AX994" s="0" t="s">
        <v>615</v>
      </c>
      <c r="AY994" s="0" t="s">
        <v>289</v>
      </c>
      <c r="AZ994" s="0" t="s">
        <v>293</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