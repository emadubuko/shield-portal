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<sst xmlns="http://schemas.openxmlformats.org/spreadsheetml/2006/main" count="4033" uniqueCount="4033">
  <si>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</si>
  <si>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</si>
  <si>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</si>
  <si>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</si>
  <si>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</si>
  <si>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</si>
  <si>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</si>
  <si>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</si>
  <si>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</si>
  <si>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</si>
  <si>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</si>
  <si>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</si>
  <si>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</si>
  <si>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</si>
  <si>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</si>
  <si>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</si>
  <si>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</si>
  <si>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</si>
  <si>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</si>
  <si>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</si>
  <si>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</si>
  <si>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</si>
  <si>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</si>
  <si>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</si>
  <si>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</si>
  <si>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</si>
  <si>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</si>
  <si>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</si>
  <si>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</si>
  <si>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</si>
  <si>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</si>
  <si>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</si>
  <si>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</si>
  <si>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</si>
  <si>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</si>
  <si>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</si>
  <si>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</si>
  <si>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</si>
  <si>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</si>
  <si>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</si>
  <si>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</si>
  <si>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</si>
  <si>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</si>
  <si>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</si>
  <si>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</si>
  <si>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</si>
  <si>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</si>
  <si>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</si>
  <si>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</si>
  <si>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</si>
  <si>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</si>
  <si>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</si>
  <si>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</si>
  <si>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</si>
  <si>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</si>
  <si>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</si>
  <si>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</si>
  <si>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</si>
  <si>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</si>
  <si>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</si>
  <si>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</si>
  <si>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</si>
  <si>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</si>
  <si>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</si>
  <si>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</si>
  <si>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</si>
  <si>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</si>
  <si>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</si>
  <si>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</si>
  <si>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</si>
  <si>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</si>
  <si>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</si>
  <si>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</si>
  <si>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</si>
  <si>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</si>
  <si>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</si>
  <si>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</si>
  <si>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</si>
  <si>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</si>
  <si>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</si>
  <si>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</si>
  <si>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</si>
  <si>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</si>
  <si>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</si>
  <si>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</si>
  <si>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</si>
  <si>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</si>
  <si>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</si>
  <si>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</si>
  <si>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</si>
  <si>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</si>
  <si>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</si>
  <si>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</si>
  <si>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</si>
  <si>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</si>
  <si>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</si>
  <si>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</si>
  <si>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</si>
  <si>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</si>
  <si>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</si>
  <si>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</si>
  <si>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</si>
  <si>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</si>
  <si>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</si>
  <si>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</si>
  <si>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</si>
  <si>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</si>
  <si>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</si>
  <si>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</si>
  <si>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</si>
  <si>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</si>
  <si>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</si>
  <si>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</si>
  <si>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</si>
  <si>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</si>
  <si>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</si>
  <si>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</si>
  <si>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</si>
  <si>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</si>
  <si>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</si>
  <si>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</si>
  <si>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</si>
  <si>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</si>
  <si>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</si>
  <si>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</si>
  <si>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</si>
  <si>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</si>
  <si>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</si>
  <si>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</si>
  <si>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</si>
  <si>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</si>
  <si>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</si>
  <si>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</si>
  <si>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</si>
  <si>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</si>
  <si>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</si>
  <si>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</si>
  <si>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</si>
  <si>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</si>
  <si>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</si>
  <si>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</si>
  <si>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</si>
  <si>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</si>
  <si>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</si>
  <si>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</si>
  <si>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</si>
  <si>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</si>
  <si>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</si>
  <si>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</si>
  <si>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</si>
  <si>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</si>
  <si>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</si>
  <si>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</si>
  <si>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</si>
  <si>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</si>
  <si>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</si>
  <si>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</si>
  <si>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</si>
  <si>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</si>
  <si>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</si>
  <si>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</si>
  <si>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</si>
  <si>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</si>
  <si>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</si>
  <si>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</si>
  <si>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</si>
  <si>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</si>
  <si>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</si>
  <si>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</si>
  <si>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</si>
  <si>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</si>
  <si>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</si>
  <si>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</si>
  <si>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</si>
  <si>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</si>
  <si>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</si>
  <si>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</si>
  <si>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</si>
  <si>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</si>
  <si>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</si>
  <si>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</si>
  <si>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</si>
  <si>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</si>
  <si>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</si>
  <si>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</si>
  <si>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</si>
  <si>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</si>
  <si>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</si>
  <si>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</si>
  <si>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</si>
  <si>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</si>
  <si>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</si>
  <si>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</si>
  <si>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</si>
  <si>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</si>
  <si>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</si>
  <si>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</si>
  <si>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</si>
  <si>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</si>
  <si>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</si>
  <si>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</si>
  <si>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</si>
  <si>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</si>
  <si>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</si>
  <si>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</si>
  <si>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</si>
  <si>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</si>
  <si>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</si>
  <si>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</si>
  <si>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</si>
  <si>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</si>
  <si>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</si>
  <si>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</si>
  <si>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</si>
  <si>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</si>
  <si>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</si>
  <si>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</si>
  <si>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</si>
  <si>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</si>
  <si>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</si>
  <si>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</si>
  <si>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</si>
  <si>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</si>
  <si>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</si>
  <si>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</si>
  <si>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</si>
  <si>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</si>
  <si>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</si>
  <si>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</si>
  <si>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</si>
  <si>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</si>
  <si>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</si>
  <si>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</si>
  <si>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</si>
  <si>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</si>
  <si>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</si>
  <si>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</si>
  <si>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</si>
  <si>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</si>
  <si>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</si>
  <si>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</si>
  <si>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</si>
  <si>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</si>
  <si>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</si>
  <si>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</si>
  <si>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</si>
  <si>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</si>
  <si>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</si>
  <si>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</si>
  <si>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</si>
  <si>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</si>
  <si>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</si>
  <si>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</si>
  <si>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</si>
  <si>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</si>
  <si>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</si>
  <si>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</si>
  <si>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</si>
  <si>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</si>
  <si>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</si>
  <si>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</si>
  <si>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</si>
  <si>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</si>
  <si>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</si>
  <si>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</si>
  <si>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</si>
  <si>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</si>
  <si>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</si>
  <si>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</si>
  <si>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</si>
  <si>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</si>
  <si>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</si>
  <si>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</si>
  <si>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</si>
  <si>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</si>
  <si>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</si>
  <si>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</si>
  <si>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</si>
  <si>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</si>
  <si>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</si>
  <si>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</si>
  <si>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</si>
  <si>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</si>
  <si>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</si>
  <si>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</si>
  <si>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</si>
  <si>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</si>
  <si>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Markurdi</t>
  </si>
  <si>
    <t>Facility Name:</t>
  </si>
  <si>
    <t>Ushakaa Hospital</t>
  </si>
  <si>
    <t>Reporting Period:</t>
  </si>
  <si>
    <t>Q1(Oct - Dec)</t>
  </si>
  <si>
    <t>Facility Code:</t>
  </si>
  <si>
    <t>FuHdYbMsHCb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</si>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</sst>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174</v>
      </c>
      <c r="E9" s="299">
        <v>34</v>
      </c>
      <c r="F9" s="299">
        <v>272</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27</v>
      </c>
      <c r="E11" s="299">
        <v>27</v>
      </c>
      <c r="F11" s="299">
        <v>28</v>
      </c>
      <c r="G11" s="207" t="s">
        <v>67</v>
      </c>
    </row>
    <row r="12" ht="45" customHeight="1">
      <c r="A12" s="226"/>
      <c r="B12" s="238">
        <v>1115</v>
      </c>
      <c r="C12" s="242" t="s">
        <v>85</v>
      </c>
      <c r="D12" s="299">
        <v>27</v>
      </c>
      <c r="E12" s="299">
        <v>27</v>
      </c>
      <c r="F12" s="299">
        <v>28</v>
      </c>
      <c r="G12" s="207" t="s">
        <v>67</v>
      </c>
    </row>
    <row r="13" ht="45" customHeight="1">
      <c r="A13" s="226" t="s">
        <v>86</v>
      </c>
      <c r="B13" s="238">
        <v>1116</v>
      </c>
      <c r="C13" s="242" t="s">
        <v>87</v>
      </c>
      <c r="D13" s="299">
        <v>27</v>
      </c>
      <c r="E13" s="299">
        <v>0</v>
      </c>
      <c r="F13" s="299">
        <v>0</v>
      </c>
      <c r="G13" s="207" t="s">
        <v>67</v>
      </c>
    </row>
    <row r="14" ht="45" customHeight="1">
      <c r="A14" s="226"/>
      <c r="B14" s="238">
        <v>1117</v>
      </c>
      <c r="C14" s="242" t="s">
        <v>88</v>
      </c>
      <c r="D14" s="299">
        <v>27</v>
      </c>
      <c r="E14" s="299">
        <v>0</v>
      </c>
      <c r="F14" s="299">
        <v>0</v>
      </c>
      <c r="G14" s="207" t="s">
        <v>67</v>
      </c>
    </row>
    <row r="15" ht="45" customHeight="1">
      <c r="A15" s="226">
        <v>1116</v>
      </c>
      <c r="B15" s="238">
        <v>1121</v>
      </c>
      <c r="C15" s="243" t="str">
        <f>C13</f>
        <v>How many HTC clients have a completed Client intake form </v>
      </c>
      <c r="D15" s="300">
        <v>27</v>
      </c>
      <c r="E15" s="300">
        <v>0</v>
      </c>
      <c r="F15" s="300">
        <v>0</v>
      </c>
      <c r="G15" s="207"/>
    </row>
    <row r="16" ht="45" customHeight="1">
      <c r="A16" s="226"/>
      <c r="B16" s="238">
        <v>1122</v>
      </c>
      <c r="C16" s="243" t="s">
        <v>89</v>
      </c>
      <c r="D16" s="299">
        <v>27</v>
      </c>
      <c r="E16" s="299">
        <v>0</v>
      </c>
      <c r="F16" s="299">
        <v>0</v>
      </c>
      <c r="G16" s="207" t="s">
        <v>67</v>
      </c>
    </row>
    <row r="17" ht="45" customHeight="1">
      <c r="A17" s="226"/>
      <c r="B17" s="238">
        <v>1123</v>
      </c>
      <c r="C17" s="242" t="s">
        <v>90</v>
      </c>
      <c r="D17" s="299">
        <v>27</v>
      </c>
      <c r="E17" s="299">
        <v>0</v>
      </c>
      <c r="F17" s="299">
        <v>0</v>
      </c>
      <c r="G17" s="207" t="s">
        <v>67</v>
      </c>
    </row>
    <row r="18" ht="45" customHeight="1">
      <c r="A18" s="226"/>
      <c r="B18" s="238">
        <v>1124</v>
      </c>
      <c r="C18" s="242" t="s">
        <v>91</v>
      </c>
      <c r="D18" s="299">
        <v>26</v>
      </c>
      <c r="E18" s="299">
        <v>0</v>
      </c>
      <c r="F18" s="299">
        <v>0</v>
      </c>
      <c r="G18" s="207" t="s">
        <v>67</v>
      </c>
    </row>
    <row r="19" ht="45" customHeight="1">
      <c r="A19" s="226"/>
      <c r="B19" s="238">
        <v>1125</v>
      </c>
      <c r="C19" s="242" t="s">
        <v>92</v>
      </c>
      <c r="D19" s="299">
        <v>27</v>
      </c>
      <c r="E19" s="299">
        <v>0</v>
      </c>
      <c r="F19" s="299">
        <v>0</v>
      </c>
      <c r="G19" s="207" t="s">
        <v>67</v>
      </c>
    </row>
    <row r="20" ht="45" customHeight="1">
      <c r="A20" s="226"/>
      <c r="B20" s="238">
        <v>1126</v>
      </c>
      <c r="C20" s="242" t="s">
        <v>93</v>
      </c>
      <c r="D20" s="299">
        <v>27</v>
      </c>
      <c r="E20" s="299">
        <v>0</v>
      </c>
      <c r="F20" s="299">
        <v>0</v>
      </c>
      <c r="G20" s="207" t="s">
        <v>67</v>
      </c>
    </row>
    <row r="21" ht="45" customHeight="1">
      <c r="A21" s="226"/>
      <c r="B21" s="238">
        <v>1127</v>
      </c>
      <c r="C21" s="242" t="s">
        <v>94</v>
      </c>
      <c r="D21" s="299">
        <v>27</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45</v>
      </c>
      <c r="E23" s="299">
        <v>0</v>
      </c>
      <c r="F23" s="299">
        <v>0</v>
      </c>
      <c r="G23" s="207" t="s">
        <v>67</v>
      </c>
    </row>
    <row r="24" ht="45" customHeight="1">
      <c r="A24" s="226"/>
      <c r="B24" s="238">
        <v>1132</v>
      </c>
      <c r="C24" s="242" t="s">
        <v>97</v>
      </c>
      <c r="D24" s="299">
        <v>72</v>
      </c>
      <c r="E24" s="299">
        <v>0</v>
      </c>
      <c r="F24" s="299">
        <v>0</v>
      </c>
      <c r="G24" s="207" t="s">
        <v>67</v>
      </c>
    </row>
    <row r="25" ht="45" customHeight="1">
      <c r="A25" s="226"/>
      <c r="B25" s="238">
        <v>1133</v>
      </c>
      <c r="C25" s="242" t="s">
        <v>98</v>
      </c>
      <c r="D25" s="299">
        <v>12</v>
      </c>
      <c r="E25" s="299">
        <v>10</v>
      </c>
      <c r="F25" s="299">
        <v>12</v>
      </c>
      <c r="G25" s="207" t="s">
        <v>67</v>
      </c>
    </row>
    <row r="26" ht="45" customHeight="1">
      <c r="A26" s="226"/>
      <c r="B26" s="238">
        <v>1134</v>
      </c>
      <c r="C26" s="242" t="s">
        <v>99</v>
      </c>
      <c r="D26" s="299">
        <v>109</v>
      </c>
      <c r="E26" s="299">
        <v>100</v>
      </c>
      <c r="F26" s="299">
        <v>88</v>
      </c>
      <c r="G26" s="207" t="s">
        <v>67</v>
      </c>
    </row>
    <row r="27" ht="45" customHeight="1">
      <c r="A27" s="226"/>
      <c r="B27" s="238">
        <v>1135</v>
      </c>
      <c r="C27" s="242" t="s">
        <v>100</v>
      </c>
      <c r="D27" s="299">
        <v>2</v>
      </c>
      <c r="E27" s="299">
        <v>0</v>
      </c>
      <c r="F27" s="299">
        <v>0</v>
      </c>
      <c r="G27" s="207" t="s">
        <v>67</v>
      </c>
    </row>
    <row r="28" ht="45" customHeight="1">
      <c r="A28" s="226"/>
      <c r="B28" s="238">
        <v>1136</v>
      </c>
      <c r="C28" s="242" t="s">
        <v>101</v>
      </c>
      <c r="D28" s="299">
        <v>129</v>
      </c>
      <c r="E28" s="299">
        <v>0</v>
      </c>
      <c r="F28" s="299">
        <v>0</v>
      </c>
      <c r="G28" s="207" t="s">
        <v>67</v>
      </c>
    </row>
    <row r="29" ht="45" customHeight="1">
      <c r="A29" s="226"/>
      <c r="B29" s="238">
        <v>1137</v>
      </c>
      <c r="C29" s="242" t="s">
        <v>102</v>
      </c>
      <c r="D29" s="299">
        <v>12</v>
      </c>
      <c r="E29" s="299">
        <v>7</v>
      </c>
      <c r="F29" s="299">
        <v>7</v>
      </c>
      <c r="G29" s="207" t="s">
        <v>67</v>
      </c>
    </row>
    <row r="30" ht="45" customHeight="1">
      <c r="A30" s="226"/>
      <c r="B30" s="238">
        <v>1138</v>
      </c>
      <c r="C30" s="242" t="s">
        <v>103</v>
      </c>
      <c r="D30" s="299">
        <v>107</v>
      </c>
      <c r="E30" s="299">
        <v>110</v>
      </c>
      <c r="F30" s="299">
        <v>88</v>
      </c>
      <c r="G30" s="207" t="s">
        <v>67</v>
      </c>
    </row>
    <row r="31" ht="45" customHeight="1">
      <c r="A31" s="226">
        <v>1116</v>
      </c>
      <c r="B31" s="238">
        <v>1141</v>
      </c>
      <c r="C31" s="242" t="s">
        <v>104</v>
      </c>
      <c r="D31" s="300">
        <v>27</v>
      </c>
      <c r="E31" s="300">
        <v>0</v>
      </c>
      <c r="F31" s="300">
        <v>0</v>
      </c>
      <c r="G31" s="207"/>
    </row>
    <row r="32" ht="45" customHeight="1">
      <c r="A32" s="226"/>
      <c r="B32" s="238">
        <v>1142</v>
      </c>
      <c r="C32" s="243" t="s">
        <v>105</v>
      </c>
      <c r="D32" s="300">
        <v>26</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125</v>
      </c>
      <c r="E35" s="299">
        <v>126</v>
      </c>
      <c r="F35" s="299">
        <v>95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109</v>
      </c>
      <c r="E37" s="299">
        <v>100</v>
      </c>
      <c r="F37" s="299">
        <v>88</v>
      </c>
      <c r="G37" s="207" t="s">
        <v>67</v>
      </c>
    </row>
    <row r="38" ht="45" customHeight="1">
      <c r="A38" s="226"/>
      <c r="B38" s="238">
        <v>1153</v>
      </c>
      <c r="C38" s="242" t="s">
        <v>111</v>
      </c>
      <c r="D38" s="299">
        <v>115</v>
      </c>
      <c r="E38" s="299">
        <v>111</v>
      </c>
      <c r="F38" s="299">
        <v>85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109</v>
      </c>
      <c r="E40" s="299">
        <v>100</v>
      </c>
      <c r="F40" s="299">
        <v>88</v>
      </c>
      <c r="G40" s="207" t="s">
        <v>67</v>
      </c>
    </row>
    <row r="41" ht="45" customHeight="1">
      <c r="A41" s="226"/>
      <c r="B41" s="238">
        <v>1156</v>
      </c>
      <c r="C41" s="242" t="s">
        <v>113</v>
      </c>
      <c r="D41" s="299">
        <v>115</v>
      </c>
      <c r="E41" s="299">
        <v>111</v>
      </c>
      <c r="F41" s="299">
        <v>85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14</v>
      </c>
      <c r="E43" s="299">
        <v>6</v>
      </c>
      <c r="F43" s="299">
        <v>5</v>
      </c>
      <c r="G43" s="207" t="s">
        <v>67</v>
      </c>
    </row>
    <row r="44" ht="45" customHeight="1" s="250" customFormat="1">
      <c r="A44" s="226"/>
      <c r="B44" s="238">
        <v>1159</v>
      </c>
      <c r="C44" s="242" t="s">
        <v>116</v>
      </c>
      <c r="D44" s="299">
        <v>13</v>
      </c>
      <c r="E44" s="299">
        <v>6</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7</v>
      </c>
      <c r="E54" s="299">
        <v>1</v>
      </c>
      <c r="F54" s="299">
        <v>6</v>
      </c>
      <c r="G54" s="207" t="s">
        <v>117</v>
      </c>
    </row>
    <row r="55" ht="45" customHeight="1">
      <c r="A55" s="226"/>
      <c r="B55" s="238">
        <v>1215</v>
      </c>
      <c r="C55" s="242" t="s">
        <v>133</v>
      </c>
      <c r="D55" s="299">
        <v>8</v>
      </c>
      <c r="E55" s="299">
        <v>1</v>
      </c>
      <c r="F55" s="299">
        <v>6</v>
      </c>
      <c r="G55" s="207" t="s">
        <v>117</v>
      </c>
    </row>
    <row r="56" ht="45" customHeight="1">
      <c r="A56" s="226"/>
      <c r="B56" s="238">
        <v>1216</v>
      </c>
      <c r="C56" s="243" t="s">
        <v>134</v>
      </c>
      <c r="D56" s="299">
        <v>6</v>
      </c>
      <c r="E56" s="299">
        <v>1</v>
      </c>
      <c r="F56" s="299">
        <v>6</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0</v>
      </c>
      <c r="F58" s="299">
        <v>1</v>
      </c>
      <c r="G58" s="207" t="s">
        <v>117</v>
      </c>
    </row>
    <row r="59" ht="45" customHeight="1">
      <c r="A59" s="226"/>
      <c r="B59" s="238">
        <v>1221</v>
      </c>
      <c r="C59" s="264" t="s">
        <v>137</v>
      </c>
      <c r="D59" s="299">
        <v>7</v>
      </c>
      <c r="E59" s="299">
        <v>1</v>
      </c>
      <c r="F59" s="299">
        <v>6</v>
      </c>
      <c r="G59" s="207" t="s">
        <v>117</v>
      </c>
    </row>
    <row r="60" ht="45" customHeight="1">
      <c r="A60" s="226"/>
      <c r="B60" s="238">
        <v>1222</v>
      </c>
      <c r="C60" s="264" t="s">
        <v>138</v>
      </c>
      <c r="D60" s="299">
        <v>6</v>
      </c>
      <c r="E60" s="299">
        <v>1</v>
      </c>
      <c r="F60" s="299">
        <v>6</v>
      </c>
      <c r="G60" s="207" t="s">
        <v>117</v>
      </c>
    </row>
    <row r="61" ht="45" customHeight="1">
      <c r="A61" s="226"/>
      <c r="B61" s="238">
        <v>1223</v>
      </c>
      <c r="C61" s="264" t="s">
        <v>139</v>
      </c>
      <c r="D61" s="299">
        <v>6</v>
      </c>
      <c r="E61" s="299">
        <v>1</v>
      </c>
      <c r="F61" s="299">
        <v>6</v>
      </c>
      <c r="G61" s="207" t="s">
        <v>117</v>
      </c>
    </row>
    <row r="62" ht="54.65" customHeight="1">
      <c r="A62" s="226"/>
      <c r="B62" s="238">
        <v>1224</v>
      </c>
      <c r="C62" s="264" t="s">
        <v>140</v>
      </c>
      <c r="D62" s="299">
        <v>6</v>
      </c>
      <c r="E62" s="299">
        <v>1</v>
      </c>
      <c r="F62" s="299">
        <v>5</v>
      </c>
      <c r="G62" s="207" t="s">
        <v>117</v>
      </c>
    </row>
    <row r="63" ht="66.65" customHeight="1">
      <c r="A63" s="226"/>
      <c r="B63" s="238">
        <v>1225</v>
      </c>
      <c r="C63" s="264" t="s">
        <v>141</v>
      </c>
      <c r="D63" s="299">
        <v>6</v>
      </c>
      <c r="E63" s="299">
        <v>1</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1</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7</v>
      </c>
      <c r="E68" s="299">
        <v>1</v>
      </c>
      <c r="F68" s="299">
        <v>6</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5</v>
      </c>
      <c r="E71" s="299">
        <v>1</v>
      </c>
      <c r="F71" s="299">
        <v>5</v>
      </c>
      <c r="G71" s="207" t="s">
        <v>117</v>
      </c>
    </row>
    <row r="72" ht="45" customHeight="1">
      <c r="A72" s="226"/>
      <c r="B72" s="238">
        <v>1236</v>
      </c>
      <c r="C72" s="242" t="s">
        <v>150</v>
      </c>
      <c r="D72" s="299">
        <v>1</v>
      </c>
      <c r="E72" s="299">
        <v>0</v>
      </c>
      <c r="F72" s="299">
        <v>1</v>
      </c>
      <c r="G72" s="207" t="s">
        <v>117</v>
      </c>
    </row>
    <row r="73" ht="45" customHeight="1">
      <c r="A73" s="226"/>
      <c r="B73" s="238">
        <v>1241</v>
      </c>
      <c r="C73" s="242" t="s">
        <v>151</v>
      </c>
      <c r="D73" s="299">
        <v>7</v>
      </c>
      <c r="E73" s="299">
        <v>1</v>
      </c>
      <c r="F73" s="299">
        <v>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8</v>
      </c>
      <c r="E75" s="299">
        <v>1</v>
      </c>
      <c r="F75" s="299">
        <v>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6</v>
      </c>
      <c r="E77" s="299">
        <v>1</v>
      </c>
      <c r="F77" s="299">
        <v>6</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8</v>
      </c>
      <c r="E79" s="299">
        <v>1</v>
      </c>
      <c r="F79" s="299">
        <v>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v>
      </c>
      <c r="E82" s="299">
        <v>1</v>
      </c>
      <c r="F82" s="299">
        <v>6</v>
      </c>
      <c r="G82" s="207" t="s">
        <v>117</v>
      </c>
    </row>
    <row r="83" ht="45" customHeight="1">
      <c r="A83" s="226"/>
      <c r="B83" s="238">
        <v>1253</v>
      </c>
      <c r="C83" s="242" t="s">
        <v>161</v>
      </c>
      <c r="D83" s="299">
        <v>8</v>
      </c>
      <c r="E83" s="299">
        <v>1</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1</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1</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1</v>
      </c>
      <c r="E101" s="299">
        <v>0</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1</v>
      </c>
      <c r="G108" s="265" t="s">
        <v>168</v>
      </c>
    </row>
    <row r="109" ht="45" customHeight="1" s="269" customFormat="1">
      <c r="A109" s="226"/>
      <c r="B109" s="238">
        <v>1344</v>
      </c>
      <c r="C109" s="242" t="s">
        <v>188</v>
      </c>
      <c r="D109" s="299">
        <v>1</v>
      </c>
      <c r="E109" s="299">
        <v>0</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1</v>
      </c>
      <c r="G111" s="265" t="s">
        <v>168</v>
      </c>
    </row>
    <row r="112" ht="45" customHeight="1" s="269" customFormat="1">
      <c r="A112" s="226"/>
      <c r="B112" s="238">
        <v>1353</v>
      </c>
      <c r="C112" s="242" t="s">
        <v>191</v>
      </c>
      <c r="D112" s="299">
        <v>1</v>
      </c>
      <c r="E112" s="299">
        <v>0</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1</v>
      </c>
      <c r="G114" s="265" t="s">
        <v>168</v>
      </c>
    </row>
    <row r="115" ht="45" customHeight="1" s="269" customFormat="1">
      <c r="A115" s="226"/>
      <c r="B115" s="238">
        <v>1356</v>
      </c>
      <c r="C115" s="242" t="s">
        <v>193</v>
      </c>
      <c r="D115" s="299">
        <v>1</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0</v>
      </c>
      <c r="G119" s="207" t="s">
        <v>194</v>
      </c>
    </row>
    <row r="120" ht="45" customHeight="1" s="269" customFormat="1">
      <c r="A120" s="226"/>
      <c r="B120" s="238">
        <v>1414</v>
      </c>
      <c r="C120" s="243" t="s">
        <v>198</v>
      </c>
      <c r="D120" s="299">
        <v>0</v>
      </c>
      <c r="E120" s="299">
        <v>1</v>
      </c>
      <c r="F120" s="299">
        <v>0</v>
      </c>
      <c r="G120" s="207" t="s">
        <v>194</v>
      </c>
    </row>
    <row r="121" ht="45" customHeight="1" s="269" customFormat="1">
      <c r="A121" s="226"/>
      <c r="B121" s="238">
        <v>1422</v>
      </c>
      <c r="C121" s="242" t="s">
        <v>199</v>
      </c>
      <c r="D121" s="299">
        <v>0</v>
      </c>
      <c r="E121" s="299">
        <v>1</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v>
      </c>
      <c r="F126" s="299">
        <v>0</v>
      </c>
      <c r="G126" s="207" t="s">
        <v>194</v>
      </c>
    </row>
    <row r="127" ht="45" customHeight="1" s="269" customFormat="1">
      <c r="A127" s="226"/>
      <c r="B127" s="238">
        <v>1432</v>
      </c>
      <c r="C127" s="242" t="s">
        <v>206</v>
      </c>
      <c r="D127" s="299">
        <v>6</v>
      </c>
      <c r="E127" s="299">
        <v>1</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5</v>
      </c>
      <c r="E129" s="299">
        <v>2</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3</v>
      </c>
      <c r="E131" s="299">
        <v>1</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6</v>
      </c>
      <c r="E138" s="299">
        <v>1</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3</v>
      </c>
      <c r="F144" s="299">
        <v>1</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3</v>
      </c>
      <c r="E146" s="299">
        <v>0</v>
      </c>
      <c r="F146" s="299">
        <v>2</v>
      </c>
      <c r="G146" s="207" t="s">
        <v>219</v>
      </c>
    </row>
    <row r="147" ht="45" customHeight="1">
      <c r="A147" s="226"/>
      <c r="B147" s="238">
        <v>1521</v>
      </c>
      <c r="C147" s="264" t="s">
        <v>227</v>
      </c>
      <c r="D147" s="299">
        <v>10</v>
      </c>
      <c r="E147" s="299">
        <v>6</v>
      </c>
      <c r="F147" s="299">
        <v>4</v>
      </c>
      <c r="G147" s="207" t="s">
        <v>219</v>
      </c>
    </row>
    <row r="148" ht="45" customHeight="1">
      <c r="A148" s="226"/>
      <c r="B148" s="238">
        <v>1522</v>
      </c>
      <c r="C148" s="264" t="s">
        <v>228</v>
      </c>
      <c r="D148" s="299">
        <v>3</v>
      </c>
      <c r="E148" s="299">
        <v>0</v>
      </c>
      <c r="F148" s="299">
        <v>2</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0</v>
      </c>
      <c r="F151" s="299">
        <v>2</v>
      </c>
      <c r="G151" s="207" t="s">
        <v>219</v>
      </c>
    </row>
    <row r="152" ht="45" customHeight="1">
      <c r="A152" s="226"/>
      <c r="B152" s="238">
        <v>1532</v>
      </c>
      <c r="C152" s="242" t="s">
        <v>232</v>
      </c>
      <c r="D152" s="299">
        <v>8</v>
      </c>
      <c r="E152" s="299">
        <v>6</v>
      </c>
      <c r="F152" s="299">
        <v>2</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6</v>
      </c>
      <c r="F155" s="299">
        <v>4</v>
      </c>
      <c r="G155" s="207" t="s">
        <v>219</v>
      </c>
    </row>
    <row r="156" ht="45" customHeight="1">
      <c r="A156" s="226"/>
      <c r="B156" s="238">
        <v>1542</v>
      </c>
      <c r="C156" s="264" t="s">
        <v>236</v>
      </c>
      <c r="D156" s="299">
        <v>10</v>
      </c>
      <c r="E156" s="299">
        <v>6</v>
      </c>
      <c r="F156" s="299">
        <v>4</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10</v>
      </c>
      <c r="E158" s="299">
        <v>6</v>
      </c>
      <c r="F158" s="299">
        <v>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10</v>
      </c>
      <c r="E161" s="299">
        <v>6</v>
      </c>
      <c r="F161" s="299">
        <v>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6</v>
      </c>
      <c r="F163" s="299">
        <v>4</v>
      </c>
      <c r="G163" s="207" t="s">
        <v>219</v>
      </c>
    </row>
    <row r="164" ht="45" customHeight="1">
      <c r="A164" s="226"/>
      <c r="B164" s="238">
        <v>1556</v>
      </c>
      <c r="C164" s="242" t="s">
        <v>241</v>
      </c>
      <c r="D164" s="299">
        <v>10</v>
      </c>
      <c r="E164" s="299">
        <v>6</v>
      </c>
      <c r="F164" s="299">
        <v>5</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123</v>
      </c>
      <c r="E185" s="299">
        <v>123</v>
      </c>
      <c r="F185" s="299">
        <v>126</v>
      </c>
      <c r="G185" s="207" t="s">
        <v>244</v>
      </c>
    </row>
    <row r="186" ht="45" customHeight="1">
      <c r="A186" s="226"/>
      <c r="B186" s="238">
        <v>1641</v>
      </c>
      <c r="C186" s="242" t="s">
        <v>265</v>
      </c>
      <c r="D186" s="299">
        <v>258</v>
      </c>
      <c r="E186" s="299">
        <v>260</v>
      </c>
      <c r="F186" s="299">
        <v>265</v>
      </c>
      <c r="G186" s="207" t="s">
        <v>244</v>
      </c>
    </row>
    <row r="187" ht="45" customHeight="1">
      <c r="A187" s="226"/>
      <c r="B187" s="238">
        <v>1642</v>
      </c>
      <c r="C187" s="242" t="s">
        <v>264</v>
      </c>
      <c r="D187" s="299">
        <v>123</v>
      </c>
      <c r="E187" s="299">
        <v>123</v>
      </c>
      <c r="F187" s="299">
        <v>126</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230</v>
      </c>
      <c r="E189" s="299">
        <v>236</v>
      </c>
      <c r="F189" s="299">
        <v>241</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352</v>
      </c>
      <c r="E191" s="299">
        <v>354</v>
      </c>
      <c r="F191" s="299">
        <v>359</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0</v>
      </c>
      <c r="E201" s="299">
        <v>1</v>
      </c>
      <c r="F201" s="299">
        <v>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3125</v>
      </c>
      <c r="AZ1048" s="0" t="s">
        <v>3126</v>
      </c>
      <c r="BA1048" s="0" t="s">
        <v>285</v>
      </c>
      <c r="BB1048" s="0" t="str">
        <f t="shared" si="16"/>
        <v>IHVNbeKonshisha</v>
      </c>
    </row>
    <row r="1049">
      <c r="AV1049" s="0" t="s">
        <v>473</v>
      </c>
      <c r="AW1049" s="0" t="s">
        <v>286</v>
      </c>
      <c r="AX1049" s="0" t="s">
        <v>715</v>
      </c>
      <c r="AY1049" s="0" t="s">
        <v>3127</v>
      </c>
      <c r="AZ1049" s="0" t="s">
        <v>3128</v>
      </c>
      <c r="BA1049" s="0" t="s">
        <v>285</v>
      </c>
      <c r="BB1049" s="0" t="str">
        <f t="shared" si="16"/>
        <v>IHVNbeKonshisha</v>
      </c>
    </row>
    <row r="1050">
      <c r="AV1050" s="0" t="s">
        <v>473</v>
      </c>
      <c r="AW1050" s="0" t="s">
        <v>286</v>
      </c>
      <c r="AX1050" s="0" t="s">
        <v>715</v>
      </c>
      <c r="AY1050" s="0" t="s">
        <v>3129</v>
      </c>
      <c r="AZ1050" s="0" t="s">
        <v>3130</v>
      </c>
      <c r="BA1050" s="0" t="s">
        <v>285</v>
      </c>
      <c r="BB1050" s="0" t="str">
        <f t="shared" si="16"/>
        <v>IHVNbeKonshisha</v>
      </c>
    </row>
    <row r="1051">
      <c r="AV1051" s="0" t="s">
        <v>473</v>
      </c>
      <c r="AW1051" s="0" t="s">
        <v>286</v>
      </c>
      <c r="AX1051" s="0" t="s">
        <v>715</v>
      </c>
      <c r="AY1051" s="0" t="s">
        <v>3131</v>
      </c>
      <c r="AZ1051" s="0" t="s">
        <v>3132</v>
      </c>
      <c r="BA1051" s="0" t="s">
        <v>285</v>
      </c>
      <c r="BB1051" s="0" t="str">
        <f t="shared" si="16"/>
        <v>IHVNbeKonshisha</v>
      </c>
    </row>
    <row r="1052">
      <c r="AV1052" s="0" t="s">
        <v>473</v>
      </c>
      <c r="AW1052" s="0" t="s">
        <v>286</v>
      </c>
      <c r="AX1052" s="0" t="s">
        <v>715</v>
      </c>
      <c r="AY1052" s="0" t="s">
        <v>3133</v>
      </c>
      <c r="AZ1052" s="0" t="s">
        <v>3134</v>
      </c>
      <c r="BA1052" s="0" t="s">
        <v>285</v>
      </c>
      <c r="BB1052" s="0" t="str">
        <f t="shared" si="16"/>
        <v>IHVNbeKonshisha</v>
      </c>
    </row>
    <row r="1053">
      <c r="AV1053" s="0" t="s">
        <v>473</v>
      </c>
      <c r="AW1053" s="0" t="s">
        <v>286</v>
      </c>
      <c r="AX1053" s="0" t="s">
        <v>715</v>
      </c>
      <c r="AY1053" s="0" t="s">
        <v>3135</v>
      </c>
      <c r="AZ1053" s="0" t="s">
        <v>3136</v>
      </c>
      <c r="BA1053" s="0" t="s">
        <v>285</v>
      </c>
      <c r="BB1053" s="0" t="str">
        <f t="shared" si="16"/>
        <v>IHVNbeKonshisha</v>
      </c>
    </row>
    <row r="1054">
      <c r="AV1054" s="0" t="s">
        <v>473</v>
      </c>
      <c r="AW1054" s="0" t="s">
        <v>286</v>
      </c>
      <c r="AX1054" s="0" t="s">
        <v>715</v>
      </c>
      <c r="AY1054" s="0" t="s">
        <v>3137</v>
      </c>
      <c r="AZ1054" s="0" t="s">
        <v>3138</v>
      </c>
      <c r="BA1054" s="0" t="s">
        <v>285</v>
      </c>
      <c r="BB1054" s="0" t="str">
        <f t="shared" si="16"/>
        <v>IHVNbeKonshisha</v>
      </c>
    </row>
    <row r="1055">
      <c r="AV1055" s="0" t="s">
        <v>473</v>
      </c>
      <c r="AW1055" s="0" t="s">
        <v>286</v>
      </c>
      <c r="AX1055" s="0" t="s">
        <v>715</v>
      </c>
      <c r="AY1055" s="0" t="s">
        <v>3139</v>
      </c>
      <c r="AZ1055" s="0" t="s">
        <v>3140</v>
      </c>
      <c r="BA1055" s="0" t="s">
        <v>285</v>
      </c>
      <c r="BB1055" s="0" t="str">
        <f t="shared" si="16"/>
        <v>IHVNbeKonshisha</v>
      </c>
    </row>
    <row r="1056">
      <c r="AV1056" s="0" t="s">
        <v>473</v>
      </c>
      <c r="AW1056" s="0" t="s">
        <v>286</v>
      </c>
      <c r="AX1056" s="0" t="s">
        <v>715</v>
      </c>
      <c r="AY1056" s="0" t="s">
        <v>3141</v>
      </c>
      <c r="AZ1056" s="0" t="s">
        <v>3142</v>
      </c>
      <c r="BA1056" s="0" t="s">
        <v>285</v>
      </c>
      <c r="BB1056" s="0" t="str">
        <f t="shared" si="16"/>
        <v>IHVNbeKonshisha</v>
      </c>
    </row>
    <row r="1057">
      <c r="AV1057" s="0" t="s">
        <v>473</v>
      </c>
      <c r="AW1057" s="0" t="s">
        <v>286</v>
      </c>
      <c r="AX1057" s="0" t="s">
        <v>715</v>
      </c>
      <c r="AY1057" s="0" t="s">
        <v>3143</v>
      </c>
      <c r="AZ1057" s="0" t="s">
        <v>3144</v>
      </c>
      <c r="BA1057" s="0" t="s">
        <v>285</v>
      </c>
      <c r="BB1057" s="0" t="str">
        <f t="shared" si="16"/>
        <v>IHVNbeKonshisha</v>
      </c>
    </row>
    <row r="1058">
      <c r="AV1058" s="0" t="s">
        <v>473</v>
      </c>
      <c r="AW1058" s="0" t="s">
        <v>286</v>
      </c>
      <c r="AX1058" s="0" t="s">
        <v>715</v>
      </c>
      <c r="AY1058" s="0" t="s">
        <v>3145</v>
      </c>
      <c r="AZ1058" s="0" t="s">
        <v>3146</v>
      </c>
      <c r="BA1058" s="0" t="s">
        <v>285</v>
      </c>
      <c r="BB1058" s="0" t="str">
        <f t="shared" si="16"/>
        <v>IHVNbeKonshisha</v>
      </c>
    </row>
    <row r="1059">
      <c r="AV1059" s="0" t="s">
        <v>473</v>
      </c>
      <c r="AW1059" s="0" t="s">
        <v>286</v>
      </c>
      <c r="AX1059" s="0" t="s">
        <v>715</v>
      </c>
      <c r="AY1059" s="0" t="s">
        <v>3147</v>
      </c>
      <c r="AZ1059" s="0" t="s">
        <v>3148</v>
      </c>
      <c r="BA1059" s="0" t="s">
        <v>285</v>
      </c>
      <c r="BB1059" s="0" t="str">
        <f t="shared" si="16"/>
        <v>IHVNbeKonshisha</v>
      </c>
    </row>
    <row r="1060">
      <c r="AV1060" s="0" t="s">
        <v>473</v>
      </c>
      <c r="AW1060" s="0" t="s">
        <v>286</v>
      </c>
      <c r="AX1060" s="0" t="s">
        <v>715</v>
      </c>
      <c r="AY1060" s="0" t="s">
        <v>3149</v>
      </c>
      <c r="AZ1060" s="0" t="s">
        <v>3150</v>
      </c>
      <c r="BA1060" s="0" t="s">
        <v>285</v>
      </c>
      <c r="BB1060" s="0" t="str">
        <f t="shared" si="16"/>
        <v>IHVNbeKonshisha</v>
      </c>
    </row>
    <row r="1061">
      <c r="AV1061" s="0" t="s">
        <v>473</v>
      </c>
      <c r="AW1061" s="0" t="s">
        <v>286</v>
      </c>
      <c r="AX1061" s="0" t="s">
        <v>715</v>
      </c>
      <c r="AY1061" s="0" t="s">
        <v>3151</v>
      </c>
      <c r="AZ1061" s="0" t="s">
        <v>3152</v>
      </c>
      <c r="BA1061" s="0" t="s">
        <v>285</v>
      </c>
      <c r="BB1061" s="0" t="str">
        <f t="shared" si="16"/>
        <v>IHVNbeKonshisha</v>
      </c>
    </row>
    <row r="1062">
      <c r="AV1062" s="0" t="s">
        <v>473</v>
      </c>
      <c r="AW1062" s="0" t="s">
        <v>286</v>
      </c>
      <c r="AX1062" s="0" t="s">
        <v>715</v>
      </c>
      <c r="AY1062" s="0" t="s">
        <v>3153</v>
      </c>
      <c r="AZ1062" s="0" t="s">
        <v>3154</v>
      </c>
      <c r="BA1062" s="0" t="s">
        <v>285</v>
      </c>
      <c r="BB1062" s="0" t="str">
        <f t="shared" si="16"/>
        <v>IHVNbeKonshisha</v>
      </c>
    </row>
    <row r="1063">
      <c r="AV1063" s="0" t="s">
        <v>473</v>
      </c>
      <c r="AW1063" s="0" t="s">
        <v>286</v>
      </c>
      <c r="AX1063" s="0" t="s">
        <v>715</v>
      </c>
      <c r="AY1063" s="0" t="s">
        <v>3155</v>
      </c>
      <c r="AZ1063" s="0" t="s">
        <v>3156</v>
      </c>
      <c r="BA1063" s="0" t="s">
        <v>285</v>
      </c>
      <c r="BB1063" s="0" t="str">
        <f t="shared" si="16"/>
        <v>IHVNbeKonshisha</v>
      </c>
    </row>
    <row r="1064">
      <c r="AV1064" s="0" t="s">
        <v>473</v>
      </c>
      <c r="AW1064" s="0" t="s">
        <v>286</v>
      </c>
      <c r="AX1064" s="0" t="s">
        <v>715</v>
      </c>
      <c r="AY1064" s="0" t="s">
        <v>3157</v>
      </c>
      <c r="AZ1064" s="0" t="s">
        <v>3158</v>
      </c>
      <c r="BA1064" s="0" t="s">
        <v>285</v>
      </c>
      <c r="BB1064" s="0" t="str">
        <f t="shared" si="16"/>
        <v>IHVNbeKonshisha</v>
      </c>
    </row>
    <row r="1065">
      <c r="AV1065" s="0" t="s">
        <v>473</v>
      </c>
      <c r="AW1065" s="0" t="s">
        <v>286</v>
      </c>
      <c r="AX1065" s="0" t="s">
        <v>715</v>
      </c>
      <c r="AY1065" s="0" t="s">
        <v>3159</v>
      </c>
      <c r="AZ1065" s="0" t="s">
        <v>3160</v>
      </c>
      <c r="BA1065" s="0" t="s">
        <v>285</v>
      </c>
      <c r="BB1065" s="0" t="str">
        <f t="shared" si="16"/>
        <v>IHVNbeKonshisha</v>
      </c>
    </row>
    <row r="1066">
      <c r="AV1066" s="0" t="s">
        <v>473</v>
      </c>
      <c r="AW1066" s="0" t="s">
        <v>286</v>
      </c>
      <c r="AX1066" s="0" t="s">
        <v>715</v>
      </c>
      <c r="AY1066" s="0" t="s">
        <v>3161</v>
      </c>
      <c r="AZ1066" s="0" t="s">
        <v>3162</v>
      </c>
      <c r="BA1066" s="0" t="s">
        <v>285</v>
      </c>
      <c r="BB1066" s="0" t="str">
        <f t="shared" si="16"/>
        <v>IHVNbeKonshisha</v>
      </c>
    </row>
    <row r="1067">
      <c r="AV1067" s="0" t="s">
        <v>473</v>
      </c>
      <c r="AW1067" s="0" t="s">
        <v>286</v>
      </c>
      <c r="AX1067" s="0" t="s">
        <v>715</v>
      </c>
      <c r="AY1067" s="0" t="s">
        <v>3163</v>
      </c>
      <c r="AZ1067" s="0" t="s">
        <v>3164</v>
      </c>
      <c r="BA1067" s="0" t="s">
        <v>285</v>
      </c>
      <c r="BB1067" s="0" t="str">
        <f t="shared" si="16"/>
        <v>IHVNbeKonshisha</v>
      </c>
    </row>
    <row r="1068">
      <c r="AV1068" s="0" t="s">
        <v>473</v>
      </c>
      <c r="AW1068" s="0" t="s">
        <v>286</v>
      </c>
      <c r="AX1068" s="0" t="s">
        <v>715</v>
      </c>
      <c r="AY1068" s="0" t="s">
        <v>3165</v>
      </c>
      <c r="AZ1068" s="0" t="s">
        <v>3166</v>
      </c>
      <c r="BA1068" s="0" t="s">
        <v>285</v>
      </c>
      <c r="BB1068" s="0" t="str">
        <f t="shared" si="16"/>
        <v>IHVNbeKonshisha</v>
      </c>
    </row>
    <row r="1069">
      <c r="AV1069" s="0" t="s">
        <v>473</v>
      </c>
      <c r="AW1069" s="0" t="s">
        <v>286</v>
      </c>
      <c r="AX1069" s="0" t="s">
        <v>715</v>
      </c>
      <c r="AY1069" s="0" t="s">
        <v>3167</v>
      </c>
      <c r="AZ1069" s="0" t="s">
        <v>3168</v>
      </c>
      <c r="BA1069" s="0" t="s">
        <v>285</v>
      </c>
      <c r="BB1069" s="0" t="str">
        <f t="shared" si="16"/>
        <v>IHVNbeKonshisha</v>
      </c>
    </row>
    <row r="1070">
      <c r="AV1070" s="0" t="s">
        <v>473</v>
      </c>
      <c r="AW1070" s="0" t="s">
        <v>286</v>
      </c>
      <c r="AX1070" s="0" t="s">
        <v>715</v>
      </c>
      <c r="AY1070" s="0" t="s">
        <v>3169</v>
      </c>
      <c r="AZ1070" s="0" t="s">
        <v>3170</v>
      </c>
      <c r="BA1070" s="0" t="s">
        <v>285</v>
      </c>
      <c r="BB1070" s="0" t="str">
        <f t="shared" si="16"/>
        <v>IHVNbeKonshisha</v>
      </c>
    </row>
    <row r="1071">
      <c r="AV1071" s="0" t="s">
        <v>473</v>
      </c>
      <c r="AW1071" s="0" t="s">
        <v>286</v>
      </c>
      <c r="AX1071" s="0" t="s">
        <v>810</v>
      </c>
      <c r="AY1071" s="0" t="s">
        <v>3171</v>
      </c>
      <c r="AZ1071" s="0" t="s">
        <v>3172</v>
      </c>
      <c r="BA1071" s="0" t="s">
        <v>285</v>
      </c>
      <c r="BB1071" s="0" t="str">
        <f t="shared" si="16"/>
        <v>IHVNbeMakurdi</v>
      </c>
    </row>
    <row r="1072">
      <c r="AV1072" s="0" t="s">
        <v>473</v>
      </c>
      <c r="AW1072" s="0" t="s">
        <v>286</v>
      </c>
      <c r="AX1072" s="0" t="s">
        <v>810</v>
      </c>
      <c r="AY1072" s="0" t="s">
        <v>3173</v>
      </c>
      <c r="AZ1072" s="0" t="s">
        <v>3174</v>
      </c>
      <c r="BA1072" s="0" t="s">
        <v>285</v>
      </c>
      <c r="BB1072" s="0" t="str">
        <f t="shared" si="16"/>
        <v>IHVNbeMakurdi</v>
      </c>
    </row>
    <row r="1073">
      <c r="AV1073" s="0" t="s">
        <v>473</v>
      </c>
      <c r="AW1073" s="0" t="s">
        <v>286</v>
      </c>
      <c r="AX1073" s="0" t="s">
        <v>810</v>
      </c>
      <c r="AY1073" s="0" t="s">
        <v>3175</v>
      </c>
      <c r="AZ1073" s="0" t="s">
        <v>3176</v>
      </c>
      <c r="BA1073" s="0" t="s">
        <v>285</v>
      </c>
      <c r="BB1073" s="0" t="str">
        <f t="shared" si="16"/>
        <v>IHVNbeMakurdi</v>
      </c>
    </row>
    <row r="1074">
      <c r="AV1074" s="0" t="s">
        <v>473</v>
      </c>
      <c r="AW1074" s="0" t="s">
        <v>286</v>
      </c>
      <c r="AX1074" s="0" t="s">
        <v>810</v>
      </c>
      <c r="AY1074" s="0" t="s">
        <v>3177</v>
      </c>
      <c r="AZ1074" s="0" t="s">
        <v>3178</v>
      </c>
      <c r="BA1074" s="0" t="s">
        <v>285</v>
      </c>
      <c r="BB1074" s="0" t="str">
        <f t="shared" si="16"/>
        <v>IHVNbeMakurdi</v>
      </c>
    </row>
    <row r="1075">
      <c r="AV1075" s="0" t="s">
        <v>473</v>
      </c>
      <c r="AW1075" s="0" t="s">
        <v>286</v>
      </c>
      <c r="AX1075" s="0" t="s">
        <v>810</v>
      </c>
      <c r="AY1075" s="0" t="s">
        <v>3179</v>
      </c>
      <c r="AZ1075" s="0" t="s">
        <v>3180</v>
      </c>
      <c r="BA1075" s="0" t="s">
        <v>285</v>
      </c>
      <c r="BB1075" s="0" t="str">
        <f t="shared" si="16"/>
        <v>IHVNbeMakurdi</v>
      </c>
    </row>
    <row r="1076">
      <c r="AV1076" s="0" t="s">
        <v>473</v>
      </c>
      <c r="AW1076" s="0" t="s">
        <v>286</v>
      </c>
      <c r="AX1076" s="0" t="s">
        <v>810</v>
      </c>
      <c r="AY1076" s="0" t="s">
        <v>3181</v>
      </c>
      <c r="AZ1076" s="0" t="s">
        <v>3182</v>
      </c>
      <c r="BA1076" s="0" t="s">
        <v>285</v>
      </c>
      <c r="BB1076" s="0" t="str">
        <f t="shared" si="16"/>
        <v>IHVNbeMakurdi</v>
      </c>
    </row>
    <row r="1077">
      <c r="AV1077" s="0" t="s">
        <v>473</v>
      </c>
      <c r="AW1077" s="0" t="s">
        <v>286</v>
      </c>
      <c r="AX1077" s="0" t="s">
        <v>810</v>
      </c>
      <c r="AY1077" s="0" t="s">
        <v>3183</v>
      </c>
      <c r="AZ1077" s="0" t="s">
        <v>3184</v>
      </c>
      <c r="BA1077" s="0" t="s">
        <v>285</v>
      </c>
      <c r="BB1077" s="0" t="str">
        <f t="shared" si="16"/>
        <v>IHVNbeMakurdi</v>
      </c>
    </row>
    <row r="1078">
      <c r="AV1078" s="0" t="s">
        <v>473</v>
      </c>
      <c r="AW1078" s="0" t="s">
        <v>286</v>
      </c>
      <c r="AX1078" s="0" t="s">
        <v>810</v>
      </c>
      <c r="AY1078" s="0" t="s">
        <v>3185</v>
      </c>
      <c r="AZ1078" s="0" t="s">
        <v>3186</v>
      </c>
      <c r="BA1078" s="0" t="s">
        <v>285</v>
      </c>
      <c r="BB1078" s="0" t="str">
        <f t="shared" si="16"/>
        <v>IHVNbeMakurdi</v>
      </c>
    </row>
    <row r="1079">
      <c r="AV1079" s="0" t="s">
        <v>473</v>
      </c>
      <c r="AW1079" s="0" t="s">
        <v>286</v>
      </c>
      <c r="AX1079" s="0" t="s">
        <v>810</v>
      </c>
      <c r="AY1079" s="0" t="s">
        <v>3187</v>
      </c>
      <c r="AZ1079" s="0" t="s">
        <v>3188</v>
      </c>
      <c r="BA1079" s="0" t="s">
        <v>285</v>
      </c>
      <c r="BB1079" s="0" t="str">
        <f t="shared" si="16"/>
        <v>IHVNbeMakurdi</v>
      </c>
    </row>
    <row r="1080">
      <c r="AV1080" s="0" t="s">
        <v>473</v>
      </c>
      <c r="AW1080" s="0" t="s">
        <v>286</v>
      </c>
      <c r="AX1080" s="0" t="s">
        <v>810</v>
      </c>
      <c r="AY1080" s="0" t="s">
        <v>3189</v>
      </c>
      <c r="AZ1080" s="0" t="s">
        <v>3190</v>
      </c>
      <c r="BA1080" s="0" t="s">
        <v>285</v>
      </c>
      <c r="BB1080" s="0" t="str">
        <f t="shared" si="16"/>
        <v>IHVNbeMakurdi</v>
      </c>
    </row>
    <row r="1081">
      <c r="AV1081" s="0" t="s">
        <v>473</v>
      </c>
      <c r="AW1081" s="0" t="s">
        <v>286</v>
      </c>
      <c r="AX1081" s="0" t="s">
        <v>810</v>
      </c>
      <c r="AY1081" s="0" t="s">
        <v>3191</v>
      </c>
      <c r="AZ1081" s="0" t="s">
        <v>3192</v>
      </c>
      <c r="BA1081" s="0" t="s">
        <v>285</v>
      </c>
      <c r="BB1081" s="0" t="str">
        <f t="shared" si="16"/>
        <v>IHVNbeMakurdi</v>
      </c>
    </row>
    <row r="1082">
      <c r="AV1082" s="0" t="s">
        <v>473</v>
      </c>
      <c r="AW1082" s="0" t="s">
        <v>286</v>
      </c>
      <c r="AX1082" s="0" t="s">
        <v>810</v>
      </c>
      <c r="AY1082" s="0" t="s">
        <v>3193</v>
      </c>
      <c r="AZ1082" s="0" t="s">
        <v>3194</v>
      </c>
      <c r="BA1082" s="0" t="s">
        <v>285</v>
      </c>
      <c r="BB1082" s="0" t="str">
        <f t="shared" si="16"/>
        <v>IHVNbeMakurdi</v>
      </c>
    </row>
    <row r="1083">
      <c r="AV1083" s="0" t="s">
        <v>473</v>
      </c>
      <c r="AW1083" s="0" t="s">
        <v>286</v>
      </c>
      <c r="AX1083" s="0" t="s">
        <v>810</v>
      </c>
      <c r="AY1083" s="0" t="s">
        <v>3195</v>
      </c>
      <c r="AZ1083" s="0" t="s">
        <v>3196</v>
      </c>
      <c r="BA1083" s="0" t="s">
        <v>285</v>
      </c>
      <c r="BB1083" s="0" t="str">
        <f t="shared" si="16"/>
        <v>IHVNbeMakurdi</v>
      </c>
    </row>
    <row r="1084">
      <c r="AV1084" s="0" t="s">
        <v>473</v>
      </c>
      <c r="AW1084" s="0" t="s">
        <v>286</v>
      </c>
      <c r="AX1084" s="0" t="s">
        <v>810</v>
      </c>
      <c r="AY1084" s="0" t="s">
        <v>289</v>
      </c>
      <c r="AZ1084" s="0" t="s">
        <v>293</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