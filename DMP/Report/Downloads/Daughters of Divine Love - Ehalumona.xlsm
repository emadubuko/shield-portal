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<sst xmlns="http://schemas.openxmlformats.org/spreadsheetml/2006/main" count="4033" uniqueCount="4033">
  <si>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</si>
  <si>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</si>
  <si>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</si>
  <si>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</si>
  <si>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</si>
  <si>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</si>
  <si>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</si>
  <si>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</si>
  <si>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</si>
  <si>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</si>
  <si>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</si>
  <si>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</si>
  <si>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</si>
  <si>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</si>
  <si>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</si>
  <si>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</si>
  <si>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</si>
  <si>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</si>
  <si>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</si>
  <si>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</si>
  <si>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</si>
  <si>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</si>
  <si>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</si>
  <si>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</si>
  <si>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</si>
  <si>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</si>
  <si>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</si>
  <si>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</si>
  <si>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</si>
  <si>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</si>
  <si>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</si>
  <si>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</si>
  <si>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</si>
  <si>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</si>
  <si>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</si>
  <si>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</si>
  <si>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</si>
  <si>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</si>
  <si>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</si>
  <si>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</si>
  <si>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</si>
  <si>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</si>
  <si>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</si>
  <si>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</si>
  <si>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</si>
  <si>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</si>
  <si>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</si>
  <si>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</si>
  <si>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</si>
  <si>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</si>
  <si>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</si>
  <si>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</si>
  <si>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</si>
  <si>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</si>
  <si>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</si>
  <si>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</si>
  <si>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</si>
  <si>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</si>
  <si>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</si>
  <si>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</si>
  <si>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</si>
  <si>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</si>
  <si>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</si>
  <si>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</si>
  <si>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</si>
  <si>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</si>
  <si>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</si>
  <si>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</si>
  <si>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</si>
  <si>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</si>
  <si>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</si>
  <si>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</si>
  <si>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</si>
  <si>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</si>
  <si>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</si>
  <si>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</si>
  <si>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</si>
  <si>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</si>
  <si>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</si>
  <si>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</si>
  <si>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</si>
  <si>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</si>
  <si>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</si>
  <si>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</si>
  <si>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</si>
  <si>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</si>
  <si>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</si>
  <si>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</si>
  <si>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</si>
  <si>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</si>
  <si>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</si>
  <si>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</si>
  <si>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</si>
  <si>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</si>
  <si>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</si>
  <si>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</si>
  <si>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</si>
  <si>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</si>
  <si>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</si>
  <si>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</si>
  <si>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</si>
  <si>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</si>
  <si>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</si>
  <si>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</si>
  <si>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</si>
  <si>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</si>
  <si>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</si>
  <si>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</si>
  <si>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</si>
  <si>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</si>
  <si>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</si>
  <si>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</si>
  <si>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</si>
  <si>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</si>
  <si>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</si>
  <si>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</si>
  <si>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</si>
  <si>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</si>
  <si>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</si>
  <si>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</si>
  <si>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</si>
  <si>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</si>
  <si>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</si>
  <si>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</si>
  <si>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</si>
  <si>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</si>
  <si>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</si>
  <si>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</si>
  <si>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</si>
  <si>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</si>
  <si>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</si>
  <si>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</si>
  <si>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</si>
  <si>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</si>
  <si>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</si>
  <si>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</si>
  <si>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</si>
  <si>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</si>
  <si>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</si>
  <si>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</si>
  <si>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</si>
  <si>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</si>
  <si>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</si>
  <si>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</si>
  <si>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</si>
  <si>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</si>
  <si>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</si>
  <si>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</si>
  <si>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</si>
  <si>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</si>
  <si>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</si>
  <si>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</si>
  <si>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</si>
  <si>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</si>
  <si>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</si>
  <si>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</si>
  <si>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</si>
  <si>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</si>
  <si>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</si>
  <si>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</si>
  <si>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</si>
  <si>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</si>
  <si>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</si>
  <si>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</si>
  <si>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</si>
  <si>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</si>
  <si>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</si>
  <si>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</si>
  <si>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</si>
  <si>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</si>
  <si>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</si>
  <si>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</si>
  <si>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</si>
  <si>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</si>
  <si>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</si>
  <si>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</si>
  <si>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</si>
  <si>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</si>
  <si>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</si>
  <si>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</si>
  <si>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</si>
  <si>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</si>
  <si>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</si>
  <si>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</si>
  <si>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</si>
  <si>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</si>
  <si>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</si>
  <si>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</si>
  <si>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</si>
  <si>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</si>
  <si>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</si>
  <si>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</si>
  <si>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</si>
  <si>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</si>
  <si>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</si>
  <si>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</si>
  <si>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</si>
  <si>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</si>
  <si>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</si>
  <si>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</si>
  <si>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</si>
  <si>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</si>
  <si>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</si>
  <si>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</si>
  <si>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</si>
  <si>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</si>
  <si>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</si>
  <si>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</si>
  <si>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</si>
  <si>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</si>
  <si>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</si>
  <si>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</si>
  <si>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</si>
  <si>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</si>
  <si>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</si>
  <si>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</si>
  <si>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</si>
  <si>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</si>
  <si>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</si>
  <si>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</si>
  <si>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</si>
  <si>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</si>
  <si>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</si>
  <si>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</si>
  <si>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</si>
  <si>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</si>
  <si>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</si>
  <si>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</si>
  <si>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</si>
  <si>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</si>
  <si>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</si>
  <si>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</si>
  <si>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</si>
  <si>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</si>
  <si>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</si>
  <si>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</si>
  <si>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</si>
  <si>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</si>
  <si>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</si>
  <si>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</si>
  <si>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</si>
  <si>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</si>
  <si>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</si>
  <si>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</si>
  <si>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</si>
  <si>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</si>
  <si>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</si>
  <si>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</si>
  <si>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</si>
  <si>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</si>
  <si>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</si>
  <si>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</si>
  <si>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</si>
  <si>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</si>
  <si>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</si>
  <si>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</si>
  <si>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</si>
  <si>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</si>
  <si>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</si>
  <si>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</si>
  <si>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</si>
  <si>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</si>
  <si>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</si>
  <si>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</si>
  <si>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</si>
  <si>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</si>
  <si>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</si>
  <si>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</si>
  <si>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</si>
  <si>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</si>
  <si>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</si>
  <si>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</si>
  <si>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</si>
  <si>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</si>
  <si>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</si>
  <si>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</si>
  <si>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</si>
  <si>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</si>
  <si>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</si>
  <si>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</si>
  <si>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</si>
  <si>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</si>
  <si>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</si>
  <si>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</si>
  <si>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</si>
  <si>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</si>
  <si>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</si>
  <si>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Udenu</t>
  </si>
  <si>
    <t>Facility Name:</t>
  </si>
  <si>
    <t>Daughters of Divine Love - Ehalumona</t>
  </si>
  <si>
    <t>Reporting Period:</t>
  </si>
  <si>
    <t>Q1(Oct - Dec)</t>
  </si>
  <si>
    <t>Facility Code:</t>
  </si>
  <si>
    <t>hIF3m3kzL4C</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</si>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</sst>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1128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303</v>
      </c>
      <c r="E10" s="299">
        <v>0</v>
      </c>
      <c r="F10" s="299">
        <v>0</v>
      </c>
      <c r="G10" s="207" t="s">
        <v>67</v>
      </c>
    </row>
    <row r="11" ht="45" customHeight="1">
      <c r="A11" s="226"/>
      <c r="B11" s="238">
        <v>1114</v>
      </c>
      <c r="C11" s="243" t="s">
        <v>84</v>
      </c>
      <c r="D11" s="299">
        <v>303</v>
      </c>
      <c r="E11" s="299">
        <v>340</v>
      </c>
      <c r="F11" s="299">
        <v>607</v>
      </c>
      <c r="G11" s="207" t="s">
        <v>67</v>
      </c>
    </row>
    <row r="12" ht="45" customHeight="1">
      <c r="A12" s="226"/>
      <c r="B12" s="238">
        <v>1115</v>
      </c>
      <c r="C12" s="242" t="s">
        <v>85</v>
      </c>
      <c r="D12" s="299">
        <v>303</v>
      </c>
      <c r="E12" s="299">
        <v>340</v>
      </c>
      <c r="F12" s="299">
        <v>607</v>
      </c>
      <c r="G12" s="207" t="s">
        <v>67</v>
      </c>
    </row>
    <row r="13" ht="45" customHeight="1">
      <c r="A13" s="226" t="s">
        <v>86</v>
      </c>
      <c r="B13" s="238">
        <v>1116</v>
      </c>
      <c r="C13" s="242" t="s">
        <v>87</v>
      </c>
      <c r="D13" s="299">
        <v>303</v>
      </c>
      <c r="E13" s="299">
        <v>340</v>
      </c>
      <c r="F13" s="299">
        <v>607</v>
      </c>
      <c r="G13" s="207" t="s">
        <v>67</v>
      </c>
    </row>
    <row r="14" ht="45" customHeight="1">
      <c r="A14" s="226"/>
      <c r="B14" s="238">
        <v>1117</v>
      </c>
      <c r="C14" s="242" t="s">
        <v>88</v>
      </c>
      <c r="D14" s="299">
        <v>303</v>
      </c>
      <c r="E14" s="299">
        <v>340</v>
      </c>
      <c r="F14" s="299">
        <v>607</v>
      </c>
      <c r="G14" s="207" t="s">
        <v>67</v>
      </c>
    </row>
    <row r="15" ht="45" customHeight="1">
      <c r="A15" s="226">
        <v>1116</v>
      </c>
      <c r="B15" s="238">
        <v>1121</v>
      </c>
      <c r="C15" s="243" t="str">
        <f>C13</f>
        <v>How many HTC clients have a completed Client intake form </v>
      </c>
      <c r="D15" s="300">
        <v>303</v>
      </c>
      <c r="E15" s="300">
        <v>340</v>
      </c>
      <c r="F15" s="300">
        <v>607</v>
      </c>
      <c r="G15" s="207"/>
    </row>
    <row r="16" ht="45" customHeight="1">
      <c r="A16" s="226"/>
      <c r="B16" s="238">
        <v>1122</v>
      </c>
      <c r="C16" s="243" t="s">
        <v>89</v>
      </c>
      <c r="D16" s="299">
        <v>303</v>
      </c>
      <c r="E16" s="299">
        <v>340</v>
      </c>
      <c r="F16" s="299">
        <v>607</v>
      </c>
      <c r="G16" s="207" t="s">
        <v>67</v>
      </c>
    </row>
    <row r="17" ht="45" customHeight="1">
      <c r="A17" s="226"/>
      <c r="B17" s="238">
        <v>1123</v>
      </c>
      <c r="C17" s="242" t="s">
        <v>90</v>
      </c>
      <c r="D17" s="299">
        <v>303</v>
      </c>
      <c r="E17" s="299">
        <v>340</v>
      </c>
      <c r="F17" s="299">
        <v>607</v>
      </c>
      <c r="G17" s="207" t="s">
        <v>67</v>
      </c>
    </row>
    <row r="18" ht="45" customHeight="1">
      <c r="A18" s="226"/>
      <c r="B18" s="238">
        <v>1124</v>
      </c>
      <c r="C18" s="242" t="s">
        <v>91</v>
      </c>
      <c r="D18" s="299">
        <v>303</v>
      </c>
      <c r="E18" s="299">
        <v>340</v>
      </c>
      <c r="F18" s="299">
        <v>607</v>
      </c>
      <c r="G18" s="207" t="s">
        <v>67</v>
      </c>
    </row>
    <row r="19" ht="45" customHeight="1">
      <c r="A19" s="226"/>
      <c r="B19" s="238">
        <v>1125</v>
      </c>
      <c r="C19" s="242" t="s">
        <v>92</v>
      </c>
      <c r="D19" s="299">
        <v>303</v>
      </c>
      <c r="E19" s="299">
        <v>229</v>
      </c>
      <c r="F19" s="299">
        <v>183</v>
      </c>
      <c r="G19" s="207" t="s">
        <v>67</v>
      </c>
    </row>
    <row r="20" ht="45" customHeight="1">
      <c r="A20" s="226"/>
      <c r="B20" s="238">
        <v>1126</v>
      </c>
      <c r="C20" s="242" t="s">
        <v>93</v>
      </c>
      <c r="D20" s="299">
        <v>303</v>
      </c>
      <c r="E20" s="299">
        <v>229</v>
      </c>
      <c r="F20" s="299">
        <v>183</v>
      </c>
      <c r="G20" s="207" t="s">
        <v>67</v>
      </c>
    </row>
    <row r="21" ht="45" customHeight="1">
      <c r="A21" s="226"/>
      <c r="B21" s="238">
        <v>1127</v>
      </c>
      <c r="C21" s="242" t="s">
        <v>94</v>
      </c>
      <c r="D21" s="299">
        <v>303</v>
      </c>
      <c r="E21" s="299">
        <v>229</v>
      </c>
      <c r="F21" s="299">
        <v>183</v>
      </c>
      <c r="G21" s="207" t="s">
        <v>67</v>
      </c>
    </row>
    <row r="22" ht="45" customHeight="1">
      <c r="A22" s="226"/>
      <c r="B22" s="238"/>
      <c r="C22" s="245" t="s">
        <v>95</v>
      </c>
      <c r="D22" s="246"/>
      <c r="E22" s="246"/>
      <c r="F22" s="247"/>
      <c r="G22" s="207" t="s">
        <v>67</v>
      </c>
    </row>
    <row r="23" ht="45" customHeight="1">
      <c r="A23" s="226"/>
      <c r="B23" s="238">
        <v>1131</v>
      </c>
      <c r="C23" s="242" t="s">
        <v>96</v>
      </c>
      <c r="D23" s="299">
        <v>143</v>
      </c>
      <c r="E23" s="299">
        <v>158</v>
      </c>
      <c r="F23" s="299">
        <v>241</v>
      </c>
      <c r="G23" s="207" t="s">
        <v>67</v>
      </c>
    </row>
    <row r="24" ht="45" customHeight="1">
      <c r="A24" s="226"/>
      <c r="B24" s="238">
        <v>1132</v>
      </c>
      <c r="C24" s="242" t="s">
        <v>97</v>
      </c>
      <c r="D24" s="299">
        <v>160</v>
      </c>
      <c r="E24" s="299">
        <v>182</v>
      </c>
      <c r="F24" s="299">
        <v>0</v>
      </c>
      <c r="G24" s="207" t="s">
        <v>67</v>
      </c>
    </row>
    <row r="25" ht="45" customHeight="1">
      <c r="A25" s="226"/>
      <c r="B25" s="238">
        <v>1133</v>
      </c>
      <c r="C25" s="242" t="s">
        <v>98</v>
      </c>
      <c r="D25" s="299">
        <v>291</v>
      </c>
      <c r="E25" s="299">
        <v>327</v>
      </c>
      <c r="F25" s="299">
        <v>0</v>
      </c>
      <c r="G25" s="207" t="s">
        <v>67</v>
      </c>
    </row>
    <row r="26" ht="45" customHeight="1">
      <c r="A26" s="226"/>
      <c r="B26" s="238">
        <v>1134</v>
      </c>
      <c r="C26" s="242" t="s">
        <v>99</v>
      </c>
      <c r="D26" s="299">
        <v>12</v>
      </c>
      <c r="E26" s="299">
        <v>14</v>
      </c>
      <c r="F26" s="299">
        <v>79</v>
      </c>
      <c r="G26" s="207" t="s">
        <v>67</v>
      </c>
    </row>
    <row r="27" ht="45" customHeight="1">
      <c r="A27" s="226"/>
      <c r="B27" s="238">
        <v>1135</v>
      </c>
      <c r="C27" s="242" t="s">
        <v>100</v>
      </c>
      <c r="D27" s="299">
        <v>303</v>
      </c>
      <c r="E27" s="299">
        <v>340</v>
      </c>
      <c r="F27" s="299">
        <v>607</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13</v>
      </c>
      <c r="E29" s="299">
        <v>3</v>
      </c>
      <c r="F29" s="299">
        <v>6</v>
      </c>
      <c r="G29" s="207" t="s">
        <v>67</v>
      </c>
    </row>
    <row r="30" ht="45" customHeight="1">
      <c r="A30" s="226"/>
      <c r="B30" s="238">
        <v>1138</v>
      </c>
      <c r="C30" s="242" t="s">
        <v>103</v>
      </c>
      <c r="D30" s="299">
        <v>290</v>
      </c>
      <c r="E30" s="299">
        <v>226</v>
      </c>
      <c r="F30" s="299">
        <v>177</v>
      </c>
      <c r="G30" s="207" t="s">
        <v>67</v>
      </c>
    </row>
    <row r="31" ht="45" customHeight="1">
      <c r="A31" s="226">
        <v>1116</v>
      </c>
      <c r="B31" s="238">
        <v>1141</v>
      </c>
      <c r="C31" s="242" t="s">
        <v>104</v>
      </c>
      <c r="D31" s="300">
        <v>303</v>
      </c>
      <c r="E31" s="300">
        <v>340</v>
      </c>
      <c r="F31" s="300">
        <v>607</v>
      </c>
      <c r="G31" s="207"/>
    </row>
    <row r="32" ht="45" customHeight="1">
      <c r="A32" s="226"/>
      <c r="B32" s="238">
        <v>1142</v>
      </c>
      <c r="C32" s="243" t="s">
        <v>105</v>
      </c>
      <c r="D32" s="300">
        <v>303</v>
      </c>
      <c r="E32" s="300">
        <v>340</v>
      </c>
      <c r="F32" s="300">
        <v>607</v>
      </c>
      <c r="G32" s="207"/>
    </row>
    <row r="33" ht="45" customHeight="1">
      <c r="A33" s="226"/>
      <c r="B33" s="238">
        <v>1143</v>
      </c>
      <c r="C33" s="242" t="s">
        <v>106</v>
      </c>
      <c r="D33" s="299">
        <v>303</v>
      </c>
      <c r="E33" s="299">
        <v>340</v>
      </c>
      <c r="F33" s="299">
        <v>607</v>
      </c>
      <c r="G33" s="207" t="s">
        <v>67</v>
      </c>
    </row>
    <row r="34" ht="45" customHeight="1">
      <c r="A34" s="226"/>
      <c r="B34" s="238">
        <v>1144</v>
      </c>
      <c r="C34" s="242" t="s">
        <v>107</v>
      </c>
      <c r="D34" s="299">
        <v>303</v>
      </c>
      <c r="E34" s="299">
        <v>229</v>
      </c>
      <c r="F34" s="299">
        <v>183</v>
      </c>
      <c r="G34" s="207" t="s">
        <v>67</v>
      </c>
    </row>
    <row r="35" ht="45" customHeight="1">
      <c r="A35" s="226"/>
      <c r="B35" s="238">
        <v>1145</v>
      </c>
      <c r="C35" s="242" t="s">
        <v>108</v>
      </c>
      <c r="D35" s="299">
        <v>303</v>
      </c>
      <c r="E35" s="299">
        <v>340</v>
      </c>
      <c r="F35" s="299">
        <v>607</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291</v>
      </c>
      <c r="E37" s="299">
        <v>329</v>
      </c>
      <c r="F37" s="299">
        <v>529</v>
      </c>
      <c r="G37" s="207" t="s">
        <v>67</v>
      </c>
    </row>
    <row r="38" ht="45" customHeight="1">
      <c r="A38" s="226"/>
      <c r="B38" s="238">
        <v>1153</v>
      </c>
      <c r="C38" s="242" t="s">
        <v>111</v>
      </c>
      <c r="D38" s="299">
        <v>291</v>
      </c>
      <c r="E38" s="299">
        <v>329</v>
      </c>
      <c r="F38" s="299">
        <v>529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291</v>
      </c>
      <c r="E40" s="299">
        <v>329</v>
      </c>
      <c r="F40" s="299">
        <v>529</v>
      </c>
      <c r="G40" s="207" t="s">
        <v>67</v>
      </c>
    </row>
    <row r="41" ht="45" customHeight="1">
      <c r="A41" s="226"/>
      <c r="B41" s="238">
        <v>1156</v>
      </c>
      <c r="C41" s="242" t="s">
        <v>113</v>
      </c>
      <c r="D41" s="299">
        <v>291</v>
      </c>
      <c r="E41" s="299">
        <v>329</v>
      </c>
      <c r="F41" s="299">
        <v>529</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12</v>
      </c>
      <c r="E43" s="299">
        <v>3</v>
      </c>
      <c r="F43" s="299">
        <v>6</v>
      </c>
      <c r="G43" s="207" t="s">
        <v>67</v>
      </c>
    </row>
    <row r="44" ht="45" customHeight="1" s="250" customFormat="1">
      <c r="A44" s="226"/>
      <c r="B44" s="238">
        <v>1159</v>
      </c>
      <c r="C44" s="242" t="s">
        <v>116</v>
      </c>
      <c r="D44" s="299">
        <v>12</v>
      </c>
      <c r="E44" s="299">
        <v>3</v>
      </c>
      <c r="F44" s="299">
        <v>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162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1</v>
      </c>
      <c r="E53" s="299">
        <v>2</v>
      </c>
      <c r="F53" s="299">
        <v>1</v>
      </c>
      <c r="G53" s="207" t="s">
        <v>117</v>
      </c>
    </row>
    <row r="54" ht="45" customHeight="1">
      <c r="A54" s="226"/>
      <c r="B54" s="238">
        <v>1214</v>
      </c>
      <c r="C54" s="264" t="s">
        <v>132</v>
      </c>
      <c r="D54" s="299">
        <v>15</v>
      </c>
      <c r="E54" s="299">
        <v>22</v>
      </c>
      <c r="F54" s="299">
        <v>12</v>
      </c>
      <c r="G54" s="207" t="s">
        <v>117</v>
      </c>
    </row>
    <row r="55" ht="45" customHeight="1">
      <c r="A55" s="226"/>
      <c r="B55" s="238">
        <v>1215</v>
      </c>
      <c r="C55" s="242" t="s">
        <v>133</v>
      </c>
      <c r="D55" s="299">
        <v>1</v>
      </c>
      <c r="E55" s="299">
        <v>1</v>
      </c>
      <c r="F55" s="299">
        <v>1</v>
      </c>
      <c r="G55" s="207" t="s">
        <v>117</v>
      </c>
    </row>
    <row r="56" ht="45" customHeight="1">
      <c r="A56" s="226"/>
      <c r="B56" s="238">
        <v>1216</v>
      </c>
      <c r="C56" s="243" t="s">
        <v>134</v>
      </c>
      <c r="D56" s="299">
        <v>15</v>
      </c>
      <c r="E56" s="299">
        <v>22</v>
      </c>
      <c r="F56" s="299">
        <v>12</v>
      </c>
      <c r="G56" s="207" t="s">
        <v>117</v>
      </c>
    </row>
    <row r="57" ht="45" customHeight="1">
      <c r="A57" s="226"/>
      <c r="B57" s="238">
        <v>1217</v>
      </c>
      <c r="C57" s="243" t="s">
        <v>135</v>
      </c>
      <c r="D57" s="299">
        <v>1</v>
      </c>
      <c r="E57" s="299">
        <v>1</v>
      </c>
      <c r="F57" s="299">
        <v>1</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15</v>
      </c>
      <c r="E59" s="299">
        <v>22</v>
      </c>
      <c r="F59" s="299">
        <v>12</v>
      </c>
      <c r="G59" s="207" t="s">
        <v>117</v>
      </c>
    </row>
    <row r="60" ht="45" customHeight="1">
      <c r="A60" s="226"/>
      <c r="B60" s="238">
        <v>1222</v>
      </c>
      <c r="C60" s="264" t="s">
        <v>138</v>
      </c>
      <c r="D60" s="299">
        <v>124</v>
      </c>
      <c r="E60" s="299">
        <v>22</v>
      </c>
      <c r="F60" s="299">
        <v>12</v>
      </c>
      <c r="G60" s="207" t="s">
        <v>117</v>
      </c>
    </row>
    <row r="61" ht="45" customHeight="1">
      <c r="A61" s="226"/>
      <c r="B61" s="238">
        <v>1223</v>
      </c>
      <c r="C61" s="264" t="s">
        <v>139</v>
      </c>
      <c r="D61" s="299">
        <v>124</v>
      </c>
      <c r="E61" s="299">
        <v>17</v>
      </c>
      <c r="F61" s="299">
        <v>12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1</v>
      </c>
      <c r="F64" s="299">
        <v>0</v>
      </c>
      <c r="G64" s="207" t="s">
        <v>117</v>
      </c>
    </row>
    <row r="65" ht="45" customHeight="1">
      <c r="A65" s="226"/>
      <c r="B65" s="238">
        <v>1227</v>
      </c>
      <c r="C65" s="264" t="s">
        <v>143</v>
      </c>
      <c r="D65" s="299">
        <v>1</v>
      </c>
      <c r="E65" s="299">
        <v>1</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124</v>
      </c>
      <c r="E67" s="299">
        <v>17</v>
      </c>
      <c r="F67" s="299">
        <v>12</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124</v>
      </c>
      <c r="E73" s="299">
        <v>22</v>
      </c>
      <c r="F73" s="299">
        <v>12</v>
      </c>
      <c r="G73" s="207" t="s">
        <v>117</v>
      </c>
    </row>
    <row r="74" ht="45" customHeight="1">
      <c r="A74" s="226"/>
      <c r="B74" s="238">
        <v>1242</v>
      </c>
      <c r="C74" s="242" t="s">
        <v>152</v>
      </c>
      <c r="D74" s="299">
        <v>1</v>
      </c>
      <c r="E74" s="299">
        <v>1</v>
      </c>
      <c r="F74" s="299">
        <v>0</v>
      </c>
      <c r="G74" s="207" t="s">
        <v>117</v>
      </c>
    </row>
    <row r="75" ht="45" customHeight="1">
      <c r="A75" s="226"/>
      <c r="B75" s="238">
        <v>1243</v>
      </c>
      <c r="C75" s="243" t="s">
        <v>153</v>
      </c>
      <c r="D75" s="299">
        <v>124</v>
      </c>
      <c r="E75" s="299">
        <v>17</v>
      </c>
      <c r="F75" s="299">
        <v>12</v>
      </c>
      <c r="G75" s="207" t="s">
        <v>117</v>
      </c>
    </row>
    <row r="76" ht="45" customHeight="1">
      <c r="A76" s="226"/>
      <c r="B76" s="238">
        <v>1244</v>
      </c>
      <c r="C76" s="243" t="s">
        <v>154</v>
      </c>
      <c r="D76" s="299">
        <v>1</v>
      </c>
      <c r="E76" s="299">
        <v>1</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118</v>
      </c>
      <c r="E79" s="299">
        <v>23</v>
      </c>
      <c r="F79" s="299">
        <v>12</v>
      </c>
      <c r="G79" s="207" t="s">
        <v>117</v>
      </c>
    </row>
    <row r="80" ht="45" customHeight="1">
      <c r="A80" s="226"/>
      <c r="B80" s="238">
        <v>1248</v>
      </c>
      <c r="C80" s="242" t="s">
        <v>158</v>
      </c>
      <c r="D80" s="299">
        <v>1</v>
      </c>
      <c r="E80" s="299">
        <v>2</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14</v>
      </c>
      <c r="E82" s="299">
        <v>17</v>
      </c>
      <c r="F82" s="299">
        <v>22</v>
      </c>
      <c r="G82" s="207" t="s">
        <v>117</v>
      </c>
    </row>
    <row r="83" ht="45" customHeight="1">
      <c r="A83" s="226"/>
      <c r="B83" s="238">
        <v>1253</v>
      </c>
      <c r="C83" s="242" t="s">
        <v>161</v>
      </c>
      <c r="D83" s="299">
        <v>118</v>
      </c>
      <c r="E83" s="299">
        <v>23</v>
      </c>
      <c r="F83" s="299">
        <v>12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1</v>
      </c>
      <c r="F88" s="299">
        <v>0</v>
      </c>
      <c r="G88" s="207" t="s">
        <v>117</v>
      </c>
    </row>
    <row r="89" ht="45" customHeight="1">
      <c r="A89" s="226"/>
      <c r="B89" s="238">
        <v>1259</v>
      </c>
      <c r="C89" s="242" t="s">
        <v>167</v>
      </c>
      <c r="D89" s="299">
        <v>1</v>
      </c>
      <c r="E89" s="299">
        <v>2</v>
      </c>
      <c r="F89" s="299">
        <v>0</v>
      </c>
      <c r="G89" s="207" t="s">
        <v>117</v>
      </c>
    </row>
    <row r="90" ht="45" customHeight="1">
      <c r="A90" s="226"/>
      <c r="C90" s="252"/>
      <c r="D90" s="253"/>
      <c r="E90" s="254"/>
      <c r="F90" s="254"/>
      <c r="G90" s="265"/>
    </row>
    <row r="91" ht="45" customHeight="1">
      <c r="A91" s="226"/>
      <c r="B91" s="220" t="s">
        <v>168</v>
      </c>
      <c r="C91" s="260" t="s">
        <v>169</v>
      </c>
      <c r="D91" s="228"/>
      <c r="E91" s="231"/>
      <c r="F91" s="298">
        <v>14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7</v>
      </c>
      <c r="E144" s="299">
        <v>8</v>
      </c>
      <c r="F144" s="299">
        <v>9</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7</v>
      </c>
      <c r="E146" s="299">
        <v>8</v>
      </c>
      <c r="F146" s="299">
        <v>9</v>
      </c>
      <c r="G146" s="207" t="s">
        <v>219</v>
      </c>
    </row>
    <row r="147" ht="45" customHeight="1">
      <c r="A147" s="226"/>
      <c r="B147" s="238">
        <v>1521</v>
      </c>
      <c r="C147" s="264" t="s">
        <v>227</v>
      </c>
      <c r="D147" s="299">
        <v>7</v>
      </c>
      <c r="E147" s="299">
        <v>8</v>
      </c>
      <c r="F147" s="299">
        <v>9</v>
      </c>
      <c r="G147" s="207" t="s">
        <v>219</v>
      </c>
    </row>
    <row r="148" ht="45" customHeight="1">
      <c r="A148" s="226"/>
      <c r="B148" s="238">
        <v>1522</v>
      </c>
      <c r="C148" s="264" t="s">
        <v>228</v>
      </c>
      <c r="D148" s="299">
        <v>7</v>
      </c>
      <c r="E148" s="299">
        <v>8</v>
      </c>
      <c r="F148" s="299">
        <v>9</v>
      </c>
      <c r="G148" s="207" t="s">
        <v>219</v>
      </c>
    </row>
    <row r="149" ht="45" customHeight="1">
      <c r="A149" s="226"/>
      <c r="B149" s="238">
        <v>1523</v>
      </c>
      <c r="C149" s="264" t="s">
        <v>229</v>
      </c>
      <c r="D149" s="299">
        <v>5</v>
      </c>
      <c r="E149" s="299">
        <v>4</v>
      </c>
      <c r="F149" s="299">
        <v>8</v>
      </c>
      <c r="G149" s="207" t="s">
        <v>219</v>
      </c>
    </row>
    <row r="150" ht="45" customHeight="1">
      <c r="A150" s="226"/>
      <c r="B150" s="238">
        <v>1524</v>
      </c>
      <c r="C150" s="264" t="s">
        <v>230</v>
      </c>
      <c r="D150" s="299">
        <v>7</v>
      </c>
      <c r="E150" s="299">
        <v>8</v>
      </c>
      <c r="F150" s="299">
        <v>9</v>
      </c>
      <c r="G150" s="207" t="s">
        <v>219</v>
      </c>
    </row>
    <row r="151" ht="45" customHeight="1">
      <c r="A151" s="226"/>
      <c r="B151" s="238">
        <v>1531</v>
      </c>
      <c r="C151" s="242" t="s">
        <v>231</v>
      </c>
      <c r="D151" s="299">
        <v>2</v>
      </c>
      <c r="E151" s="299">
        <v>5</v>
      </c>
      <c r="F151" s="299">
        <v>3</v>
      </c>
      <c r="G151" s="207" t="s">
        <v>219</v>
      </c>
    </row>
    <row r="152" ht="45" customHeight="1">
      <c r="A152" s="226"/>
      <c r="B152" s="238">
        <v>1532</v>
      </c>
      <c r="C152" s="242" t="s">
        <v>232</v>
      </c>
      <c r="D152" s="299">
        <v>5</v>
      </c>
      <c r="E152" s="299">
        <v>3</v>
      </c>
      <c r="F152" s="299">
        <v>6</v>
      </c>
      <c r="G152" s="207" t="s">
        <v>219</v>
      </c>
    </row>
    <row r="153" ht="45" customHeight="1">
      <c r="A153" s="226"/>
      <c r="B153" s="238">
        <v>1533</v>
      </c>
      <c r="C153" s="242" t="s">
        <v>233</v>
      </c>
      <c r="D153" s="299">
        <v>7</v>
      </c>
      <c r="E153" s="299">
        <v>8</v>
      </c>
      <c r="F153" s="299">
        <v>9</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7</v>
      </c>
      <c r="E155" s="299">
        <v>8</v>
      </c>
      <c r="F155" s="299">
        <v>9</v>
      </c>
      <c r="G155" s="207" t="s">
        <v>219</v>
      </c>
    </row>
    <row r="156" ht="45" customHeight="1">
      <c r="A156" s="226"/>
      <c r="B156" s="238">
        <v>1542</v>
      </c>
      <c r="C156" s="264" t="s">
        <v>236</v>
      </c>
      <c r="D156" s="299">
        <v>7</v>
      </c>
      <c r="E156" s="299">
        <v>8</v>
      </c>
      <c r="F156" s="299">
        <v>9</v>
      </c>
      <c r="G156" s="207" t="s">
        <v>219</v>
      </c>
    </row>
    <row r="157" ht="45" customHeight="1">
      <c r="A157" s="226"/>
      <c r="B157" s="238">
        <v>1543</v>
      </c>
      <c r="C157" s="264" t="s">
        <v>237</v>
      </c>
      <c r="D157" s="299">
        <v>7</v>
      </c>
      <c r="E157" s="299">
        <v>8</v>
      </c>
      <c r="F157" s="299">
        <v>9</v>
      </c>
      <c r="G157" s="207" t="s">
        <v>219</v>
      </c>
    </row>
    <row r="158" ht="45" customHeight="1">
      <c r="A158" s="226"/>
      <c r="B158" s="238">
        <v>1544</v>
      </c>
      <c r="C158" s="242" t="s">
        <v>238</v>
      </c>
      <c r="D158" s="299">
        <v>7</v>
      </c>
      <c r="E158" s="299">
        <v>8</v>
      </c>
      <c r="F158" s="299">
        <v>9</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7</v>
      </c>
      <c r="E160" s="299">
        <v>8</v>
      </c>
      <c r="F160" s="299">
        <v>9</v>
      </c>
      <c r="G160" s="207" t="s">
        <v>219</v>
      </c>
    </row>
    <row r="161" ht="45" customHeight="1">
      <c r="A161" s="226"/>
      <c r="B161" s="238">
        <v>1553</v>
      </c>
      <c r="C161" s="242" t="s">
        <v>241</v>
      </c>
      <c r="D161" s="299">
        <v>7</v>
      </c>
      <c r="E161" s="299">
        <v>8</v>
      </c>
      <c r="F161" s="299">
        <v>9</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7</v>
      </c>
      <c r="E163" s="299">
        <v>8</v>
      </c>
      <c r="F163" s="299">
        <v>9</v>
      </c>
      <c r="G163" s="207" t="s">
        <v>219</v>
      </c>
    </row>
    <row r="164" ht="45" customHeight="1">
      <c r="A164" s="226"/>
      <c r="B164" s="238">
        <v>1556</v>
      </c>
      <c r="C164" s="242" t="s">
        <v>241</v>
      </c>
      <c r="D164" s="299">
        <v>7</v>
      </c>
      <c r="E164" s="299">
        <v>8</v>
      </c>
      <c r="F164" s="299">
        <v>9</v>
      </c>
      <c r="G164" s="207" t="s">
        <v>219</v>
      </c>
    </row>
    <row r="165" ht="45" customHeight="1">
      <c r="A165" s="226"/>
      <c r="C165" s="276"/>
      <c r="D165" s="277"/>
      <c r="G165" s="207"/>
    </row>
    <row r="166" ht="45" customHeight="1">
      <c r="A166" s="226"/>
      <c r="B166" s="279" t="s">
        <v>244</v>
      </c>
      <c r="C166" s="260" t="s">
        <v>245</v>
      </c>
      <c r="D166" s="228"/>
      <c r="E166" s="231"/>
      <c r="F166" s="298">
        <v>476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7</v>
      </c>
      <c r="E171" s="299">
        <v>8</v>
      </c>
      <c r="F171" s="299">
        <v>9</v>
      </c>
      <c r="G171" s="207" t="s">
        <v>244</v>
      </c>
    </row>
    <row r="172" ht="45" customHeight="1">
      <c r="A172" s="226"/>
      <c r="B172" s="238">
        <v>1614</v>
      </c>
      <c r="C172" s="281" t="s">
        <v>251</v>
      </c>
      <c r="D172" s="299">
        <v>7</v>
      </c>
      <c r="E172" s="299">
        <v>8</v>
      </c>
      <c r="F172" s="299">
        <v>9</v>
      </c>
      <c r="G172" s="207" t="s">
        <v>244</v>
      </c>
    </row>
    <row r="173" ht="45" customHeight="1">
      <c r="A173" s="226"/>
      <c r="B173" s="238">
        <v>1615</v>
      </c>
      <c r="C173" s="242" t="s">
        <v>252</v>
      </c>
      <c r="D173" s="299">
        <v>301</v>
      </c>
      <c r="E173" s="299">
        <v>278</v>
      </c>
      <c r="F173" s="299">
        <v>333</v>
      </c>
      <c r="G173" s="207" t="s">
        <v>244</v>
      </c>
    </row>
    <row r="174" ht="45" customHeight="1">
      <c r="A174" s="226"/>
      <c r="B174" s="238">
        <v>1616</v>
      </c>
      <c r="C174" s="242" t="s">
        <v>253</v>
      </c>
      <c r="D174" s="299">
        <v>29</v>
      </c>
      <c r="E174" s="299">
        <v>29</v>
      </c>
      <c r="F174" s="299">
        <v>28</v>
      </c>
      <c r="G174" s="207" t="s">
        <v>244</v>
      </c>
    </row>
    <row r="175" ht="45" customHeight="1">
      <c r="A175" s="226"/>
      <c r="B175" s="238">
        <v>1621</v>
      </c>
      <c r="C175" s="242" t="s">
        <v>254</v>
      </c>
      <c r="D175" s="299">
        <v>29</v>
      </c>
      <c r="E175" s="299">
        <v>29</v>
      </c>
      <c r="F175" s="299">
        <v>28</v>
      </c>
      <c r="G175" s="207" t="s">
        <v>244</v>
      </c>
    </row>
    <row r="176" ht="45" customHeight="1">
      <c r="A176" s="226"/>
      <c r="B176" s="238">
        <v>1622</v>
      </c>
      <c r="C176" s="242" t="s">
        <v>255</v>
      </c>
      <c r="D176" s="299">
        <v>29</v>
      </c>
      <c r="E176" s="299">
        <v>28</v>
      </c>
      <c r="F176" s="299">
        <v>27</v>
      </c>
      <c r="G176" s="207" t="s">
        <v>244</v>
      </c>
    </row>
    <row r="177" ht="45" customHeight="1">
      <c r="A177" s="226"/>
      <c r="B177" s="238">
        <v>1623</v>
      </c>
      <c r="C177" s="242" t="s">
        <v>256</v>
      </c>
      <c r="D177" s="299">
        <v>29</v>
      </c>
      <c r="E177" s="299">
        <v>29</v>
      </c>
      <c r="F177" s="299">
        <v>28</v>
      </c>
      <c r="G177" s="207" t="s">
        <v>244</v>
      </c>
    </row>
    <row r="178" ht="45" customHeight="1">
      <c r="A178" s="226"/>
      <c r="B178" s="238">
        <v>1624</v>
      </c>
      <c r="C178" s="242" t="s">
        <v>257</v>
      </c>
      <c r="D178" s="299">
        <v>29</v>
      </c>
      <c r="E178" s="299">
        <v>28</v>
      </c>
      <c r="F178" s="299">
        <v>27</v>
      </c>
      <c r="G178" s="207" t="s">
        <v>244</v>
      </c>
    </row>
    <row r="179" ht="45" customHeight="1">
      <c r="A179" s="226"/>
      <c r="B179" s="238">
        <v>1625</v>
      </c>
      <c r="C179" s="242" t="s">
        <v>258</v>
      </c>
      <c r="D179" s="299">
        <v>261</v>
      </c>
      <c r="E179" s="299">
        <v>391</v>
      </c>
      <c r="F179" s="299">
        <v>441</v>
      </c>
      <c r="G179" s="207" t="s">
        <v>244</v>
      </c>
    </row>
    <row r="180" ht="45" customHeight="1">
      <c r="A180" s="226"/>
      <c r="B180" s="238"/>
      <c r="C180" s="245" t="s">
        <v>259</v>
      </c>
      <c r="D180" s="246"/>
      <c r="E180" s="246"/>
      <c r="F180" s="247"/>
      <c r="G180" s="207" t="s">
        <v>244</v>
      </c>
    </row>
    <row r="181" ht="45" customHeight="1">
      <c r="A181" s="226"/>
      <c r="B181" s="238">
        <v>1631</v>
      </c>
      <c r="C181" s="242" t="s">
        <v>260</v>
      </c>
      <c r="D181" s="299">
        <v>139</v>
      </c>
      <c r="E181" s="299">
        <v>143</v>
      </c>
      <c r="F181" s="299">
        <v>0</v>
      </c>
      <c r="G181" s="207" t="s">
        <v>244</v>
      </c>
    </row>
    <row r="182" ht="45" customHeight="1">
      <c r="A182" s="226"/>
      <c r="B182" s="238">
        <v>1632</v>
      </c>
      <c r="C182" s="242" t="s">
        <v>261</v>
      </c>
      <c r="D182" s="299">
        <v>305</v>
      </c>
      <c r="E182" s="299">
        <v>309</v>
      </c>
      <c r="F182" s="299">
        <v>315</v>
      </c>
      <c r="G182" s="207" t="s">
        <v>244</v>
      </c>
    </row>
    <row r="183" ht="45" customHeight="1">
      <c r="A183" s="226"/>
      <c r="B183" s="238">
        <v>1633</v>
      </c>
      <c r="C183" s="242" t="s">
        <v>262</v>
      </c>
      <c r="D183" s="299">
        <v>421</v>
      </c>
      <c r="E183" s="299">
        <v>428</v>
      </c>
      <c r="F183" s="299">
        <v>436</v>
      </c>
      <c r="G183" s="207" t="s">
        <v>244</v>
      </c>
    </row>
    <row r="184" ht="45" customHeight="1">
      <c r="A184" s="226"/>
      <c r="B184" s="238">
        <v>1634</v>
      </c>
      <c r="C184" s="242" t="s">
        <v>263</v>
      </c>
      <c r="D184" s="299">
        <v>21</v>
      </c>
      <c r="E184" s="299">
        <v>22</v>
      </c>
      <c r="F184" s="299">
        <v>22</v>
      </c>
      <c r="G184" s="207" t="s">
        <v>244</v>
      </c>
    </row>
    <row r="185" ht="45" customHeight="1">
      <c r="A185" s="226"/>
      <c r="B185" s="238">
        <v>1635</v>
      </c>
      <c r="C185" s="242" t="s">
        <v>264</v>
      </c>
      <c r="D185" s="299">
        <v>261</v>
      </c>
      <c r="E185" s="299">
        <v>391</v>
      </c>
      <c r="F185" s="299">
        <v>441</v>
      </c>
      <c r="G185" s="207" t="s">
        <v>244</v>
      </c>
    </row>
    <row r="186" ht="45" customHeight="1">
      <c r="A186" s="226"/>
      <c r="B186" s="238">
        <v>1641</v>
      </c>
      <c r="C186" s="242" t="s">
        <v>265</v>
      </c>
      <c r="D186" s="299">
        <v>261</v>
      </c>
      <c r="E186" s="299">
        <v>391</v>
      </c>
      <c r="F186" s="299">
        <v>441</v>
      </c>
      <c r="G186" s="207" t="s">
        <v>244</v>
      </c>
    </row>
    <row r="187" ht="45" customHeight="1">
      <c r="A187" s="226"/>
      <c r="B187" s="238">
        <v>1642</v>
      </c>
      <c r="C187" s="242" t="s">
        <v>264</v>
      </c>
      <c r="D187" s="299">
        <v>261</v>
      </c>
      <c r="E187" s="299">
        <v>391</v>
      </c>
      <c r="F187" s="299">
        <v>441</v>
      </c>
      <c r="G187" s="207" t="s">
        <v>244</v>
      </c>
    </row>
    <row r="188" ht="45" customHeight="1">
      <c r="A188" s="226"/>
      <c r="B188" s="238">
        <v>1643</v>
      </c>
      <c r="C188" s="242" t="s">
        <v>266</v>
      </c>
      <c r="D188" s="299">
        <v>444</v>
      </c>
      <c r="E188" s="299">
        <v>452</v>
      </c>
      <c r="F188" s="299">
        <v>461</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588</v>
      </c>
      <c r="E191" s="299">
        <v>596</v>
      </c>
      <c r="F191" s="299">
        <v>605</v>
      </c>
      <c r="G191" s="207" t="s">
        <v>244</v>
      </c>
    </row>
    <row r="192" ht="45" customHeight="1">
      <c r="A192" s="226"/>
      <c r="B192" s="238">
        <v>1653</v>
      </c>
      <c r="C192" s="242" t="s">
        <v>270</v>
      </c>
      <c r="D192" s="299">
        <v>588</v>
      </c>
      <c r="E192" s="299">
        <v>596</v>
      </c>
      <c r="F192" s="299">
        <v>605</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1</v>
      </c>
      <c r="E197" s="299">
        <v>1</v>
      </c>
      <c r="F197" s="299">
        <v>1</v>
      </c>
      <c r="G197" s="207" t="s">
        <v>244</v>
      </c>
    </row>
    <row r="198" ht="45" customHeight="1">
      <c r="A198" s="226"/>
      <c r="B198" s="238">
        <v>1659</v>
      </c>
      <c r="C198" s="242" t="s">
        <v>276</v>
      </c>
      <c r="D198" s="299">
        <v>1</v>
      </c>
      <c r="E198" s="299">
        <v>1</v>
      </c>
      <c r="F198" s="299">
        <v>1</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1675</v>
      </c>
      <c r="AZ313" s="0" t="s">
        <v>1676</v>
      </c>
      <c r="BA313" s="0" t="s">
        <v>285</v>
      </c>
      <c r="BB313" s="0" t="str">
        <f t="shared" si="4"/>
        <v>CCCRNenIgboEzeNorth</v>
      </c>
    </row>
    <row r="314">
      <c r="AV314" s="0" t="s">
        <v>473</v>
      </c>
      <c r="AW314" s="0" t="s">
        <v>286</v>
      </c>
      <c r="AX314" s="0" t="s">
        <v>609</v>
      </c>
      <c r="AY314" s="0" t="s">
        <v>1677</v>
      </c>
      <c r="AZ314" s="0" t="s">
        <v>1678</v>
      </c>
      <c r="BA314" s="0" t="s">
        <v>285</v>
      </c>
      <c r="BB314" s="0" t="str">
        <f t="shared" si="4"/>
        <v>CCCRNenIgboEzeNorth</v>
      </c>
    </row>
    <row r="315">
      <c r="AV315" s="0" t="s">
        <v>473</v>
      </c>
      <c r="AW315" s="0" t="s">
        <v>286</v>
      </c>
      <c r="AX315" s="0" t="s">
        <v>609</v>
      </c>
      <c r="AY315" s="0" t="s">
        <v>1679</v>
      </c>
      <c r="AZ315" s="0" t="s">
        <v>1680</v>
      </c>
      <c r="BA315" s="0" t="s">
        <v>285</v>
      </c>
      <c r="BB315" s="0" t="str">
        <f t="shared" si="4"/>
        <v>CCCRNenIgboEzeNorth</v>
      </c>
    </row>
    <row r="316">
      <c r="AV316" s="0" t="s">
        <v>473</v>
      </c>
      <c r="AW316" s="0" t="s">
        <v>286</v>
      </c>
      <c r="AX316" s="0" t="s">
        <v>648</v>
      </c>
      <c r="AY316" s="0" t="s">
        <v>1681</v>
      </c>
      <c r="AZ316" s="0" t="s">
        <v>1682</v>
      </c>
      <c r="BA316" s="0" t="s">
        <v>285</v>
      </c>
      <c r="BB316" s="0" t="str">
        <f t="shared" si="4"/>
        <v>CCCRNenIgboEzeSouth</v>
      </c>
    </row>
    <row r="317">
      <c r="AV317" s="0" t="s">
        <v>473</v>
      </c>
      <c r="AW317" s="0" t="s">
        <v>286</v>
      </c>
      <c r="AX317" s="0" t="s">
        <v>648</v>
      </c>
      <c r="AY317" s="0" t="s">
        <v>1683</v>
      </c>
      <c r="AZ317" s="0" t="s">
        <v>1684</v>
      </c>
      <c r="BA317" s="0" t="s">
        <v>285</v>
      </c>
      <c r="BB317" s="0" t="str">
        <f t="shared" si="4"/>
        <v>CCCRNenIgboEzeSouth</v>
      </c>
    </row>
    <row r="318">
      <c r="AV318" s="0" t="s">
        <v>473</v>
      </c>
      <c r="AW318" s="0" t="s">
        <v>286</v>
      </c>
      <c r="AX318" s="0" t="s">
        <v>648</v>
      </c>
      <c r="AY318" s="0" t="s">
        <v>1685</v>
      </c>
      <c r="AZ318" s="0" t="s">
        <v>1686</v>
      </c>
      <c r="BA318" s="0" t="s">
        <v>285</v>
      </c>
      <c r="BB318" s="0" t="str">
        <f t="shared" si="4"/>
        <v>CCCRNenIgboEzeSouth</v>
      </c>
    </row>
    <row r="319">
      <c r="AV319" s="0" t="s">
        <v>473</v>
      </c>
      <c r="AW319" s="0" t="s">
        <v>286</v>
      </c>
      <c r="AX319" s="0" t="s">
        <v>685</v>
      </c>
      <c r="AY319" s="0" t="s">
        <v>1687</v>
      </c>
      <c r="AZ319" s="0" t="s">
        <v>1688</v>
      </c>
      <c r="BA319" s="0" t="s">
        <v>285</v>
      </c>
      <c r="BB319" s="0" t="str">
        <f t="shared" si="4"/>
        <v>CCCRNenIsiuzo</v>
      </c>
    </row>
    <row r="320">
      <c r="AV320" s="0" t="s">
        <v>473</v>
      </c>
      <c r="AW320" s="0" t="s">
        <v>286</v>
      </c>
      <c r="AX320" s="0" t="s">
        <v>685</v>
      </c>
      <c r="AY320" s="0" t="s">
        <v>1689</v>
      </c>
      <c r="AZ320" s="0" t="s">
        <v>1690</v>
      </c>
      <c r="BA320" s="0" t="s">
        <v>285</v>
      </c>
      <c r="BB320" s="0" t="str">
        <f t="shared" si="4"/>
        <v>CCCRNenIsiuzo</v>
      </c>
    </row>
    <row r="321">
      <c r="AV321" s="0" t="s">
        <v>473</v>
      </c>
      <c r="AW321" s="0" t="s">
        <v>286</v>
      </c>
      <c r="AX321" s="0" t="s">
        <v>685</v>
      </c>
      <c r="AY321" s="0" t="s">
        <v>1691</v>
      </c>
      <c r="AZ321" s="0" t="s">
        <v>1692</v>
      </c>
      <c r="BA321" s="0" t="s">
        <v>285</v>
      </c>
      <c r="BB321" s="0" t="str">
        <f t="shared" si="4"/>
        <v>CCCRNenIsiuzo</v>
      </c>
    </row>
    <row r="322">
      <c r="AV322" s="0" t="s">
        <v>473</v>
      </c>
      <c r="AW322" s="0" t="s">
        <v>286</v>
      </c>
      <c r="AX322" s="0" t="s">
        <v>685</v>
      </c>
      <c r="AY322" s="0" t="s">
        <v>1693</v>
      </c>
      <c r="AZ322" s="0" t="s">
        <v>1694</v>
      </c>
      <c r="BA322" s="0" t="s">
        <v>285</v>
      </c>
      <c r="BB322" s="0" t="str">
        <f t="shared" si="4"/>
        <v>CCCRNenIsiuzo</v>
      </c>
    </row>
    <row r="323">
      <c r="AV323" s="0" t="s">
        <v>473</v>
      </c>
      <c r="AW323" s="0" t="s">
        <v>286</v>
      </c>
      <c r="AX323" s="0" t="s">
        <v>685</v>
      </c>
      <c r="AY323" s="0" t="s">
        <v>1695</v>
      </c>
      <c r="AZ323" s="0" t="s">
        <v>1696</v>
      </c>
      <c r="BA323" s="0" t="s">
        <v>285</v>
      </c>
      <c r="BB323" s="0" t="str">
        <f ref="BB323:BB386" t="shared" si="5">SUBSTITUTE(SUBSTITUTE(BA323&amp;AX323," ",""),"-","")</f>
        <v>CCCRNenIsiuzo</v>
      </c>
    </row>
    <row r="324">
      <c r="AV324" s="0" t="s">
        <v>473</v>
      </c>
      <c r="AW324" s="0" t="s">
        <v>286</v>
      </c>
      <c r="AX324" s="0" t="s">
        <v>720</v>
      </c>
      <c r="AY324" s="0" t="s">
        <v>1697</v>
      </c>
      <c r="AZ324" s="0" t="s">
        <v>1698</v>
      </c>
      <c r="BA324" s="0" t="s">
        <v>285</v>
      </c>
      <c r="BB324" s="0" t="str">
        <f t="shared" si="5"/>
        <v>CCCRNenNkanuEast</v>
      </c>
    </row>
    <row r="325">
      <c r="AV325" s="0" t="s">
        <v>473</v>
      </c>
      <c r="AW325" s="0" t="s">
        <v>286</v>
      </c>
      <c r="AX325" s="0" t="s">
        <v>753</v>
      </c>
      <c r="AY325" s="0" t="s">
        <v>1699</v>
      </c>
      <c r="AZ325" s="0" t="s">
        <v>1700</v>
      </c>
      <c r="BA325" s="0" t="s">
        <v>285</v>
      </c>
      <c r="BB325" s="0" t="str">
        <f t="shared" si="5"/>
        <v>CCCRNenNkanuWest</v>
      </c>
    </row>
    <row r="326">
      <c r="AV326" s="0" t="s">
        <v>473</v>
      </c>
      <c r="AW326" s="0" t="s">
        <v>286</v>
      </c>
      <c r="AX326" s="0" t="s">
        <v>753</v>
      </c>
      <c r="AY326" s="0" t="s">
        <v>1701</v>
      </c>
      <c r="AZ326" s="0" t="s">
        <v>1702</v>
      </c>
      <c r="BA326" s="0" t="s">
        <v>285</v>
      </c>
      <c r="BB326" s="0" t="str">
        <f t="shared" si="5"/>
        <v>CCCRNenNkanuWest</v>
      </c>
    </row>
    <row r="327">
      <c r="AV327" s="0" t="s">
        <v>473</v>
      </c>
      <c r="AW327" s="0" t="s">
        <v>286</v>
      </c>
      <c r="AX327" s="0" t="s">
        <v>753</v>
      </c>
      <c r="AY327" s="0" t="s">
        <v>1703</v>
      </c>
      <c r="AZ327" s="0" t="s">
        <v>1704</v>
      </c>
      <c r="BA327" s="0" t="s">
        <v>285</v>
      </c>
      <c r="BB327" s="0" t="str">
        <f t="shared" si="5"/>
        <v>CCCRNenNkanuWest</v>
      </c>
    </row>
    <row r="328">
      <c r="AV328" s="0" t="s">
        <v>473</v>
      </c>
      <c r="AW328" s="0" t="s">
        <v>286</v>
      </c>
      <c r="AX328" s="0" t="s">
        <v>785</v>
      </c>
      <c r="AY328" s="0" t="s">
        <v>1705</v>
      </c>
      <c r="AZ328" s="0" t="s">
        <v>1706</v>
      </c>
      <c r="BA328" s="0" t="s">
        <v>285</v>
      </c>
      <c r="BB328" s="0" t="str">
        <f t="shared" si="5"/>
        <v>CCCRNenNsukka</v>
      </c>
    </row>
    <row r="329">
      <c r="AV329" s="0" t="s">
        <v>473</v>
      </c>
      <c r="AW329" s="0" t="s">
        <v>286</v>
      </c>
      <c r="AX329" s="0" t="s">
        <v>785</v>
      </c>
      <c r="AY329" s="0" t="s">
        <v>1707</v>
      </c>
      <c r="AZ329" s="0" t="s">
        <v>1708</v>
      </c>
      <c r="BA329" s="0" t="s">
        <v>285</v>
      </c>
      <c r="BB329" s="0" t="str">
        <f t="shared" si="5"/>
        <v>CCCRNenNsukka</v>
      </c>
    </row>
    <row r="330">
      <c r="AV330" s="0" t="s">
        <v>473</v>
      </c>
      <c r="AW330" s="0" t="s">
        <v>286</v>
      </c>
      <c r="AX330" s="0" t="s">
        <v>785</v>
      </c>
      <c r="AY330" s="0" t="s">
        <v>1709</v>
      </c>
      <c r="AZ330" s="0" t="s">
        <v>1710</v>
      </c>
      <c r="BA330" s="0" t="s">
        <v>285</v>
      </c>
      <c r="BB330" s="0" t="str">
        <f t="shared" si="5"/>
        <v>CCCRNenNsukka</v>
      </c>
    </row>
    <row r="331">
      <c r="AV331" s="0" t="s">
        <v>473</v>
      </c>
      <c r="AW331" s="0" t="s">
        <v>286</v>
      </c>
      <c r="AX331" s="0" t="s">
        <v>785</v>
      </c>
      <c r="AY331" s="0" t="s">
        <v>1711</v>
      </c>
      <c r="AZ331" s="0" t="s">
        <v>1712</v>
      </c>
      <c r="BA331" s="0" t="s">
        <v>285</v>
      </c>
      <c r="BB331" s="0" t="str">
        <f t="shared" si="5"/>
        <v>CCCRNenNsukka</v>
      </c>
    </row>
    <row r="332">
      <c r="AV332" s="0" t="s">
        <v>473</v>
      </c>
      <c r="AW332" s="0" t="s">
        <v>286</v>
      </c>
      <c r="AX332" s="0" t="s">
        <v>785</v>
      </c>
      <c r="AY332" s="0" t="s">
        <v>1713</v>
      </c>
      <c r="AZ332" s="0" t="s">
        <v>1714</v>
      </c>
      <c r="BA332" s="0" t="s">
        <v>285</v>
      </c>
      <c r="BB332" s="0" t="str">
        <f t="shared" si="5"/>
        <v>CCCRNenNsukka</v>
      </c>
    </row>
    <row r="333">
      <c r="AV333" s="0" t="s">
        <v>473</v>
      </c>
      <c r="AW333" s="0" t="s">
        <v>286</v>
      </c>
      <c r="AX333" s="0" t="s">
        <v>785</v>
      </c>
      <c r="AY333" s="0" t="s">
        <v>1715</v>
      </c>
      <c r="AZ333" s="0" t="s">
        <v>1716</v>
      </c>
      <c r="BA333" s="0" t="s">
        <v>285</v>
      </c>
      <c r="BB333" s="0" t="str">
        <f t="shared" si="5"/>
        <v>CCCRNenNsukka</v>
      </c>
    </row>
    <row r="334">
      <c r="AV334" s="0" t="s">
        <v>473</v>
      </c>
      <c r="AW334" s="0" t="s">
        <v>286</v>
      </c>
      <c r="AX334" s="0" t="s">
        <v>785</v>
      </c>
      <c r="AY334" s="0" t="s">
        <v>1717</v>
      </c>
      <c r="AZ334" s="0" t="s">
        <v>1718</v>
      </c>
      <c r="BA334" s="0" t="s">
        <v>285</v>
      </c>
      <c r="BB334" s="0" t="str">
        <f t="shared" si="5"/>
        <v>CCCRNenNsukka</v>
      </c>
    </row>
    <row r="335">
      <c r="AV335" s="0" t="s">
        <v>473</v>
      </c>
      <c r="AW335" s="0" t="s">
        <v>286</v>
      </c>
      <c r="AX335" s="0" t="s">
        <v>785</v>
      </c>
      <c r="AY335" s="0" t="s">
        <v>1719</v>
      </c>
      <c r="AZ335" s="0" t="s">
        <v>1720</v>
      </c>
      <c r="BA335" s="0" t="s">
        <v>285</v>
      </c>
      <c r="BB335" s="0" t="str">
        <f t="shared" si="5"/>
        <v>CCCRNenNsukka</v>
      </c>
    </row>
    <row r="336">
      <c r="AV336" s="0" t="s">
        <v>473</v>
      </c>
      <c r="AW336" s="0" t="s">
        <v>286</v>
      </c>
      <c r="AX336" s="0" t="s">
        <v>785</v>
      </c>
      <c r="AY336" s="0" t="s">
        <v>1721</v>
      </c>
      <c r="AZ336" s="0" t="s">
        <v>1722</v>
      </c>
      <c r="BA336" s="0" t="s">
        <v>285</v>
      </c>
      <c r="BB336" s="0" t="str">
        <f t="shared" si="5"/>
        <v>CCCRNenNsukka</v>
      </c>
    </row>
    <row r="337">
      <c r="AV337" s="0" t="s">
        <v>473</v>
      </c>
      <c r="AW337" s="0" t="s">
        <v>286</v>
      </c>
      <c r="AX337" s="0" t="s">
        <v>785</v>
      </c>
      <c r="AY337" s="0" t="s">
        <v>1723</v>
      </c>
      <c r="AZ337" s="0" t="s">
        <v>1724</v>
      </c>
      <c r="BA337" s="0" t="s">
        <v>285</v>
      </c>
      <c r="BB337" s="0" t="str">
        <f t="shared" si="5"/>
        <v>CCCRNenNsukka</v>
      </c>
    </row>
    <row r="338">
      <c r="AV338" s="0" t="s">
        <v>473</v>
      </c>
      <c r="AW338" s="0" t="s">
        <v>286</v>
      </c>
      <c r="AX338" s="0" t="s">
        <v>815</v>
      </c>
      <c r="AY338" s="0" t="s">
        <v>289</v>
      </c>
      <c r="AZ338" s="0" t="s">
        <v>293</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