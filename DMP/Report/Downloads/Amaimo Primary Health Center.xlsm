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<sst xmlns="http://schemas.openxmlformats.org/spreadsheetml/2006/main" count="4033" uniqueCount="4033">
  <si>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</si>
  <si>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</si>
  <si>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</si>
  <si>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</si>
  <si>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</si>
  <si>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</si>
  <si>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</si>
  <si>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</si>
  <si>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</si>
  <si>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</si>
  <si>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</si>
  <si>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</si>
  <si>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</si>
  <si>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</si>
  <si>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</si>
  <si>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</si>
  <si>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</si>
  <si>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</si>
  <si>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</si>
  <si>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</si>
  <si>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</si>
  <si>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</si>
  <si>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</si>
  <si>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</si>
  <si>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</si>
  <si>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</si>
  <si>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</si>
  <si>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</si>
  <si>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</si>
  <si>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</si>
  <si>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</si>
  <si>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</si>
  <si>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</si>
  <si>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</si>
  <si>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</si>
  <si>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</si>
  <si>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</si>
  <si>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</si>
  <si>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</si>
  <si>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</si>
  <si>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</si>
  <si>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</si>
  <si>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</si>
  <si>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</si>
  <si>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</si>
  <si>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</si>
  <si>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</si>
  <si>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</si>
  <si>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</si>
  <si>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</si>
  <si>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</si>
  <si>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</si>
  <si>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</si>
  <si>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</si>
  <si>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</si>
  <si>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</si>
  <si>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</si>
  <si>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</si>
  <si>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</si>
  <si>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</si>
  <si>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</si>
  <si>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</si>
  <si>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</si>
  <si>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</si>
  <si>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</si>
  <si>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</si>
  <si>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</si>
  <si>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</si>
  <si>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</si>
  <si>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</si>
  <si>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</si>
  <si>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</si>
  <si>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</si>
  <si>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</si>
  <si>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</si>
  <si>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</si>
  <si>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</si>
  <si>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</si>
  <si>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</si>
  <si>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</si>
  <si>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</si>
  <si>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</si>
  <si>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</si>
  <si>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</si>
  <si>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</si>
  <si>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</si>
  <si>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</si>
  <si>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</si>
  <si>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</si>
  <si>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</si>
  <si>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</si>
  <si>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</si>
  <si>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</si>
  <si>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</si>
  <si>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</si>
  <si>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</si>
  <si>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</si>
  <si>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</si>
  <si>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</si>
  <si>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</si>
  <si>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</si>
  <si>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</si>
  <si>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</si>
  <si>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</si>
  <si>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</si>
  <si>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</si>
  <si>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</si>
  <si>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</si>
  <si>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</si>
  <si>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</si>
  <si>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</si>
  <si>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</si>
  <si>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</si>
  <si>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</si>
  <si>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</si>
  <si>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</si>
  <si>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</si>
  <si>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</si>
  <si>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</si>
  <si>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</si>
  <si>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</si>
  <si>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</si>
  <si>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</si>
  <si>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</si>
  <si>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</si>
  <si>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</si>
  <si>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</si>
  <si>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</si>
  <si>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</si>
  <si>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</si>
  <si>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</si>
  <si>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</si>
  <si>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</si>
  <si>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</si>
  <si>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</si>
  <si>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</si>
  <si>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</si>
  <si>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</si>
  <si>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</si>
  <si>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</si>
  <si>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</si>
  <si>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</si>
  <si>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</si>
  <si>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</si>
  <si>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</si>
  <si>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</si>
  <si>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</si>
  <si>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</si>
  <si>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</si>
  <si>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</si>
  <si>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</si>
  <si>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</si>
  <si>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</si>
  <si>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</si>
  <si>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</si>
  <si>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</si>
  <si>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</si>
  <si>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</si>
  <si>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</si>
  <si>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</si>
  <si>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</si>
  <si>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</si>
  <si>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</si>
  <si>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</si>
  <si>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</si>
  <si>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</si>
  <si>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</si>
  <si>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</si>
  <si>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</si>
  <si>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</si>
  <si>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</si>
  <si>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</si>
  <si>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</si>
  <si>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</si>
  <si>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</si>
  <si>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</si>
  <si>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</si>
  <si>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</si>
  <si>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</si>
  <si>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</si>
  <si>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</si>
  <si>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</si>
  <si>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</si>
  <si>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</si>
  <si>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</si>
  <si>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</si>
  <si>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</si>
  <si>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</si>
  <si>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</si>
  <si>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</si>
  <si>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</si>
  <si>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</si>
  <si>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</si>
  <si>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</si>
  <si>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</si>
  <si>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</si>
  <si>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</si>
  <si>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</si>
  <si>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</si>
  <si>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</si>
  <si>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</si>
  <si>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</si>
  <si>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</si>
  <si>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</si>
  <si>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</si>
  <si>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</si>
  <si>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</si>
  <si>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</si>
  <si>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</si>
  <si>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</si>
  <si>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</si>
  <si>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</si>
  <si>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</si>
  <si>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</si>
  <si>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</si>
  <si>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</si>
  <si>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</si>
  <si>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</si>
  <si>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</si>
  <si>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</si>
  <si>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</si>
  <si>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</si>
  <si>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</si>
  <si>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</si>
  <si>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</si>
  <si>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</si>
  <si>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</si>
  <si>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</si>
  <si>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</si>
  <si>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</si>
  <si>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</si>
  <si>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</si>
  <si>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</si>
  <si>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</si>
  <si>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</si>
  <si>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</si>
  <si>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</si>
  <si>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</si>
  <si>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</si>
  <si>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</si>
  <si>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</si>
  <si>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</si>
  <si>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</si>
  <si>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</si>
  <si>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</si>
  <si>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</si>
  <si>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</si>
  <si>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</si>
  <si>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</si>
  <si>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</si>
  <si>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</si>
  <si>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</si>
  <si>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</si>
  <si>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</si>
  <si>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</si>
  <si>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</si>
  <si>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</si>
  <si>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</si>
  <si>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</si>
  <si>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</si>
  <si>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</si>
  <si>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</si>
  <si>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</si>
  <si>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</si>
  <si>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</si>
  <si>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</si>
  <si>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</si>
  <si>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</si>
  <si>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</si>
  <si>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</si>
  <si>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</si>
  <si>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</si>
  <si>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</si>
  <si>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</si>
  <si>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</si>
  <si>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</si>
  <si>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</si>
  <si>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</si>
  <si>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</si>
  <si>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</si>
  <si>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</si>
  <si>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</si>
  <si>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</si>
  <si>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</si>
  <si>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</si>
  <si>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</si>
  <si>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</si>
  <si>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Ikeduru</t>
  </si>
  <si>
    <t>Facility Name:</t>
  </si>
  <si>
    <t>Amaimo Primary Health Center</t>
  </si>
  <si>
    <t>Reporting Period:</t>
  </si>
  <si>
    <t>Q1(Oct - Dec)</t>
  </si>
  <si>
    <t>Facility Code:</t>
  </si>
  <si>
    <t>Of2XxJh71lU</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</si>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</sst>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267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139</v>
      </c>
      <c r="E10" s="299">
        <v>74</v>
      </c>
      <c r="F10" s="299">
        <v>0</v>
      </c>
      <c r="G10" s="207" t="s">
        <v>67</v>
      </c>
    </row>
    <row r="11" ht="45" customHeight="1">
      <c r="A11" s="226"/>
      <c r="B11" s="238">
        <v>1114</v>
      </c>
      <c r="C11" s="243" t="s">
        <v>84</v>
      </c>
      <c r="D11" s="299">
        <v>26</v>
      </c>
      <c r="E11" s="299">
        <v>26</v>
      </c>
      <c r="F11" s="299">
        <v>27</v>
      </c>
      <c r="G11" s="207" t="s">
        <v>67</v>
      </c>
    </row>
    <row r="12" ht="45" customHeight="1">
      <c r="A12" s="226"/>
      <c r="B12" s="238">
        <v>1115</v>
      </c>
      <c r="C12" s="242" t="s">
        <v>85</v>
      </c>
      <c r="D12" s="299">
        <v>26</v>
      </c>
      <c r="E12" s="299">
        <v>26</v>
      </c>
      <c r="F12" s="299">
        <v>27</v>
      </c>
      <c r="G12" s="207" t="s">
        <v>67</v>
      </c>
    </row>
    <row r="13" ht="45" customHeight="1">
      <c r="A13" s="226" t="s">
        <v>86</v>
      </c>
      <c r="B13" s="238">
        <v>1116</v>
      </c>
      <c r="C13" s="242" t="s">
        <v>87</v>
      </c>
      <c r="D13" s="299">
        <v>5</v>
      </c>
      <c r="E13" s="299">
        <v>6</v>
      </c>
      <c r="F13" s="299">
        <v>2</v>
      </c>
      <c r="G13" s="207" t="s">
        <v>67</v>
      </c>
    </row>
    <row r="14" ht="45" customHeight="1">
      <c r="A14" s="226"/>
      <c r="B14" s="238">
        <v>1117</v>
      </c>
      <c r="C14" s="242" t="s">
        <v>88</v>
      </c>
      <c r="D14" s="299">
        <v>5</v>
      </c>
      <c r="E14" s="299">
        <v>6</v>
      </c>
      <c r="F14" s="299">
        <v>2</v>
      </c>
      <c r="G14" s="207" t="s">
        <v>67</v>
      </c>
    </row>
    <row r="15" ht="45" customHeight="1">
      <c r="A15" s="226">
        <v>1116</v>
      </c>
      <c r="B15" s="238">
        <v>1121</v>
      </c>
      <c r="C15" s="243" t="str">
        <f>C13</f>
        <v>How many HTC clients have a completed Client intake form </v>
      </c>
      <c r="D15" s="300">
        <v>5</v>
      </c>
      <c r="E15" s="300">
        <v>6</v>
      </c>
      <c r="F15" s="300">
        <v>2</v>
      </c>
      <c r="G15" s="207"/>
    </row>
    <row r="16" ht="45" customHeight="1">
      <c r="A16" s="226"/>
      <c r="B16" s="238">
        <v>1122</v>
      </c>
      <c r="C16" s="243" t="s">
        <v>89</v>
      </c>
      <c r="D16" s="299">
        <v>5</v>
      </c>
      <c r="E16" s="299">
        <v>6</v>
      </c>
      <c r="F16" s="299">
        <v>2</v>
      </c>
      <c r="G16" s="207" t="s">
        <v>67</v>
      </c>
    </row>
    <row r="17" ht="45" customHeight="1">
      <c r="A17" s="226"/>
      <c r="B17" s="238">
        <v>1123</v>
      </c>
      <c r="C17" s="242" t="s">
        <v>90</v>
      </c>
      <c r="D17" s="299">
        <v>5</v>
      </c>
      <c r="E17" s="299">
        <v>6</v>
      </c>
      <c r="F17" s="299">
        <v>2</v>
      </c>
      <c r="G17" s="207" t="s">
        <v>67</v>
      </c>
    </row>
    <row r="18" ht="45" customHeight="1">
      <c r="A18" s="226"/>
      <c r="B18" s="238">
        <v>1124</v>
      </c>
      <c r="C18" s="242" t="s">
        <v>91</v>
      </c>
      <c r="D18" s="299">
        <v>5</v>
      </c>
      <c r="E18" s="299">
        <v>6</v>
      </c>
      <c r="F18" s="299">
        <v>2</v>
      </c>
      <c r="G18" s="207" t="s">
        <v>67</v>
      </c>
    </row>
    <row r="19" ht="45" customHeight="1">
      <c r="A19" s="226"/>
      <c r="B19" s="238">
        <v>1125</v>
      </c>
      <c r="C19" s="242" t="s">
        <v>92</v>
      </c>
      <c r="D19" s="299">
        <v>5</v>
      </c>
      <c r="E19" s="299">
        <v>5</v>
      </c>
      <c r="F19" s="299">
        <v>1</v>
      </c>
      <c r="G19" s="207" t="s">
        <v>67</v>
      </c>
    </row>
    <row r="20" ht="45" customHeight="1">
      <c r="A20" s="226"/>
      <c r="B20" s="238">
        <v>1126</v>
      </c>
      <c r="C20" s="242" t="s">
        <v>93</v>
      </c>
      <c r="D20" s="299">
        <v>5</v>
      </c>
      <c r="E20" s="299">
        <v>5</v>
      </c>
      <c r="F20" s="299">
        <v>2</v>
      </c>
      <c r="G20" s="207" t="s">
        <v>67</v>
      </c>
    </row>
    <row r="21" ht="45" customHeight="1">
      <c r="A21" s="226"/>
      <c r="B21" s="238">
        <v>1127</v>
      </c>
      <c r="C21" s="242" t="s">
        <v>94</v>
      </c>
      <c r="D21" s="299">
        <v>5</v>
      </c>
      <c r="E21" s="299">
        <v>5</v>
      </c>
      <c r="F21" s="299">
        <v>2</v>
      </c>
      <c r="G21" s="207" t="s">
        <v>67</v>
      </c>
    </row>
    <row r="22" ht="45" customHeight="1">
      <c r="A22" s="226"/>
      <c r="B22" s="238"/>
      <c r="C22" s="245" t="s">
        <v>95</v>
      </c>
      <c r="D22" s="246"/>
      <c r="E22" s="246"/>
      <c r="F22" s="247"/>
      <c r="G22" s="207" t="s">
        <v>67</v>
      </c>
    </row>
    <row r="23" ht="45" customHeight="1">
      <c r="A23" s="226"/>
      <c r="B23" s="238">
        <v>1131</v>
      </c>
      <c r="C23" s="242" t="s">
        <v>96</v>
      </c>
      <c r="D23" s="299">
        <v>83</v>
      </c>
      <c r="E23" s="299">
        <v>33</v>
      </c>
      <c r="F23" s="299">
        <v>20</v>
      </c>
      <c r="G23" s="207" t="s">
        <v>67</v>
      </c>
    </row>
    <row r="24" ht="45" customHeight="1">
      <c r="A24" s="226"/>
      <c r="B24" s="238">
        <v>1132</v>
      </c>
      <c r="C24" s="242" t="s">
        <v>97</v>
      </c>
      <c r="D24" s="299">
        <v>56</v>
      </c>
      <c r="E24" s="299">
        <v>41</v>
      </c>
      <c r="F24" s="299">
        <v>23</v>
      </c>
      <c r="G24" s="207" t="s">
        <v>67</v>
      </c>
    </row>
    <row r="25" ht="45" customHeight="1">
      <c r="A25" s="226"/>
      <c r="B25" s="238">
        <v>1133</v>
      </c>
      <c r="C25" s="242" t="s">
        <v>98</v>
      </c>
      <c r="D25" s="299">
        <v>88</v>
      </c>
      <c r="E25" s="299">
        <v>55</v>
      </c>
      <c r="F25" s="299">
        <v>33</v>
      </c>
      <c r="G25" s="207" t="s">
        <v>67</v>
      </c>
    </row>
    <row r="26" ht="45" customHeight="1">
      <c r="A26" s="226"/>
      <c r="B26" s="238">
        <v>1134</v>
      </c>
      <c r="C26" s="242" t="s">
        <v>99</v>
      </c>
      <c r="D26" s="299">
        <v>51</v>
      </c>
      <c r="E26" s="299">
        <v>19</v>
      </c>
      <c r="F26" s="299">
        <v>10</v>
      </c>
      <c r="G26" s="207" t="s">
        <v>67</v>
      </c>
    </row>
    <row r="27" ht="45" customHeight="1">
      <c r="A27" s="226"/>
      <c r="B27" s="238">
        <v>1135</v>
      </c>
      <c r="C27" s="242" t="s">
        <v>100</v>
      </c>
      <c r="D27" s="299">
        <v>123</v>
      </c>
      <c r="E27" s="299">
        <v>67</v>
      </c>
      <c r="F27" s="299">
        <v>37</v>
      </c>
      <c r="G27" s="207" t="s">
        <v>67</v>
      </c>
    </row>
    <row r="28" ht="45" customHeight="1">
      <c r="A28" s="226"/>
      <c r="B28" s="238">
        <v>1136</v>
      </c>
      <c r="C28" s="242" t="s">
        <v>101</v>
      </c>
      <c r="D28" s="299">
        <v>16</v>
      </c>
      <c r="E28" s="299">
        <v>7</v>
      </c>
      <c r="F28" s="299">
        <v>6</v>
      </c>
      <c r="G28" s="207" t="s">
        <v>67</v>
      </c>
    </row>
    <row r="29" ht="45" customHeight="1">
      <c r="A29" s="226"/>
      <c r="B29" s="238">
        <v>1137</v>
      </c>
      <c r="C29" s="242" t="s">
        <v>102</v>
      </c>
      <c r="D29" s="299">
        <v>6</v>
      </c>
      <c r="E29" s="299">
        <v>7</v>
      </c>
      <c r="F29" s="299">
        <v>1</v>
      </c>
      <c r="G29" s="207" t="s">
        <v>67</v>
      </c>
    </row>
    <row r="30" ht="45" customHeight="1">
      <c r="A30" s="226"/>
      <c r="B30" s="238">
        <v>1138</v>
      </c>
      <c r="C30" s="242" t="s">
        <v>103</v>
      </c>
      <c r="D30" s="299">
        <v>133</v>
      </c>
      <c r="E30" s="299">
        <v>67</v>
      </c>
      <c r="F30" s="299">
        <v>42</v>
      </c>
      <c r="G30" s="207" t="s">
        <v>67</v>
      </c>
    </row>
    <row r="31" ht="45" customHeight="1">
      <c r="A31" s="226">
        <v>1116</v>
      </c>
      <c r="B31" s="238">
        <v>1141</v>
      </c>
      <c r="C31" s="242" t="s">
        <v>104</v>
      </c>
      <c r="D31" s="300">
        <v>5</v>
      </c>
      <c r="E31" s="300">
        <v>6</v>
      </c>
      <c r="F31" s="300">
        <v>2</v>
      </c>
      <c r="G31" s="207"/>
    </row>
    <row r="32" ht="45" customHeight="1">
      <c r="A32" s="226"/>
      <c r="B32" s="238">
        <v>1142</v>
      </c>
      <c r="C32" s="243" t="s">
        <v>105</v>
      </c>
      <c r="D32" s="300">
        <v>5</v>
      </c>
      <c r="E32" s="300">
        <v>6</v>
      </c>
      <c r="F32" s="300">
        <v>2</v>
      </c>
      <c r="G32" s="207"/>
    </row>
    <row r="33" ht="45" customHeight="1">
      <c r="A33" s="226"/>
      <c r="B33" s="238">
        <v>1143</v>
      </c>
      <c r="C33" s="242" t="s">
        <v>106</v>
      </c>
      <c r="D33" s="299">
        <v>139</v>
      </c>
      <c r="E33" s="299">
        <v>74</v>
      </c>
      <c r="F33" s="299">
        <v>43</v>
      </c>
      <c r="G33" s="207" t="s">
        <v>67</v>
      </c>
    </row>
    <row r="34" ht="45" customHeight="1">
      <c r="A34" s="226"/>
      <c r="B34" s="238">
        <v>1144</v>
      </c>
      <c r="C34" s="242" t="s">
        <v>107</v>
      </c>
      <c r="D34" s="299">
        <v>52</v>
      </c>
      <c r="E34" s="299">
        <v>20</v>
      </c>
      <c r="F34" s="299">
        <v>22</v>
      </c>
      <c r="G34" s="207" t="s">
        <v>67</v>
      </c>
    </row>
    <row r="35" ht="45" customHeight="1">
      <c r="A35" s="226"/>
      <c r="B35" s="238">
        <v>1145</v>
      </c>
      <c r="C35" s="242" t="s">
        <v>108</v>
      </c>
      <c r="D35" s="299">
        <v>139</v>
      </c>
      <c r="E35" s="299">
        <v>74</v>
      </c>
      <c r="F35" s="299">
        <v>43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139</v>
      </c>
      <c r="E37" s="299">
        <v>74</v>
      </c>
      <c r="F37" s="299">
        <v>43</v>
      </c>
      <c r="G37" s="207" t="s">
        <v>67</v>
      </c>
    </row>
    <row r="38" ht="45" customHeight="1">
      <c r="A38" s="226"/>
      <c r="B38" s="238">
        <v>1153</v>
      </c>
      <c r="C38" s="242" t="s">
        <v>111</v>
      </c>
      <c r="D38" s="299">
        <v>139</v>
      </c>
      <c r="E38" s="299">
        <v>74</v>
      </c>
      <c r="F38" s="299">
        <v>43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139</v>
      </c>
      <c r="E40" s="299">
        <v>74</v>
      </c>
      <c r="F40" s="299">
        <v>43</v>
      </c>
      <c r="G40" s="207" t="s">
        <v>67</v>
      </c>
    </row>
    <row r="41" ht="45" customHeight="1">
      <c r="A41" s="226"/>
      <c r="B41" s="238">
        <v>1156</v>
      </c>
      <c r="C41" s="242" t="s">
        <v>113</v>
      </c>
      <c r="D41" s="299">
        <v>139</v>
      </c>
      <c r="E41" s="299">
        <v>74</v>
      </c>
      <c r="F41" s="299">
        <v>43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7</v>
      </c>
      <c r="F43" s="299">
        <v>1</v>
      </c>
      <c r="G43" s="207" t="s">
        <v>67</v>
      </c>
    </row>
    <row r="44" ht="45" customHeight="1" s="250" customFormat="1">
      <c r="A44" s="226"/>
      <c r="B44" s="238">
        <v>1159</v>
      </c>
      <c r="C44" s="242" t="s">
        <v>116</v>
      </c>
      <c r="D44" s="299">
        <v>6</v>
      </c>
      <c r="E44" s="299">
        <v>7</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267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94</v>
      </c>
      <c r="E52" s="299">
        <v>94</v>
      </c>
      <c r="F52" s="299">
        <v>93</v>
      </c>
      <c r="G52" s="207" t="s">
        <v>117</v>
      </c>
    </row>
    <row r="53" ht="45" customHeight="1">
      <c r="A53" s="226"/>
      <c r="B53" s="238">
        <v>1213</v>
      </c>
      <c r="C53" s="242" t="s">
        <v>131</v>
      </c>
      <c r="D53" s="299">
        <v>130</v>
      </c>
      <c r="E53" s="299">
        <v>94</v>
      </c>
      <c r="F53" s="299">
        <v>43</v>
      </c>
      <c r="G53" s="207" t="s">
        <v>117</v>
      </c>
    </row>
    <row r="54" ht="45" customHeight="1">
      <c r="A54" s="226"/>
      <c r="B54" s="238">
        <v>1214</v>
      </c>
      <c r="C54" s="264" t="s">
        <v>132</v>
      </c>
      <c r="D54" s="299">
        <v>26</v>
      </c>
      <c r="E54" s="299">
        <v>26</v>
      </c>
      <c r="F54" s="299">
        <v>27</v>
      </c>
      <c r="G54" s="207" t="s">
        <v>117</v>
      </c>
    </row>
    <row r="55" ht="45" customHeight="1">
      <c r="A55" s="226"/>
      <c r="B55" s="238">
        <v>1215</v>
      </c>
      <c r="C55" s="242" t="s">
        <v>133</v>
      </c>
      <c r="D55" s="299">
        <v>26</v>
      </c>
      <c r="E55" s="299">
        <v>26</v>
      </c>
      <c r="F55" s="299">
        <v>27</v>
      </c>
      <c r="G55" s="207" t="s">
        <v>117</v>
      </c>
    </row>
    <row r="56" ht="45" customHeight="1">
      <c r="A56" s="226"/>
      <c r="B56" s="238">
        <v>1216</v>
      </c>
      <c r="C56" s="243" t="s">
        <v>134</v>
      </c>
      <c r="D56" s="299">
        <v>26</v>
      </c>
      <c r="E56" s="299">
        <v>26</v>
      </c>
      <c r="F56" s="299">
        <v>26</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1</v>
      </c>
      <c r="F58" s="299">
        <v>0</v>
      </c>
      <c r="G58" s="207" t="s">
        <v>117</v>
      </c>
    </row>
    <row r="59" ht="45" customHeight="1">
      <c r="A59" s="226"/>
      <c r="B59" s="238">
        <v>1221</v>
      </c>
      <c r="C59" s="264" t="s">
        <v>137</v>
      </c>
      <c r="D59" s="299">
        <v>26</v>
      </c>
      <c r="E59" s="299">
        <v>26</v>
      </c>
      <c r="F59" s="299">
        <v>27</v>
      </c>
      <c r="G59" s="207" t="s">
        <v>117</v>
      </c>
    </row>
    <row r="60" ht="45" customHeight="1">
      <c r="A60" s="226"/>
      <c r="B60" s="238">
        <v>1222</v>
      </c>
      <c r="C60" s="264" t="s">
        <v>138</v>
      </c>
      <c r="D60" s="299">
        <v>26</v>
      </c>
      <c r="E60" s="299">
        <v>26</v>
      </c>
      <c r="F60" s="299">
        <v>27</v>
      </c>
      <c r="G60" s="207" t="s">
        <v>117</v>
      </c>
    </row>
    <row r="61" ht="45" customHeight="1">
      <c r="A61" s="226"/>
      <c r="B61" s="238">
        <v>1223</v>
      </c>
      <c r="C61" s="264" t="s">
        <v>139</v>
      </c>
      <c r="D61" s="299">
        <v>26</v>
      </c>
      <c r="E61" s="299">
        <v>26</v>
      </c>
      <c r="F61" s="299">
        <v>27</v>
      </c>
      <c r="G61" s="207" t="s">
        <v>117</v>
      </c>
    </row>
    <row r="62" ht="54.65" customHeight="1">
      <c r="A62" s="226"/>
      <c r="B62" s="238">
        <v>1224</v>
      </c>
      <c r="C62" s="264" t="s">
        <v>140</v>
      </c>
      <c r="D62" s="299">
        <v>26</v>
      </c>
      <c r="E62" s="299">
        <v>26</v>
      </c>
      <c r="F62" s="299">
        <v>27</v>
      </c>
      <c r="G62" s="207" t="s">
        <v>117</v>
      </c>
    </row>
    <row r="63" ht="66.65" customHeight="1">
      <c r="A63" s="226"/>
      <c r="B63" s="238">
        <v>1225</v>
      </c>
      <c r="C63" s="264" t="s">
        <v>141</v>
      </c>
      <c r="D63" s="299">
        <v>4</v>
      </c>
      <c r="E63" s="299">
        <v>7</v>
      </c>
      <c r="F63" s="299">
        <v>12</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130</v>
      </c>
      <c r="E67" s="299">
        <v>94</v>
      </c>
      <c r="F67" s="299">
        <v>43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8</v>
      </c>
      <c r="E71" s="299">
        <v>12</v>
      </c>
      <c r="F71" s="299">
        <v>10</v>
      </c>
      <c r="G71" s="207" t="s">
        <v>117</v>
      </c>
    </row>
    <row r="72" ht="45" customHeight="1">
      <c r="A72" s="226"/>
      <c r="B72" s="238">
        <v>1236</v>
      </c>
      <c r="C72" s="242" t="s">
        <v>150</v>
      </c>
      <c r="D72" s="299">
        <v>1</v>
      </c>
      <c r="E72" s="299">
        <v>1</v>
      </c>
      <c r="F72" s="299">
        <v>0</v>
      </c>
      <c r="G72" s="207" t="s">
        <v>117</v>
      </c>
    </row>
    <row r="73" ht="45" customHeight="1">
      <c r="A73" s="226"/>
      <c r="B73" s="238">
        <v>1241</v>
      </c>
      <c r="C73" s="242" t="s">
        <v>151</v>
      </c>
      <c r="D73" s="299">
        <v>1</v>
      </c>
      <c r="E73" s="299">
        <v>1</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v>
      </c>
      <c r="E75" s="299">
        <v>1</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8</v>
      </c>
      <c r="E77" s="299">
        <v>12</v>
      </c>
      <c r="F77" s="299">
        <v>10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130</v>
      </c>
      <c r="E79" s="299">
        <v>94</v>
      </c>
      <c r="F79" s="299">
        <v>43</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130</v>
      </c>
      <c r="E82" s="299">
        <v>94</v>
      </c>
      <c r="F82" s="299">
        <v>43</v>
      </c>
      <c r="G82" s="207" t="s">
        <v>117</v>
      </c>
    </row>
    <row r="83" ht="45" customHeight="1">
      <c r="A83" s="226"/>
      <c r="B83" s="238">
        <v>1253</v>
      </c>
      <c r="C83" s="242" t="s">
        <v>161</v>
      </c>
      <c r="D83" s="299">
        <v>130</v>
      </c>
      <c r="E83" s="299">
        <v>94</v>
      </c>
      <c r="F83" s="299">
        <v>43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0</v>
      </c>
      <c r="G85" s="207" t="s">
        <v>117</v>
      </c>
    </row>
    <row r="86" ht="45" customHeight="1">
      <c r="A86" s="226"/>
      <c r="B86" s="238">
        <v>1256</v>
      </c>
      <c r="C86" s="242" t="s">
        <v>164</v>
      </c>
      <c r="D86" s="299">
        <v>1</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0</v>
      </c>
      <c r="G93" s="265" t="s">
        <v>168</v>
      </c>
    </row>
    <row r="94" ht="45" customHeight="1">
      <c r="A94" s="226"/>
      <c r="B94" s="238">
        <v>1314</v>
      </c>
      <c r="C94" s="268" t="s">
        <v>173</v>
      </c>
      <c r="D94" s="299">
        <v>1</v>
      </c>
      <c r="E94" s="299">
        <v>1</v>
      </c>
      <c r="F94" s="299">
        <v>0</v>
      </c>
      <c r="G94" s="265" t="s">
        <v>168</v>
      </c>
    </row>
    <row r="95" ht="45" customHeight="1">
      <c r="A95" s="226"/>
      <c r="B95" s="238">
        <v>1315</v>
      </c>
      <c r="C95" s="243" t="s">
        <v>174</v>
      </c>
      <c r="D95" s="299">
        <v>1</v>
      </c>
      <c r="E95" s="299">
        <v>1</v>
      </c>
      <c r="F95" s="299">
        <v>0</v>
      </c>
      <c r="G95" s="265" t="s">
        <v>168</v>
      </c>
    </row>
    <row r="96" ht="45" customHeight="1" s="269" customFormat="1">
      <c r="A96" s="226"/>
      <c r="B96" s="238">
        <v>1316</v>
      </c>
      <c r="C96" s="243" t="s">
        <v>175</v>
      </c>
      <c r="D96" s="299">
        <v>1</v>
      </c>
      <c r="E96" s="299">
        <v>1</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1</v>
      </c>
      <c r="E99" s="299">
        <v>1</v>
      </c>
      <c r="F99" s="299">
        <v>0</v>
      </c>
      <c r="G99" s="265" t="s">
        <v>168</v>
      </c>
    </row>
    <row r="100" ht="45" customHeight="1" s="269" customFormat="1">
      <c r="A100" s="226"/>
      <c r="B100" s="238">
        <v>1324</v>
      </c>
      <c r="C100" s="242" t="s">
        <v>179</v>
      </c>
      <c r="D100" s="299">
        <v>1</v>
      </c>
      <c r="E100" s="299">
        <v>1</v>
      </c>
      <c r="F100" s="299">
        <v>0</v>
      </c>
      <c r="G100" s="265" t="s">
        <v>168</v>
      </c>
    </row>
    <row r="101" ht="45" customHeight="1" s="269" customFormat="1">
      <c r="A101" s="226"/>
      <c r="B101" s="238">
        <v>1331</v>
      </c>
      <c r="C101" s="242" t="s">
        <v>180</v>
      </c>
      <c r="D101" s="299">
        <v>1</v>
      </c>
      <c r="E101" s="299">
        <v>1</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1</v>
      </c>
      <c r="E103" s="299">
        <v>1</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1</v>
      </c>
      <c r="F108" s="299">
        <v>0</v>
      </c>
      <c r="G108" s="265" t="s">
        <v>168</v>
      </c>
    </row>
    <row r="109" ht="45" customHeight="1" s="269" customFormat="1">
      <c r="A109" s="226"/>
      <c r="B109" s="238">
        <v>1344</v>
      </c>
      <c r="C109" s="242" t="s">
        <v>188</v>
      </c>
      <c r="D109" s="299">
        <v>1</v>
      </c>
      <c r="E109" s="299">
        <v>1</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1</v>
      </c>
      <c r="F111" s="299">
        <v>0</v>
      </c>
      <c r="G111" s="265" t="s">
        <v>168</v>
      </c>
    </row>
    <row r="112" ht="45" customHeight="1" s="269" customFormat="1">
      <c r="A112" s="226"/>
      <c r="B112" s="238">
        <v>1353</v>
      </c>
      <c r="C112" s="242" t="s">
        <v>191</v>
      </c>
      <c r="D112" s="299">
        <v>1</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1</v>
      </c>
      <c r="F114" s="299">
        <v>0</v>
      </c>
      <c r="G114" s="265" t="s">
        <v>168</v>
      </c>
    </row>
    <row r="115" ht="45" customHeight="1" s="269" customFormat="1">
      <c r="A115" s="226"/>
      <c r="B115" s="238">
        <v>1356</v>
      </c>
      <c r="C115" s="242" t="s">
        <v>193</v>
      </c>
      <c r="D115" s="299">
        <v>1</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289</v>
      </c>
      <c r="AZ364" s="0" t="s">
        <v>293</v>
      </c>
      <c r="BA364" s="0" t="s">
        <v>285</v>
      </c>
      <c r="BB364" s="0" t="str">
        <f t="shared" si="5"/>
        <v>CCCRNimIkeduru</v>
      </c>
    </row>
    <row r="365">
      <c r="AV365" s="0" t="s">
        <v>473</v>
      </c>
      <c r="AW365" s="0" t="s">
        <v>286</v>
      </c>
      <c r="AX365" s="0" t="s">
        <v>651</v>
      </c>
      <c r="AY365" s="0" t="s">
        <v>1777</v>
      </c>
      <c r="AZ365" s="0" t="s">
        <v>1778</v>
      </c>
      <c r="BA365" s="0" t="s">
        <v>285</v>
      </c>
      <c r="BB365" s="0" t="str">
        <f t="shared" si="5"/>
        <v>CCCRNimIkeduru</v>
      </c>
    </row>
    <row r="366">
      <c r="AV366" s="0" t="s">
        <v>473</v>
      </c>
      <c r="AW366" s="0" t="s">
        <v>286</v>
      </c>
      <c r="AX366" s="0" t="s">
        <v>651</v>
      </c>
      <c r="AY366" s="0" t="s">
        <v>1779</v>
      </c>
      <c r="AZ366" s="0" t="s">
        <v>1780</v>
      </c>
      <c r="BA366" s="0" t="s">
        <v>285</v>
      </c>
      <c r="BB366" s="0" t="str">
        <f t="shared" si="5"/>
        <v>CCCRNimIkeduru</v>
      </c>
    </row>
    <row r="367">
      <c r="AV367" s="0" t="s">
        <v>473</v>
      </c>
      <c r="AW367" s="0" t="s">
        <v>286</v>
      </c>
      <c r="AX367" s="0" t="s">
        <v>687</v>
      </c>
      <c r="AY367" s="0" t="s">
        <v>1781</v>
      </c>
      <c r="AZ367" s="0" t="s">
        <v>1782</v>
      </c>
      <c r="BA367" s="0" t="s">
        <v>285</v>
      </c>
      <c r="BB367" s="0" t="str">
        <f t="shared" si="5"/>
        <v>CCCRNimIsu</v>
      </c>
    </row>
    <row r="368">
      <c r="AV368" s="0" t="s">
        <v>473</v>
      </c>
      <c r="AW368" s="0" t="s">
        <v>286</v>
      </c>
      <c r="AX368" s="0" t="s">
        <v>687</v>
      </c>
      <c r="AY368" s="0" t="s">
        <v>1783</v>
      </c>
      <c r="AZ368" s="0" t="s">
        <v>1784</v>
      </c>
      <c r="BA368" s="0" t="s">
        <v>285</v>
      </c>
      <c r="BB368" s="0" t="str">
        <f t="shared" si="5"/>
        <v>CCCRNimIsu</v>
      </c>
    </row>
    <row r="369">
      <c r="AV369" s="0" t="s">
        <v>473</v>
      </c>
      <c r="AW369" s="0" t="s">
        <v>286</v>
      </c>
      <c r="AX369" s="0" t="s">
        <v>687</v>
      </c>
      <c r="AY369" s="0" t="s">
        <v>1785</v>
      </c>
      <c r="AZ369" s="0" t="s">
        <v>1786</v>
      </c>
      <c r="BA369" s="0" t="s">
        <v>285</v>
      </c>
      <c r="BB369" s="0" t="str">
        <f t="shared" si="5"/>
        <v>CCCRNimIsu</v>
      </c>
    </row>
    <row r="370">
      <c r="AV370" s="0" t="s">
        <v>473</v>
      </c>
      <c r="AW370" s="0" t="s">
        <v>286</v>
      </c>
      <c r="AX370" s="0" t="s">
        <v>722</v>
      </c>
      <c r="AY370" s="0" t="s">
        <v>1787</v>
      </c>
      <c r="AZ370" s="0" t="s">
        <v>1788</v>
      </c>
      <c r="BA370" s="0" t="s">
        <v>285</v>
      </c>
      <c r="BB370" s="0" t="str">
        <f t="shared" si="5"/>
        <v>CCCRNimMbaitoli</v>
      </c>
    </row>
    <row r="371">
      <c r="AV371" s="0" t="s">
        <v>473</v>
      </c>
      <c r="AW371" s="0" t="s">
        <v>286</v>
      </c>
      <c r="AX371" s="0" t="s">
        <v>722</v>
      </c>
      <c r="AY371" s="0" t="s">
        <v>1789</v>
      </c>
      <c r="AZ371" s="0" t="s">
        <v>1790</v>
      </c>
      <c r="BA371" s="0" t="s">
        <v>285</v>
      </c>
      <c r="BB371" s="0" t="str">
        <f t="shared" si="5"/>
        <v>CCCRNimMbaitoli</v>
      </c>
    </row>
    <row r="372">
      <c r="AV372" s="0" t="s">
        <v>473</v>
      </c>
      <c r="AW372" s="0" t="s">
        <v>286</v>
      </c>
      <c r="AX372" s="0" t="s">
        <v>722</v>
      </c>
      <c r="AY372" s="0" t="s">
        <v>1791</v>
      </c>
      <c r="AZ372" s="0" t="s">
        <v>1792</v>
      </c>
      <c r="BA372" s="0" t="s">
        <v>285</v>
      </c>
      <c r="BB372" s="0" t="str">
        <f t="shared" si="5"/>
        <v>CCCRNimMbaitoli</v>
      </c>
    </row>
    <row r="373">
      <c r="AV373" s="0" t="s">
        <v>473</v>
      </c>
      <c r="AW373" s="0" t="s">
        <v>286</v>
      </c>
      <c r="AX373" s="0" t="s">
        <v>722</v>
      </c>
      <c r="AY373" s="0" t="s">
        <v>1793</v>
      </c>
      <c r="AZ373" s="0" t="s">
        <v>1794</v>
      </c>
      <c r="BA373" s="0" t="s">
        <v>285</v>
      </c>
      <c r="BB373" s="0" t="str">
        <f t="shared" si="5"/>
        <v>CCCRNimMbaitoli</v>
      </c>
    </row>
    <row r="374">
      <c r="AV374" s="0" t="s">
        <v>473</v>
      </c>
      <c r="AW374" s="0" t="s">
        <v>286</v>
      </c>
      <c r="AX374" s="0" t="s">
        <v>755</v>
      </c>
      <c r="AY374" s="0" t="s">
        <v>1795</v>
      </c>
      <c r="AZ374" s="0" t="s">
        <v>1796</v>
      </c>
      <c r="BA374" s="0" t="s">
        <v>285</v>
      </c>
      <c r="BB374" s="0" t="str">
        <f t="shared" si="5"/>
        <v>CCCRNimNgorOkpala</v>
      </c>
    </row>
    <row r="375">
      <c r="AV375" s="0" t="s">
        <v>473</v>
      </c>
      <c r="AW375" s="0" t="s">
        <v>286</v>
      </c>
      <c r="AX375" s="0" t="s">
        <v>755</v>
      </c>
      <c r="AY375" s="0" t="s">
        <v>1797</v>
      </c>
      <c r="AZ375" s="0" t="s">
        <v>1798</v>
      </c>
      <c r="BA375" s="0" t="s">
        <v>285</v>
      </c>
      <c r="BB375" s="0" t="str">
        <f t="shared" si="5"/>
        <v>CCCRNimNgorOkpala</v>
      </c>
    </row>
    <row r="376">
      <c r="AV376" s="0" t="s">
        <v>473</v>
      </c>
      <c r="AW376" s="0" t="s">
        <v>286</v>
      </c>
      <c r="AX376" s="0" t="s">
        <v>755</v>
      </c>
      <c r="AY376" s="0" t="s">
        <v>1799</v>
      </c>
      <c r="AZ376" s="0" t="s">
        <v>1800</v>
      </c>
      <c r="BA376" s="0" t="s">
        <v>285</v>
      </c>
      <c r="BB376" s="0" t="str">
        <f t="shared" si="5"/>
        <v>CCCRNimNgorOkpala</v>
      </c>
    </row>
    <row r="377">
      <c r="AV377" s="0" t="s">
        <v>473</v>
      </c>
      <c r="AW377" s="0" t="s">
        <v>286</v>
      </c>
      <c r="AX377" s="0" t="s">
        <v>755</v>
      </c>
      <c r="AY377" s="0" t="s">
        <v>1801</v>
      </c>
      <c r="AZ377" s="0" t="s">
        <v>1802</v>
      </c>
      <c r="BA377" s="0" t="s">
        <v>285</v>
      </c>
      <c r="BB377" s="0" t="str">
        <f t="shared" si="5"/>
        <v>CCCRNimNgorOkpala</v>
      </c>
    </row>
    <row r="378">
      <c r="AV378" s="0" t="s">
        <v>473</v>
      </c>
      <c r="AW378" s="0" t="s">
        <v>286</v>
      </c>
      <c r="AX378" s="0" t="s">
        <v>787</v>
      </c>
      <c r="AY378" s="0" t="s">
        <v>1803</v>
      </c>
      <c r="AZ378" s="0" t="s">
        <v>1804</v>
      </c>
      <c r="BA378" s="0" t="s">
        <v>285</v>
      </c>
      <c r="BB378" s="0" t="str">
        <f t="shared" si="5"/>
        <v>CCCRNimNjaba</v>
      </c>
    </row>
    <row r="379">
      <c r="AV379" s="0" t="s">
        <v>473</v>
      </c>
      <c r="AW379" s="0" t="s">
        <v>286</v>
      </c>
      <c r="AX379" s="0" t="s">
        <v>787</v>
      </c>
      <c r="AY379" s="0" t="s">
        <v>1805</v>
      </c>
      <c r="AZ379" s="0" t="s">
        <v>1806</v>
      </c>
      <c r="BA379" s="0" t="s">
        <v>285</v>
      </c>
      <c r="BB379" s="0" t="str">
        <f t="shared" si="5"/>
        <v>CCCRNimNjaba</v>
      </c>
    </row>
    <row r="380">
      <c r="AV380" s="0" t="s">
        <v>473</v>
      </c>
      <c r="AW380" s="0" t="s">
        <v>286</v>
      </c>
      <c r="AX380" s="0" t="s">
        <v>817</v>
      </c>
      <c r="AY380" s="0" t="s">
        <v>1807</v>
      </c>
      <c r="AZ380" s="0" t="s">
        <v>1808</v>
      </c>
      <c r="BA380" s="0" t="s">
        <v>285</v>
      </c>
      <c r="BB380" s="0" t="str">
        <f t="shared" si="5"/>
        <v>CCCRNimNkwerre</v>
      </c>
    </row>
    <row r="381">
      <c r="AV381" s="0" t="s">
        <v>473</v>
      </c>
      <c r="AW381" s="0" t="s">
        <v>286</v>
      </c>
      <c r="AX381" s="0" t="s">
        <v>817</v>
      </c>
      <c r="AY381" s="0" t="s">
        <v>1809</v>
      </c>
      <c r="AZ381" s="0" t="s">
        <v>1810</v>
      </c>
      <c r="BA381" s="0" t="s">
        <v>285</v>
      </c>
      <c r="BB381" s="0" t="str">
        <f t="shared" si="5"/>
        <v>CCCRNimNkwerre</v>
      </c>
    </row>
    <row r="382">
      <c r="AV382" s="0" t="s">
        <v>473</v>
      </c>
      <c r="AW382" s="0" t="s">
        <v>286</v>
      </c>
      <c r="AX382" s="0" t="s">
        <v>817</v>
      </c>
      <c r="AY382" s="0" t="s">
        <v>1811</v>
      </c>
      <c r="AZ382" s="0" t="s">
        <v>1812</v>
      </c>
      <c r="BA382" s="0" t="s">
        <v>285</v>
      </c>
      <c r="BB382" s="0" t="str">
        <f t="shared" si="5"/>
        <v>CCCRNimNkwerre</v>
      </c>
    </row>
    <row r="383">
      <c r="AV383" s="0" t="s">
        <v>473</v>
      </c>
      <c r="AW383" s="0" t="s">
        <v>286</v>
      </c>
      <c r="AX383" s="0" t="s">
        <v>817</v>
      </c>
      <c r="AY383" s="0" t="s">
        <v>1813</v>
      </c>
      <c r="AZ383" s="0" t="s">
        <v>1814</v>
      </c>
      <c r="BA383" s="0" t="s">
        <v>285</v>
      </c>
      <c r="BB383" s="0" t="str">
        <f t="shared" si="5"/>
        <v>CCCRNimNkwerre</v>
      </c>
    </row>
    <row r="384">
      <c r="AV384" s="0" t="s">
        <v>473</v>
      </c>
      <c r="AW384" s="0" t="s">
        <v>286</v>
      </c>
      <c r="AX384" s="0" t="s">
        <v>817</v>
      </c>
      <c r="AY384" s="0" t="s">
        <v>1815</v>
      </c>
      <c r="AZ384" s="0" t="s">
        <v>1816</v>
      </c>
      <c r="BA384" s="0" t="s">
        <v>285</v>
      </c>
      <c r="BB384" s="0" t="str">
        <f t="shared" si="5"/>
        <v>CCCRNimNkwerre</v>
      </c>
    </row>
    <row r="385">
      <c r="AV385" s="0" t="s">
        <v>473</v>
      </c>
      <c r="AW385" s="0" t="s">
        <v>286</v>
      </c>
      <c r="AX385" s="0" t="s">
        <v>845</v>
      </c>
      <c r="AY385" s="0" t="s">
        <v>1817</v>
      </c>
      <c r="AZ385" s="0" t="s">
        <v>1818</v>
      </c>
      <c r="BA385" s="0" t="s">
        <v>285</v>
      </c>
      <c r="BB385" s="0" t="str">
        <f t="shared" si="5"/>
        <v>CCCRNimNwangele</v>
      </c>
    </row>
    <row r="386">
      <c r="AV386" s="0" t="s">
        <v>473</v>
      </c>
      <c r="AW386" s="0" t="s">
        <v>286</v>
      </c>
      <c r="AX386" s="0" t="s">
        <v>845</v>
      </c>
      <c r="AY386" s="0" t="s">
        <v>1819</v>
      </c>
      <c r="AZ386" s="0" t="s">
        <v>1820</v>
      </c>
      <c r="BA386" s="0" t="s">
        <v>285</v>
      </c>
      <c r="BB386" s="0" t="str">
        <f t="shared" si="5"/>
        <v>CCCRNimNwangele</v>
      </c>
    </row>
    <row r="387">
      <c r="AV387" s="0" t="s">
        <v>473</v>
      </c>
      <c r="AW387" s="0" t="s">
        <v>286</v>
      </c>
      <c r="AX387" s="0" t="s">
        <v>845</v>
      </c>
      <c r="AY387" s="0" t="s">
        <v>1821</v>
      </c>
      <c r="AZ387" s="0" t="s">
        <v>1822</v>
      </c>
      <c r="BA387" s="0" t="s">
        <v>285</v>
      </c>
      <c r="BB387" s="0" t="str">
        <f ref="BB387:BB450" t="shared" si="6">SUBSTITUTE(SUBSTITUTE(BA387&amp;AX387," ",""),"-","")</f>
        <v>CCCRNimNwangele</v>
      </c>
    </row>
    <row r="388">
      <c r="AV388" s="0" t="s">
        <v>473</v>
      </c>
      <c r="AW388" s="0" t="s">
        <v>286</v>
      </c>
      <c r="AX388" s="0" t="s">
        <v>873</v>
      </c>
      <c r="AY388" s="0" t="s">
        <v>1823</v>
      </c>
      <c r="AZ388" s="0" t="s">
        <v>1824</v>
      </c>
      <c r="BA388" s="0" t="s">
        <v>285</v>
      </c>
      <c r="BB388" s="0" t="str">
        <f t="shared" si="6"/>
        <v>CCCRNimOguta</v>
      </c>
    </row>
    <row r="389">
      <c r="AV389" s="0" t="s">
        <v>473</v>
      </c>
      <c r="AW389" s="0" t="s">
        <v>286</v>
      </c>
      <c r="AX389" s="0" t="s">
        <v>873</v>
      </c>
      <c r="AY389" s="0" t="s">
        <v>1825</v>
      </c>
      <c r="AZ389" s="0" t="s">
        <v>1826</v>
      </c>
      <c r="BA389" s="0" t="s">
        <v>285</v>
      </c>
      <c r="BB389" s="0" t="str">
        <f t="shared" si="6"/>
        <v>CCCRNimOguta</v>
      </c>
    </row>
    <row r="390">
      <c r="AV390" s="0" t="s">
        <v>473</v>
      </c>
      <c r="AW390" s="0" t="s">
        <v>286</v>
      </c>
      <c r="AX390" s="0" t="s">
        <v>873</v>
      </c>
      <c r="AY390" s="0" t="s">
        <v>1827</v>
      </c>
      <c r="AZ390" s="0" t="s">
        <v>1828</v>
      </c>
      <c r="BA390" s="0" t="s">
        <v>285</v>
      </c>
      <c r="BB390" s="0" t="str">
        <f t="shared" si="6"/>
        <v>CCCRNimOguta</v>
      </c>
    </row>
    <row r="391">
      <c r="AV391" s="0" t="s">
        <v>473</v>
      </c>
      <c r="AW391" s="0" t="s">
        <v>286</v>
      </c>
      <c r="AX391" s="0" t="s">
        <v>873</v>
      </c>
      <c r="AY391" s="0" t="s">
        <v>1829</v>
      </c>
      <c r="AZ391" s="0" t="s">
        <v>1830</v>
      </c>
      <c r="BA391" s="0" t="s">
        <v>285</v>
      </c>
      <c r="BB391" s="0" t="str">
        <f t="shared" si="6"/>
        <v>CCCRNimOguta</v>
      </c>
    </row>
    <row r="392">
      <c r="AV392" s="0" t="s">
        <v>473</v>
      </c>
      <c r="AW392" s="0" t="s">
        <v>286</v>
      </c>
      <c r="AX392" s="0" t="s">
        <v>873</v>
      </c>
      <c r="AY392" s="0" t="s">
        <v>1831</v>
      </c>
      <c r="AZ392" s="0" t="s">
        <v>1832</v>
      </c>
      <c r="BA392" s="0" t="s">
        <v>285</v>
      </c>
      <c r="BB392" s="0" t="str">
        <f t="shared" si="6"/>
        <v>CCCRNimOguta</v>
      </c>
    </row>
    <row r="393">
      <c r="AV393" s="0" t="s">
        <v>473</v>
      </c>
      <c r="AW393" s="0" t="s">
        <v>286</v>
      </c>
      <c r="AX393" s="0" t="s">
        <v>898</v>
      </c>
      <c r="AY393" s="0" t="s">
        <v>1833</v>
      </c>
      <c r="AZ393" s="0" t="s">
        <v>1834</v>
      </c>
      <c r="BA393" s="0" t="s">
        <v>285</v>
      </c>
      <c r="BB393" s="0" t="str">
        <f t="shared" si="6"/>
        <v>CCCRNimOhaji</v>
      </c>
    </row>
    <row r="394">
      <c r="AV394" s="0" t="s">
        <v>473</v>
      </c>
      <c r="AW394" s="0" t="s">
        <v>286</v>
      </c>
      <c r="AX394" s="0" t="s">
        <v>898</v>
      </c>
      <c r="AY394" s="0" t="s">
        <v>1833</v>
      </c>
      <c r="AZ394" s="0" t="s">
        <v>1835</v>
      </c>
      <c r="BA394" s="0" t="s">
        <v>285</v>
      </c>
      <c r="BB394" s="0" t="str">
        <f t="shared" si="6"/>
        <v>CCCRNimOhaji</v>
      </c>
    </row>
    <row r="395">
      <c r="AV395" s="0" t="s">
        <v>473</v>
      </c>
      <c r="AW395" s="0" t="s">
        <v>286</v>
      </c>
      <c r="AX395" s="0" t="s">
        <v>898</v>
      </c>
      <c r="AY395" s="0" t="s">
        <v>1833</v>
      </c>
      <c r="AZ395" s="0" t="s">
        <v>1836</v>
      </c>
      <c r="BA395" s="0" t="s">
        <v>285</v>
      </c>
      <c r="BB395" s="0" t="str">
        <f t="shared" si="6"/>
        <v>CCCRNimOhaji</v>
      </c>
    </row>
    <row r="396">
      <c r="AV396" s="0" t="s">
        <v>473</v>
      </c>
      <c r="AW396" s="0" t="s">
        <v>286</v>
      </c>
      <c r="AX396" s="0" t="s">
        <v>898</v>
      </c>
      <c r="AY396" s="0" t="s">
        <v>1833</v>
      </c>
      <c r="AZ396" s="0" t="s">
        <v>1837</v>
      </c>
      <c r="BA396" s="0" t="s">
        <v>285</v>
      </c>
      <c r="BB396" s="0" t="str">
        <f t="shared" si="6"/>
        <v>CCCRNimOhaji</v>
      </c>
    </row>
    <row r="397">
      <c r="AV397" s="0" t="s">
        <v>473</v>
      </c>
      <c r="AW397" s="0" t="s">
        <v>286</v>
      </c>
      <c r="AX397" s="0" t="s">
        <v>898</v>
      </c>
      <c r="AY397" s="0" t="s">
        <v>1833</v>
      </c>
      <c r="AZ397" s="0" t="s">
        <v>1838</v>
      </c>
      <c r="BA397" s="0" t="s">
        <v>285</v>
      </c>
      <c r="BB397" s="0" t="str">
        <f t="shared" si="6"/>
        <v>CCCRNimOhaji</v>
      </c>
    </row>
    <row r="398">
      <c r="AV398" s="0" t="s">
        <v>473</v>
      </c>
      <c r="AW398" s="0" t="s">
        <v>286</v>
      </c>
      <c r="AX398" s="0" t="s">
        <v>923</v>
      </c>
      <c r="AY398" s="0" t="s">
        <v>1839</v>
      </c>
      <c r="AZ398" s="0" t="s">
        <v>1840</v>
      </c>
      <c r="BA398" s="0" t="s">
        <v>285</v>
      </c>
      <c r="BB398" s="0" t="str">
        <f t="shared" si="6"/>
        <v>CCCRNimOrlu</v>
      </c>
    </row>
    <row r="399">
      <c r="AV399" s="0" t="s">
        <v>473</v>
      </c>
      <c r="AW399" s="0" t="s">
        <v>286</v>
      </c>
      <c r="AX399" s="0" t="s">
        <v>923</v>
      </c>
      <c r="AY399" s="0" t="s">
        <v>1841</v>
      </c>
      <c r="AZ399" s="0" t="s">
        <v>1842</v>
      </c>
      <c r="BA399" s="0" t="s">
        <v>285</v>
      </c>
      <c r="BB399" s="0" t="str">
        <f t="shared" si="6"/>
        <v>CCCRNimOrlu</v>
      </c>
    </row>
    <row r="400">
      <c r="AV400" s="0" t="s">
        <v>473</v>
      </c>
      <c r="AW400" s="0" t="s">
        <v>286</v>
      </c>
      <c r="AX400" s="0" t="s">
        <v>923</v>
      </c>
      <c r="AY400" s="0" t="s">
        <v>1843</v>
      </c>
      <c r="AZ400" s="0" t="s">
        <v>1844</v>
      </c>
      <c r="BA400" s="0" t="s">
        <v>285</v>
      </c>
      <c r="BB400" s="0" t="str">
        <f t="shared" si="6"/>
        <v>CCCRNimOrlu</v>
      </c>
    </row>
    <row r="401">
      <c r="AV401" s="0" t="s">
        <v>473</v>
      </c>
      <c r="AW401" s="0" t="s">
        <v>286</v>
      </c>
      <c r="AX401" s="0" t="s">
        <v>923</v>
      </c>
      <c r="AY401" s="0" t="s">
        <v>1845</v>
      </c>
      <c r="AZ401" s="0" t="s">
        <v>1846</v>
      </c>
      <c r="BA401" s="0" t="s">
        <v>285</v>
      </c>
      <c r="BB401" s="0" t="str">
        <f t="shared" si="6"/>
        <v>CCCRNimOrlu</v>
      </c>
    </row>
    <row r="402">
      <c r="AV402" s="0" t="s">
        <v>473</v>
      </c>
      <c r="AW402" s="0" t="s">
        <v>286</v>
      </c>
      <c r="AX402" s="0" t="s">
        <v>923</v>
      </c>
      <c r="AY402" s="0" t="s">
        <v>1847</v>
      </c>
      <c r="AZ402" s="0" t="s">
        <v>1848</v>
      </c>
      <c r="BA402" s="0" t="s">
        <v>285</v>
      </c>
      <c r="BB402" s="0" t="str">
        <f t="shared" si="6"/>
        <v>CCCRNimOrlu</v>
      </c>
    </row>
    <row r="403">
      <c r="AV403" s="0" t="s">
        <v>473</v>
      </c>
      <c r="AW403" s="0" t="s">
        <v>286</v>
      </c>
      <c r="AX403" s="0" t="s">
        <v>947</v>
      </c>
      <c r="AY403" s="0" t="s">
        <v>1849</v>
      </c>
      <c r="AZ403" s="0" t="s">
        <v>1850</v>
      </c>
      <c r="BA403" s="0" t="s">
        <v>285</v>
      </c>
      <c r="BB403" s="0" t="str">
        <f t="shared" si="6"/>
        <v>CCCRNimOrsu</v>
      </c>
    </row>
    <row r="404">
      <c r="AV404" s="0" t="s">
        <v>473</v>
      </c>
      <c r="AW404" s="0" t="s">
        <v>286</v>
      </c>
      <c r="AX404" s="0" t="s">
        <v>969</v>
      </c>
      <c r="AY404" s="0" t="s">
        <v>1851</v>
      </c>
      <c r="AZ404" s="0" t="s">
        <v>1852</v>
      </c>
      <c r="BA404" s="0" t="s">
        <v>285</v>
      </c>
      <c r="BB404" s="0" t="str">
        <f t="shared" si="6"/>
        <v>CCCRNimOruEast</v>
      </c>
    </row>
    <row r="405">
      <c r="AV405" s="0" t="s">
        <v>473</v>
      </c>
      <c r="AW405" s="0" t="s">
        <v>286</v>
      </c>
      <c r="AX405" s="0" t="s">
        <v>969</v>
      </c>
      <c r="AY405" s="0" t="s">
        <v>1853</v>
      </c>
      <c r="AZ405" s="0" t="s">
        <v>1854</v>
      </c>
      <c r="BA405" s="0" t="s">
        <v>285</v>
      </c>
      <c r="BB405" s="0" t="str">
        <f t="shared" si="6"/>
        <v>CCCRNimOruEast</v>
      </c>
    </row>
    <row r="406">
      <c r="AV406" s="0" t="s">
        <v>473</v>
      </c>
      <c r="AW406" s="0" t="s">
        <v>286</v>
      </c>
      <c r="AX406" s="0" t="s">
        <v>969</v>
      </c>
      <c r="AY406" s="0" t="s">
        <v>1855</v>
      </c>
      <c r="AZ406" s="0" t="s">
        <v>1856</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