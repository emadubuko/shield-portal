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<sst xmlns="http://schemas.openxmlformats.org/spreadsheetml/2006/main" count="4033" uniqueCount="4033">
  <si>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</si>
  <si>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</si>
  <si>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</si>
  <si>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</si>
  <si>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</si>
  <si>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</si>
  <si>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</si>
  <si>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</si>
  <si>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</si>
  <si>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</si>
  <si>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</si>
  <si>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</si>
  <si>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</si>
  <si>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</si>
  <si>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</si>
  <si>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</si>
  <si>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</si>
  <si>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</si>
  <si>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</si>
  <si>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</si>
  <si>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</si>
  <si>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</si>
  <si>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</si>
  <si>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</si>
  <si>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</si>
  <si>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</si>
  <si>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</si>
  <si>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</si>
  <si>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</si>
  <si>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</si>
  <si>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</si>
  <si>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</si>
  <si>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</si>
  <si>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</si>
  <si>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</si>
  <si>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</si>
  <si>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</si>
  <si>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</si>
  <si>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</si>
  <si>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</si>
  <si>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</si>
  <si>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</si>
  <si>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</si>
  <si>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</si>
  <si>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</si>
  <si>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</si>
  <si>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</si>
  <si>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</si>
  <si>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</si>
  <si>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</si>
  <si>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</si>
  <si>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</si>
  <si>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</si>
  <si>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</si>
  <si>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</si>
  <si>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</si>
  <si>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</si>
  <si>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</si>
  <si>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</si>
  <si>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</si>
  <si>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</si>
  <si>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</si>
  <si>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</si>
  <si>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</si>
  <si>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</si>
  <si>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</si>
  <si>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</si>
  <si>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</si>
  <si>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</si>
  <si>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</si>
  <si>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</si>
  <si>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</si>
  <si>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</si>
  <si>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</si>
  <si>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</si>
  <si>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</si>
  <si>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</si>
  <si>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</si>
  <si>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</si>
  <si>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</si>
  <si>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</si>
  <si>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</si>
  <si>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</si>
  <si>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</si>
  <si>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</si>
  <si>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</si>
  <si>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</si>
  <si>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</si>
  <si>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</si>
  <si>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</si>
  <si>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</si>
  <si>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</si>
  <si>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</si>
  <si>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</si>
  <si>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</si>
  <si>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</si>
  <si>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</si>
  <si>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</si>
  <si>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</si>
  <si>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</si>
  <si>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</si>
  <si>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</si>
  <si>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</si>
  <si>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</si>
  <si>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</si>
  <si>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</si>
  <si>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</si>
  <si>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</si>
  <si>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</si>
  <si>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</si>
  <si>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</si>
  <si>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</si>
  <si>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</si>
  <si>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</si>
  <si>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</si>
  <si>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</si>
  <si>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</si>
  <si>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</si>
  <si>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</si>
  <si>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</si>
  <si>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</si>
  <si>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</si>
  <si>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</si>
  <si>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</si>
  <si>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</si>
  <si>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</si>
  <si>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</si>
  <si>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</si>
  <si>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</si>
  <si>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</si>
  <si>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</si>
  <si>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</si>
  <si>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</si>
  <si>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</si>
  <si>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</si>
  <si>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</si>
  <si>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</si>
  <si>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</si>
  <si>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</si>
  <si>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</si>
  <si>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</si>
  <si>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</si>
  <si>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</si>
  <si>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</si>
  <si>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</si>
  <si>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</si>
  <si>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</si>
  <si>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</si>
  <si>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</si>
  <si>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</si>
  <si>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</si>
  <si>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</si>
  <si>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</si>
  <si>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</si>
  <si>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</si>
  <si>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</si>
  <si>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</si>
  <si>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</si>
  <si>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</si>
  <si>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</si>
  <si>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</si>
  <si>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</si>
  <si>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</si>
  <si>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</si>
  <si>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</si>
  <si>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</si>
  <si>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</si>
  <si>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</si>
  <si>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</si>
  <si>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</si>
  <si>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</si>
  <si>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</si>
  <si>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</si>
  <si>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</si>
  <si>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</si>
  <si>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</si>
  <si>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</si>
  <si>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</si>
  <si>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</si>
  <si>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</si>
  <si>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</si>
  <si>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</si>
  <si>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</si>
  <si>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</si>
  <si>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</si>
  <si>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</si>
  <si>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</si>
  <si>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</si>
  <si>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</si>
  <si>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</si>
  <si>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</si>
  <si>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</si>
  <si>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</si>
  <si>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</si>
  <si>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</si>
  <si>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</si>
  <si>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</si>
  <si>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</si>
  <si>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</si>
  <si>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</si>
  <si>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</si>
  <si>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</si>
  <si>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</si>
  <si>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</si>
  <si>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</si>
  <si>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</si>
  <si>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</si>
  <si>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</si>
  <si>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</si>
  <si>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</si>
  <si>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</si>
  <si>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</si>
  <si>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</si>
  <si>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</si>
  <si>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</si>
  <si>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</si>
  <si>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</si>
  <si>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</si>
  <si>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</si>
  <si>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</si>
  <si>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</si>
  <si>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</si>
  <si>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</si>
  <si>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</si>
  <si>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</si>
  <si>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</si>
  <si>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</si>
  <si>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</si>
  <si>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</si>
  <si>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</si>
  <si>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</si>
  <si>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</si>
  <si>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</si>
  <si>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</si>
  <si>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</si>
  <si>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</si>
  <si>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</si>
  <si>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</si>
  <si>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</si>
  <si>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</si>
  <si>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</si>
  <si>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</si>
  <si>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</si>
  <si>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</si>
  <si>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</si>
  <si>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</si>
  <si>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</si>
  <si>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</si>
  <si>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</si>
  <si>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</si>
  <si>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</si>
  <si>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</si>
  <si>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</si>
  <si>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</si>
  <si>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</si>
  <si>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</si>
  <si>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</si>
  <si>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</si>
  <si>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</si>
  <si>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</si>
  <si>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</si>
  <si>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</si>
  <si>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</si>
  <si>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</si>
  <si>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</si>
  <si>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</si>
  <si>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</si>
  <si>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</si>
  <si>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</si>
  <si>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</si>
  <si>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</si>
  <si>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</si>
  <si>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</si>
  <si>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</si>
  <si>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</si>
  <si>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</si>
  <si>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</si>
  <si>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</si>
  <si>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</si>
  <si>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</si>
  <si>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</si>
  <si>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</si>
  <si>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</si>
  <si>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</si>
  <si>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</si>
  <si>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</si>
  <si>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</si>
  <si>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Doma</t>
  </si>
  <si>
    <t>Facility Name:</t>
  </si>
  <si>
    <t>Sabo Clinic</t>
  </si>
  <si>
    <t>Reporting Period:</t>
  </si>
  <si>
    <t>Q1(Oct - Dec)</t>
  </si>
  <si>
    <t>Facility Code:</t>
  </si>
  <si>
    <t>PRRdNaG3twk</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</si>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</sst>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1549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352</v>
      </c>
      <c r="E9" s="299">
        <v>352</v>
      </c>
      <c r="F9" s="299">
        <v>352</v>
      </c>
      <c r="G9" s="207" t="s">
        <v>67</v>
      </c>
    </row>
    <row r="10" ht="45" customHeight="1">
      <c r="A10" s="226"/>
      <c r="B10" s="238">
        <v>1113</v>
      </c>
      <c r="C10" s="242" t="s">
        <v>83</v>
      </c>
      <c r="D10" s="299">
        <v>500</v>
      </c>
      <c r="E10" s="299">
        <v>603</v>
      </c>
      <c r="F10" s="299">
        <v>301</v>
      </c>
      <c r="G10" s="207" t="s">
        <v>67</v>
      </c>
    </row>
    <row r="11" ht="45" customHeight="1">
      <c r="A11" s="226"/>
      <c r="B11" s="238">
        <v>1114</v>
      </c>
      <c r="C11" s="243" t="s">
        <v>84</v>
      </c>
      <c r="D11" s="299">
        <v>500</v>
      </c>
      <c r="E11" s="299">
        <v>603</v>
      </c>
      <c r="F11" s="299">
        <v>301</v>
      </c>
      <c r="G11" s="207" t="s">
        <v>67</v>
      </c>
    </row>
    <row r="12" ht="45" customHeight="1">
      <c r="A12" s="226"/>
      <c r="B12" s="238">
        <v>1115</v>
      </c>
      <c r="C12" s="242" t="s">
        <v>85</v>
      </c>
      <c r="D12" s="299">
        <v>500</v>
      </c>
      <c r="E12" s="299">
        <v>603</v>
      </c>
      <c r="F12" s="299">
        <v>301</v>
      </c>
      <c r="G12" s="207" t="s">
        <v>67</v>
      </c>
    </row>
    <row r="13" ht="45" customHeight="1">
      <c r="A13" s="226" t="s">
        <v>86</v>
      </c>
      <c r="B13" s="238">
        <v>1116</v>
      </c>
      <c r="C13" s="242" t="s">
        <v>87</v>
      </c>
      <c r="D13" s="299">
        <v>122</v>
      </c>
      <c r="E13" s="299">
        <v>25</v>
      </c>
      <c r="F13" s="299">
        <v>25</v>
      </c>
      <c r="G13" s="207" t="s">
        <v>67</v>
      </c>
    </row>
    <row r="14" ht="45" customHeight="1">
      <c r="A14" s="226"/>
      <c r="B14" s="238">
        <v>1117</v>
      </c>
      <c r="C14" s="242" t="s">
        <v>88</v>
      </c>
      <c r="D14" s="299">
        <v>122</v>
      </c>
      <c r="E14" s="299">
        <v>25</v>
      </c>
      <c r="F14" s="299">
        <v>25</v>
      </c>
      <c r="G14" s="207" t="s">
        <v>67</v>
      </c>
    </row>
    <row r="15" ht="45" customHeight="1">
      <c r="A15" s="226">
        <v>1116</v>
      </c>
      <c r="B15" s="238">
        <v>1121</v>
      </c>
      <c r="C15" s="243" t="str">
        <f>C13</f>
        <v>How many HTC clients have a completed Client intake form </v>
      </c>
      <c r="D15" s="300">
        <v>122</v>
      </c>
      <c r="E15" s="300">
        <v>25</v>
      </c>
      <c r="F15" s="300">
        <v>25</v>
      </c>
      <c r="G15" s="207"/>
    </row>
    <row r="16" ht="45" customHeight="1">
      <c r="A16" s="226"/>
      <c r="B16" s="238">
        <v>1122</v>
      </c>
      <c r="C16" s="243" t="s">
        <v>89</v>
      </c>
      <c r="D16" s="299">
        <v>122</v>
      </c>
      <c r="E16" s="299">
        <v>25</v>
      </c>
      <c r="F16" s="299">
        <v>25</v>
      </c>
      <c r="G16" s="207" t="s">
        <v>67</v>
      </c>
    </row>
    <row r="17" ht="45" customHeight="1">
      <c r="A17" s="226"/>
      <c r="B17" s="238">
        <v>1123</v>
      </c>
      <c r="C17" s="242" t="s">
        <v>90</v>
      </c>
      <c r="D17" s="299">
        <v>122</v>
      </c>
      <c r="E17" s="299">
        <v>25</v>
      </c>
      <c r="F17" s="299">
        <v>25</v>
      </c>
      <c r="G17" s="207" t="s">
        <v>67</v>
      </c>
    </row>
    <row r="18" ht="45" customHeight="1">
      <c r="A18" s="226"/>
      <c r="B18" s="238">
        <v>1124</v>
      </c>
      <c r="C18" s="242" t="s">
        <v>91</v>
      </c>
      <c r="D18" s="299">
        <v>122</v>
      </c>
      <c r="E18" s="299">
        <v>25</v>
      </c>
      <c r="F18" s="299">
        <v>25</v>
      </c>
      <c r="G18" s="207" t="s">
        <v>67</v>
      </c>
    </row>
    <row r="19" ht="45" customHeight="1">
      <c r="A19" s="226"/>
      <c r="B19" s="238">
        <v>1125</v>
      </c>
      <c r="C19" s="242" t="s">
        <v>92</v>
      </c>
      <c r="D19" s="299">
        <v>30</v>
      </c>
      <c r="E19" s="299">
        <v>28</v>
      </c>
      <c r="F19" s="299">
        <v>39</v>
      </c>
      <c r="G19" s="207" t="s">
        <v>67</v>
      </c>
    </row>
    <row r="20" ht="45" customHeight="1">
      <c r="A20" s="226"/>
      <c r="B20" s="238">
        <v>1126</v>
      </c>
      <c r="C20" s="242" t="s">
        <v>93</v>
      </c>
      <c r="D20" s="299">
        <v>20</v>
      </c>
      <c r="E20" s="299">
        <v>20</v>
      </c>
      <c r="F20" s="299">
        <v>20</v>
      </c>
      <c r="G20" s="207" t="s">
        <v>67</v>
      </c>
    </row>
    <row r="21" ht="45" customHeight="1">
      <c r="A21" s="226"/>
      <c r="B21" s="238">
        <v>1127</v>
      </c>
      <c r="C21" s="242" t="s">
        <v>94</v>
      </c>
      <c r="D21" s="299">
        <v>30</v>
      </c>
      <c r="E21" s="299">
        <v>28</v>
      </c>
      <c r="F21" s="299">
        <v>39</v>
      </c>
      <c r="G21" s="207" t="s">
        <v>67</v>
      </c>
    </row>
    <row r="22" ht="45" customHeight="1">
      <c r="A22" s="226"/>
      <c r="B22" s="238"/>
      <c r="C22" s="245" t="s">
        <v>95</v>
      </c>
      <c r="D22" s="246"/>
      <c r="E22" s="246"/>
      <c r="F22" s="247"/>
      <c r="G22" s="207" t="s">
        <v>67</v>
      </c>
    </row>
    <row r="23" ht="45" customHeight="1">
      <c r="A23" s="226"/>
      <c r="B23" s="238">
        <v>1131</v>
      </c>
      <c r="C23" s="242" t="s">
        <v>96</v>
      </c>
      <c r="D23" s="299">
        <v>56</v>
      </c>
      <c r="E23" s="299">
        <v>7</v>
      </c>
      <c r="F23" s="299">
        <v>21</v>
      </c>
      <c r="G23" s="207" t="s">
        <v>67</v>
      </c>
    </row>
    <row r="24" ht="45" customHeight="1">
      <c r="A24" s="226"/>
      <c r="B24" s="238">
        <v>1132</v>
      </c>
      <c r="C24" s="242" t="s">
        <v>97</v>
      </c>
      <c r="D24" s="299">
        <v>66</v>
      </c>
      <c r="E24" s="299">
        <v>18</v>
      </c>
      <c r="F24" s="299">
        <v>34</v>
      </c>
      <c r="G24" s="207" t="s">
        <v>67</v>
      </c>
    </row>
    <row r="25" ht="45" customHeight="1">
      <c r="A25" s="226"/>
      <c r="B25" s="238">
        <v>1133</v>
      </c>
      <c r="C25" s="242" t="s">
        <v>98</v>
      </c>
      <c r="D25" s="299">
        <v>371</v>
      </c>
      <c r="E25" s="299">
        <v>353</v>
      </c>
      <c r="F25" s="299">
        <v>192</v>
      </c>
      <c r="G25" s="207" t="s">
        <v>67</v>
      </c>
    </row>
    <row r="26" ht="45" customHeight="1">
      <c r="A26" s="226"/>
      <c r="B26" s="238">
        <v>1134</v>
      </c>
      <c r="C26" s="242" t="s">
        <v>99</v>
      </c>
      <c r="D26" s="299">
        <v>130</v>
      </c>
      <c r="E26" s="299">
        <v>252</v>
      </c>
      <c r="F26" s="299">
        <v>110</v>
      </c>
      <c r="G26" s="207" t="s">
        <v>67</v>
      </c>
    </row>
    <row r="27" ht="45" customHeight="1">
      <c r="A27" s="226"/>
      <c r="B27" s="238">
        <v>1135</v>
      </c>
      <c r="C27" s="242" t="s">
        <v>100</v>
      </c>
      <c r="D27" s="299">
        <v>228</v>
      </c>
      <c r="E27" s="299">
        <v>42</v>
      </c>
      <c r="F27" s="299">
        <v>54</v>
      </c>
      <c r="G27" s="207" t="s">
        <v>67</v>
      </c>
    </row>
    <row r="28" ht="45" customHeight="1">
      <c r="A28" s="226"/>
      <c r="B28" s="238">
        <v>1136</v>
      </c>
      <c r="C28" s="242" t="s">
        <v>101</v>
      </c>
      <c r="D28" s="299">
        <v>1</v>
      </c>
      <c r="E28" s="299">
        <v>0</v>
      </c>
      <c r="F28" s="299">
        <v>0</v>
      </c>
      <c r="G28" s="207" t="s">
        <v>67</v>
      </c>
    </row>
    <row r="29" ht="45" customHeight="1">
      <c r="A29" s="226"/>
      <c r="B29" s="238">
        <v>1137</v>
      </c>
      <c r="C29" s="242" t="s">
        <v>102</v>
      </c>
      <c r="D29" s="299">
        <v>38</v>
      </c>
      <c r="E29" s="299">
        <v>2</v>
      </c>
      <c r="F29" s="299">
        <v>3</v>
      </c>
      <c r="G29" s="207" t="s">
        <v>67</v>
      </c>
    </row>
    <row r="30" ht="45" customHeight="1">
      <c r="A30" s="226"/>
      <c r="B30" s="238">
        <v>1138</v>
      </c>
      <c r="C30" s="242" t="s">
        <v>103</v>
      </c>
      <c r="D30" s="299">
        <v>480</v>
      </c>
      <c r="E30" s="299">
        <v>601</v>
      </c>
      <c r="F30" s="299">
        <v>298</v>
      </c>
      <c r="G30" s="207" t="s">
        <v>67</v>
      </c>
    </row>
    <row r="31" ht="45" customHeight="1">
      <c r="A31" s="226">
        <v>1116</v>
      </c>
      <c r="B31" s="238">
        <v>1141</v>
      </c>
      <c r="C31" s="242" t="s">
        <v>104</v>
      </c>
      <c r="D31" s="300">
        <v>122</v>
      </c>
      <c r="E31" s="300">
        <v>25</v>
      </c>
      <c r="F31" s="300">
        <v>25</v>
      </c>
      <c r="G31" s="207"/>
    </row>
    <row r="32" ht="45" customHeight="1">
      <c r="A32" s="226"/>
      <c r="B32" s="238">
        <v>1142</v>
      </c>
      <c r="C32" s="243" t="s">
        <v>105</v>
      </c>
      <c r="D32" s="300">
        <v>122</v>
      </c>
      <c r="E32" s="300">
        <v>25</v>
      </c>
      <c r="F32" s="300">
        <v>25</v>
      </c>
      <c r="G32" s="207"/>
    </row>
    <row r="33" ht="45" customHeight="1">
      <c r="A33" s="226"/>
      <c r="B33" s="238">
        <v>1143</v>
      </c>
      <c r="C33" s="242" t="s">
        <v>106</v>
      </c>
      <c r="D33" s="299">
        <v>501</v>
      </c>
      <c r="E33" s="299">
        <v>605</v>
      </c>
      <c r="F33" s="299">
        <v>302</v>
      </c>
      <c r="G33" s="207" t="s">
        <v>67</v>
      </c>
    </row>
    <row r="34" ht="45" customHeight="1">
      <c r="A34" s="226"/>
      <c r="B34" s="238">
        <v>1144</v>
      </c>
      <c r="C34" s="242" t="s">
        <v>107</v>
      </c>
      <c r="D34" s="299">
        <v>483</v>
      </c>
      <c r="E34" s="299">
        <v>603</v>
      </c>
      <c r="F34" s="299">
        <v>301</v>
      </c>
      <c r="G34" s="207" t="s">
        <v>67</v>
      </c>
    </row>
    <row r="35" ht="45" customHeight="1">
      <c r="A35" s="226"/>
      <c r="B35" s="238">
        <v>1145</v>
      </c>
      <c r="C35" s="242" t="s">
        <v>108</v>
      </c>
      <c r="D35" s="299">
        <v>501</v>
      </c>
      <c r="E35" s="299">
        <v>603</v>
      </c>
      <c r="F35" s="299">
        <v>301</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371</v>
      </c>
      <c r="E37" s="299">
        <v>353</v>
      </c>
      <c r="F37" s="299">
        <v>192</v>
      </c>
      <c r="G37" s="207" t="s">
        <v>67</v>
      </c>
    </row>
    <row r="38" ht="45" customHeight="1">
      <c r="A38" s="226"/>
      <c r="B38" s="238">
        <v>1153</v>
      </c>
      <c r="C38" s="242" t="s">
        <v>111</v>
      </c>
      <c r="D38" s="299">
        <v>371</v>
      </c>
      <c r="E38" s="299">
        <v>395</v>
      </c>
      <c r="F38" s="299">
        <v>194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371</v>
      </c>
      <c r="E40" s="299">
        <v>353</v>
      </c>
      <c r="F40" s="299">
        <v>192</v>
      </c>
      <c r="G40" s="207" t="s">
        <v>67</v>
      </c>
    </row>
    <row r="41" ht="45" customHeight="1">
      <c r="A41" s="226"/>
      <c r="B41" s="238">
        <v>1156</v>
      </c>
      <c r="C41" s="242" t="s">
        <v>113</v>
      </c>
      <c r="D41" s="299">
        <v>371</v>
      </c>
      <c r="E41" s="299">
        <v>395</v>
      </c>
      <c r="F41" s="299">
        <v>194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2</v>
      </c>
      <c r="F43" s="299">
        <v>2</v>
      </c>
      <c r="G43" s="207" t="s">
        <v>67</v>
      </c>
    </row>
    <row r="44" ht="45" customHeight="1" s="250" customFormat="1">
      <c r="A44" s="226"/>
      <c r="B44" s="238">
        <v>1159</v>
      </c>
      <c r="C44" s="242" t="s">
        <v>116</v>
      </c>
      <c r="D44" s="299">
        <v>2</v>
      </c>
      <c r="E44" s="299">
        <v>2</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95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29</v>
      </c>
      <c r="E53" s="299">
        <v>32</v>
      </c>
      <c r="F53" s="299">
        <v>34</v>
      </c>
      <c r="G53" s="207" t="s">
        <v>117</v>
      </c>
    </row>
    <row r="54" ht="45" customHeight="1">
      <c r="A54" s="226"/>
      <c r="B54" s="238">
        <v>1214</v>
      </c>
      <c r="C54" s="264" t="s">
        <v>132</v>
      </c>
      <c r="D54" s="299">
        <v>29</v>
      </c>
      <c r="E54" s="299">
        <v>32</v>
      </c>
      <c r="F54" s="299">
        <v>34</v>
      </c>
      <c r="G54" s="207" t="s">
        <v>117</v>
      </c>
    </row>
    <row r="55" ht="45" customHeight="1">
      <c r="A55" s="226"/>
      <c r="B55" s="238">
        <v>1215</v>
      </c>
      <c r="C55" s="242" t="s">
        <v>133</v>
      </c>
      <c r="D55" s="299">
        <v>39</v>
      </c>
      <c r="E55" s="299">
        <v>32</v>
      </c>
      <c r="F55" s="299">
        <v>34</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1</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29</v>
      </c>
      <c r="E67" s="299">
        <v>32</v>
      </c>
      <c r="F67" s="299">
        <v>34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32</v>
      </c>
      <c r="E71" s="299">
        <v>35</v>
      </c>
      <c r="F71" s="299">
        <v>41</v>
      </c>
      <c r="G71" s="207" t="s">
        <v>117</v>
      </c>
    </row>
    <row r="72" ht="45" customHeight="1">
      <c r="A72" s="226"/>
      <c r="B72" s="238">
        <v>1236</v>
      </c>
      <c r="C72" s="242" t="s">
        <v>150</v>
      </c>
      <c r="D72" s="299">
        <v>4</v>
      </c>
      <c r="E72" s="299">
        <v>0</v>
      </c>
      <c r="F72" s="299">
        <v>0</v>
      </c>
      <c r="G72" s="207" t="s">
        <v>117</v>
      </c>
    </row>
    <row r="73" ht="45" customHeight="1">
      <c r="A73" s="226"/>
      <c r="B73" s="238">
        <v>1241</v>
      </c>
      <c r="C73" s="242" t="s">
        <v>151</v>
      </c>
      <c r="D73" s="299">
        <v>29</v>
      </c>
      <c r="E73" s="299">
        <v>32</v>
      </c>
      <c r="F73" s="299">
        <v>34</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28</v>
      </c>
      <c r="E75" s="299">
        <v>32</v>
      </c>
      <c r="F75" s="299">
        <v>34</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36</v>
      </c>
      <c r="E77" s="299">
        <v>35</v>
      </c>
      <c r="F77" s="299">
        <v>41</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28</v>
      </c>
      <c r="E79" s="299">
        <v>32</v>
      </c>
      <c r="F79" s="299">
        <v>34</v>
      </c>
      <c r="G79" s="207" t="s">
        <v>117</v>
      </c>
    </row>
    <row r="80" ht="45" customHeight="1">
      <c r="A80" s="226"/>
      <c r="B80" s="238">
        <v>1248</v>
      </c>
      <c r="C80" s="242" t="s">
        <v>158</v>
      </c>
      <c r="D80" s="299">
        <v>1</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39</v>
      </c>
      <c r="E82" s="299">
        <v>35</v>
      </c>
      <c r="F82" s="299">
        <v>43</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1</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6</v>
      </c>
      <c r="E93" s="299">
        <v>0</v>
      </c>
      <c r="F93" s="299">
        <v>2</v>
      </c>
      <c r="G93" s="265" t="s">
        <v>168</v>
      </c>
    </row>
    <row r="94" ht="45" customHeight="1">
      <c r="A94" s="226"/>
      <c r="B94" s="238">
        <v>1314</v>
      </c>
      <c r="C94" s="268" t="s">
        <v>173</v>
      </c>
      <c r="D94" s="299">
        <v>6</v>
      </c>
      <c r="E94" s="299">
        <v>0</v>
      </c>
      <c r="F94" s="299">
        <v>2</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3</v>
      </c>
      <c r="E96" s="299">
        <v>0</v>
      </c>
      <c r="F96" s="299">
        <v>1</v>
      </c>
      <c r="G96" s="265" t="s">
        <v>168</v>
      </c>
    </row>
    <row r="97" ht="45" customHeight="1" s="269" customFormat="1">
      <c r="A97" s="226"/>
      <c r="B97" s="238">
        <v>1321</v>
      </c>
      <c r="C97" s="242" t="s">
        <v>176</v>
      </c>
      <c r="D97" s="299">
        <v>6</v>
      </c>
      <c r="E97" s="299">
        <v>0</v>
      </c>
      <c r="F97" s="299">
        <v>2</v>
      </c>
      <c r="G97" s="265" t="s">
        <v>168</v>
      </c>
    </row>
    <row r="98" ht="45" customHeight="1" s="269" customFormat="1">
      <c r="A98" s="226"/>
      <c r="B98" s="238">
        <v>1322</v>
      </c>
      <c r="C98" s="242" t="s">
        <v>177</v>
      </c>
      <c r="D98" s="299">
        <v>6</v>
      </c>
      <c r="E98" s="299">
        <v>0</v>
      </c>
      <c r="F98" s="299">
        <v>2</v>
      </c>
      <c r="G98" s="265" t="s">
        <v>168</v>
      </c>
    </row>
    <row r="99" ht="45" customHeight="1" s="269" customFormat="1">
      <c r="A99" s="226"/>
      <c r="B99" s="238">
        <v>1323</v>
      </c>
      <c r="C99" s="242" t="s">
        <v>178</v>
      </c>
      <c r="D99" s="299">
        <v>3</v>
      </c>
      <c r="E99" s="299">
        <v>0</v>
      </c>
      <c r="F99" s="299">
        <v>1</v>
      </c>
      <c r="G99" s="265" t="s">
        <v>168</v>
      </c>
    </row>
    <row r="100" ht="45" customHeight="1" s="269" customFormat="1">
      <c r="A100" s="226"/>
      <c r="B100" s="238">
        <v>1324</v>
      </c>
      <c r="C100" s="242" t="s">
        <v>179</v>
      </c>
      <c r="D100" s="299">
        <v>3</v>
      </c>
      <c r="E100" s="299">
        <v>0</v>
      </c>
      <c r="F100" s="299">
        <v>1</v>
      </c>
      <c r="G100" s="265" t="s">
        <v>168</v>
      </c>
    </row>
    <row r="101" ht="45" customHeight="1" s="269" customFormat="1">
      <c r="A101" s="226"/>
      <c r="B101" s="238">
        <v>1331</v>
      </c>
      <c r="C101" s="242" t="s">
        <v>180</v>
      </c>
      <c r="D101" s="299">
        <v>1</v>
      </c>
      <c r="E101" s="299">
        <v>0</v>
      </c>
      <c r="F101" s="299">
        <v>0</v>
      </c>
      <c r="G101" s="265" t="s">
        <v>168</v>
      </c>
    </row>
    <row r="102" ht="45" customHeight="1" s="269" customFormat="1">
      <c r="A102" s="226"/>
      <c r="B102" s="238">
        <v>1332</v>
      </c>
      <c r="C102" s="242" t="s">
        <v>181</v>
      </c>
      <c r="D102" s="299">
        <v>3</v>
      </c>
      <c r="E102" s="299">
        <v>0</v>
      </c>
      <c r="F102" s="299">
        <v>1</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2</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8</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5</v>
      </c>
      <c r="E119" s="299">
        <v>0</v>
      </c>
      <c r="F119" s="299">
        <v>2</v>
      </c>
      <c r="G119" s="207" t="s">
        <v>194</v>
      </c>
    </row>
    <row r="120" ht="45" customHeight="1" s="269" customFormat="1">
      <c r="A120" s="226"/>
      <c r="B120" s="238">
        <v>1414</v>
      </c>
      <c r="C120" s="243" t="s">
        <v>198</v>
      </c>
      <c r="D120" s="299">
        <v>5</v>
      </c>
      <c r="E120" s="299">
        <v>0</v>
      </c>
      <c r="F120" s="299">
        <v>2</v>
      </c>
      <c r="G120" s="207" t="s">
        <v>194</v>
      </c>
    </row>
    <row r="121" ht="45" customHeight="1" s="269" customFormat="1">
      <c r="A121" s="226"/>
      <c r="B121" s="238">
        <v>1422</v>
      </c>
      <c r="C121" s="242" t="s">
        <v>199</v>
      </c>
      <c r="D121" s="299">
        <v>5</v>
      </c>
      <c r="E121" s="299">
        <v>0</v>
      </c>
      <c r="F121" s="299">
        <v>2</v>
      </c>
      <c r="G121" s="207" t="s">
        <v>194</v>
      </c>
    </row>
    <row r="122" ht="45" customHeight="1" s="269" customFormat="1">
      <c r="A122" s="226"/>
      <c r="B122" s="238">
        <v>1423</v>
      </c>
      <c r="C122" s="242" t="s">
        <v>200</v>
      </c>
      <c r="D122" s="299">
        <v>5</v>
      </c>
      <c r="E122" s="299">
        <v>0</v>
      </c>
      <c r="F122" s="299">
        <v>2</v>
      </c>
      <c r="G122" s="207" t="s">
        <v>194</v>
      </c>
    </row>
    <row r="123" ht="45" customHeight="1" s="269" customFormat="1">
      <c r="A123" s="226"/>
      <c r="B123" s="238">
        <v>1424</v>
      </c>
      <c r="C123" s="242" t="s">
        <v>201</v>
      </c>
      <c r="D123" s="299">
        <v>5</v>
      </c>
      <c r="E123" s="299">
        <v>0</v>
      </c>
      <c r="F123" s="299">
        <v>2</v>
      </c>
      <c r="G123" s="207" t="s">
        <v>194</v>
      </c>
    </row>
    <row r="124" ht="45" customHeight="1" s="269" customFormat="1">
      <c r="A124" s="226"/>
      <c r="B124" s="238">
        <v>1425</v>
      </c>
      <c r="C124" s="242" t="s">
        <v>202</v>
      </c>
      <c r="D124" s="299">
        <v>5</v>
      </c>
      <c r="E124" s="299">
        <v>0</v>
      </c>
      <c r="F124" s="299">
        <v>2</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5</v>
      </c>
      <c r="E126" s="299">
        <v>0</v>
      </c>
      <c r="F126" s="299">
        <v>1</v>
      </c>
      <c r="G126" s="207" t="s">
        <v>194</v>
      </c>
    </row>
    <row r="127" ht="45" customHeight="1" s="269" customFormat="1">
      <c r="A127" s="226"/>
      <c r="B127" s="238">
        <v>1432</v>
      </c>
      <c r="C127" s="242" t="s">
        <v>206</v>
      </c>
      <c r="D127" s="299">
        <v>0</v>
      </c>
      <c r="E127" s="299">
        <v>0</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5</v>
      </c>
      <c r="E130" s="299">
        <v>0</v>
      </c>
      <c r="F130" s="299">
        <v>2</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4</v>
      </c>
      <c r="F133" s="299">
        <v>4</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5</v>
      </c>
      <c r="E135" s="299">
        <v>0</v>
      </c>
      <c r="F135" s="299">
        <v>2</v>
      </c>
      <c r="G135" s="207" t="s">
        <v>194</v>
      </c>
    </row>
    <row r="136" ht="45" customHeight="1" s="269" customFormat="1">
      <c r="A136" s="226"/>
      <c r="B136" s="238">
        <v>1453</v>
      </c>
      <c r="C136" s="242" t="s">
        <v>215</v>
      </c>
      <c r="D136" s="299">
        <v>0</v>
      </c>
      <c r="E136" s="299">
        <v>4</v>
      </c>
      <c r="F136" s="299">
        <v>4</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5</v>
      </c>
      <c r="E138" s="299">
        <v>0</v>
      </c>
      <c r="F138" s="299">
        <v>2</v>
      </c>
      <c r="G138" s="207" t="s">
        <v>194</v>
      </c>
    </row>
    <row r="139" ht="45" customHeight="1">
      <c r="A139" s="226"/>
      <c r="B139" s="238">
        <v>1456</v>
      </c>
      <c r="C139" s="242" t="s">
        <v>218</v>
      </c>
      <c r="D139" s="299">
        <v>0</v>
      </c>
      <c r="E139" s="299">
        <v>4</v>
      </c>
      <c r="F139" s="299">
        <v>4</v>
      </c>
      <c r="G139" s="207" t="s">
        <v>194</v>
      </c>
    </row>
    <row r="140" ht="45" customHeight="1">
      <c r="A140" s="226"/>
      <c r="B140" s="273"/>
      <c r="D140" s="271"/>
      <c r="E140" s="244"/>
      <c r="F140" s="244"/>
      <c r="G140" s="207"/>
    </row>
    <row r="141" ht="45" customHeight="1">
      <c r="A141" s="226"/>
      <c r="B141" s="227" t="s">
        <v>219</v>
      </c>
      <c r="C141" s="228" t="s">
        <v>220</v>
      </c>
      <c r="D141" s="228"/>
      <c r="E141" s="258"/>
      <c r="F141" s="298">
        <v>8</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4</v>
      </c>
      <c r="E144" s="299">
        <v>2</v>
      </c>
      <c r="F144" s="299">
        <v>3</v>
      </c>
      <c r="G144" s="207" t="s">
        <v>219</v>
      </c>
    </row>
    <row r="145" ht="45" customHeight="1">
      <c r="A145" s="226"/>
      <c r="B145" s="238">
        <v>1514</v>
      </c>
      <c r="C145" s="264" t="s">
        <v>225</v>
      </c>
      <c r="D145" s="299">
        <v>4</v>
      </c>
      <c r="E145" s="299">
        <v>2</v>
      </c>
      <c r="F145" s="299">
        <v>3</v>
      </c>
      <c r="G145" s="207" t="s">
        <v>219</v>
      </c>
    </row>
    <row r="146" ht="45" customHeight="1">
      <c r="A146" s="226">
        <v>1541</v>
      </c>
      <c r="B146" s="238">
        <v>1515</v>
      </c>
      <c r="C146" s="264" t="s">
        <v>226</v>
      </c>
      <c r="D146" s="299">
        <v>4</v>
      </c>
      <c r="E146" s="299">
        <v>2</v>
      </c>
      <c r="F146" s="299">
        <v>3</v>
      </c>
      <c r="G146" s="207" t="s">
        <v>219</v>
      </c>
    </row>
    <row r="147" ht="45" customHeight="1">
      <c r="A147" s="226"/>
      <c r="B147" s="238">
        <v>1521</v>
      </c>
      <c r="C147" s="264" t="s">
        <v>227</v>
      </c>
      <c r="D147" s="299">
        <v>4</v>
      </c>
      <c r="E147" s="299">
        <v>2</v>
      </c>
      <c r="F147" s="299">
        <v>3</v>
      </c>
      <c r="G147" s="207" t="s">
        <v>219</v>
      </c>
    </row>
    <row r="148" ht="45" customHeight="1">
      <c r="A148" s="226"/>
      <c r="B148" s="238">
        <v>1522</v>
      </c>
      <c r="C148" s="264" t="s">
        <v>228</v>
      </c>
      <c r="D148" s="299">
        <v>4</v>
      </c>
      <c r="E148" s="299">
        <v>2</v>
      </c>
      <c r="F148" s="299">
        <v>3</v>
      </c>
      <c r="G148" s="207" t="s">
        <v>219</v>
      </c>
    </row>
    <row r="149" ht="45" customHeight="1">
      <c r="A149" s="226"/>
      <c r="B149" s="238">
        <v>1523</v>
      </c>
      <c r="C149" s="264" t="s">
        <v>229</v>
      </c>
      <c r="D149" s="299">
        <v>4</v>
      </c>
      <c r="E149" s="299">
        <v>0</v>
      </c>
      <c r="F149" s="299">
        <v>3</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1</v>
      </c>
      <c r="G151" s="207" t="s">
        <v>219</v>
      </c>
    </row>
    <row r="152" ht="45" customHeight="1">
      <c r="A152" s="226"/>
      <c r="B152" s="238">
        <v>1532</v>
      </c>
      <c r="C152" s="242" t="s">
        <v>232</v>
      </c>
      <c r="D152" s="299">
        <v>3</v>
      </c>
      <c r="E152" s="299">
        <v>2</v>
      </c>
      <c r="F152" s="299">
        <v>2</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4</v>
      </c>
      <c r="E155" s="299">
        <v>2</v>
      </c>
      <c r="F155" s="299">
        <v>3</v>
      </c>
      <c r="G155" s="207" t="s">
        <v>219</v>
      </c>
    </row>
    <row r="156" ht="45" customHeight="1">
      <c r="A156" s="226"/>
      <c r="B156" s="238">
        <v>1542</v>
      </c>
      <c r="C156" s="264" t="s">
        <v>236</v>
      </c>
      <c r="D156" s="299">
        <v>4</v>
      </c>
      <c r="E156" s="299">
        <v>2</v>
      </c>
      <c r="F156" s="299">
        <v>3</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3</v>
      </c>
      <c r="E158" s="299">
        <v>2</v>
      </c>
      <c r="F158" s="299">
        <v>3</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3</v>
      </c>
      <c r="E161" s="299">
        <v>2</v>
      </c>
      <c r="F161" s="299">
        <v>3</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4</v>
      </c>
      <c r="E163" s="299">
        <v>2</v>
      </c>
      <c r="F163" s="299">
        <v>3</v>
      </c>
      <c r="G163" s="207" t="s">
        <v>219</v>
      </c>
    </row>
    <row r="164" ht="45" customHeight="1">
      <c r="A164" s="226"/>
      <c r="B164" s="238">
        <v>1556</v>
      </c>
      <c r="C164" s="242" t="s">
        <v>241</v>
      </c>
      <c r="D164" s="299">
        <v>4</v>
      </c>
      <c r="E164" s="299">
        <v>2</v>
      </c>
      <c r="F164" s="299">
        <v>3</v>
      </c>
      <c r="G164" s="207" t="s">
        <v>219</v>
      </c>
    </row>
    <row r="165" ht="45" customHeight="1">
      <c r="A165" s="226"/>
      <c r="C165" s="276"/>
      <c r="D165" s="277"/>
      <c r="G165" s="207"/>
    </row>
    <row r="166" ht="45" customHeight="1">
      <c r="A166" s="226"/>
      <c r="B166" s="279" t="s">
        <v>244</v>
      </c>
      <c r="C166" s="260" t="s">
        <v>245</v>
      </c>
      <c r="D166" s="228"/>
      <c r="E166" s="231"/>
      <c r="F166" s="298">
        <v>164</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112</v>
      </c>
      <c r="E170" s="299">
        <v>142</v>
      </c>
      <c r="F170" s="299">
        <v>142</v>
      </c>
      <c r="G170" s="207" t="s">
        <v>244</v>
      </c>
    </row>
    <row r="171" ht="45" customHeight="1">
      <c r="A171" s="226"/>
      <c r="B171" s="238">
        <v>1613</v>
      </c>
      <c r="C171" s="242" t="s">
        <v>224</v>
      </c>
      <c r="D171" s="299">
        <v>4</v>
      </c>
      <c r="E171" s="299">
        <v>2</v>
      </c>
      <c r="F171" s="299">
        <v>3</v>
      </c>
      <c r="G171" s="207" t="s">
        <v>244</v>
      </c>
    </row>
    <row r="172" ht="45" customHeight="1">
      <c r="A172" s="226"/>
      <c r="B172" s="238">
        <v>1614</v>
      </c>
      <c r="C172" s="281" t="s">
        <v>251</v>
      </c>
      <c r="D172" s="299">
        <v>159</v>
      </c>
      <c r="E172" s="299">
        <v>161</v>
      </c>
      <c r="F172" s="299">
        <v>164</v>
      </c>
      <c r="G172" s="207" t="s">
        <v>244</v>
      </c>
    </row>
    <row r="173" ht="45" customHeight="1">
      <c r="A173" s="226"/>
      <c r="B173" s="238">
        <v>1615</v>
      </c>
      <c r="C173" s="242" t="s">
        <v>252</v>
      </c>
      <c r="D173" s="299">
        <v>4</v>
      </c>
      <c r="E173" s="299">
        <v>2</v>
      </c>
      <c r="F173" s="299">
        <v>3</v>
      </c>
      <c r="G173" s="207" t="s">
        <v>244</v>
      </c>
    </row>
    <row r="174" ht="45" customHeight="1">
      <c r="A174" s="226"/>
      <c r="B174" s="238">
        <v>1616</v>
      </c>
      <c r="C174" s="242" t="s">
        <v>253</v>
      </c>
      <c r="D174" s="299">
        <v>23</v>
      </c>
      <c r="E174" s="299">
        <v>23</v>
      </c>
      <c r="F174" s="299">
        <v>21</v>
      </c>
      <c r="G174" s="207" t="s">
        <v>244</v>
      </c>
    </row>
    <row r="175" ht="45" customHeight="1">
      <c r="A175" s="226"/>
      <c r="B175" s="238">
        <v>1621</v>
      </c>
      <c r="C175" s="242" t="s">
        <v>254</v>
      </c>
      <c r="D175" s="299">
        <v>23</v>
      </c>
      <c r="E175" s="299">
        <v>23</v>
      </c>
      <c r="F175" s="299">
        <v>21</v>
      </c>
      <c r="G175" s="207" t="s">
        <v>244</v>
      </c>
    </row>
    <row r="176" ht="45" customHeight="1">
      <c r="A176" s="226"/>
      <c r="B176" s="238">
        <v>1622</v>
      </c>
      <c r="C176" s="242" t="s">
        <v>255</v>
      </c>
      <c r="D176" s="299">
        <v>23</v>
      </c>
      <c r="E176" s="299">
        <v>23</v>
      </c>
      <c r="F176" s="299">
        <v>21</v>
      </c>
      <c r="G176" s="207" t="s">
        <v>244</v>
      </c>
    </row>
    <row r="177" ht="45" customHeight="1">
      <c r="A177" s="226"/>
      <c r="B177" s="238">
        <v>1623</v>
      </c>
      <c r="C177" s="242" t="s">
        <v>256</v>
      </c>
      <c r="D177" s="299">
        <v>23</v>
      </c>
      <c r="E177" s="299">
        <v>23</v>
      </c>
      <c r="F177" s="299">
        <v>21</v>
      </c>
      <c r="G177" s="207" t="s">
        <v>244</v>
      </c>
    </row>
    <row r="178" ht="45" customHeight="1">
      <c r="A178" s="226"/>
      <c r="B178" s="238">
        <v>1624</v>
      </c>
      <c r="C178" s="242" t="s">
        <v>257</v>
      </c>
      <c r="D178" s="299">
        <v>23</v>
      </c>
      <c r="E178" s="299">
        <v>23</v>
      </c>
      <c r="F178" s="299">
        <v>21</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39</v>
      </c>
      <c r="E181" s="299">
        <v>40</v>
      </c>
      <c r="F181" s="299">
        <v>41</v>
      </c>
      <c r="G181" s="207" t="s">
        <v>244</v>
      </c>
    </row>
    <row r="182" ht="45" customHeight="1">
      <c r="A182" s="226"/>
      <c r="B182" s="238">
        <v>1632</v>
      </c>
      <c r="C182" s="242" t="s">
        <v>261</v>
      </c>
      <c r="D182" s="299">
        <v>111</v>
      </c>
      <c r="E182" s="299">
        <v>113</v>
      </c>
      <c r="F182" s="299">
        <v>115</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55</v>
      </c>
      <c r="E185" s="299">
        <v>63</v>
      </c>
      <c r="F185" s="299">
        <v>50</v>
      </c>
      <c r="G185" s="207" t="s">
        <v>244</v>
      </c>
    </row>
    <row r="186" ht="45" customHeight="1">
      <c r="A186" s="226"/>
      <c r="B186" s="238">
        <v>1641</v>
      </c>
      <c r="C186" s="242" t="s">
        <v>265</v>
      </c>
      <c r="D186" s="299">
        <v>159</v>
      </c>
      <c r="E186" s="299">
        <v>161</v>
      </c>
      <c r="F186" s="299">
        <v>164</v>
      </c>
      <c r="G186" s="207" t="s">
        <v>244</v>
      </c>
    </row>
    <row r="187" ht="45" customHeight="1">
      <c r="A187" s="226"/>
      <c r="B187" s="238">
        <v>1642</v>
      </c>
      <c r="C187" s="242" t="s">
        <v>264</v>
      </c>
      <c r="D187" s="299">
        <v>55</v>
      </c>
      <c r="E187" s="299">
        <v>63</v>
      </c>
      <c r="F187" s="299">
        <v>50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159</v>
      </c>
      <c r="E189" s="299">
        <v>161</v>
      </c>
      <c r="F189" s="299">
        <v>164</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219</v>
      </c>
      <c r="E191" s="299">
        <v>221</v>
      </c>
      <c r="F191" s="299">
        <v>224</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1</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1</v>
      </c>
      <c r="F200" s="299">
        <v>0</v>
      </c>
      <c r="G200" s="207" t="s">
        <v>244</v>
      </c>
    </row>
    <row r="201" ht="45" customHeight="1">
      <c r="A201" s="226"/>
      <c r="B201" s="238">
        <v>1662</v>
      </c>
      <c r="C201" s="242" t="s">
        <v>279</v>
      </c>
      <c r="D201" s="299">
        <v>1</v>
      </c>
      <c r="E201" s="299">
        <v>1</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289</v>
      </c>
      <c r="AZ1307" s="0" t="s">
        <v>293</v>
      </c>
      <c r="BA1307" s="0" t="s">
        <v>285</v>
      </c>
      <c r="BB1307" s="0" t="str">
        <f t="shared" si="20"/>
        <v>IHVNnaDoma</v>
      </c>
    </row>
    <row r="1308">
      <c r="AV1308" s="0" t="s">
        <v>473</v>
      </c>
      <c r="AW1308" s="0" t="s">
        <v>286</v>
      </c>
      <c r="AX1308" s="0" t="s">
        <v>504</v>
      </c>
      <c r="AY1308" s="0" t="s">
        <v>3642</v>
      </c>
      <c r="AZ1308" s="0" t="s">
        <v>3643</v>
      </c>
      <c r="BA1308" s="0" t="s">
        <v>285</v>
      </c>
      <c r="BB1308" s="0" t="str">
        <f t="shared" si="20"/>
        <v>IHVNnaDoma</v>
      </c>
    </row>
    <row r="1309">
      <c r="AV1309" s="0" t="s">
        <v>473</v>
      </c>
      <c r="AW1309" s="0" t="s">
        <v>286</v>
      </c>
      <c r="AX1309" s="0" t="s">
        <v>504</v>
      </c>
      <c r="AY1309" s="0" t="s">
        <v>3644</v>
      </c>
      <c r="AZ1309" s="0" t="s">
        <v>3645</v>
      </c>
      <c r="BA1309" s="0" t="s">
        <v>285</v>
      </c>
      <c r="BB1309" s="0" t="str">
        <f t="shared" si="20"/>
        <v>IHVNnaDoma</v>
      </c>
    </row>
    <row r="1310">
      <c r="AV1310" s="0" t="s">
        <v>473</v>
      </c>
      <c r="AW1310" s="0" t="s">
        <v>286</v>
      </c>
      <c r="AX1310" s="0" t="s">
        <v>504</v>
      </c>
      <c r="AY1310" s="0" t="s">
        <v>3646</v>
      </c>
      <c r="AZ1310" s="0" t="s">
        <v>3647</v>
      </c>
      <c r="BA1310" s="0" t="s">
        <v>285</v>
      </c>
      <c r="BB1310" s="0" t="str">
        <f t="shared" si="20"/>
        <v>IHVNnaDoma</v>
      </c>
    </row>
    <row r="1311">
      <c r="AV1311" s="0" t="s">
        <v>473</v>
      </c>
      <c r="AW1311" s="0" t="s">
        <v>286</v>
      </c>
      <c r="AX1311" s="0" t="s">
        <v>659</v>
      </c>
      <c r="AY1311" s="0" t="s">
        <v>3648</v>
      </c>
      <c r="AZ1311" s="0" t="s">
        <v>3649</v>
      </c>
      <c r="BA1311" s="0" t="s">
        <v>285</v>
      </c>
      <c r="BB1311" s="0" t="str">
        <f t="shared" si="20"/>
        <v>IHVNnaKaru</v>
      </c>
    </row>
    <row r="1312">
      <c r="AV1312" s="0" t="s">
        <v>473</v>
      </c>
      <c r="AW1312" s="0" t="s">
        <v>286</v>
      </c>
      <c r="AX1312" s="0" t="s">
        <v>659</v>
      </c>
      <c r="AY1312" s="0" t="s">
        <v>3650</v>
      </c>
      <c r="AZ1312" s="0" t="s">
        <v>3651</v>
      </c>
      <c r="BA1312" s="0" t="s">
        <v>285</v>
      </c>
      <c r="BB1312" s="0" t="str">
        <f t="shared" si="20"/>
        <v>IHVNnaKaru</v>
      </c>
    </row>
    <row r="1313">
      <c r="AV1313" s="0" t="s">
        <v>473</v>
      </c>
      <c r="AW1313" s="0" t="s">
        <v>286</v>
      </c>
      <c r="AX1313" s="0" t="s">
        <v>659</v>
      </c>
      <c r="AY1313" s="0" t="s">
        <v>3652</v>
      </c>
      <c r="AZ1313" s="0" t="s">
        <v>3653</v>
      </c>
      <c r="BA1313" s="0" t="s">
        <v>285</v>
      </c>
      <c r="BB1313" s="0" t="str">
        <f t="shared" si="20"/>
        <v>IHVNnaKaru</v>
      </c>
    </row>
    <row r="1314">
      <c r="AV1314" s="0" t="s">
        <v>473</v>
      </c>
      <c r="AW1314" s="0" t="s">
        <v>286</v>
      </c>
      <c r="AX1314" s="0" t="s">
        <v>659</v>
      </c>
      <c r="AY1314" s="0" t="s">
        <v>3654</v>
      </c>
      <c r="AZ1314" s="0" t="s">
        <v>3655</v>
      </c>
      <c r="BA1314" s="0" t="s">
        <v>285</v>
      </c>
      <c r="BB1314" s="0" t="str">
        <f t="shared" si="20"/>
        <v>IHVNnaKaru</v>
      </c>
    </row>
    <row r="1315">
      <c r="AV1315" s="0" t="s">
        <v>473</v>
      </c>
      <c r="AW1315" s="0" t="s">
        <v>286</v>
      </c>
      <c r="AX1315" s="0" t="s">
        <v>659</v>
      </c>
      <c r="AY1315" s="0" t="s">
        <v>3656</v>
      </c>
      <c r="AZ1315" s="0" t="s">
        <v>3657</v>
      </c>
      <c r="BA1315" s="0" t="s">
        <v>285</v>
      </c>
      <c r="BB1315" s="0" t="str">
        <f t="shared" si="20"/>
        <v>IHVNnaKaru</v>
      </c>
    </row>
    <row r="1316">
      <c r="AV1316" s="0" t="s">
        <v>473</v>
      </c>
      <c r="AW1316" s="0" t="s">
        <v>286</v>
      </c>
      <c r="AX1316" s="0" t="s">
        <v>659</v>
      </c>
      <c r="AY1316" s="0" t="s">
        <v>3658</v>
      </c>
      <c r="AZ1316" s="0" t="s">
        <v>3659</v>
      </c>
      <c r="BA1316" s="0" t="s">
        <v>285</v>
      </c>
      <c r="BB1316" s="0" t="str">
        <f t="shared" si="20"/>
        <v>IHVNnaKaru</v>
      </c>
    </row>
    <row r="1317">
      <c r="AV1317" s="0" t="s">
        <v>473</v>
      </c>
      <c r="AW1317" s="0" t="s">
        <v>286</v>
      </c>
      <c r="AX1317" s="0" t="s">
        <v>659</v>
      </c>
      <c r="AY1317" s="0" t="s">
        <v>3660</v>
      </c>
      <c r="AZ1317" s="0" t="s">
        <v>3661</v>
      </c>
      <c r="BA1317" s="0" t="s">
        <v>285</v>
      </c>
      <c r="BB1317" s="0" t="str">
        <f t="shared" si="20"/>
        <v>IHVNnaKaru</v>
      </c>
    </row>
    <row r="1318">
      <c r="AV1318" s="0" t="s">
        <v>473</v>
      </c>
      <c r="AW1318" s="0" t="s">
        <v>286</v>
      </c>
      <c r="AX1318" s="0" t="s">
        <v>659</v>
      </c>
      <c r="AY1318" s="0" t="s">
        <v>3662</v>
      </c>
      <c r="AZ1318" s="0" t="s">
        <v>3663</v>
      </c>
      <c r="BA1318" s="0" t="s">
        <v>285</v>
      </c>
      <c r="BB1318" s="0" t="str">
        <f t="shared" si="20"/>
        <v>IHVNnaKaru</v>
      </c>
    </row>
    <row r="1319">
      <c r="AV1319" s="0" t="s">
        <v>473</v>
      </c>
      <c r="AW1319" s="0" t="s">
        <v>286</v>
      </c>
      <c r="AX1319" s="0" t="s">
        <v>659</v>
      </c>
      <c r="AY1319" s="0" t="s">
        <v>3664</v>
      </c>
      <c r="AZ1319" s="0" t="s">
        <v>3665</v>
      </c>
      <c r="BA1319" s="0" t="s">
        <v>285</v>
      </c>
      <c r="BB1319" s="0" t="str">
        <f t="shared" si="20"/>
        <v>IHVNnaKaru</v>
      </c>
    </row>
    <row r="1320">
      <c r="AV1320" s="0" t="s">
        <v>473</v>
      </c>
      <c r="AW1320" s="0" t="s">
        <v>286</v>
      </c>
      <c r="AX1320" s="0" t="s">
        <v>659</v>
      </c>
      <c r="AY1320" s="0" t="s">
        <v>3666</v>
      </c>
      <c r="AZ1320" s="0" t="s">
        <v>3667</v>
      </c>
      <c r="BA1320" s="0" t="s">
        <v>285</v>
      </c>
      <c r="BB1320" s="0" t="str">
        <f t="shared" si="20"/>
        <v>IHVNnaKaru</v>
      </c>
    </row>
    <row r="1321">
      <c r="AV1321" s="0" t="s">
        <v>473</v>
      </c>
      <c r="AW1321" s="0" t="s">
        <v>286</v>
      </c>
      <c r="AX1321" s="0" t="s">
        <v>659</v>
      </c>
      <c r="AY1321" s="0" t="s">
        <v>3668</v>
      </c>
      <c r="AZ1321" s="0" t="s">
        <v>3669</v>
      </c>
      <c r="BA1321" s="0" t="s">
        <v>285</v>
      </c>
      <c r="BB1321" s="0" t="str">
        <f t="shared" si="20"/>
        <v>IHVNnaKaru</v>
      </c>
    </row>
    <row r="1322">
      <c r="AV1322" s="0" t="s">
        <v>473</v>
      </c>
      <c r="AW1322" s="0" t="s">
        <v>286</v>
      </c>
      <c r="AX1322" s="0" t="s">
        <v>659</v>
      </c>
      <c r="AY1322" s="0" t="s">
        <v>3670</v>
      </c>
      <c r="AZ1322" s="0" t="s">
        <v>3671</v>
      </c>
      <c r="BA1322" s="0" t="s">
        <v>285</v>
      </c>
      <c r="BB1322" s="0" t="str">
        <f t="shared" si="20"/>
        <v>IHVNnaKaru</v>
      </c>
    </row>
    <row r="1323">
      <c r="AV1323" s="0" t="s">
        <v>473</v>
      </c>
      <c r="AW1323" s="0" t="s">
        <v>286</v>
      </c>
      <c r="AX1323" s="0" t="s">
        <v>659</v>
      </c>
      <c r="AY1323" s="0" t="s">
        <v>3672</v>
      </c>
      <c r="AZ1323" s="0" t="s">
        <v>3673</v>
      </c>
      <c r="BA1323" s="0" t="s">
        <v>285</v>
      </c>
      <c r="BB1323" s="0" t="str">
        <f t="shared" si="20"/>
        <v>IHVNnaKaru</v>
      </c>
    </row>
    <row r="1324">
      <c r="AV1324" s="0" t="s">
        <v>473</v>
      </c>
      <c r="AW1324" s="0" t="s">
        <v>286</v>
      </c>
      <c r="AX1324" s="0" t="s">
        <v>659</v>
      </c>
      <c r="AY1324" s="0" t="s">
        <v>3674</v>
      </c>
      <c r="AZ1324" s="0" t="s">
        <v>3675</v>
      </c>
      <c r="BA1324" s="0" t="s">
        <v>285</v>
      </c>
      <c r="BB1324" s="0" t="str">
        <f t="shared" si="20"/>
        <v>IHVNnaKaru</v>
      </c>
    </row>
    <row r="1325">
      <c r="AV1325" s="0" t="s">
        <v>473</v>
      </c>
      <c r="AW1325" s="0" t="s">
        <v>286</v>
      </c>
      <c r="AX1325" s="0" t="s">
        <v>659</v>
      </c>
      <c r="AY1325" s="0" t="s">
        <v>3676</v>
      </c>
      <c r="AZ1325" s="0" t="s">
        <v>3677</v>
      </c>
      <c r="BA1325" s="0" t="s">
        <v>285</v>
      </c>
      <c r="BB1325" s="0" t="str">
        <f t="shared" si="20"/>
        <v>IHVNnaKaru</v>
      </c>
    </row>
    <row r="1326">
      <c r="AV1326" s="0" t="s">
        <v>473</v>
      </c>
      <c r="AW1326" s="0" t="s">
        <v>286</v>
      </c>
      <c r="AX1326" s="0" t="s">
        <v>659</v>
      </c>
      <c r="AY1326" s="0" t="s">
        <v>3678</v>
      </c>
      <c r="AZ1326" s="0" t="s">
        <v>3679</v>
      </c>
      <c r="BA1326" s="0" t="s">
        <v>285</v>
      </c>
      <c r="BB1326" s="0" t="str">
        <f t="shared" si="20"/>
        <v>IHVNnaKaru</v>
      </c>
    </row>
    <row r="1327">
      <c r="AV1327" s="0" t="s">
        <v>473</v>
      </c>
      <c r="AW1327" s="0" t="s">
        <v>286</v>
      </c>
      <c r="AX1327" s="0" t="s">
        <v>659</v>
      </c>
      <c r="AY1327" s="0" t="s">
        <v>3680</v>
      </c>
      <c r="AZ1327" s="0" t="s">
        <v>3681</v>
      </c>
      <c r="BA1327" s="0" t="s">
        <v>285</v>
      </c>
      <c r="BB1327" s="0" t="str">
        <f t="shared" si="20"/>
        <v>IHVNnaKaru</v>
      </c>
    </row>
    <row r="1328">
      <c r="AV1328" s="0" t="s">
        <v>473</v>
      </c>
      <c r="AW1328" s="0" t="s">
        <v>286</v>
      </c>
      <c r="AX1328" s="0" t="s">
        <v>659</v>
      </c>
      <c r="AY1328" s="0" t="s">
        <v>3682</v>
      </c>
      <c r="AZ1328" s="0" t="s">
        <v>3683</v>
      </c>
      <c r="BA1328" s="0" t="s">
        <v>285</v>
      </c>
      <c r="BB1328" s="0" t="str">
        <f t="shared" si="20"/>
        <v>IHVNnaKaru</v>
      </c>
    </row>
    <row r="1329">
      <c r="AV1329" s="0" t="s">
        <v>473</v>
      </c>
      <c r="AW1329" s="0" t="s">
        <v>286</v>
      </c>
      <c r="AX1329" s="0" t="s">
        <v>659</v>
      </c>
      <c r="AY1329" s="0" t="s">
        <v>3684</v>
      </c>
      <c r="AZ1329" s="0" t="s">
        <v>3685</v>
      </c>
      <c r="BA1329" s="0" t="s">
        <v>285</v>
      </c>
      <c r="BB1329" s="0" t="str">
        <f t="shared" si="20"/>
        <v>IHVNnaKaru</v>
      </c>
    </row>
    <row r="1330">
      <c r="AV1330" s="0" t="s">
        <v>473</v>
      </c>
      <c r="AW1330" s="0" t="s">
        <v>286</v>
      </c>
      <c r="AX1330" s="0" t="s">
        <v>659</v>
      </c>
      <c r="AY1330" s="0" t="s">
        <v>3686</v>
      </c>
      <c r="AZ1330" s="0" t="s">
        <v>3687</v>
      </c>
      <c r="BA1330" s="0" t="s">
        <v>285</v>
      </c>
      <c r="BB1330" s="0" t="str">
        <f t="shared" si="20"/>
        <v>IHVNnaKaru</v>
      </c>
    </row>
    <row r="1331">
      <c r="AV1331" s="0" t="s">
        <v>473</v>
      </c>
      <c r="AW1331" s="0" t="s">
        <v>286</v>
      </c>
      <c r="AX1331" s="0" t="s">
        <v>659</v>
      </c>
      <c r="AY1331" s="0" t="s">
        <v>3688</v>
      </c>
      <c r="AZ1331" s="0" t="s">
        <v>3689</v>
      </c>
      <c r="BA1331" s="0" t="s">
        <v>285</v>
      </c>
      <c r="BB1331" s="0" t="str">
        <f t="shared" si="20"/>
        <v>IHVNnaKaru</v>
      </c>
    </row>
    <row r="1332">
      <c r="AV1332" s="0" t="s">
        <v>473</v>
      </c>
      <c r="AW1332" s="0" t="s">
        <v>286</v>
      </c>
      <c r="AX1332" s="0" t="s">
        <v>659</v>
      </c>
      <c r="AY1332" s="0" t="s">
        <v>3690</v>
      </c>
      <c r="AZ1332" s="0" t="s">
        <v>3691</v>
      </c>
      <c r="BA1332" s="0" t="s">
        <v>285</v>
      </c>
      <c r="BB1332" s="0" t="str">
        <f t="shared" si="20"/>
        <v>IHVNnaKaru</v>
      </c>
    </row>
    <row r="1333">
      <c r="AV1333" s="0" t="s">
        <v>473</v>
      </c>
      <c r="AW1333" s="0" t="s">
        <v>286</v>
      </c>
      <c r="AX1333" s="0" t="s">
        <v>659</v>
      </c>
      <c r="AY1333" s="0" t="s">
        <v>3388</v>
      </c>
      <c r="AZ1333" s="0" t="s">
        <v>3692</v>
      </c>
      <c r="BA1333" s="0" t="s">
        <v>285</v>
      </c>
      <c r="BB1333" s="0" t="str">
        <f t="shared" si="20"/>
        <v>IHVNnaKaru</v>
      </c>
    </row>
    <row r="1334">
      <c r="AV1334" s="0" t="s">
        <v>473</v>
      </c>
      <c r="AW1334" s="0" t="s">
        <v>286</v>
      </c>
      <c r="AX1334" s="0" t="s">
        <v>659</v>
      </c>
      <c r="AY1334" s="0" t="s">
        <v>3390</v>
      </c>
      <c r="AZ1334" s="0" t="s">
        <v>3693</v>
      </c>
      <c r="BA1334" s="0" t="s">
        <v>285</v>
      </c>
      <c r="BB1334" s="0" t="str">
        <f t="shared" si="20"/>
        <v>IHVNnaKaru</v>
      </c>
    </row>
    <row r="1335">
      <c r="AV1335" s="0" t="s">
        <v>473</v>
      </c>
      <c r="AW1335" s="0" t="s">
        <v>286</v>
      </c>
      <c r="AX1335" s="0" t="s">
        <v>659</v>
      </c>
      <c r="AY1335" s="0" t="s">
        <v>3694</v>
      </c>
      <c r="AZ1335" s="0" t="s">
        <v>3695</v>
      </c>
      <c r="BA1335" s="0" t="s">
        <v>285</v>
      </c>
      <c r="BB1335" s="0" t="str">
        <f t="shared" si="20"/>
        <v>IHVNnaKaru</v>
      </c>
    </row>
    <row r="1336">
      <c r="AV1336" s="0" t="s">
        <v>473</v>
      </c>
      <c r="AW1336" s="0" t="s">
        <v>286</v>
      </c>
      <c r="AX1336" s="0" t="s">
        <v>659</v>
      </c>
      <c r="AY1336" s="0" t="s">
        <v>3696</v>
      </c>
      <c r="AZ1336" s="0" t="s">
        <v>3697</v>
      </c>
      <c r="BA1336" s="0" t="s">
        <v>285</v>
      </c>
      <c r="BB1336" s="0" t="str">
        <f t="shared" si="20"/>
        <v>IHVNnaKaru</v>
      </c>
    </row>
    <row r="1337">
      <c r="AV1337" s="0" t="s">
        <v>473</v>
      </c>
      <c r="AW1337" s="0" t="s">
        <v>286</v>
      </c>
      <c r="AX1337" s="0" t="s">
        <v>659</v>
      </c>
      <c r="AY1337" s="0" t="s">
        <v>3698</v>
      </c>
      <c r="AZ1337" s="0" t="s">
        <v>3699</v>
      </c>
      <c r="BA1337" s="0" t="s">
        <v>285</v>
      </c>
      <c r="BB1337" s="0" t="str">
        <f t="shared" si="20"/>
        <v>IHVNnaKaru</v>
      </c>
    </row>
    <row r="1338">
      <c r="AV1338" s="0" t="s">
        <v>473</v>
      </c>
      <c r="AW1338" s="0" t="s">
        <v>286</v>
      </c>
      <c r="AX1338" s="0" t="s">
        <v>659</v>
      </c>
      <c r="AY1338" s="0" t="s">
        <v>3700</v>
      </c>
      <c r="AZ1338" s="0" t="s">
        <v>3701</v>
      </c>
      <c r="BA1338" s="0" t="s">
        <v>285</v>
      </c>
      <c r="BB1338" s="0" t="str">
        <f t="shared" si="20"/>
        <v>IHVNnaKaru</v>
      </c>
    </row>
    <row r="1339">
      <c r="AV1339" s="0" t="s">
        <v>473</v>
      </c>
      <c r="AW1339" s="0" t="s">
        <v>286</v>
      </c>
      <c r="AX1339" s="0" t="s">
        <v>659</v>
      </c>
      <c r="AY1339" s="0" t="s">
        <v>3702</v>
      </c>
      <c r="AZ1339" s="0" t="s">
        <v>3703</v>
      </c>
      <c r="BA1339" s="0" t="s">
        <v>285</v>
      </c>
      <c r="BB1339" s="0" t="str">
        <f t="shared" si="20"/>
        <v>IHVNnaKaru</v>
      </c>
    </row>
    <row r="1340">
      <c r="AV1340" s="0" t="s">
        <v>473</v>
      </c>
      <c r="AW1340" s="0" t="s">
        <v>286</v>
      </c>
      <c r="AX1340" s="0" t="s">
        <v>659</v>
      </c>
      <c r="AY1340" s="0" t="s">
        <v>3704</v>
      </c>
      <c r="AZ1340" s="0" t="s">
        <v>3705</v>
      </c>
      <c r="BA1340" s="0" t="s">
        <v>285</v>
      </c>
      <c r="BB1340" s="0" t="str">
        <f t="shared" si="20"/>
        <v>IHVNnaKaru</v>
      </c>
    </row>
    <row r="1341">
      <c r="AV1341" s="0" t="s">
        <v>473</v>
      </c>
      <c r="AW1341" s="0" t="s">
        <v>286</v>
      </c>
      <c r="AX1341" s="0" t="s">
        <v>659</v>
      </c>
      <c r="AY1341" s="0" t="s">
        <v>3706</v>
      </c>
      <c r="AZ1341" s="0" t="s">
        <v>3707</v>
      </c>
      <c r="BA1341" s="0" t="s">
        <v>285</v>
      </c>
      <c r="BB1341" s="0" t="str">
        <f t="shared" si="20"/>
        <v>IHVNnaKaru</v>
      </c>
    </row>
    <row r="1342">
      <c r="AV1342" s="0" t="s">
        <v>473</v>
      </c>
      <c r="AW1342" s="0" t="s">
        <v>286</v>
      </c>
      <c r="AX1342" s="0" t="s">
        <v>659</v>
      </c>
      <c r="AY1342" s="0" t="s">
        <v>3708</v>
      </c>
      <c r="AZ1342" s="0" t="s">
        <v>3709</v>
      </c>
      <c r="BA1342" s="0" t="s">
        <v>285</v>
      </c>
      <c r="BB1342" s="0" t="str">
        <f t="shared" si="20"/>
        <v>IHVNnaKaru</v>
      </c>
    </row>
    <row r="1343">
      <c r="AV1343" s="0" t="s">
        <v>473</v>
      </c>
      <c r="AW1343" s="0" t="s">
        <v>286</v>
      </c>
      <c r="AX1343" s="0" t="s">
        <v>659</v>
      </c>
      <c r="AY1343" s="0" t="s">
        <v>3710</v>
      </c>
      <c r="AZ1343" s="0" t="s">
        <v>3711</v>
      </c>
      <c r="BA1343" s="0" t="s">
        <v>285</v>
      </c>
      <c r="BB1343" s="0" t="str">
        <f t="shared" si="20"/>
        <v>IHVNnaKaru</v>
      </c>
    </row>
    <row r="1344">
      <c r="AV1344" s="0" t="s">
        <v>473</v>
      </c>
      <c r="AW1344" s="0" t="s">
        <v>286</v>
      </c>
      <c r="AX1344" s="0" t="s">
        <v>659</v>
      </c>
      <c r="AY1344" s="0" t="s">
        <v>3712</v>
      </c>
      <c r="AZ1344" s="0" t="s">
        <v>3713</v>
      </c>
      <c r="BA1344" s="0" t="s">
        <v>285</v>
      </c>
      <c r="BB1344" s="0" t="str">
        <f t="shared" si="20"/>
        <v>IHVNnaKaru</v>
      </c>
    </row>
    <row r="1345">
      <c r="AV1345" s="0" t="s">
        <v>473</v>
      </c>
      <c r="AW1345" s="0" t="s">
        <v>286</v>
      </c>
      <c r="AX1345" s="0" t="s">
        <v>659</v>
      </c>
      <c r="AY1345" s="0" t="s">
        <v>3714</v>
      </c>
      <c r="AZ1345" s="0" t="s">
        <v>3715</v>
      </c>
      <c r="BA1345" s="0" t="s">
        <v>285</v>
      </c>
      <c r="BB1345" s="0" t="str">
        <f t="shared" si="20"/>
        <v>IHVNnaKaru</v>
      </c>
    </row>
    <row r="1346">
      <c r="AV1346" s="0" t="s">
        <v>473</v>
      </c>
      <c r="AW1346" s="0" t="s">
        <v>286</v>
      </c>
      <c r="AX1346" s="0" t="s">
        <v>659</v>
      </c>
      <c r="AY1346" s="0" t="s">
        <v>3716</v>
      </c>
      <c r="AZ1346" s="0" t="s">
        <v>3717</v>
      </c>
      <c r="BA1346" s="0" t="s">
        <v>285</v>
      </c>
      <c r="BB1346" s="0" t="str">
        <f t="shared" si="20"/>
        <v>IHVNnaKaru</v>
      </c>
    </row>
    <row r="1347">
      <c r="AV1347" s="0" t="s">
        <v>473</v>
      </c>
      <c r="AW1347" s="0" t="s">
        <v>286</v>
      </c>
      <c r="AX1347" s="0" t="s">
        <v>659</v>
      </c>
      <c r="AY1347" s="0" t="s">
        <v>3718</v>
      </c>
      <c r="AZ1347" s="0" t="s">
        <v>3719</v>
      </c>
      <c r="BA1347" s="0" t="s">
        <v>285</v>
      </c>
      <c r="BB1347" s="0" t="str">
        <f ref="BB1347:BB1410" t="shared" si="21">SUBSTITUTE(SUBSTITUTE(BA1347&amp;AX1347," ",""),"-","")</f>
        <v>IHVNnaKaru</v>
      </c>
    </row>
    <row r="1348">
      <c r="AV1348" s="0" t="s">
        <v>473</v>
      </c>
      <c r="AW1348" s="0" t="s">
        <v>286</v>
      </c>
      <c r="AX1348" s="0" t="s">
        <v>659</v>
      </c>
      <c r="AY1348" s="0" t="s">
        <v>3720</v>
      </c>
      <c r="AZ1348" s="0" t="s">
        <v>3721</v>
      </c>
      <c r="BA1348" s="0" t="s">
        <v>285</v>
      </c>
      <c r="BB1348" s="0" t="str">
        <f t="shared" si="21"/>
        <v>IHVNnaKaru</v>
      </c>
    </row>
    <row r="1349">
      <c r="AV1349" s="0" t="s">
        <v>473</v>
      </c>
      <c r="AW1349" s="0" t="s">
        <v>286</v>
      </c>
      <c r="AX1349" s="0" t="s">
        <v>659</v>
      </c>
      <c r="AY1349" s="0" t="s">
        <v>3722</v>
      </c>
      <c r="AZ1349" s="0" t="s">
        <v>3723</v>
      </c>
      <c r="BA1349" s="0" t="s">
        <v>285</v>
      </c>
      <c r="BB1349" s="0" t="str">
        <f t="shared" si="21"/>
        <v>IHVNnaKaru</v>
      </c>
    </row>
    <row r="1350">
      <c r="AV1350" s="0" t="s">
        <v>473</v>
      </c>
      <c r="AW1350" s="0" t="s">
        <v>286</v>
      </c>
      <c r="AX1350" s="0" t="s">
        <v>659</v>
      </c>
      <c r="AY1350" s="0" t="s">
        <v>3724</v>
      </c>
      <c r="AZ1350" s="0" t="s">
        <v>3725</v>
      </c>
      <c r="BA1350" s="0" t="s">
        <v>285</v>
      </c>
      <c r="BB1350" s="0" t="str">
        <f t="shared" si="21"/>
        <v>IHVNnaKaru</v>
      </c>
    </row>
    <row r="1351">
      <c r="AV1351" s="0" t="s">
        <v>473</v>
      </c>
      <c r="AW1351" s="0" t="s">
        <v>286</v>
      </c>
      <c r="AX1351" s="0" t="s">
        <v>659</v>
      </c>
      <c r="AY1351" s="0" t="s">
        <v>3726</v>
      </c>
      <c r="AZ1351" s="0" t="s">
        <v>3727</v>
      </c>
      <c r="BA1351" s="0" t="s">
        <v>285</v>
      </c>
      <c r="BB1351" s="0" t="str">
        <f t="shared" si="21"/>
        <v>IHVNnaKaru</v>
      </c>
    </row>
    <row r="1352">
      <c r="AV1352" s="0" t="s">
        <v>473</v>
      </c>
      <c r="AW1352" s="0" t="s">
        <v>286</v>
      </c>
      <c r="AX1352" s="0" t="s">
        <v>659</v>
      </c>
      <c r="AY1352" s="0" t="s">
        <v>3728</v>
      </c>
      <c r="AZ1352" s="0" t="s">
        <v>3729</v>
      </c>
      <c r="BA1352" s="0" t="s">
        <v>285</v>
      </c>
      <c r="BB1352" s="0" t="str">
        <f t="shared" si="21"/>
        <v>IHVNnaKaru</v>
      </c>
    </row>
    <row r="1353">
      <c r="AV1353" s="0" t="s">
        <v>473</v>
      </c>
      <c r="AW1353" s="0" t="s">
        <v>286</v>
      </c>
      <c r="AX1353" s="0" t="s">
        <v>659</v>
      </c>
      <c r="AY1353" s="0" t="s">
        <v>3730</v>
      </c>
      <c r="AZ1353" s="0" t="s">
        <v>3731</v>
      </c>
      <c r="BA1353" s="0" t="s">
        <v>285</v>
      </c>
      <c r="BB1353" s="0" t="str">
        <f t="shared" si="21"/>
        <v>IHVNnaKaru</v>
      </c>
    </row>
    <row r="1354">
      <c r="AV1354" s="0" t="s">
        <v>473</v>
      </c>
      <c r="AW1354" s="0" t="s">
        <v>286</v>
      </c>
      <c r="AX1354" s="0" t="s">
        <v>659</v>
      </c>
      <c r="AY1354" s="0" t="s">
        <v>3151</v>
      </c>
      <c r="AZ1354" s="0" t="s">
        <v>3732</v>
      </c>
      <c r="BA1354" s="0" t="s">
        <v>285</v>
      </c>
      <c r="BB1354" s="0" t="str">
        <f t="shared" si="21"/>
        <v>IHVNnaKaru</v>
      </c>
    </row>
    <row r="1355">
      <c r="AV1355" s="0" t="s">
        <v>473</v>
      </c>
      <c r="AW1355" s="0" t="s">
        <v>286</v>
      </c>
      <c r="AX1355" s="0" t="s">
        <v>659</v>
      </c>
      <c r="AY1355" s="0" t="s">
        <v>3733</v>
      </c>
      <c r="AZ1355" s="0" t="s">
        <v>3734</v>
      </c>
      <c r="BA1355" s="0" t="s">
        <v>285</v>
      </c>
      <c r="BB1355" s="0" t="str">
        <f t="shared" si="21"/>
        <v>IHVNnaKaru</v>
      </c>
    </row>
    <row r="1356">
      <c r="AV1356" s="0" t="s">
        <v>473</v>
      </c>
      <c r="AW1356" s="0" t="s">
        <v>286</v>
      </c>
      <c r="AX1356" s="0" t="s">
        <v>659</v>
      </c>
      <c r="AY1356" s="0" t="s">
        <v>3735</v>
      </c>
      <c r="AZ1356" s="0" t="s">
        <v>3736</v>
      </c>
      <c r="BA1356" s="0" t="s">
        <v>285</v>
      </c>
      <c r="BB1356" s="0" t="str">
        <f t="shared" si="21"/>
        <v>IHVNnaKaru</v>
      </c>
    </row>
    <row r="1357">
      <c r="AV1357" s="0" t="s">
        <v>473</v>
      </c>
      <c r="AW1357" s="0" t="s">
        <v>286</v>
      </c>
      <c r="AX1357" s="0" t="s">
        <v>695</v>
      </c>
      <c r="AY1357" s="0" t="s">
        <v>3737</v>
      </c>
      <c r="AZ1357" s="0" t="s">
        <v>3738</v>
      </c>
      <c r="BA1357" s="0" t="s">
        <v>285</v>
      </c>
      <c r="BB1357" s="0" t="str">
        <f t="shared" si="21"/>
        <v>IHVNnaKeana</v>
      </c>
    </row>
    <row r="1358">
      <c r="AV1358" s="0" t="s">
        <v>473</v>
      </c>
      <c r="AW1358" s="0" t="s">
        <v>286</v>
      </c>
      <c r="AX1358" s="0" t="s">
        <v>544</v>
      </c>
      <c r="AY1358" s="0" t="s">
        <v>3739</v>
      </c>
      <c r="AZ1358" s="0" t="s">
        <v>3740</v>
      </c>
      <c r="BA1358" s="0" t="s">
        <v>285</v>
      </c>
      <c r="BB1358" s="0" t="str">
        <f t="shared" si="21"/>
        <v>IHVNnaKeffi</v>
      </c>
    </row>
    <row r="1359">
      <c r="AV1359" s="0" t="s">
        <v>473</v>
      </c>
      <c r="AW1359" s="0" t="s">
        <v>286</v>
      </c>
      <c r="AX1359" s="0" t="s">
        <v>544</v>
      </c>
      <c r="AY1359" s="0" t="s">
        <v>3741</v>
      </c>
      <c r="AZ1359" s="0" t="s">
        <v>3742</v>
      </c>
      <c r="BA1359" s="0" t="s">
        <v>285</v>
      </c>
      <c r="BB1359" s="0" t="str">
        <f t="shared" si="21"/>
        <v>IHVNnaKeffi</v>
      </c>
    </row>
    <row r="1360">
      <c r="AV1360" s="0" t="s">
        <v>473</v>
      </c>
      <c r="AW1360" s="0" t="s">
        <v>286</v>
      </c>
      <c r="AX1360" s="0" t="s">
        <v>544</v>
      </c>
      <c r="AY1360" s="0" t="s">
        <v>3743</v>
      </c>
      <c r="AZ1360" s="0" t="s">
        <v>3744</v>
      </c>
      <c r="BA1360" s="0" t="s">
        <v>285</v>
      </c>
      <c r="BB1360" s="0" t="str">
        <f t="shared" si="21"/>
        <v>IHVNnaKeffi</v>
      </c>
    </row>
    <row r="1361">
      <c r="AV1361" s="0" t="s">
        <v>473</v>
      </c>
      <c r="AW1361" s="0" t="s">
        <v>286</v>
      </c>
      <c r="AX1361" s="0" t="s">
        <v>544</v>
      </c>
      <c r="AY1361" s="0" t="s">
        <v>3745</v>
      </c>
      <c r="AZ1361" s="0" t="s">
        <v>3746</v>
      </c>
      <c r="BA1361" s="0" t="s">
        <v>285</v>
      </c>
      <c r="BB1361" s="0" t="str">
        <f t="shared" si="21"/>
        <v>IHVNnaKeffi</v>
      </c>
    </row>
    <row r="1362">
      <c r="AV1362" s="0" t="s">
        <v>473</v>
      </c>
      <c r="AW1362" s="0" t="s">
        <v>286</v>
      </c>
      <c r="AX1362" s="0" t="s">
        <v>729</v>
      </c>
      <c r="AY1362" s="0" t="s">
        <v>3747</v>
      </c>
      <c r="AZ1362" s="0" t="s">
        <v>3748</v>
      </c>
      <c r="BA1362" s="0" t="s">
        <v>285</v>
      </c>
      <c r="BB1362" s="0" t="str">
        <f t="shared" si="21"/>
        <v>IHVNnaKokona</v>
      </c>
    </row>
    <row r="1363">
      <c r="AV1363" s="0" t="s">
        <v>473</v>
      </c>
      <c r="AW1363" s="0" t="s">
        <v>286</v>
      </c>
      <c r="AX1363" s="0" t="s">
        <v>583</v>
      </c>
      <c r="AY1363" s="0" t="s">
        <v>3749</v>
      </c>
      <c r="AZ1363" s="0" t="s">
        <v>3750</v>
      </c>
      <c r="BA1363" s="0" t="s">
        <v>285</v>
      </c>
      <c r="BB1363" s="0" t="str">
        <f t="shared" si="21"/>
        <v>IHVNnaLafia</v>
      </c>
    </row>
    <row r="1364">
      <c r="AV1364" s="0" t="s">
        <v>473</v>
      </c>
      <c r="AW1364" s="0" t="s">
        <v>286</v>
      </c>
      <c r="AX1364" s="0" t="s">
        <v>583</v>
      </c>
      <c r="AY1364" s="0" t="s">
        <v>3751</v>
      </c>
      <c r="AZ1364" s="0" t="s">
        <v>3752</v>
      </c>
      <c r="BA1364" s="0" t="s">
        <v>285</v>
      </c>
      <c r="BB1364" s="0" t="str">
        <f t="shared" si="21"/>
        <v>IHVNnaLafia</v>
      </c>
    </row>
    <row r="1365">
      <c r="AV1365" s="0" t="s">
        <v>473</v>
      </c>
      <c r="AW1365" s="0" t="s">
        <v>286</v>
      </c>
      <c r="AX1365" s="0" t="s">
        <v>583</v>
      </c>
      <c r="AY1365" s="0" t="s">
        <v>3753</v>
      </c>
      <c r="AZ1365" s="0" t="s">
        <v>3754</v>
      </c>
      <c r="BA1365" s="0" t="s">
        <v>285</v>
      </c>
      <c r="BB1365" s="0" t="str">
        <f t="shared" si="21"/>
        <v>IHVNnaLafia</v>
      </c>
    </row>
    <row r="1366">
      <c r="AV1366" s="0" t="s">
        <v>473</v>
      </c>
      <c r="AW1366" s="0" t="s">
        <v>286</v>
      </c>
      <c r="AX1366" s="0" t="s">
        <v>583</v>
      </c>
      <c r="AY1366" s="0" t="s">
        <v>3755</v>
      </c>
      <c r="AZ1366" s="0" t="s">
        <v>3756</v>
      </c>
      <c r="BA1366" s="0" t="s">
        <v>285</v>
      </c>
      <c r="BB1366" s="0" t="str">
        <f t="shared" si="21"/>
        <v>IHVNnaLafia</v>
      </c>
    </row>
    <row r="1367">
      <c r="AV1367" s="0" t="s">
        <v>473</v>
      </c>
      <c r="AW1367" s="0" t="s">
        <v>286</v>
      </c>
      <c r="AX1367" s="0" t="s">
        <v>583</v>
      </c>
      <c r="AY1367" s="0" t="s">
        <v>3757</v>
      </c>
      <c r="AZ1367" s="0" t="s">
        <v>3758</v>
      </c>
      <c r="BA1367" s="0" t="s">
        <v>285</v>
      </c>
      <c r="BB1367" s="0" t="str">
        <f t="shared" si="21"/>
        <v>IHVNnaLafia</v>
      </c>
    </row>
    <row r="1368">
      <c r="AV1368" s="0" t="s">
        <v>473</v>
      </c>
      <c r="AW1368" s="0" t="s">
        <v>286</v>
      </c>
      <c r="AX1368" s="0" t="s">
        <v>583</v>
      </c>
      <c r="AY1368" s="0" t="s">
        <v>3759</v>
      </c>
      <c r="AZ1368" s="0" t="s">
        <v>3760</v>
      </c>
      <c r="BA1368" s="0" t="s">
        <v>285</v>
      </c>
      <c r="BB1368" s="0" t="str">
        <f t="shared" si="21"/>
        <v>IHVNnaLafia</v>
      </c>
    </row>
    <row r="1369">
      <c r="AV1369" s="0" t="s">
        <v>473</v>
      </c>
      <c r="AW1369" s="0" t="s">
        <v>286</v>
      </c>
      <c r="AX1369" s="0" t="s">
        <v>583</v>
      </c>
      <c r="AY1369" s="0" t="s">
        <v>3761</v>
      </c>
      <c r="AZ1369" s="0" t="s">
        <v>3762</v>
      </c>
      <c r="BA1369" s="0" t="s">
        <v>285</v>
      </c>
      <c r="BB1369" s="0" t="str">
        <f t="shared" si="21"/>
        <v>IHVNnaLafia</v>
      </c>
    </row>
    <row r="1370">
      <c r="AV1370" s="0" t="s">
        <v>473</v>
      </c>
      <c r="AW1370" s="0" t="s">
        <v>286</v>
      </c>
      <c r="AX1370" s="0" t="s">
        <v>583</v>
      </c>
      <c r="AY1370" s="0" t="s">
        <v>3763</v>
      </c>
      <c r="AZ1370" s="0" t="s">
        <v>3764</v>
      </c>
      <c r="BA1370" s="0" t="s">
        <v>285</v>
      </c>
      <c r="BB1370" s="0" t="str">
        <f t="shared" si="21"/>
        <v>IHVNnaLafia</v>
      </c>
    </row>
    <row r="1371">
      <c r="AV1371" s="0" t="s">
        <v>473</v>
      </c>
      <c r="AW1371" s="0" t="s">
        <v>286</v>
      </c>
      <c r="AX1371" s="0" t="s">
        <v>583</v>
      </c>
      <c r="AY1371" s="0" t="s">
        <v>3765</v>
      </c>
      <c r="AZ1371" s="0" t="s">
        <v>3766</v>
      </c>
      <c r="BA1371" s="0" t="s">
        <v>285</v>
      </c>
      <c r="BB1371" s="0" t="str">
        <f t="shared" si="21"/>
        <v>IHVNnaLafia</v>
      </c>
    </row>
    <row r="1372">
      <c r="AV1372" s="0" t="s">
        <v>473</v>
      </c>
      <c r="AW1372" s="0" t="s">
        <v>286</v>
      </c>
      <c r="AX1372" s="0" t="s">
        <v>583</v>
      </c>
      <c r="AY1372" s="0" t="s">
        <v>3767</v>
      </c>
      <c r="AZ1372" s="0" t="s">
        <v>3768</v>
      </c>
      <c r="BA1372" s="0" t="s">
        <v>285</v>
      </c>
      <c r="BB1372" s="0" t="str">
        <f t="shared" si="21"/>
        <v>IHVNnaLafia</v>
      </c>
    </row>
    <row r="1373">
      <c r="AV1373" s="0" t="s">
        <v>473</v>
      </c>
      <c r="AW1373" s="0" t="s">
        <v>286</v>
      </c>
      <c r="AX1373" s="0" t="s">
        <v>583</v>
      </c>
      <c r="AY1373" s="0" t="s">
        <v>3769</v>
      </c>
      <c r="AZ1373" s="0" t="s">
        <v>3770</v>
      </c>
      <c r="BA1373" s="0" t="s">
        <v>285</v>
      </c>
      <c r="BB1373" s="0" t="str">
        <f t="shared" si="21"/>
        <v>IHVNnaLafia</v>
      </c>
    </row>
    <row r="1374">
      <c r="AV1374" s="0" t="s">
        <v>473</v>
      </c>
      <c r="AW1374" s="0" t="s">
        <v>286</v>
      </c>
      <c r="AX1374" s="0" t="s">
        <v>583</v>
      </c>
      <c r="AY1374" s="0" t="s">
        <v>3771</v>
      </c>
      <c r="AZ1374" s="0" t="s">
        <v>3772</v>
      </c>
      <c r="BA1374" s="0" t="s">
        <v>285</v>
      </c>
      <c r="BB1374" s="0" t="str">
        <f t="shared" si="21"/>
        <v>IHVNnaLafia</v>
      </c>
    </row>
    <row r="1375">
      <c r="AV1375" s="0" t="s">
        <v>473</v>
      </c>
      <c r="AW1375" s="0" t="s">
        <v>286</v>
      </c>
      <c r="AX1375" s="0" t="s">
        <v>583</v>
      </c>
      <c r="AY1375" s="0" t="s">
        <v>3773</v>
      </c>
      <c r="AZ1375" s="0" t="s">
        <v>3774</v>
      </c>
      <c r="BA1375" s="0" t="s">
        <v>285</v>
      </c>
      <c r="BB1375" s="0" t="str">
        <f t="shared" si="21"/>
        <v>IHVNnaLafia</v>
      </c>
    </row>
    <row r="1376">
      <c r="AV1376" s="0" t="s">
        <v>473</v>
      </c>
      <c r="AW1376" s="0" t="s">
        <v>286</v>
      </c>
      <c r="AX1376" s="0" t="s">
        <v>583</v>
      </c>
      <c r="AY1376" s="0" t="s">
        <v>3775</v>
      </c>
      <c r="AZ1376" s="0" t="s">
        <v>3776</v>
      </c>
      <c r="BA1376" s="0" t="s">
        <v>285</v>
      </c>
      <c r="BB1376" s="0" t="str">
        <f t="shared" si="21"/>
        <v>IHVNnaLafia</v>
      </c>
    </row>
    <row r="1377">
      <c r="AV1377" s="0" t="s">
        <v>473</v>
      </c>
      <c r="AW1377" s="0" t="s">
        <v>286</v>
      </c>
      <c r="AX1377" s="0" t="s">
        <v>583</v>
      </c>
      <c r="AY1377" s="0" t="s">
        <v>3777</v>
      </c>
      <c r="AZ1377" s="0" t="s">
        <v>3778</v>
      </c>
      <c r="BA1377" s="0" t="s">
        <v>285</v>
      </c>
      <c r="BB1377" s="0" t="str">
        <f t="shared" si="21"/>
        <v>IHVNnaLafia</v>
      </c>
    </row>
    <row r="1378">
      <c r="AV1378" s="0" t="s">
        <v>473</v>
      </c>
      <c r="AW1378" s="0" t="s">
        <v>286</v>
      </c>
      <c r="AX1378" s="0" t="s">
        <v>583</v>
      </c>
      <c r="AY1378" s="0" t="s">
        <v>3779</v>
      </c>
      <c r="AZ1378" s="0" t="s">
        <v>3780</v>
      </c>
      <c r="BA1378" s="0" t="s">
        <v>285</v>
      </c>
      <c r="BB1378" s="0" t="str">
        <f t="shared" si="21"/>
        <v>IHVNnaLafia</v>
      </c>
    </row>
    <row r="1379">
      <c r="AV1379" s="0" t="s">
        <v>473</v>
      </c>
      <c r="AW1379" s="0" t="s">
        <v>286</v>
      </c>
      <c r="AX1379" s="0" t="s">
        <v>583</v>
      </c>
      <c r="AY1379" s="0" t="s">
        <v>3781</v>
      </c>
      <c r="AZ1379" s="0" t="s">
        <v>3782</v>
      </c>
      <c r="BA1379" s="0" t="s">
        <v>285</v>
      </c>
      <c r="BB1379" s="0" t="str">
        <f t="shared" si="21"/>
        <v>IHVNnaLafia</v>
      </c>
    </row>
    <row r="1380">
      <c r="AV1380" s="0" t="s">
        <v>473</v>
      </c>
      <c r="AW1380" s="0" t="s">
        <v>286</v>
      </c>
      <c r="AX1380" s="0" t="s">
        <v>583</v>
      </c>
      <c r="AY1380" s="0" t="s">
        <v>3783</v>
      </c>
      <c r="AZ1380" s="0" t="s">
        <v>3784</v>
      </c>
      <c r="BA1380" s="0" t="s">
        <v>285</v>
      </c>
      <c r="BB1380" s="0" t="str">
        <f t="shared" si="21"/>
        <v>IHVNnaLafia</v>
      </c>
    </row>
    <row r="1381">
      <c r="AV1381" s="0" t="s">
        <v>473</v>
      </c>
      <c r="AW1381" s="0" t="s">
        <v>286</v>
      </c>
      <c r="AX1381" s="0" t="s">
        <v>583</v>
      </c>
      <c r="AY1381" s="0" t="s">
        <v>3785</v>
      </c>
      <c r="AZ1381" s="0" t="s">
        <v>3786</v>
      </c>
      <c r="BA1381" s="0" t="s">
        <v>285</v>
      </c>
      <c r="BB1381" s="0" t="str">
        <f t="shared" si="21"/>
        <v>IHVNnaLafia</v>
      </c>
    </row>
    <row r="1382">
      <c r="AV1382" s="0" t="s">
        <v>473</v>
      </c>
      <c r="AW1382" s="0" t="s">
        <v>286</v>
      </c>
      <c r="AX1382" s="0" t="s">
        <v>583</v>
      </c>
      <c r="AY1382" s="0" t="s">
        <v>3787</v>
      </c>
      <c r="AZ1382" s="0" t="s">
        <v>3788</v>
      </c>
      <c r="BA1382" s="0" t="s">
        <v>285</v>
      </c>
      <c r="BB1382" s="0" t="str">
        <f t="shared" si="21"/>
        <v>IHVNnaLafia</v>
      </c>
    </row>
    <row r="1383">
      <c r="AV1383" s="0" t="s">
        <v>473</v>
      </c>
      <c r="AW1383" s="0" t="s">
        <v>286</v>
      </c>
      <c r="AX1383" s="0" t="s">
        <v>583</v>
      </c>
      <c r="AY1383" s="0" t="s">
        <v>3789</v>
      </c>
      <c r="AZ1383" s="0" t="s">
        <v>3790</v>
      </c>
      <c r="BA1383" s="0" t="s">
        <v>285</v>
      </c>
      <c r="BB1383" s="0" t="str">
        <f t="shared" si="21"/>
        <v>IHVNnaLafia</v>
      </c>
    </row>
    <row r="1384">
      <c r="AV1384" s="0" t="s">
        <v>473</v>
      </c>
      <c r="AW1384" s="0" t="s">
        <v>286</v>
      </c>
      <c r="AX1384" s="0" t="s">
        <v>583</v>
      </c>
      <c r="AY1384" s="0" t="s">
        <v>3791</v>
      </c>
      <c r="AZ1384" s="0" t="s">
        <v>3792</v>
      </c>
      <c r="BA1384" s="0" t="s">
        <v>285</v>
      </c>
      <c r="BB1384" s="0" t="str">
        <f t="shared" si="21"/>
        <v>IHVNnaLafia</v>
      </c>
    </row>
    <row r="1385">
      <c r="AV1385" s="0" t="s">
        <v>473</v>
      </c>
      <c r="AW1385" s="0" t="s">
        <v>286</v>
      </c>
      <c r="AX1385" s="0" t="s">
        <v>583</v>
      </c>
      <c r="AY1385" s="0" t="s">
        <v>3793</v>
      </c>
      <c r="AZ1385" s="0" t="s">
        <v>3794</v>
      </c>
      <c r="BA1385" s="0" t="s">
        <v>285</v>
      </c>
      <c r="BB1385" s="0" t="str">
        <f t="shared" si="21"/>
        <v>IHVNnaLafia</v>
      </c>
    </row>
    <row r="1386">
      <c r="AV1386" s="0" t="s">
        <v>473</v>
      </c>
      <c r="AW1386" s="0" t="s">
        <v>286</v>
      </c>
      <c r="AX1386" s="0" t="s">
        <v>583</v>
      </c>
      <c r="AY1386" s="0" t="s">
        <v>3795</v>
      </c>
      <c r="AZ1386" s="0" t="s">
        <v>3796</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