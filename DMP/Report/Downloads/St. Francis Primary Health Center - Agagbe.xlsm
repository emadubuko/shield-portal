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<sst xmlns="http://schemas.openxmlformats.org/spreadsheetml/2006/main" count="4033" uniqueCount="4033">
  <si>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</si>
  <si>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</si>
  <si>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</si>
  <si>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</si>
  <si>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</si>
  <si>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</si>
  <si>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</si>
  <si>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</si>
  <si>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</si>
  <si>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</si>
  <si>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</si>
  <si>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</si>
  <si>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</si>
  <si>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</si>
  <si>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</si>
  <si>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</si>
  <si>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</si>
  <si>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</si>
  <si>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</si>
  <si>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</si>
  <si>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</si>
  <si>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</si>
  <si>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</si>
  <si>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</si>
  <si>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</si>
  <si>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</si>
  <si>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</si>
  <si>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</si>
  <si>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</si>
  <si>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</si>
  <si>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</si>
  <si>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</si>
  <si>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</si>
  <si>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</si>
  <si>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</si>
  <si>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</si>
  <si>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</si>
  <si>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</si>
  <si>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</si>
  <si>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</si>
  <si>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</si>
  <si>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</si>
  <si>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</si>
  <si>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</si>
  <si>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</si>
  <si>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</si>
  <si>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</si>
  <si>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</si>
  <si>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</si>
  <si>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</si>
  <si>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</si>
  <si>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</si>
  <si>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</si>
  <si>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</si>
  <si>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</si>
  <si>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</si>
  <si>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</si>
  <si>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</si>
  <si>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</si>
  <si>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</si>
  <si>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</si>
  <si>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</si>
  <si>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</si>
  <si>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</si>
  <si>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</si>
  <si>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</si>
  <si>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</si>
  <si>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</si>
  <si>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</si>
  <si>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</si>
  <si>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</si>
  <si>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</si>
  <si>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</si>
  <si>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</si>
  <si>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</si>
  <si>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</si>
  <si>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</si>
  <si>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</si>
  <si>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</si>
  <si>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</si>
  <si>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</si>
  <si>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</si>
  <si>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</si>
  <si>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</si>
  <si>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</si>
  <si>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</si>
  <si>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</si>
  <si>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</si>
  <si>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</si>
  <si>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</si>
  <si>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</si>
  <si>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</si>
  <si>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</si>
  <si>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</si>
  <si>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</si>
  <si>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</si>
  <si>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</si>
  <si>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</si>
  <si>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</si>
  <si>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</si>
  <si>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</si>
  <si>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</si>
  <si>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</si>
  <si>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</si>
  <si>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</si>
  <si>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</si>
  <si>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</si>
  <si>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</si>
  <si>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</si>
  <si>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</si>
  <si>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</si>
  <si>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</si>
  <si>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</si>
  <si>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</si>
  <si>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</si>
  <si>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</si>
  <si>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</si>
  <si>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</si>
  <si>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</si>
  <si>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</si>
  <si>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</si>
  <si>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</si>
  <si>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</si>
  <si>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</si>
  <si>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</si>
  <si>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</si>
  <si>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</si>
  <si>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</si>
  <si>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</si>
  <si>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</si>
  <si>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</si>
  <si>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</si>
  <si>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</si>
  <si>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</si>
  <si>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</si>
  <si>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</si>
  <si>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</si>
  <si>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</si>
  <si>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</si>
  <si>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</si>
  <si>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</si>
  <si>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</si>
  <si>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</si>
  <si>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</si>
  <si>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</si>
  <si>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</si>
  <si>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</si>
  <si>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</si>
  <si>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</si>
  <si>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</si>
  <si>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</si>
  <si>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</si>
  <si>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</si>
  <si>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</si>
  <si>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</si>
  <si>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</si>
  <si>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</si>
  <si>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</si>
  <si>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</si>
  <si>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</si>
  <si>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</si>
  <si>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</si>
  <si>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</si>
  <si>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</si>
  <si>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</si>
  <si>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</si>
  <si>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</si>
  <si>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</si>
  <si>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</si>
  <si>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</si>
  <si>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</si>
  <si>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</si>
  <si>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</si>
  <si>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</si>
  <si>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</si>
  <si>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</si>
  <si>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</si>
  <si>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</si>
  <si>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</si>
  <si>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</si>
  <si>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</si>
  <si>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</si>
  <si>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</si>
  <si>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</si>
  <si>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</si>
  <si>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</si>
  <si>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</si>
  <si>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</si>
  <si>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</si>
  <si>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</si>
  <si>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</si>
  <si>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</si>
  <si>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</si>
  <si>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</si>
  <si>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</si>
  <si>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</si>
  <si>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</si>
  <si>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</si>
  <si>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</si>
  <si>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</si>
  <si>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</si>
  <si>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</si>
  <si>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</si>
  <si>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</si>
  <si>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</si>
  <si>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</si>
  <si>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</si>
  <si>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</si>
  <si>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</si>
  <si>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</si>
  <si>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</si>
  <si>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</si>
  <si>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</si>
  <si>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</si>
  <si>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</si>
  <si>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</si>
  <si>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</si>
  <si>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</si>
  <si>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</si>
  <si>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</si>
  <si>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</si>
  <si>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</si>
  <si>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</si>
  <si>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</si>
  <si>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</si>
  <si>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</si>
  <si>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</si>
  <si>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</si>
  <si>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</si>
  <si>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</si>
  <si>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</si>
  <si>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</si>
  <si>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</si>
  <si>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</si>
  <si>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</si>
  <si>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</si>
  <si>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</si>
  <si>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</si>
  <si>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</si>
  <si>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</si>
  <si>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</si>
  <si>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</si>
  <si>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</si>
  <si>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</si>
  <si>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</si>
  <si>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</si>
  <si>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</si>
  <si>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</si>
  <si>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</si>
  <si>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</si>
  <si>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</si>
  <si>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</si>
  <si>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</si>
  <si>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</si>
  <si>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</si>
  <si>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</si>
  <si>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</si>
  <si>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</si>
  <si>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</si>
  <si>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</si>
  <si>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</si>
  <si>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</si>
  <si>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</si>
  <si>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</si>
  <si>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</si>
  <si>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</si>
  <si>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</si>
  <si>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</si>
  <si>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</si>
  <si>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</si>
  <si>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</si>
  <si>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</si>
  <si>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</si>
  <si>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</si>
  <si>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</si>
  <si>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</si>
  <si>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</si>
  <si>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</si>
  <si>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</si>
  <si>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</si>
  <si>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</si>
  <si>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</si>
  <si>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</si>
  <si>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</si>
  <si>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</si>
  <si>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</si>
  <si>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</si>
  <si>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Gwer West</t>
  </si>
  <si>
    <t>Facility Name:</t>
  </si>
  <si>
    <t>St. Francis Primary Health Center - Agagbe</t>
  </si>
  <si>
    <t>Reporting Period:</t>
  </si>
  <si>
    <t>Q1(Oct - Dec)</t>
  </si>
  <si>
    <t>Facility Code:</t>
  </si>
  <si>
    <t>mfPtKtcH3hA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</si>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</sst>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896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5</v>
      </c>
      <c r="E13" s="299">
        <v>9</v>
      </c>
      <c r="F13" s="299">
        <v>3</v>
      </c>
      <c r="G13" s="207" t="s">
        <v>67</v>
      </c>
    </row>
    <row r="14" ht="45" customHeight="1">
      <c r="A14" s="226"/>
      <c r="B14" s="238">
        <v>1117</v>
      </c>
      <c r="C14" s="242" t="s">
        <v>88</v>
      </c>
      <c r="D14" s="299">
        <v>5</v>
      </c>
      <c r="E14" s="299">
        <v>9</v>
      </c>
      <c r="F14" s="299">
        <v>3</v>
      </c>
      <c r="G14" s="207" t="s">
        <v>67</v>
      </c>
    </row>
    <row r="15" ht="45" customHeight="1">
      <c r="A15" s="226">
        <v>1116</v>
      </c>
      <c r="B15" s="238">
        <v>1121</v>
      </c>
      <c r="C15" s="243" t="str">
        <f>C13</f>
        <v>How many HTC clients have a completed Client intake form </v>
      </c>
      <c r="D15" s="300">
        <v>5</v>
      </c>
      <c r="E15" s="300">
        <v>9</v>
      </c>
      <c r="F15" s="300">
        <v>3</v>
      </c>
      <c r="G15" s="207"/>
    </row>
    <row r="16" ht="45" customHeight="1">
      <c r="A16" s="226"/>
      <c r="B16" s="238">
        <v>1122</v>
      </c>
      <c r="C16" s="243" t="s">
        <v>89</v>
      </c>
      <c r="D16" s="299">
        <v>5</v>
      </c>
      <c r="E16" s="299">
        <v>9</v>
      </c>
      <c r="F16" s="299">
        <v>3</v>
      </c>
      <c r="G16" s="207" t="s">
        <v>67</v>
      </c>
    </row>
    <row r="17" ht="45" customHeight="1">
      <c r="A17" s="226"/>
      <c r="B17" s="238">
        <v>1123</v>
      </c>
      <c r="C17" s="242" t="s">
        <v>90</v>
      </c>
      <c r="D17" s="299">
        <v>5</v>
      </c>
      <c r="E17" s="299">
        <v>9</v>
      </c>
      <c r="F17" s="299">
        <v>3</v>
      </c>
      <c r="G17" s="207" t="s">
        <v>67</v>
      </c>
    </row>
    <row r="18" ht="45" customHeight="1">
      <c r="A18" s="226"/>
      <c r="B18" s="238">
        <v>1124</v>
      </c>
      <c r="C18" s="242" t="s">
        <v>91</v>
      </c>
      <c r="D18" s="299">
        <v>5</v>
      </c>
      <c r="E18" s="299">
        <v>9</v>
      </c>
      <c r="F18" s="299">
        <v>3</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3</v>
      </c>
      <c r="E23" s="299">
        <v>7</v>
      </c>
      <c r="F23" s="299">
        <v>1</v>
      </c>
      <c r="G23" s="207" t="s">
        <v>67</v>
      </c>
    </row>
    <row r="24" ht="45" customHeight="1">
      <c r="A24" s="226"/>
      <c r="B24" s="238">
        <v>1132</v>
      </c>
      <c r="C24" s="242" t="s">
        <v>97</v>
      </c>
      <c r="D24" s="299">
        <v>2</v>
      </c>
      <c r="E24" s="299">
        <v>2</v>
      </c>
      <c r="F24" s="299">
        <v>2</v>
      </c>
      <c r="G24" s="207" t="s">
        <v>67</v>
      </c>
    </row>
    <row r="25" ht="45" customHeight="1">
      <c r="A25" s="226"/>
      <c r="B25" s="238">
        <v>1133</v>
      </c>
      <c r="C25" s="242" t="s">
        <v>98</v>
      </c>
      <c r="D25" s="299">
        <v>152</v>
      </c>
      <c r="E25" s="299">
        <v>241</v>
      </c>
      <c r="F25" s="299">
        <v>162</v>
      </c>
      <c r="G25" s="207" t="s">
        <v>67</v>
      </c>
    </row>
    <row r="26" ht="45" customHeight="1">
      <c r="A26" s="226"/>
      <c r="B26" s="238">
        <v>1134</v>
      </c>
      <c r="C26" s="242" t="s">
        <v>99</v>
      </c>
      <c r="D26" s="299">
        <v>103</v>
      </c>
      <c r="E26" s="299">
        <v>126</v>
      </c>
      <c r="F26" s="299">
        <v>47</v>
      </c>
      <c r="G26" s="207" t="s">
        <v>67</v>
      </c>
    </row>
    <row r="27" ht="45" customHeight="1">
      <c r="A27" s="226"/>
      <c r="B27" s="238">
        <v>1135</v>
      </c>
      <c r="C27" s="242" t="s">
        <v>100</v>
      </c>
      <c r="D27" s="299">
        <v>255</v>
      </c>
      <c r="E27" s="299">
        <v>367</v>
      </c>
      <c r="F27" s="299">
        <v>209</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5</v>
      </c>
      <c r="E31" s="300">
        <v>9</v>
      </c>
      <c r="F31" s="300">
        <v>3</v>
      </c>
      <c r="G31" s="207"/>
    </row>
    <row r="32" ht="45" customHeight="1">
      <c r="A32" s="226"/>
      <c r="B32" s="238">
        <v>1142</v>
      </c>
      <c r="C32" s="243" t="s">
        <v>105</v>
      </c>
      <c r="D32" s="300">
        <v>5</v>
      </c>
      <c r="E32" s="300">
        <v>9</v>
      </c>
      <c r="F32" s="300">
        <v>3</v>
      </c>
      <c r="G32" s="207"/>
    </row>
    <row r="33" ht="45" customHeight="1">
      <c r="A33" s="226"/>
      <c r="B33" s="238">
        <v>1143</v>
      </c>
      <c r="C33" s="242" t="s">
        <v>106</v>
      </c>
      <c r="D33" s="299">
        <v>255</v>
      </c>
      <c r="E33" s="299">
        <v>367</v>
      </c>
      <c r="F33" s="299">
        <v>209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253</v>
      </c>
      <c r="E35" s="299">
        <v>367</v>
      </c>
      <c r="F35" s="299">
        <v>209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152</v>
      </c>
      <c r="E37" s="299">
        <v>241</v>
      </c>
      <c r="F37" s="299">
        <v>162</v>
      </c>
      <c r="G37" s="207" t="s">
        <v>67</v>
      </c>
    </row>
    <row r="38" ht="45" customHeight="1">
      <c r="A38" s="226"/>
      <c r="B38" s="238">
        <v>1153</v>
      </c>
      <c r="C38" s="242" t="s">
        <v>111</v>
      </c>
      <c r="D38" s="299">
        <v>155</v>
      </c>
      <c r="E38" s="299">
        <v>234</v>
      </c>
      <c r="F38" s="299">
        <v>162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152</v>
      </c>
      <c r="E40" s="299">
        <v>241</v>
      </c>
      <c r="F40" s="299">
        <v>162</v>
      </c>
      <c r="G40" s="207" t="s">
        <v>67</v>
      </c>
    </row>
    <row r="41" ht="45" customHeight="1">
      <c r="A41" s="226"/>
      <c r="B41" s="238">
        <v>1156</v>
      </c>
      <c r="C41" s="242" t="s">
        <v>113</v>
      </c>
      <c r="D41" s="299">
        <v>155</v>
      </c>
      <c r="E41" s="299">
        <v>234</v>
      </c>
      <c r="F41" s="299">
        <v>162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4</v>
      </c>
      <c r="F43" s="299">
        <v>3</v>
      </c>
      <c r="G43" s="207" t="s">
        <v>67</v>
      </c>
    </row>
    <row r="44" ht="45" customHeight="1" s="250" customFormat="1">
      <c r="A44" s="226"/>
      <c r="B44" s="238">
        <v>1159</v>
      </c>
      <c r="C44" s="242" t="s">
        <v>116</v>
      </c>
      <c r="D44" s="299">
        <v>1</v>
      </c>
      <c r="E44" s="299">
        <v>7</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16</v>
      </c>
      <c r="E53" s="299">
        <v>11</v>
      </c>
      <c r="F53" s="299">
        <v>14</v>
      </c>
      <c r="G53" s="207" t="s">
        <v>117</v>
      </c>
    </row>
    <row r="54" ht="45" customHeight="1">
      <c r="A54" s="226"/>
      <c r="B54" s="238">
        <v>1214</v>
      </c>
      <c r="C54" s="264" t="s">
        <v>132</v>
      </c>
      <c r="D54" s="299">
        <v>16</v>
      </c>
      <c r="E54" s="299">
        <v>11</v>
      </c>
      <c r="F54" s="299">
        <v>14</v>
      </c>
      <c r="G54" s="207" t="s">
        <v>117</v>
      </c>
    </row>
    <row r="55" ht="45" customHeight="1">
      <c r="A55" s="226"/>
      <c r="B55" s="238">
        <v>1215</v>
      </c>
      <c r="C55" s="242" t="s">
        <v>133</v>
      </c>
      <c r="D55" s="299">
        <v>16</v>
      </c>
      <c r="E55" s="299">
        <v>11</v>
      </c>
      <c r="F55" s="299">
        <v>14</v>
      </c>
      <c r="G55" s="207" t="s">
        <v>117</v>
      </c>
    </row>
    <row r="56" ht="45" customHeight="1">
      <c r="A56" s="226"/>
      <c r="B56" s="238">
        <v>1216</v>
      </c>
      <c r="C56" s="243" t="s">
        <v>134</v>
      </c>
      <c r="D56" s="299">
        <v>16</v>
      </c>
      <c r="E56" s="299">
        <v>11</v>
      </c>
      <c r="F56" s="299">
        <v>14</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1</v>
      </c>
      <c r="G58" s="207" t="s">
        <v>117</v>
      </c>
    </row>
    <row r="59" ht="45" customHeight="1">
      <c r="A59" s="226"/>
      <c r="B59" s="238">
        <v>1221</v>
      </c>
      <c r="C59" s="264" t="s">
        <v>137</v>
      </c>
      <c r="D59" s="299">
        <v>16</v>
      </c>
      <c r="E59" s="299">
        <v>11</v>
      </c>
      <c r="F59" s="299">
        <v>14</v>
      </c>
      <c r="G59" s="207" t="s">
        <v>117</v>
      </c>
    </row>
    <row r="60" ht="45" customHeight="1">
      <c r="A60" s="226"/>
      <c r="B60" s="238">
        <v>1222</v>
      </c>
      <c r="C60" s="264" t="s">
        <v>138</v>
      </c>
      <c r="D60" s="299">
        <v>15</v>
      </c>
      <c r="E60" s="299">
        <v>11</v>
      </c>
      <c r="F60" s="299">
        <v>14</v>
      </c>
      <c r="G60" s="207" t="s">
        <v>117</v>
      </c>
    </row>
    <row r="61" ht="45" customHeight="1">
      <c r="A61" s="226"/>
      <c r="B61" s="238">
        <v>1223</v>
      </c>
      <c r="C61" s="264" t="s">
        <v>139</v>
      </c>
      <c r="D61" s="299">
        <v>15</v>
      </c>
      <c r="E61" s="299">
        <v>11</v>
      </c>
      <c r="F61" s="299">
        <v>14</v>
      </c>
      <c r="G61" s="207" t="s">
        <v>117</v>
      </c>
    </row>
    <row r="62" ht="54.65" customHeight="1">
      <c r="A62" s="226"/>
      <c r="B62" s="238">
        <v>1224</v>
      </c>
      <c r="C62" s="264" t="s">
        <v>140</v>
      </c>
      <c r="D62" s="299">
        <v>15</v>
      </c>
      <c r="E62" s="299">
        <v>11</v>
      </c>
      <c r="F62" s="299">
        <v>14</v>
      </c>
      <c r="G62" s="207" t="s">
        <v>117</v>
      </c>
    </row>
    <row r="63" ht="66.65" customHeight="1">
      <c r="A63" s="226"/>
      <c r="B63" s="238">
        <v>1225</v>
      </c>
      <c r="C63" s="264" t="s">
        <v>141</v>
      </c>
      <c r="D63" s="299">
        <v>15</v>
      </c>
      <c r="E63" s="299">
        <v>11</v>
      </c>
      <c r="F63" s="299">
        <v>14</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16</v>
      </c>
      <c r="E67" s="299">
        <v>11</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15</v>
      </c>
      <c r="E71" s="299">
        <v>11</v>
      </c>
      <c r="F71" s="299">
        <v>13</v>
      </c>
      <c r="G71" s="207" t="s">
        <v>117</v>
      </c>
    </row>
    <row r="72" ht="45" customHeight="1">
      <c r="A72" s="226"/>
      <c r="B72" s="238">
        <v>1236</v>
      </c>
      <c r="C72" s="242" t="s">
        <v>150</v>
      </c>
      <c r="D72" s="299">
        <v>0</v>
      </c>
      <c r="E72" s="299">
        <v>0</v>
      </c>
      <c r="F72" s="299">
        <v>1</v>
      </c>
      <c r="G72" s="207" t="s">
        <v>117</v>
      </c>
    </row>
    <row r="73" ht="45" customHeight="1">
      <c r="A73" s="226"/>
      <c r="B73" s="238">
        <v>1241</v>
      </c>
      <c r="C73" s="242" t="s">
        <v>151</v>
      </c>
      <c r="D73" s="299">
        <v>15</v>
      </c>
      <c r="E73" s="299">
        <v>11</v>
      </c>
      <c r="F73" s="299">
        <v>14</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15</v>
      </c>
      <c r="E75" s="299">
        <v>11</v>
      </c>
      <c r="F75" s="299">
        <v>14</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15</v>
      </c>
      <c r="E77" s="299">
        <v>11</v>
      </c>
      <c r="F77" s="299">
        <v>14</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15</v>
      </c>
      <c r="E79" s="299">
        <v>11</v>
      </c>
      <c r="F79" s="299">
        <v>14</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15</v>
      </c>
      <c r="E82" s="299">
        <v>11</v>
      </c>
      <c r="F82" s="299">
        <v>14</v>
      </c>
      <c r="G82" s="207" t="s">
        <v>117</v>
      </c>
    </row>
    <row r="83" ht="45" customHeight="1">
      <c r="A83" s="226"/>
      <c r="B83" s="238">
        <v>1253</v>
      </c>
      <c r="C83" s="242" t="s">
        <v>161</v>
      </c>
      <c r="D83" s="299">
        <v>15</v>
      </c>
      <c r="E83" s="299">
        <v>11</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1</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2</v>
      </c>
      <c r="E94" s="299">
        <v>0</v>
      </c>
      <c r="F94" s="299">
        <v>0</v>
      </c>
      <c r="G94" s="265" t="s">
        <v>168</v>
      </c>
    </row>
    <row r="95" ht="45" customHeight="1">
      <c r="A95" s="226"/>
      <c r="B95" s="238">
        <v>1315</v>
      </c>
      <c r="C95" s="243" t="s">
        <v>174</v>
      </c>
      <c r="D95" s="299">
        <v>2</v>
      </c>
      <c r="E95" s="299">
        <v>0</v>
      </c>
      <c r="F95" s="299">
        <v>0</v>
      </c>
      <c r="G95" s="265" t="s">
        <v>168</v>
      </c>
    </row>
    <row r="96" ht="45" customHeight="1" s="269" customFormat="1">
      <c r="A96" s="226"/>
      <c r="B96" s="238">
        <v>1316</v>
      </c>
      <c r="C96" s="243" t="s">
        <v>175</v>
      </c>
      <c r="D96" s="299">
        <v>2</v>
      </c>
      <c r="E96" s="299">
        <v>0</v>
      </c>
      <c r="F96" s="299">
        <v>0</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2</v>
      </c>
      <c r="E101" s="299">
        <v>0</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2</v>
      </c>
      <c r="F119" s="299">
        <v>3</v>
      </c>
      <c r="G119" s="207" t="s">
        <v>194</v>
      </c>
    </row>
    <row r="120" ht="45" customHeight="1" s="269" customFormat="1">
      <c r="A120" s="226"/>
      <c r="B120" s="238">
        <v>1414</v>
      </c>
      <c r="C120" s="243" t="s">
        <v>198</v>
      </c>
      <c r="D120" s="299">
        <v>0</v>
      </c>
      <c r="E120" s="299">
        <v>2</v>
      </c>
      <c r="F120" s="299">
        <v>2</v>
      </c>
      <c r="G120" s="207" t="s">
        <v>194</v>
      </c>
    </row>
    <row r="121" ht="45" customHeight="1" s="269" customFormat="1">
      <c r="A121" s="226"/>
      <c r="B121" s="238">
        <v>1422</v>
      </c>
      <c r="C121" s="242" t="s">
        <v>199</v>
      </c>
      <c r="D121" s="299">
        <v>0</v>
      </c>
      <c r="E121" s="299">
        <v>2</v>
      </c>
      <c r="F121" s="299">
        <v>2</v>
      </c>
      <c r="G121" s="207" t="s">
        <v>194</v>
      </c>
    </row>
    <row r="122" ht="45" customHeight="1" s="269" customFormat="1">
      <c r="A122" s="226"/>
      <c r="B122" s="238">
        <v>1423</v>
      </c>
      <c r="C122" s="242" t="s">
        <v>200</v>
      </c>
      <c r="D122" s="299">
        <v>0</v>
      </c>
      <c r="E122" s="299">
        <v>2</v>
      </c>
      <c r="F122" s="299">
        <v>2</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2</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2</v>
      </c>
      <c r="F126" s="299">
        <v>2</v>
      </c>
      <c r="G126" s="207" t="s">
        <v>194</v>
      </c>
    </row>
    <row r="127" ht="45" customHeight="1" s="269" customFormat="1">
      <c r="A127" s="226"/>
      <c r="B127" s="238">
        <v>1432</v>
      </c>
      <c r="C127" s="242" t="s">
        <v>206</v>
      </c>
      <c r="D127" s="299">
        <v>0</v>
      </c>
      <c r="E127" s="299">
        <v>2</v>
      </c>
      <c r="F127" s="299">
        <v>2</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2</v>
      </c>
      <c r="F130" s="299">
        <v>2</v>
      </c>
      <c r="G130" s="207" t="s">
        <v>194</v>
      </c>
    </row>
    <row r="131" ht="45" customHeight="1" s="269" customFormat="1">
      <c r="A131" s="226"/>
      <c r="B131" s="238">
        <v>1441</v>
      </c>
      <c r="C131" s="242" t="s">
        <v>210</v>
      </c>
      <c r="D131" s="299">
        <v>0</v>
      </c>
      <c r="E131" s="299">
        <v>2</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2</v>
      </c>
      <c r="F133" s="299">
        <v>2</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2</v>
      </c>
      <c r="F135" s="299">
        <v>2</v>
      </c>
      <c r="G135" s="207" t="s">
        <v>194</v>
      </c>
    </row>
    <row r="136" ht="45" customHeight="1" s="269" customFormat="1">
      <c r="A136" s="226"/>
      <c r="B136" s="238">
        <v>1453</v>
      </c>
      <c r="C136" s="242" t="s">
        <v>215</v>
      </c>
      <c r="D136" s="299">
        <v>0</v>
      </c>
      <c r="E136" s="299">
        <v>2</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2</v>
      </c>
      <c r="F138" s="299">
        <v>2</v>
      </c>
      <c r="G138" s="207" t="s">
        <v>194</v>
      </c>
    </row>
    <row r="139" ht="45" customHeight="1">
      <c r="A139" s="226"/>
      <c r="B139" s="238">
        <v>1456</v>
      </c>
      <c r="C139" s="242" t="s">
        <v>218</v>
      </c>
      <c r="D139" s="299">
        <v>0</v>
      </c>
      <c r="E139" s="299">
        <v>2</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10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4</v>
      </c>
      <c r="F144" s="299">
        <v>1</v>
      </c>
      <c r="G144" s="207" t="s">
        <v>219</v>
      </c>
    </row>
    <row r="145" ht="45" customHeight="1">
      <c r="A145" s="226"/>
      <c r="B145" s="238">
        <v>1514</v>
      </c>
      <c r="C145" s="264" t="s">
        <v>225</v>
      </c>
      <c r="D145" s="299">
        <v>5</v>
      </c>
      <c r="E145" s="299">
        <v>4</v>
      </c>
      <c r="F145" s="299">
        <v>1</v>
      </c>
      <c r="G145" s="207" t="s">
        <v>219</v>
      </c>
    </row>
    <row r="146" ht="45" customHeight="1">
      <c r="A146" s="226">
        <v>1541</v>
      </c>
      <c r="B146" s="238">
        <v>1515</v>
      </c>
      <c r="C146" s="264" t="s">
        <v>226</v>
      </c>
      <c r="D146" s="299">
        <v>5</v>
      </c>
      <c r="E146" s="299">
        <v>4</v>
      </c>
      <c r="F146" s="299">
        <v>1</v>
      </c>
      <c r="G146" s="207" t="s">
        <v>219</v>
      </c>
    </row>
    <row r="147" ht="45" customHeight="1">
      <c r="A147" s="226"/>
      <c r="B147" s="238">
        <v>1521</v>
      </c>
      <c r="C147" s="264" t="s">
        <v>227</v>
      </c>
      <c r="D147" s="299">
        <v>5</v>
      </c>
      <c r="E147" s="299">
        <v>4</v>
      </c>
      <c r="F147" s="299">
        <v>1</v>
      </c>
      <c r="G147" s="207" t="s">
        <v>219</v>
      </c>
    </row>
    <row r="148" ht="45" customHeight="1">
      <c r="A148" s="226"/>
      <c r="B148" s="238">
        <v>1522</v>
      </c>
      <c r="C148" s="264" t="s">
        <v>228</v>
      </c>
      <c r="D148" s="299">
        <v>5</v>
      </c>
      <c r="E148" s="299">
        <v>4</v>
      </c>
      <c r="F148" s="299">
        <v>1</v>
      </c>
      <c r="G148" s="207" t="s">
        <v>219</v>
      </c>
    </row>
    <row r="149" ht="45" customHeight="1">
      <c r="A149" s="226"/>
      <c r="B149" s="238">
        <v>1523</v>
      </c>
      <c r="C149" s="264" t="s">
        <v>229</v>
      </c>
      <c r="D149" s="299">
        <v>5</v>
      </c>
      <c r="E149" s="299">
        <v>4</v>
      </c>
      <c r="F149" s="299">
        <v>1</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2</v>
      </c>
      <c r="F151" s="299">
        <v>0</v>
      </c>
      <c r="G151" s="207" t="s">
        <v>219</v>
      </c>
    </row>
    <row r="152" ht="45" customHeight="1">
      <c r="A152" s="226"/>
      <c r="B152" s="238">
        <v>1532</v>
      </c>
      <c r="C152" s="242" t="s">
        <v>232</v>
      </c>
      <c r="D152" s="299">
        <v>3</v>
      </c>
      <c r="E152" s="299">
        <v>2</v>
      </c>
      <c r="F152" s="299">
        <v>1</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4</v>
      </c>
      <c r="F155" s="299">
        <v>1</v>
      </c>
      <c r="G155" s="207" t="s">
        <v>219</v>
      </c>
    </row>
    <row r="156" ht="45" customHeight="1">
      <c r="A156" s="226"/>
      <c r="B156" s="238">
        <v>1542</v>
      </c>
      <c r="C156" s="264" t="s">
        <v>236</v>
      </c>
      <c r="D156" s="299">
        <v>5</v>
      </c>
      <c r="E156" s="299">
        <v>4</v>
      </c>
      <c r="F156" s="299">
        <v>1</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5</v>
      </c>
      <c r="E158" s="299">
        <v>4</v>
      </c>
      <c r="F158" s="299">
        <v>1</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5</v>
      </c>
      <c r="E161" s="299">
        <v>4</v>
      </c>
      <c r="F161" s="299">
        <v>1</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5</v>
      </c>
      <c r="E163" s="299">
        <v>4</v>
      </c>
      <c r="F163" s="299">
        <v>1</v>
      </c>
      <c r="G163" s="207" t="s">
        <v>219</v>
      </c>
    </row>
    <row r="164" ht="45" customHeight="1">
      <c r="A164" s="226"/>
      <c r="B164" s="238">
        <v>1556</v>
      </c>
      <c r="C164" s="242" t="s">
        <v>241</v>
      </c>
      <c r="D164" s="299">
        <v>5</v>
      </c>
      <c r="E164" s="299">
        <v>4</v>
      </c>
      <c r="F164" s="299">
        <v>1</v>
      </c>
      <c r="G164" s="207" t="s">
        <v>219</v>
      </c>
    </row>
    <row r="165" ht="45" customHeight="1">
      <c r="A165" s="226"/>
      <c r="C165" s="276"/>
      <c r="D165" s="277"/>
      <c r="G165" s="207"/>
    </row>
    <row r="166" ht="45" customHeight="1">
      <c r="A166" s="226"/>
      <c r="B166" s="279" t="s">
        <v>244</v>
      </c>
      <c r="C166" s="260" t="s">
        <v>245</v>
      </c>
      <c r="D166" s="228"/>
      <c r="E166" s="231"/>
      <c r="F166" s="298">
        <v>96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17</v>
      </c>
      <c r="E171" s="299">
        <v>17</v>
      </c>
      <c r="F171" s="299">
        <v>18</v>
      </c>
      <c r="G171" s="207" t="s">
        <v>244</v>
      </c>
    </row>
    <row r="172" ht="45" customHeight="1">
      <c r="A172" s="226"/>
      <c r="B172" s="238">
        <v>1614</v>
      </c>
      <c r="C172" s="281" t="s">
        <v>251</v>
      </c>
      <c r="D172" s="299">
        <v>17</v>
      </c>
      <c r="E172" s="299">
        <v>17</v>
      </c>
      <c r="F172" s="299">
        <v>18</v>
      </c>
      <c r="G172" s="207" t="s">
        <v>244</v>
      </c>
    </row>
    <row r="173" ht="45" customHeight="1">
      <c r="A173" s="226"/>
      <c r="B173" s="238">
        <v>1615</v>
      </c>
      <c r="C173" s="242" t="s">
        <v>252</v>
      </c>
      <c r="D173" s="299">
        <v>17</v>
      </c>
      <c r="E173" s="299">
        <v>17</v>
      </c>
      <c r="F173" s="299">
        <v>18</v>
      </c>
      <c r="G173" s="207" t="s">
        <v>244</v>
      </c>
    </row>
    <row r="174" ht="45" customHeight="1">
      <c r="A174" s="226"/>
      <c r="B174" s="238">
        <v>1616</v>
      </c>
      <c r="C174" s="242" t="s">
        <v>253</v>
      </c>
      <c r="D174" s="299">
        <v>17</v>
      </c>
      <c r="E174" s="299">
        <v>17</v>
      </c>
      <c r="F174" s="299">
        <v>18</v>
      </c>
      <c r="G174" s="207" t="s">
        <v>244</v>
      </c>
    </row>
    <row r="175" ht="45" customHeight="1">
      <c r="A175" s="226"/>
      <c r="B175" s="238">
        <v>1621</v>
      </c>
      <c r="C175" s="242" t="s">
        <v>254</v>
      </c>
      <c r="D175" s="299">
        <v>17</v>
      </c>
      <c r="E175" s="299">
        <v>17</v>
      </c>
      <c r="F175" s="299">
        <v>18</v>
      </c>
      <c r="G175" s="207" t="s">
        <v>244</v>
      </c>
    </row>
    <row r="176" ht="45" customHeight="1">
      <c r="A176" s="226"/>
      <c r="B176" s="238">
        <v>1622</v>
      </c>
      <c r="C176" s="242" t="s">
        <v>255</v>
      </c>
      <c r="D176" s="299">
        <v>17</v>
      </c>
      <c r="E176" s="299">
        <v>17</v>
      </c>
      <c r="F176" s="299">
        <v>18</v>
      </c>
      <c r="G176" s="207" t="s">
        <v>244</v>
      </c>
    </row>
    <row r="177" ht="45" customHeight="1">
      <c r="A177" s="226"/>
      <c r="B177" s="238">
        <v>1623</v>
      </c>
      <c r="C177" s="242" t="s">
        <v>256</v>
      </c>
      <c r="D177" s="299">
        <v>17</v>
      </c>
      <c r="E177" s="299">
        <v>17</v>
      </c>
      <c r="F177" s="299">
        <v>18</v>
      </c>
      <c r="G177" s="207" t="s">
        <v>244</v>
      </c>
    </row>
    <row r="178" ht="45" customHeight="1">
      <c r="A178" s="226"/>
      <c r="B178" s="238">
        <v>1624</v>
      </c>
      <c r="C178" s="242" t="s">
        <v>257</v>
      </c>
      <c r="D178" s="299">
        <v>17</v>
      </c>
      <c r="E178" s="299">
        <v>17</v>
      </c>
      <c r="F178" s="299">
        <v>18</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29</v>
      </c>
      <c r="E181" s="299">
        <v>31</v>
      </c>
      <c r="F181" s="299">
        <v>31</v>
      </c>
      <c r="G181" s="207" t="s">
        <v>244</v>
      </c>
    </row>
    <row r="182" ht="45" customHeight="1">
      <c r="A182" s="226"/>
      <c r="B182" s="238">
        <v>1632</v>
      </c>
      <c r="C182" s="242" t="s">
        <v>261</v>
      </c>
      <c r="D182" s="299">
        <v>61</v>
      </c>
      <c r="E182" s="299">
        <v>64</v>
      </c>
      <c r="F182" s="299">
        <v>65</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39</v>
      </c>
      <c r="E185" s="299">
        <v>64</v>
      </c>
      <c r="F185" s="299">
        <v>30</v>
      </c>
      <c r="G185" s="207" t="s">
        <v>244</v>
      </c>
    </row>
    <row r="186" ht="45" customHeight="1">
      <c r="A186" s="226"/>
      <c r="B186" s="238">
        <v>1641</v>
      </c>
      <c r="C186" s="242" t="s">
        <v>265</v>
      </c>
      <c r="D186" s="299">
        <v>39</v>
      </c>
      <c r="E186" s="299">
        <v>64</v>
      </c>
      <c r="F186" s="299">
        <v>30</v>
      </c>
      <c r="G186" s="207" t="s">
        <v>244</v>
      </c>
    </row>
    <row r="187" ht="45" customHeight="1">
      <c r="A187" s="226"/>
      <c r="B187" s="238">
        <v>1642</v>
      </c>
      <c r="C187" s="242" t="s">
        <v>264</v>
      </c>
      <c r="D187" s="299">
        <v>39</v>
      </c>
      <c r="E187" s="299">
        <v>64</v>
      </c>
      <c r="F187" s="299">
        <v>30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89</v>
      </c>
      <c r="E189" s="299">
        <v>95</v>
      </c>
      <c r="F189" s="299">
        <v>96</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95</v>
      </c>
      <c r="E191" s="299">
        <v>100</v>
      </c>
      <c r="F191" s="299">
        <v>102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1</v>
      </c>
      <c r="G197" s="207" t="s">
        <v>244</v>
      </c>
    </row>
    <row r="198" ht="45" customHeight="1">
      <c r="A198" s="226"/>
      <c r="B198" s="238">
        <v>1659</v>
      </c>
      <c r="C198" s="242" t="s">
        <v>276</v>
      </c>
      <c r="D198" s="299">
        <v>0</v>
      </c>
      <c r="E198" s="299">
        <v>0</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289</v>
      </c>
      <c r="AZ431" s="0" t="s">
        <v>293</v>
      </c>
      <c r="BA431" s="0" t="s">
        <v>285</v>
      </c>
      <c r="BB431" s="0" t="str">
        <f t="shared" si="6"/>
        <v>CCFNbeGwerWest</v>
      </c>
    </row>
    <row r="432">
      <c r="AV432" s="0" t="s">
        <v>473</v>
      </c>
      <c r="AW432" s="0" t="s">
        <v>286</v>
      </c>
      <c r="AX432" s="0" t="s">
        <v>641</v>
      </c>
      <c r="AY432" s="0" t="s">
        <v>1907</v>
      </c>
      <c r="AZ432" s="0" t="s">
        <v>1908</v>
      </c>
      <c r="BA432" s="0" t="s">
        <v>285</v>
      </c>
      <c r="BB432" s="0" t="str">
        <f t="shared" si="6"/>
        <v>CCFNbeGwerWest</v>
      </c>
    </row>
    <row r="433">
      <c r="AV433" s="0" t="s">
        <v>473</v>
      </c>
      <c r="AW433" s="0" t="s">
        <v>286</v>
      </c>
      <c r="AX433" s="0" t="s">
        <v>679</v>
      </c>
      <c r="AY433" s="0" t="s">
        <v>1909</v>
      </c>
      <c r="AZ433" s="0" t="s">
        <v>1910</v>
      </c>
      <c r="BA433" s="0" t="s">
        <v>285</v>
      </c>
      <c r="BB433" s="0" t="str">
        <f t="shared" si="6"/>
        <v>CCFNbeKatsinaAla</v>
      </c>
    </row>
    <row r="434">
      <c r="AV434" s="0" t="s">
        <v>473</v>
      </c>
      <c r="AW434" s="0" t="s">
        <v>286</v>
      </c>
      <c r="AX434" s="0" t="s">
        <v>679</v>
      </c>
      <c r="AY434" s="0" t="s">
        <v>1911</v>
      </c>
      <c r="AZ434" s="0" t="s">
        <v>1912</v>
      </c>
      <c r="BA434" s="0" t="s">
        <v>285</v>
      </c>
      <c r="BB434" s="0" t="str">
        <f t="shared" si="6"/>
        <v>CCFNbeKatsinaAla</v>
      </c>
    </row>
    <row r="435">
      <c r="AV435" s="0" t="s">
        <v>473</v>
      </c>
      <c r="AW435" s="0" t="s">
        <v>286</v>
      </c>
      <c r="AX435" s="0" t="s">
        <v>679</v>
      </c>
      <c r="AY435" s="0" t="s">
        <v>1913</v>
      </c>
      <c r="AZ435" s="0" t="s">
        <v>1914</v>
      </c>
      <c r="BA435" s="0" t="s">
        <v>285</v>
      </c>
      <c r="BB435" s="0" t="str">
        <f t="shared" si="6"/>
        <v>CCFNbeKatsinaAla</v>
      </c>
    </row>
    <row r="436">
      <c r="AV436" s="0" t="s">
        <v>473</v>
      </c>
      <c r="AW436" s="0" t="s">
        <v>286</v>
      </c>
      <c r="AX436" s="0" t="s">
        <v>679</v>
      </c>
      <c r="AY436" s="0" t="s">
        <v>1915</v>
      </c>
      <c r="AZ436" s="0" t="s">
        <v>1916</v>
      </c>
      <c r="BA436" s="0" t="s">
        <v>285</v>
      </c>
      <c r="BB436" s="0" t="str">
        <f t="shared" si="6"/>
        <v>CCFNbeKatsinaAla</v>
      </c>
    </row>
    <row r="437">
      <c r="AV437" s="0" t="s">
        <v>473</v>
      </c>
      <c r="AW437" s="0" t="s">
        <v>286</v>
      </c>
      <c r="AX437" s="0" t="s">
        <v>715</v>
      </c>
      <c r="AY437" s="0" t="s">
        <v>1917</v>
      </c>
      <c r="AZ437" s="0" t="s">
        <v>1918</v>
      </c>
      <c r="BA437" s="0" t="s">
        <v>285</v>
      </c>
      <c r="BB437" s="0" t="str">
        <f t="shared" si="6"/>
        <v>CCFNbeKonshisha</v>
      </c>
    </row>
    <row r="438">
      <c r="AV438" s="0" t="s">
        <v>473</v>
      </c>
      <c r="AW438" s="0" t="s">
        <v>286</v>
      </c>
      <c r="AX438" s="0" t="s">
        <v>715</v>
      </c>
      <c r="AY438" s="0" t="s">
        <v>1919</v>
      </c>
      <c r="AZ438" s="0" t="s">
        <v>1920</v>
      </c>
      <c r="BA438" s="0" t="s">
        <v>285</v>
      </c>
      <c r="BB438" s="0" t="str">
        <f t="shared" si="6"/>
        <v>CCFNbeKonshisha</v>
      </c>
    </row>
    <row r="439">
      <c r="AV439" s="0" t="s">
        <v>473</v>
      </c>
      <c r="AW439" s="0" t="s">
        <v>286</v>
      </c>
      <c r="AX439" s="0" t="s">
        <v>715</v>
      </c>
      <c r="AY439" s="0" t="s">
        <v>1921</v>
      </c>
      <c r="AZ439" s="0" t="s">
        <v>1922</v>
      </c>
      <c r="BA439" s="0" t="s">
        <v>285</v>
      </c>
      <c r="BB439" s="0" t="str">
        <f t="shared" si="6"/>
        <v>CCFNbeKonshisha</v>
      </c>
    </row>
    <row r="440">
      <c r="AV440" s="0" t="s">
        <v>473</v>
      </c>
      <c r="AW440" s="0" t="s">
        <v>286</v>
      </c>
      <c r="AX440" s="0" t="s">
        <v>715</v>
      </c>
      <c r="AY440" s="0" t="s">
        <v>1923</v>
      </c>
      <c r="AZ440" s="0" t="s">
        <v>1924</v>
      </c>
      <c r="BA440" s="0" t="s">
        <v>285</v>
      </c>
      <c r="BB440" s="0" t="str">
        <f t="shared" si="6"/>
        <v>CCFNbeKonshisha</v>
      </c>
    </row>
    <row r="441">
      <c r="AV441" s="0" t="s">
        <v>473</v>
      </c>
      <c r="AW441" s="0" t="s">
        <v>286</v>
      </c>
      <c r="AX441" s="0" t="s">
        <v>715</v>
      </c>
      <c r="AY441" s="0" t="s">
        <v>1925</v>
      </c>
      <c r="AZ441" s="0" t="s">
        <v>1926</v>
      </c>
      <c r="BA441" s="0" t="s">
        <v>285</v>
      </c>
      <c r="BB441" s="0" t="str">
        <f t="shared" si="6"/>
        <v>CCFNbeKonshisha</v>
      </c>
    </row>
    <row r="442">
      <c r="AV442" s="0" t="s">
        <v>473</v>
      </c>
      <c r="AW442" s="0" t="s">
        <v>286</v>
      </c>
      <c r="AX442" s="0" t="s">
        <v>748</v>
      </c>
      <c r="AY442" s="0" t="s">
        <v>1927</v>
      </c>
      <c r="AZ442" s="0" t="s">
        <v>1928</v>
      </c>
      <c r="BA442" s="0" t="s">
        <v>285</v>
      </c>
      <c r="BB442" s="0" t="str">
        <f t="shared" si="6"/>
        <v>CCFNbeKwande</v>
      </c>
    </row>
    <row r="443">
      <c r="AV443" s="0" t="s">
        <v>473</v>
      </c>
      <c r="AW443" s="0" t="s">
        <v>286</v>
      </c>
      <c r="AX443" s="0" t="s">
        <v>748</v>
      </c>
      <c r="AY443" s="0" t="s">
        <v>1929</v>
      </c>
      <c r="AZ443" s="0" t="s">
        <v>1930</v>
      </c>
      <c r="BA443" s="0" t="s">
        <v>285</v>
      </c>
      <c r="BB443" s="0" t="str">
        <f t="shared" si="6"/>
        <v>CCFNbeKwande</v>
      </c>
    </row>
    <row r="444">
      <c r="AV444" s="0" t="s">
        <v>473</v>
      </c>
      <c r="AW444" s="0" t="s">
        <v>286</v>
      </c>
      <c r="AX444" s="0" t="s">
        <v>748</v>
      </c>
      <c r="AY444" s="0" t="s">
        <v>1931</v>
      </c>
      <c r="AZ444" s="0" t="s">
        <v>1932</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