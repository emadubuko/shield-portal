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<sst xmlns="http://schemas.openxmlformats.org/spreadsheetml/2006/main" count="4033" uniqueCount="4033">
  <si>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</si>
  <si>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</si>
  <si>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</si>
  <si>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</si>
  <si>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</si>
  <si>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</si>
  <si>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</si>
  <si>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</si>
  <si>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</si>
  <si>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</si>
  <si>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</si>
  <si>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</si>
  <si>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</si>
  <si>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</si>
  <si>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</si>
  <si>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</si>
  <si>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</si>
  <si>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</si>
  <si>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</si>
  <si>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</si>
  <si>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</si>
  <si>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</si>
  <si>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</si>
  <si>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</si>
  <si>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</si>
  <si>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</si>
  <si>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</si>
  <si>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</si>
  <si>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</si>
  <si>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</si>
  <si>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</si>
  <si>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</si>
  <si>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</si>
  <si>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</si>
  <si>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</si>
  <si>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</si>
  <si>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</si>
  <si>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</si>
  <si>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</si>
  <si>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</si>
  <si>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</si>
  <si>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</si>
  <si>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</si>
  <si>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</si>
  <si>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</si>
  <si>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</si>
  <si>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</si>
  <si>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</si>
  <si>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</si>
  <si>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</si>
  <si>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</si>
  <si>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</si>
  <si>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</si>
  <si>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</si>
  <si>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</si>
  <si>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</si>
  <si>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</si>
  <si>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</si>
  <si>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</si>
  <si>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</si>
  <si>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</si>
  <si>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</si>
  <si>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</si>
  <si>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</si>
  <si>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</si>
  <si>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</si>
  <si>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</si>
  <si>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</si>
  <si>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</si>
  <si>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</si>
  <si>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</si>
  <si>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</si>
  <si>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</si>
  <si>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</si>
  <si>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</si>
  <si>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</si>
  <si>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</si>
  <si>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</si>
  <si>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</si>
  <si>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</si>
  <si>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</si>
  <si>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</si>
  <si>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</si>
  <si>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</si>
  <si>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</si>
  <si>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</si>
  <si>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</si>
  <si>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</si>
  <si>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</si>
  <si>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</si>
  <si>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</si>
  <si>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</si>
  <si>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</si>
  <si>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</si>
  <si>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</si>
  <si>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</si>
  <si>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</si>
  <si>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</si>
  <si>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</si>
  <si>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</si>
  <si>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</si>
  <si>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</si>
  <si>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</si>
  <si>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</si>
  <si>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</si>
  <si>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</si>
  <si>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</si>
  <si>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</si>
  <si>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</si>
  <si>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</si>
  <si>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</si>
  <si>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</si>
  <si>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</si>
  <si>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</si>
  <si>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</si>
  <si>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</si>
  <si>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</si>
  <si>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</si>
  <si>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</si>
  <si>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</si>
  <si>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</si>
  <si>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</si>
  <si>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</si>
  <si>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</si>
  <si>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</si>
  <si>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</si>
  <si>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</si>
  <si>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</si>
  <si>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</si>
  <si>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</si>
  <si>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</si>
  <si>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</si>
  <si>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</si>
  <si>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</si>
  <si>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</si>
  <si>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</si>
  <si>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</si>
  <si>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</si>
  <si>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</si>
  <si>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</si>
  <si>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</si>
  <si>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</si>
  <si>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</si>
  <si>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</si>
  <si>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</si>
  <si>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</si>
  <si>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</si>
  <si>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</si>
  <si>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</si>
  <si>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</si>
  <si>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</si>
  <si>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</si>
  <si>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</si>
  <si>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</si>
  <si>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</si>
  <si>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</si>
  <si>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</si>
  <si>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</si>
  <si>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</si>
  <si>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</si>
  <si>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</si>
  <si>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</si>
  <si>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</si>
  <si>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</si>
  <si>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</si>
  <si>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</si>
  <si>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</si>
  <si>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</si>
  <si>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</si>
  <si>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</si>
  <si>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</si>
  <si>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</si>
  <si>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</si>
  <si>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</si>
  <si>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</si>
  <si>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</si>
  <si>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</si>
  <si>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</si>
  <si>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</si>
  <si>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</si>
  <si>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</si>
  <si>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</si>
  <si>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</si>
  <si>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</si>
  <si>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</si>
  <si>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</si>
  <si>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</si>
  <si>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</si>
  <si>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</si>
  <si>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</si>
  <si>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</si>
  <si>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</si>
  <si>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</si>
  <si>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</si>
  <si>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</si>
  <si>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</si>
  <si>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</si>
  <si>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</si>
  <si>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</si>
  <si>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</si>
  <si>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</si>
  <si>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</si>
  <si>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</si>
  <si>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</si>
  <si>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</si>
  <si>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</si>
  <si>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</si>
  <si>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</si>
  <si>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</si>
  <si>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</si>
  <si>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</si>
  <si>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</si>
  <si>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</si>
  <si>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</si>
  <si>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</si>
  <si>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</si>
  <si>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</si>
  <si>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</si>
  <si>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</si>
  <si>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</si>
  <si>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</si>
  <si>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</si>
  <si>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</si>
  <si>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</si>
  <si>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</si>
  <si>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</si>
  <si>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</si>
  <si>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</si>
  <si>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</si>
  <si>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</si>
  <si>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</si>
  <si>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</si>
  <si>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</si>
  <si>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</si>
  <si>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</si>
  <si>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</si>
  <si>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</si>
  <si>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</si>
  <si>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</si>
  <si>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</si>
  <si>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</si>
  <si>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</si>
  <si>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</si>
  <si>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</si>
  <si>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</si>
  <si>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</si>
  <si>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</si>
  <si>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</si>
  <si>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</si>
  <si>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</si>
  <si>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</si>
  <si>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</si>
  <si>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</si>
  <si>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</si>
  <si>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</si>
  <si>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</si>
  <si>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</si>
  <si>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</si>
  <si>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</si>
  <si>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</si>
  <si>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</si>
  <si>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</si>
  <si>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</si>
  <si>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</si>
  <si>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</si>
  <si>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</si>
  <si>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</si>
  <si>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</si>
  <si>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</si>
  <si>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</si>
  <si>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</si>
  <si>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</si>
  <si>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</si>
  <si>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</si>
  <si>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</si>
  <si>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</si>
  <si>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</si>
  <si>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</si>
  <si>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</si>
  <si>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</si>
  <si>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</si>
  <si>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</si>
  <si>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</si>
  <si>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</si>
  <si>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</si>
  <si>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</si>
  <si>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</si>
  <si>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Nwangele</t>
  </si>
  <si>
    <t>Facility Name:</t>
  </si>
  <si>
    <t>St. Mary Joint Hospital - Amaigbo</t>
  </si>
  <si>
    <t>Reporting Period:</t>
  </si>
  <si>
    <t>Q1(Oct - Dec)</t>
  </si>
  <si>
    <t>Facility Code:</t>
  </si>
  <si>
    <t>GRNvujtMkBW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</si>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</sst>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22</v>
      </c>
      <c r="E53" s="299">
        <v>8</v>
      </c>
      <c r="F53" s="299">
        <v>17</v>
      </c>
      <c r="G53" s="207" t="s">
        <v>117</v>
      </c>
    </row>
    <row r="54" ht="45" customHeight="1">
      <c r="A54" s="226"/>
      <c r="B54" s="238">
        <v>1214</v>
      </c>
      <c r="C54" s="264" t="s">
        <v>132</v>
      </c>
      <c r="D54" s="299">
        <v>12</v>
      </c>
      <c r="E54" s="299">
        <v>12</v>
      </c>
      <c r="F54" s="299">
        <v>11</v>
      </c>
      <c r="G54" s="207" t="s">
        <v>117</v>
      </c>
    </row>
    <row r="55" ht="45" customHeight="1">
      <c r="A55" s="226"/>
      <c r="B55" s="238">
        <v>1215</v>
      </c>
      <c r="C55" s="242" t="s">
        <v>133</v>
      </c>
      <c r="D55" s="299">
        <v>22</v>
      </c>
      <c r="E55" s="299">
        <v>8</v>
      </c>
      <c r="F55" s="299">
        <v>17</v>
      </c>
      <c r="G55" s="207" t="s">
        <v>117</v>
      </c>
    </row>
    <row r="56" ht="45" customHeight="1">
      <c r="A56" s="226"/>
      <c r="B56" s="238">
        <v>1216</v>
      </c>
      <c r="C56" s="243" t="s">
        <v>134</v>
      </c>
      <c r="D56" s="299">
        <v>12</v>
      </c>
      <c r="E56" s="299">
        <v>12</v>
      </c>
      <c r="F56" s="299">
        <v>11</v>
      </c>
      <c r="G56" s="207" t="s">
        <v>117</v>
      </c>
    </row>
    <row r="57" ht="45" customHeight="1">
      <c r="A57" s="226"/>
      <c r="B57" s="238">
        <v>1217</v>
      </c>
      <c r="C57" s="243" t="s">
        <v>135</v>
      </c>
      <c r="D57" s="299">
        <v>0</v>
      </c>
      <c r="E57" s="299">
        <v>1</v>
      </c>
      <c r="F57" s="299">
        <v>0</v>
      </c>
      <c r="G57" s="207" t="s">
        <v>117</v>
      </c>
    </row>
    <row r="58" ht="45" customHeight="1">
      <c r="A58" s="226"/>
      <c r="B58" s="238">
        <v>1218</v>
      </c>
      <c r="C58" s="243" t="s">
        <v>136</v>
      </c>
      <c r="D58" s="299">
        <v>11</v>
      </c>
      <c r="E58" s="299">
        <v>10</v>
      </c>
      <c r="F58" s="299">
        <v>11</v>
      </c>
      <c r="G58" s="207" t="s">
        <v>117</v>
      </c>
    </row>
    <row r="59" ht="45" customHeight="1">
      <c r="A59" s="226"/>
      <c r="B59" s="238">
        <v>1221</v>
      </c>
      <c r="C59" s="264" t="s">
        <v>137</v>
      </c>
      <c r="D59" s="299">
        <v>12</v>
      </c>
      <c r="E59" s="299">
        <v>12</v>
      </c>
      <c r="F59" s="299">
        <v>11</v>
      </c>
      <c r="G59" s="207" t="s">
        <v>117</v>
      </c>
    </row>
    <row r="60" ht="45" customHeight="1">
      <c r="A60" s="226"/>
      <c r="B60" s="238">
        <v>1222</v>
      </c>
      <c r="C60" s="264" t="s">
        <v>138</v>
      </c>
      <c r="D60" s="299">
        <v>12</v>
      </c>
      <c r="E60" s="299">
        <v>10</v>
      </c>
      <c r="F60" s="299">
        <v>11</v>
      </c>
      <c r="G60" s="207" t="s">
        <v>117</v>
      </c>
    </row>
    <row r="61" ht="45" customHeight="1">
      <c r="A61" s="226"/>
      <c r="B61" s="238">
        <v>1223</v>
      </c>
      <c r="C61" s="264" t="s">
        <v>139</v>
      </c>
      <c r="D61" s="299">
        <v>12</v>
      </c>
      <c r="E61" s="299">
        <v>12</v>
      </c>
      <c r="F61" s="299">
        <v>11</v>
      </c>
      <c r="G61" s="207" t="s">
        <v>117</v>
      </c>
    </row>
    <row r="62" ht="54.65" customHeight="1">
      <c r="A62" s="226"/>
      <c r="B62" s="238">
        <v>1224</v>
      </c>
      <c r="C62" s="264" t="s">
        <v>140</v>
      </c>
      <c r="D62" s="299">
        <v>12</v>
      </c>
      <c r="E62" s="299">
        <v>12</v>
      </c>
      <c r="F62" s="299">
        <v>11</v>
      </c>
      <c r="G62" s="207" t="s">
        <v>117</v>
      </c>
    </row>
    <row r="63" ht="66.65" customHeight="1">
      <c r="A63" s="226"/>
      <c r="B63" s="238">
        <v>1225</v>
      </c>
      <c r="C63" s="264" t="s">
        <v>141</v>
      </c>
      <c r="D63" s="299">
        <v>12</v>
      </c>
      <c r="E63" s="299">
        <v>12</v>
      </c>
      <c r="F63" s="299">
        <v>11</v>
      </c>
      <c r="G63" s="207" t="s">
        <v>117</v>
      </c>
    </row>
    <row r="64" ht="45" customHeight="1">
      <c r="A64" s="226"/>
      <c r="B64" s="238">
        <v>1226</v>
      </c>
      <c r="C64" s="264" t="s">
        <v>142</v>
      </c>
      <c r="D64" s="299">
        <v>1</v>
      </c>
      <c r="E64" s="299">
        <v>0</v>
      </c>
      <c r="F64" s="299">
        <v>1</v>
      </c>
      <c r="G64" s="207" t="s">
        <v>117</v>
      </c>
    </row>
    <row r="65" ht="45" customHeight="1">
      <c r="A65" s="226"/>
      <c r="B65" s="238">
        <v>1227</v>
      </c>
      <c r="C65" s="264" t="s">
        <v>143</v>
      </c>
      <c r="D65" s="299">
        <v>1</v>
      </c>
      <c r="E65" s="299">
        <v>0</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22</v>
      </c>
      <c r="E67" s="299">
        <v>8</v>
      </c>
      <c r="F67" s="299">
        <v>17</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21</v>
      </c>
      <c r="E71" s="299">
        <v>7</v>
      </c>
      <c r="F71" s="299">
        <v>14</v>
      </c>
      <c r="G71" s="207" t="s">
        <v>117</v>
      </c>
    </row>
    <row r="72" ht="45" customHeight="1">
      <c r="A72" s="226"/>
      <c r="B72" s="238">
        <v>1236</v>
      </c>
      <c r="C72" s="242" t="s">
        <v>150</v>
      </c>
      <c r="D72" s="299">
        <v>1</v>
      </c>
      <c r="E72" s="299">
        <v>0</v>
      </c>
      <c r="F72" s="299">
        <v>0</v>
      </c>
      <c r="G72" s="207" t="s">
        <v>117</v>
      </c>
    </row>
    <row r="73" ht="45" customHeight="1">
      <c r="A73" s="226"/>
      <c r="B73" s="238">
        <v>1241</v>
      </c>
      <c r="C73" s="242" t="s">
        <v>151</v>
      </c>
      <c r="D73" s="299">
        <v>21</v>
      </c>
      <c r="E73" s="299">
        <v>8</v>
      </c>
      <c r="F73" s="299">
        <v>16</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21</v>
      </c>
      <c r="E75" s="299">
        <v>8</v>
      </c>
      <c r="F75" s="299">
        <v>16</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22</v>
      </c>
      <c r="E77" s="299">
        <v>8</v>
      </c>
      <c r="F77" s="299">
        <v>17</v>
      </c>
      <c r="G77" s="207" t="s">
        <v>117</v>
      </c>
    </row>
    <row r="78" ht="45" customHeight="1">
      <c r="A78" s="226"/>
      <c r="B78" s="238">
        <v>1246</v>
      </c>
      <c r="C78" s="243" t="s">
        <v>156</v>
      </c>
      <c r="D78" s="299">
        <v>1</v>
      </c>
      <c r="E78" s="299">
        <v>0</v>
      </c>
      <c r="F78" s="299">
        <v>1</v>
      </c>
      <c r="G78" s="207" t="s">
        <v>117</v>
      </c>
    </row>
    <row r="79" ht="45" customHeight="1">
      <c r="A79" s="226"/>
      <c r="B79" s="238">
        <v>1247</v>
      </c>
      <c r="C79" s="242" t="s">
        <v>157</v>
      </c>
      <c r="D79" s="299">
        <v>21</v>
      </c>
      <c r="E79" s="299">
        <v>8</v>
      </c>
      <c r="F79" s="299">
        <v>16</v>
      </c>
      <c r="G79" s="207" t="s">
        <v>117</v>
      </c>
    </row>
    <row r="80" ht="45" customHeight="1">
      <c r="A80" s="226"/>
      <c r="B80" s="238">
        <v>1248</v>
      </c>
      <c r="C80" s="242" t="s">
        <v>158</v>
      </c>
      <c r="D80" s="299">
        <v>1</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22</v>
      </c>
      <c r="E82" s="299">
        <v>8</v>
      </c>
      <c r="F82" s="299">
        <v>17</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1</v>
      </c>
      <c r="G93" s="265" t="s">
        <v>168</v>
      </c>
    </row>
    <row r="94" ht="45" customHeight="1">
      <c r="A94" s="226"/>
      <c r="B94" s="238">
        <v>1314</v>
      </c>
      <c r="C94" s="268" t="s">
        <v>173</v>
      </c>
      <c r="D94" s="299">
        <v>0</v>
      </c>
      <c r="E94" s="299">
        <v>1</v>
      </c>
      <c r="F94" s="299">
        <v>0</v>
      </c>
      <c r="G94" s="265" t="s">
        <v>168</v>
      </c>
    </row>
    <row r="95" ht="45" customHeight="1">
      <c r="A95" s="226"/>
      <c r="B95" s="238">
        <v>1315</v>
      </c>
      <c r="C95" s="243" t="s">
        <v>174</v>
      </c>
      <c r="D95" s="299">
        <v>0</v>
      </c>
      <c r="E95" s="299">
        <v>1</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1</v>
      </c>
      <c r="F97" s="299">
        <v>1</v>
      </c>
      <c r="G97" s="265" t="s">
        <v>168</v>
      </c>
    </row>
    <row r="98" ht="45" customHeight="1" s="269" customFormat="1">
      <c r="A98" s="226"/>
      <c r="B98" s="238">
        <v>1322</v>
      </c>
      <c r="C98" s="242" t="s">
        <v>177</v>
      </c>
      <c r="D98" s="299">
        <v>1</v>
      </c>
      <c r="E98" s="299">
        <v>1</v>
      </c>
      <c r="F98" s="299">
        <v>1</v>
      </c>
      <c r="G98" s="265" t="s">
        <v>168</v>
      </c>
    </row>
    <row r="99" ht="45" customHeight="1" s="269" customFormat="1">
      <c r="A99" s="226"/>
      <c r="B99" s="238">
        <v>1323</v>
      </c>
      <c r="C99" s="242" t="s">
        <v>178</v>
      </c>
      <c r="D99" s="299">
        <v>1</v>
      </c>
      <c r="E99" s="299">
        <v>1</v>
      </c>
      <c r="F99" s="299">
        <v>1</v>
      </c>
      <c r="G99" s="265" t="s">
        <v>168</v>
      </c>
    </row>
    <row r="100" ht="45" customHeight="1" s="269" customFormat="1">
      <c r="A100" s="226"/>
      <c r="B100" s="238">
        <v>1324</v>
      </c>
      <c r="C100" s="242" t="s">
        <v>179</v>
      </c>
      <c r="D100" s="299">
        <v>1</v>
      </c>
      <c r="E100" s="299">
        <v>1</v>
      </c>
      <c r="F100" s="299">
        <v>1</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1</v>
      </c>
      <c r="E102" s="299">
        <v>0</v>
      </c>
      <c r="F102" s="299">
        <v>1</v>
      </c>
      <c r="G102" s="265" t="s">
        <v>168</v>
      </c>
    </row>
    <row r="103" ht="45" customHeight="1" s="269" customFormat="1">
      <c r="A103" s="226"/>
      <c r="B103" s="238">
        <v>1333</v>
      </c>
      <c r="C103" s="242" t="s">
        <v>182</v>
      </c>
      <c r="D103" s="299">
        <v>1</v>
      </c>
      <c r="E103" s="299">
        <v>1</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1</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2</v>
      </c>
      <c r="E145" s="299">
        <v>4</v>
      </c>
      <c r="F145" s="299">
        <v>10</v>
      </c>
      <c r="G145" s="207" t="s">
        <v>219</v>
      </c>
    </row>
    <row r="146" ht="45" customHeight="1">
      <c r="A146" s="226">
        <v>1541</v>
      </c>
      <c r="B146" s="238">
        <v>1515</v>
      </c>
      <c r="C146" s="264" t="s">
        <v>226</v>
      </c>
      <c r="D146" s="299">
        <v>2</v>
      </c>
      <c r="E146" s="299">
        <v>4</v>
      </c>
      <c r="F146" s="299">
        <v>10</v>
      </c>
      <c r="G146" s="207" t="s">
        <v>219</v>
      </c>
    </row>
    <row r="147" ht="45" customHeight="1">
      <c r="A147" s="226"/>
      <c r="B147" s="238">
        <v>1521</v>
      </c>
      <c r="C147" s="264" t="s">
        <v>227</v>
      </c>
      <c r="D147" s="299">
        <v>2</v>
      </c>
      <c r="E147" s="299">
        <v>4</v>
      </c>
      <c r="F147" s="299">
        <v>10</v>
      </c>
      <c r="G147" s="207" t="s">
        <v>219</v>
      </c>
    </row>
    <row r="148" ht="45" customHeight="1">
      <c r="A148" s="226"/>
      <c r="B148" s="238">
        <v>1522</v>
      </c>
      <c r="C148" s="264" t="s">
        <v>228</v>
      </c>
      <c r="D148" s="299">
        <v>2</v>
      </c>
      <c r="E148" s="299">
        <v>4</v>
      </c>
      <c r="F148" s="299">
        <v>10</v>
      </c>
      <c r="G148" s="207" t="s">
        <v>219</v>
      </c>
    </row>
    <row r="149" ht="45" customHeight="1">
      <c r="A149" s="226"/>
      <c r="B149" s="238">
        <v>1523</v>
      </c>
      <c r="C149" s="264" t="s">
        <v>229</v>
      </c>
      <c r="D149" s="299">
        <v>2</v>
      </c>
      <c r="E149" s="299">
        <v>4</v>
      </c>
      <c r="F149" s="299">
        <v>10</v>
      </c>
      <c r="G149" s="207" t="s">
        <v>219</v>
      </c>
    </row>
    <row r="150" ht="45" customHeight="1">
      <c r="A150" s="226"/>
      <c r="B150" s="238">
        <v>1524</v>
      </c>
      <c r="C150" s="264" t="s">
        <v>230</v>
      </c>
      <c r="D150" s="299">
        <v>2</v>
      </c>
      <c r="E150" s="299">
        <v>4</v>
      </c>
      <c r="F150" s="299">
        <v>10</v>
      </c>
      <c r="G150" s="207" t="s">
        <v>219</v>
      </c>
    </row>
    <row r="151" ht="45" customHeight="1">
      <c r="A151" s="226"/>
      <c r="B151" s="238">
        <v>1531</v>
      </c>
      <c r="C151" s="242" t="s">
        <v>231</v>
      </c>
      <c r="D151" s="299">
        <v>1</v>
      </c>
      <c r="E151" s="299">
        <v>1</v>
      </c>
      <c r="F151" s="299">
        <v>5</v>
      </c>
      <c r="G151" s="207" t="s">
        <v>219</v>
      </c>
    </row>
    <row r="152" ht="45" customHeight="1">
      <c r="A152" s="226"/>
      <c r="B152" s="238">
        <v>1532</v>
      </c>
      <c r="C152" s="242" t="s">
        <v>232</v>
      </c>
      <c r="D152" s="299">
        <v>1</v>
      </c>
      <c r="E152" s="299">
        <v>3</v>
      </c>
      <c r="F152" s="299">
        <v>5</v>
      </c>
      <c r="G152" s="207" t="s">
        <v>219</v>
      </c>
    </row>
    <row r="153" ht="45" customHeight="1">
      <c r="A153" s="226"/>
      <c r="B153" s="238">
        <v>1533</v>
      </c>
      <c r="C153" s="242" t="s">
        <v>233</v>
      </c>
      <c r="D153" s="299">
        <v>8</v>
      </c>
      <c r="E153" s="299">
        <v>2</v>
      </c>
      <c r="F153" s="299">
        <v>10</v>
      </c>
      <c r="G153" s="207" t="s">
        <v>219</v>
      </c>
    </row>
    <row r="154" ht="45" customHeight="1">
      <c r="A154" s="226"/>
      <c r="B154" s="238">
        <v>1534</v>
      </c>
      <c r="C154" s="242" t="s">
        <v>234</v>
      </c>
      <c r="D154" s="299">
        <v>1</v>
      </c>
      <c r="E154" s="299">
        <v>3</v>
      </c>
      <c r="F154" s="299">
        <v>0</v>
      </c>
      <c r="G154" s="207" t="s">
        <v>219</v>
      </c>
    </row>
    <row r="155" ht="45" customHeight="1">
      <c r="A155" s="226"/>
      <c r="B155" s="238">
        <v>1541</v>
      </c>
      <c r="C155" s="242" t="s">
        <v>235</v>
      </c>
      <c r="D155" s="299">
        <v>2</v>
      </c>
      <c r="E155" s="299">
        <v>4</v>
      </c>
      <c r="F155" s="299">
        <v>10</v>
      </c>
      <c r="G155" s="207" t="s">
        <v>219</v>
      </c>
    </row>
    <row r="156" ht="45" customHeight="1">
      <c r="A156" s="226"/>
      <c r="B156" s="238">
        <v>1542</v>
      </c>
      <c r="C156" s="264" t="s">
        <v>236</v>
      </c>
      <c r="D156" s="299">
        <v>2</v>
      </c>
      <c r="E156" s="299">
        <v>4</v>
      </c>
      <c r="F156" s="299">
        <v>10</v>
      </c>
      <c r="G156" s="207" t="s">
        <v>219</v>
      </c>
    </row>
    <row r="157" ht="45" customHeight="1">
      <c r="A157" s="226"/>
      <c r="B157" s="238">
        <v>1543</v>
      </c>
      <c r="C157" s="264" t="s">
        <v>237</v>
      </c>
      <c r="D157" s="299">
        <v>9</v>
      </c>
      <c r="E157" s="299">
        <v>5</v>
      </c>
      <c r="F157" s="299">
        <v>10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9</v>
      </c>
      <c r="E160" s="299">
        <v>5</v>
      </c>
      <c r="F160" s="299">
        <v>10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2</v>
      </c>
      <c r="E163" s="299">
        <v>4</v>
      </c>
      <c r="F163" s="299">
        <v>10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323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2</v>
      </c>
      <c r="E171" s="299">
        <v>4</v>
      </c>
      <c r="F171" s="299">
        <v>10</v>
      </c>
      <c r="G171" s="207" t="s">
        <v>244</v>
      </c>
    </row>
    <row r="172" ht="45" customHeight="1">
      <c r="A172" s="226"/>
      <c r="B172" s="238">
        <v>1614</v>
      </c>
      <c r="C172" s="281" t="s">
        <v>251</v>
      </c>
      <c r="D172" s="299">
        <v>2</v>
      </c>
      <c r="E172" s="299">
        <v>4</v>
      </c>
      <c r="F172" s="299">
        <v>10</v>
      </c>
      <c r="G172" s="207" t="s">
        <v>244</v>
      </c>
    </row>
    <row r="173" ht="45" customHeight="1">
      <c r="A173" s="226"/>
      <c r="B173" s="238">
        <v>1615</v>
      </c>
      <c r="C173" s="242" t="s">
        <v>252</v>
      </c>
      <c r="D173" s="299">
        <v>2</v>
      </c>
      <c r="E173" s="299">
        <v>4</v>
      </c>
      <c r="F173" s="299">
        <v>10</v>
      </c>
      <c r="G173" s="207" t="s">
        <v>244</v>
      </c>
    </row>
    <row r="174" ht="45" customHeight="1">
      <c r="A174" s="226"/>
      <c r="B174" s="238">
        <v>1616</v>
      </c>
      <c r="C174" s="242" t="s">
        <v>253</v>
      </c>
      <c r="D174" s="299">
        <v>27</v>
      </c>
      <c r="E174" s="299">
        <v>27</v>
      </c>
      <c r="F174" s="299">
        <v>28</v>
      </c>
      <c r="G174" s="207" t="s">
        <v>244</v>
      </c>
    </row>
    <row r="175" ht="45" customHeight="1">
      <c r="A175" s="226"/>
      <c r="B175" s="238">
        <v>1621</v>
      </c>
      <c r="C175" s="242" t="s">
        <v>254</v>
      </c>
      <c r="D175" s="299">
        <v>27</v>
      </c>
      <c r="E175" s="299">
        <v>27</v>
      </c>
      <c r="F175" s="299">
        <v>28</v>
      </c>
      <c r="G175" s="207" t="s">
        <v>244</v>
      </c>
    </row>
    <row r="176" ht="45" customHeight="1">
      <c r="A176" s="226"/>
      <c r="B176" s="238">
        <v>1622</v>
      </c>
      <c r="C176" s="242" t="s">
        <v>255</v>
      </c>
      <c r="D176" s="299">
        <v>27</v>
      </c>
      <c r="E176" s="299">
        <v>27</v>
      </c>
      <c r="F176" s="299">
        <v>28</v>
      </c>
      <c r="G176" s="207" t="s">
        <v>244</v>
      </c>
    </row>
    <row r="177" ht="45" customHeight="1">
      <c r="A177" s="226"/>
      <c r="B177" s="238">
        <v>1623</v>
      </c>
      <c r="C177" s="242" t="s">
        <v>256</v>
      </c>
      <c r="D177" s="299">
        <v>27</v>
      </c>
      <c r="E177" s="299">
        <v>27</v>
      </c>
      <c r="F177" s="299">
        <v>28</v>
      </c>
      <c r="G177" s="207" t="s">
        <v>244</v>
      </c>
    </row>
    <row r="178" ht="45" customHeight="1">
      <c r="A178" s="226"/>
      <c r="B178" s="238">
        <v>1624</v>
      </c>
      <c r="C178" s="242" t="s">
        <v>257</v>
      </c>
      <c r="D178" s="299">
        <v>27</v>
      </c>
      <c r="E178" s="299">
        <v>27</v>
      </c>
      <c r="F178" s="299">
        <v>28</v>
      </c>
      <c r="G178" s="207" t="s">
        <v>244</v>
      </c>
    </row>
    <row r="179" ht="45" customHeight="1">
      <c r="A179" s="226"/>
      <c r="B179" s="238">
        <v>1625</v>
      </c>
      <c r="C179" s="242" t="s">
        <v>258</v>
      </c>
      <c r="D179" s="299">
        <v>27</v>
      </c>
      <c r="E179" s="299">
        <v>27</v>
      </c>
      <c r="F179" s="299">
        <v>28</v>
      </c>
      <c r="G179" s="207" t="s">
        <v>244</v>
      </c>
    </row>
    <row r="180" ht="45" customHeight="1">
      <c r="A180" s="226"/>
      <c r="B180" s="238"/>
      <c r="C180" s="245" t="s">
        <v>259</v>
      </c>
      <c r="D180" s="246"/>
      <c r="E180" s="246"/>
      <c r="F180" s="247"/>
      <c r="G180" s="207" t="s">
        <v>244</v>
      </c>
    </row>
    <row r="181" ht="45" customHeight="1">
      <c r="A181" s="226"/>
      <c r="B181" s="238">
        <v>1631</v>
      </c>
      <c r="C181" s="242" t="s">
        <v>260</v>
      </c>
      <c r="D181" s="299">
        <v>79</v>
      </c>
      <c r="E181" s="299">
        <v>83</v>
      </c>
      <c r="F181" s="299">
        <v>89</v>
      </c>
      <c r="G181" s="207" t="s">
        <v>244</v>
      </c>
    </row>
    <row r="182" ht="45" customHeight="1">
      <c r="A182" s="226"/>
      <c r="B182" s="238">
        <v>1632</v>
      </c>
      <c r="C182" s="242" t="s">
        <v>261</v>
      </c>
      <c r="D182" s="299">
        <v>205</v>
      </c>
      <c r="E182" s="299">
        <v>208</v>
      </c>
      <c r="F182" s="299">
        <v>213</v>
      </c>
      <c r="G182" s="207" t="s">
        <v>244</v>
      </c>
    </row>
    <row r="183" ht="45" customHeight="1">
      <c r="A183" s="226"/>
      <c r="B183" s="238">
        <v>1633</v>
      </c>
      <c r="C183" s="242" t="s">
        <v>262</v>
      </c>
      <c r="D183" s="299">
        <v>269</v>
      </c>
      <c r="E183" s="299">
        <v>273</v>
      </c>
      <c r="F183" s="299">
        <v>283</v>
      </c>
      <c r="G183" s="207" t="s">
        <v>244</v>
      </c>
    </row>
    <row r="184" ht="45" customHeight="1">
      <c r="A184" s="226"/>
      <c r="B184" s="238">
        <v>1634</v>
      </c>
      <c r="C184" s="242" t="s">
        <v>263</v>
      </c>
      <c r="D184" s="299">
        <v>15</v>
      </c>
      <c r="E184" s="299">
        <v>18</v>
      </c>
      <c r="F184" s="299">
        <v>19</v>
      </c>
      <c r="G184" s="207" t="s">
        <v>244</v>
      </c>
    </row>
    <row r="185" ht="45" customHeight="1">
      <c r="A185" s="226"/>
      <c r="B185" s="238">
        <v>1635</v>
      </c>
      <c r="C185" s="242" t="s">
        <v>264</v>
      </c>
      <c r="D185" s="299">
        <v>20</v>
      </c>
      <c r="E185" s="299">
        <v>15</v>
      </c>
      <c r="F185" s="299">
        <v>15</v>
      </c>
      <c r="G185" s="207" t="s">
        <v>244</v>
      </c>
    </row>
    <row r="186" ht="45" customHeight="1">
      <c r="A186" s="226"/>
      <c r="B186" s="238">
        <v>1641</v>
      </c>
      <c r="C186" s="242" t="s">
        <v>265</v>
      </c>
      <c r="D186" s="299">
        <v>20</v>
      </c>
      <c r="E186" s="299">
        <v>15</v>
      </c>
      <c r="F186" s="299">
        <v>15</v>
      </c>
      <c r="G186" s="207" t="s">
        <v>244</v>
      </c>
    </row>
    <row r="187" ht="45" customHeight="1">
      <c r="A187" s="226"/>
      <c r="B187" s="238">
        <v>1642</v>
      </c>
      <c r="C187" s="242" t="s">
        <v>264</v>
      </c>
      <c r="D187" s="299">
        <v>20</v>
      </c>
      <c r="E187" s="299">
        <v>15</v>
      </c>
      <c r="F187" s="299">
        <v>15</v>
      </c>
      <c r="G187" s="207" t="s">
        <v>244</v>
      </c>
    </row>
    <row r="188" ht="45" customHeight="1">
      <c r="A188" s="226"/>
      <c r="B188" s="238">
        <v>1643</v>
      </c>
      <c r="C188" s="242" t="s">
        <v>266</v>
      </c>
      <c r="D188" s="299">
        <v>284</v>
      </c>
      <c r="E188" s="299">
        <v>291</v>
      </c>
      <c r="F188" s="299">
        <v>302</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284</v>
      </c>
      <c r="E191" s="299">
        <v>291</v>
      </c>
      <c r="F191" s="299">
        <v>302</v>
      </c>
      <c r="G191" s="207" t="s">
        <v>244</v>
      </c>
    </row>
    <row r="192" ht="45" customHeight="1">
      <c r="A192" s="226"/>
      <c r="B192" s="238">
        <v>1653</v>
      </c>
      <c r="C192" s="242" t="s">
        <v>270</v>
      </c>
      <c r="D192" s="299">
        <v>284</v>
      </c>
      <c r="E192" s="299">
        <v>284</v>
      </c>
      <c r="F192" s="299">
        <v>284</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1</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8</v>
      </c>
      <c r="E200" s="299">
        <v>5</v>
      </c>
      <c r="F200" s="299">
        <v>4</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289</v>
      </c>
      <c r="AZ387" s="0" t="s">
        <v>293</v>
      </c>
      <c r="BA387" s="0" t="s">
        <v>285</v>
      </c>
      <c r="BB387" s="0" t="str">
        <f ref="BB387:BB450" t="shared" si="6">SUBSTITUTE(SUBSTITUTE(BA387&amp;AX387," ",""),"-","")</f>
        <v>CCCRNimNwangele</v>
      </c>
    </row>
    <row r="388">
      <c r="AV388" s="0" t="s">
        <v>473</v>
      </c>
      <c r="AW388" s="0" t="s">
        <v>286</v>
      </c>
      <c r="AX388" s="0" t="s">
        <v>873</v>
      </c>
      <c r="AY388" s="0" t="s">
        <v>1823</v>
      </c>
      <c r="AZ388" s="0" t="s">
        <v>1824</v>
      </c>
      <c r="BA388" s="0" t="s">
        <v>285</v>
      </c>
      <c r="BB388" s="0" t="str">
        <f t="shared" si="6"/>
        <v>CCCRNimOguta</v>
      </c>
    </row>
    <row r="389">
      <c r="AV389" s="0" t="s">
        <v>473</v>
      </c>
      <c r="AW389" s="0" t="s">
        <v>286</v>
      </c>
      <c r="AX389" s="0" t="s">
        <v>873</v>
      </c>
      <c r="AY389" s="0" t="s">
        <v>1825</v>
      </c>
      <c r="AZ389" s="0" t="s">
        <v>1826</v>
      </c>
      <c r="BA389" s="0" t="s">
        <v>285</v>
      </c>
      <c r="BB389" s="0" t="str">
        <f t="shared" si="6"/>
        <v>CCCRNimOguta</v>
      </c>
    </row>
    <row r="390">
      <c r="AV390" s="0" t="s">
        <v>473</v>
      </c>
      <c r="AW390" s="0" t="s">
        <v>286</v>
      </c>
      <c r="AX390" s="0" t="s">
        <v>873</v>
      </c>
      <c r="AY390" s="0" t="s">
        <v>1827</v>
      </c>
      <c r="AZ390" s="0" t="s">
        <v>1828</v>
      </c>
      <c r="BA390" s="0" t="s">
        <v>285</v>
      </c>
      <c r="BB390" s="0" t="str">
        <f t="shared" si="6"/>
        <v>CCCRNimOguta</v>
      </c>
    </row>
    <row r="391">
      <c r="AV391" s="0" t="s">
        <v>473</v>
      </c>
      <c r="AW391" s="0" t="s">
        <v>286</v>
      </c>
      <c r="AX391" s="0" t="s">
        <v>873</v>
      </c>
      <c r="AY391" s="0" t="s">
        <v>1829</v>
      </c>
      <c r="AZ391" s="0" t="s">
        <v>1830</v>
      </c>
      <c r="BA391" s="0" t="s">
        <v>285</v>
      </c>
      <c r="BB391" s="0" t="str">
        <f t="shared" si="6"/>
        <v>CCCRNimOguta</v>
      </c>
    </row>
    <row r="392">
      <c r="AV392" s="0" t="s">
        <v>473</v>
      </c>
      <c r="AW392" s="0" t="s">
        <v>286</v>
      </c>
      <c r="AX392" s="0" t="s">
        <v>873</v>
      </c>
      <c r="AY392" s="0" t="s">
        <v>1831</v>
      </c>
      <c r="AZ392" s="0" t="s">
        <v>1832</v>
      </c>
      <c r="BA392" s="0" t="s">
        <v>285</v>
      </c>
      <c r="BB392" s="0" t="str">
        <f t="shared" si="6"/>
        <v>CCCRNimOguta</v>
      </c>
    </row>
    <row r="393">
      <c r="AV393" s="0" t="s">
        <v>473</v>
      </c>
      <c r="AW393" s="0" t="s">
        <v>286</v>
      </c>
      <c r="AX393" s="0" t="s">
        <v>898</v>
      </c>
      <c r="AY393" s="0" t="s">
        <v>1833</v>
      </c>
      <c r="AZ393" s="0" t="s">
        <v>1834</v>
      </c>
      <c r="BA393" s="0" t="s">
        <v>285</v>
      </c>
      <c r="BB393" s="0" t="str">
        <f t="shared" si="6"/>
        <v>CCCRNimOhaji</v>
      </c>
    </row>
    <row r="394">
      <c r="AV394" s="0" t="s">
        <v>473</v>
      </c>
      <c r="AW394" s="0" t="s">
        <v>286</v>
      </c>
      <c r="AX394" s="0" t="s">
        <v>898</v>
      </c>
      <c r="AY394" s="0" t="s">
        <v>1833</v>
      </c>
      <c r="AZ394" s="0" t="s">
        <v>1835</v>
      </c>
      <c r="BA394" s="0" t="s">
        <v>285</v>
      </c>
      <c r="BB394" s="0" t="str">
        <f t="shared" si="6"/>
        <v>CCCRNimOhaji</v>
      </c>
    </row>
    <row r="395">
      <c r="AV395" s="0" t="s">
        <v>473</v>
      </c>
      <c r="AW395" s="0" t="s">
        <v>286</v>
      </c>
      <c r="AX395" s="0" t="s">
        <v>898</v>
      </c>
      <c r="AY395" s="0" t="s">
        <v>1833</v>
      </c>
      <c r="AZ395" s="0" t="s">
        <v>1836</v>
      </c>
      <c r="BA395" s="0" t="s">
        <v>285</v>
      </c>
      <c r="BB395" s="0" t="str">
        <f t="shared" si="6"/>
        <v>CCCRNimOhaji</v>
      </c>
    </row>
    <row r="396">
      <c r="AV396" s="0" t="s">
        <v>473</v>
      </c>
      <c r="AW396" s="0" t="s">
        <v>286</v>
      </c>
      <c r="AX396" s="0" t="s">
        <v>898</v>
      </c>
      <c r="AY396" s="0" t="s">
        <v>1833</v>
      </c>
      <c r="AZ396" s="0" t="s">
        <v>1837</v>
      </c>
      <c r="BA396" s="0" t="s">
        <v>285</v>
      </c>
      <c r="BB396" s="0" t="str">
        <f t="shared" si="6"/>
        <v>CCCRNimOhaji</v>
      </c>
    </row>
    <row r="397">
      <c r="AV397" s="0" t="s">
        <v>473</v>
      </c>
      <c r="AW397" s="0" t="s">
        <v>286</v>
      </c>
      <c r="AX397" s="0" t="s">
        <v>898</v>
      </c>
      <c r="AY397" s="0" t="s">
        <v>1833</v>
      </c>
      <c r="AZ397" s="0" t="s">
        <v>1838</v>
      </c>
      <c r="BA397" s="0" t="s">
        <v>285</v>
      </c>
      <c r="BB397" s="0" t="str">
        <f t="shared" si="6"/>
        <v>CCCRNimOhaji</v>
      </c>
    </row>
    <row r="398">
      <c r="AV398" s="0" t="s">
        <v>473</v>
      </c>
      <c r="AW398" s="0" t="s">
        <v>286</v>
      </c>
      <c r="AX398" s="0" t="s">
        <v>923</v>
      </c>
      <c r="AY398" s="0" t="s">
        <v>1839</v>
      </c>
      <c r="AZ398" s="0" t="s">
        <v>1840</v>
      </c>
      <c r="BA398" s="0" t="s">
        <v>285</v>
      </c>
      <c r="BB398" s="0" t="str">
        <f t="shared" si="6"/>
        <v>CCCRNimOrlu</v>
      </c>
    </row>
    <row r="399">
      <c r="AV399" s="0" t="s">
        <v>473</v>
      </c>
      <c r="AW399" s="0" t="s">
        <v>286</v>
      </c>
      <c r="AX399" s="0" t="s">
        <v>923</v>
      </c>
      <c r="AY399" s="0" t="s">
        <v>1841</v>
      </c>
      <c r="AZ399" s="0" t="s">
        <v>1842</v>
      </c>
      <c r="BA399" s="0" t="s">
        <v>285</v>
      </c>
      <c r="BB399" s="0" t="str">
        <f t="shared" si="6"/>
        <v>CCCRNimOrlu</v>
      </c>
    </row>
    <row r="400">
      <c r="AV400" s="0" t="s">
        <v>473</v>
      </c>
      <c r="AW400" s="0" t="s">
        <v>286</v>
      </c>
      <c r="AX400" s="0" t="s">
        <v>923</v>
      </c>
      <c r="AY400" s="0" t="s">
        <v>1843</v>
      </c>
      <c r="AZ400" s="0" t="s">
        <v>1844</v>
      </c>
      <c r="BA400" s="0" t="s">
        <v>285</v>
      </c>
      <c r="BB400" s="0" t="str">
        <f t="shared" si="6"/>
        <v>CCCRNimOrlu</v>
      </c>
    </row>
    <row r="401">
      <c r="AV401" s="0" t="s">
        <v>473</v>
      </c>
      <c r="AW401" s="0" t="s">
        <v>286</v>
      </c>
      <c r="AX401" s="0" t="s">
        <v>923</v>
      </c>
      <c r="AY401" s="0" t="s">
        <v>1845</v>
      </c>
      <c r="AZ401" s="0" t="s">
        <v>1846</v>
      </c>
      <c r="BA401" s="0" t="s">
        <v>285</v>
      </c>
      <c r="BB401" s="0" t="str">
        <f t="shared" si="6"/>
        <v>CCCRNimOrlu</v>
      </c>
    </row>
    <row r="402">
      <c r="AV402" s="0" t="s">
        <v>473</v>
      </c>
      <c r="AW402" s="0" t="s">
        <v>286</v>
      </c>
      <c r="AX402" s="0" t="s">
        <v>923</v>
      </c>
      <c r="AY402" s="0" t="s">
        <v>1847</v>
      </c>
      <c r="AZ402" s="0" t="s">
        <v>1848</v>
      </c>
      <c r="BA402" s="0" t="s">
        <v>285</v>
      </c>
      <c r="BB402" s="0" t="str">
        <f t="shared" si="6"/>
        <v>CCCRNimOrlu</v>
      </c>
    </row>
    <row r="403">
      <c r="AV403" s="0" t="s">
        <v>473</v>
      </c>
      <c r="AW403" s="0" t="s">
        <v>286</v>
      </c>
      <c r="AX403" s="0" t="s">
        <v>947</v>
      </c>
      <c r="AY403" s="0" t="s">
        <v>1849</v>
      </c>
      <c r="AZ403" s="0" t="s">
        <v>1850</v>
      </c>
      <c r="BA403" s="0" t="s">
        <v>285</v>
      </c>
      <c r="BB403" s="0" t="str">
        <f t="shared" si="6"/>
        <v>CCCRNimOrsu</v>
      </c>
    </row>
    <row r="404">
      <c r="AV404" s="0" t="s">
        <v>473</v>
      </c>
      <c r="AW404" s="0" t="s">
        <v>286</v>
      </c>
      <c r="AX404" s="0" t="s">
        <v>969</v>
      </c>
      <c r="AY404" s="0" t="s">
        <v>1851</v>
      </c>
      <c r="AZ404" s="0" t="s">
        <v>1852</v>
      </c>
      <c r="BA404" s="0" t="s">
        <v>285</v>
      </c>
      <c r="BB404" s="0" t="str">
        <f t="shared" si="6"/>
        <v>CCCRNimOruEast</v>
      </c>
    </row>
    <row r="405">
      <c r="AV405" s="0" t="s">
        <v>473</v>
      </c>
      <c r="AW405" s="0" t="s">
        <v>286</v>
      </c>
      <c r="AX405" s="0" t="s">
        <v>969</v>
      </c>
      <c r="AY405" s="0" t="s">
        <v>1853</v>
      </c>
      <c r="AZ405" s="0" t="s">
        <v>1854</v>
      </c>
      <c r="BA405" s="0" t="s">
        <v>285</v>
      </c>
      <c r="BB405" s="0" t="str">
        <f t="shared" si="6"/>
        <v>CCCRNimOruEast</v>
      </c>
    </row>
    <row r="406">
      <c r="AV406" s="0" t="s">
        <v>473</v>
      </c>
      <c r="AW406" s="0" t="s">
        <v>286</v>
      </c>
      <c r="AX406" s="0" t="s">
        <v>969</v>
      </c>
      <c r="AY406" s="0" t="s">
        <v>1855</v>
      </c>
      <c r="AZ406" s="0" t="s">
        <v>1856</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