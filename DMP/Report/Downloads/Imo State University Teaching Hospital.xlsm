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<sst xmlns="http://schemas.openxmlformats.org/spreadsheetml/2006/main" count="4033" uniqueCount="4033">
  <si>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</si>
  <si>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</si>
  <si>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</si>
  <si>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</si>
  <si>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</si>
  <si>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</si>
  <si>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</si>
  <si>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</si>
  <si>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</si>
  <si>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</si>
  <si>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</si>
  <si>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</si>
  <si>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</si>
  <si>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</si>
  <si>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</si>
  <si>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</si>
  <si>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</si>
  <si>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</si>
  <si>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</si>
  <si>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</si>
  <si>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</si>
  <si>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</si>
  <si>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</si>
  <si>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</si>
  <si>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</si>
  <si>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</si>
  <si>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</si>
  <si>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</si>
  <si>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</si>
  <si>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</si>
  <si>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</si>
  <si>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</si>
  <si>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</si>
  <si>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</si>
  <si>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</si>
  <si>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</si>
  <si>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</si>
  <si>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</si>
  <si>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</si>
  <si>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</si>
  <si>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</si>
  <si>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</si>
  <si>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</si>
  <si>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</si>
  <si>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</si>
  <si>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</si>
  <si>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</si>
  <si>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</si>
  <si>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</si>
  <si>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</si>
  <si>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</si>
  <si>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</si>
  <si>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</si>
  <si>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</si>
  <si>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</si>
  <si>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</si>
  <si>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</si>
  <si>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</si>
  <si>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</si>
  <si>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</si>
  <si>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</si>
  <si>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</si>
  <si>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</si>
  <si>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</si>
  <si>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</si>
  <si>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</si>
  <si>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</si>
  <si>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</si>
  <si>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</si>
  <si>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</si>
  <si>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</si>
  <si>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</si>
  <si>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</si>
  <si>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</si>
  <si>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</si>
  <si>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</si>
  <si>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</si>
  <si>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</si>
  <si>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</si>
  <si>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</si>
  <si>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</si>
  <si>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</si>
  <si>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</si>
  <si>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</si>
  <si>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</si>
  <si>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</si>
  <si>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</si>
  <si>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</si>
  <si>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</si>
  <si>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</si>
  <si>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</si>
  <si>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</si>
  <si>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</si>
  <si>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</si>
  <si>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</si>
  <si>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</si>
  <si>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</si>
  <si>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</si>
  <si>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</si>
  <si>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</si>
  <si>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</si>
  <si>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</si>
  <si>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</si>
  <si>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</si>
  <si>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</si>
  <si>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</si>
  <si>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</si>
  <si>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</si>
  <si>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</si>
  <si>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</si>
  <si>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</si>
  <si>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</si>
  <si>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</si>
  <si>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</si>
  <si>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</si>
  <si>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</si>
  <si>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</si>
  <si>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</si>
  <si>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</si>
  <si>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</si>
  <si>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</si>
  <si>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</si>
  <si>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</si>
  <si>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</si>
  <si>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</si>
  <si>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</si>
  <si>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</si>
  <si>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</si>
  <si>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</si>
  <si>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</si>
  <si>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</si>
  <si>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</si>
  <si>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</si>
  <si>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</si>
  <si>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</si>
  <si>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</si>
  <si>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</si>
  <si>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</si>
  <si>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</si>
  <si>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</si>
  <si>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</si>
  <si>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</si>
  <si>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</si>
  <si>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</si>
  <si>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</si>
  <si>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</si>
  <si>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</si>
  <si>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</si>
  <si>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</si>
  <si>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</si>
  <si>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</si>
  <si>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</si>
  <si>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</si>
  <si>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</si>
  <si>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</si>
  <si>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</si>
  <si>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</si>
  <si>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</si>
  <si>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</si>
  <si>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</si>
  <si>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</si>
  <si>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</si>
  <si>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</si>
  <si>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</si>
  <si>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</si>
  <si>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</si>
  <si>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</si>
  <si>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</si>
  <si>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</si>
  <si>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</si>
  <si>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</si>
  <si>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</si>
  <si>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</si>
  <si>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</si>
  <si>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</si>
  <si>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</si>
  <si>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</si>
  <si>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</si>
  <si>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</si>
  <si>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</si>
  <si>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</si>
  <si>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</si>
  <si>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</si>
  <si>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</si>
  <si>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</si>
  <si>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</si>
  <si>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</si>
  <si>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</si>
  <si>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</si>
  <si>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</si>
  <si>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</si>
  <si>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</si>
  <si>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</si>
  <si>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</si>
  <si>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</si>
  <si>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</si>
  <si>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</si>
  <si>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</si>
  <si>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</si>
  <si>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</si>
  <si>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</si>
  <si>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</si>
  <si>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</si>
  <si>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</si>
  <si>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</si>
  <si>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</si>
  <si>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</si>
  <si>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</si>
  <si>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</si>
  <si>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</si>
  <si>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</si>
  <si>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</si>
  <si>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</si>
  <si>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</si>
  <si>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</si>
  <si>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</si>
  <si>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</si>
  <si>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</si>
  <si>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</si>
  <si>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</si>
  <si>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</si>
  <si>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</si>
  <si>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</si>
  <si>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</si>
  <si>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</si>
  <si>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</si>
  <si>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</si>
  <si>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</si>
  <si>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</si>
  <si>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</si>
  <si>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</si>
  <si>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</si>
  <si>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</si>
  <si>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</si>
  <si>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</si>
  <si>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</si>
  <si>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</si>
  <si>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</si>
  <si>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</si>
  <si>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</si>
  <si>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</si>
  <si>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</si>
  <si>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</si>
  <si>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</si>
  <si>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</si>
  <si>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</si>
  <si>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</si>
  <si>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</si>
  <si>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</si>
  <si>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</si>
  <si>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</si>
  <si>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</si>
  <si>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</si>
  <si>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</si>
  <si>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</si>
  <si>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</si>
  <si>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</si>
  <si>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</si>
  <si>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</si>
  <si>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</si>
  <si>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</si>
  <si>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</si>
  <si>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</si>
  <si>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</si>
  <si>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</si>
  <si>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</si>
  <si>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</si>
  <si>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</si>
  <si>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</si>
  <si>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</si>
  <si>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</si>
  <si>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</si>
  <si>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</si>
  <si>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</si>
  <si>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</si>
  <si>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</si>
  <si>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</si>
  <si>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</si>
  <si>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</si>
  <si>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</si>
  <si>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</si>
  <si>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</si>
  <si>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</si>
  <si>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</si>
  <si>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</si>
  <si>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</si>
  <si>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</si>
  <si>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Orlu</t>
  </si>
  <si>
    <t>Facility Name:</t>
  </si>
  <si>
    <t>Imo State University Teaching Hospital</t>
  </si>
  <si>
    <t>Reporting Period:</t>
  </si>
  <si>
    <t>Q1(Oct - Dec)</t>
  </si>
  <si>
    <t>Facility Code:</t>
  </si>
  <si>
    <t>nN2Ume37GLM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</si>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</sst>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379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230</v>
      </c>
      <c r="E11" s="299">
        <v>182</v>
      </c>
      <c r="F11" s="299">
        <v>140</v>
      </c>
      <c r="G11" s="207" t="s">
        <v>67</v>
      </c>
    </row>
    <row r="12" ht="45" customHeight="1">
      <c r="A12" s="226"/>
      <c r="B12" s="238">
        <v>1115</v>
      </c>
      <c r="C12" s="242" t="s">
        <v>85</v>
      </c>
      <c r="D12" s="299">
        <v>230</v>
      </c>
      <c r="E12" s="299">
        <v>182</v>
      </c>
      <c r="F12" s="299">
        <v>140</v>
      </c>
      <c r="G12" s="207" t="s">
        <v>67</v>
      </c>
    </row>
    <row r="13" ht="45" customHeight="1">
      <c r="A13" s="226" t="s">
        <v>86</v>
      </c>
      <c r="B13" s="238">
        <v>1116</v>
      </c>
      <c r="C13" s="242" t="s">
        <v>87</v>
      </c>
      <c r="D13" s="299">
        <v>230</v>
      </c>
      <c r="E13" s="299">
        <v>182</v>
      </c>
      <c r="F13" s="299">
        <v>140</v>
      </c>
      <c r="G13" s="207" t="s">
        <v>67</v>
      </c>
    </row>
    <row r="14" ht="45" customHeight="1">
      <c r="A14" s="226"/>
      <c r="B14" s="238">
        <v>1117</v>
      </c>
      <c r="C14" s="242" t="s">
        <v>88</v>
      </c>
      <c r="D14" s="299">
        <v>230</v>
      </c>
      <c r="E14" s="299">
        <v>182</v>
      </c>
      <c r="F14" s="299">
        <v>140</v>
      </c>
      <c r="G14" s="207" t="s">
        <v>67</v>
      </c>
    </row>
    <row r="15" ht="45" customHeight="1">
      <c r="A15" s="226">
        <v>1116</v>
      </c>
      <c r="B15" s="238">
        <v>1121</v>
      </c>
      <c r="C15" s="243" t="str">
        <f>C13</f>
        <v>How many HTC clients have a completed Client intake form </v>
      </c>
      <c r="D15" s="300">
        <v>230</v>
      </c>
      <c r="E15" s="300">
        <v>182</v>
      </c>
      <c r="F15" s="300">
        <v>140</v>
      </c>
      <c r="G15" s="207"/>
    </row>
    <row r="16" ht="45" customHeight="1">
      <c r="A16" s="226"/>
      <c r="B16" s="238">
        <v>1122</v>
      </c>
      <c r="C16" s="243" t="s">
        <v>89</v>
      </c>
      <c r="D16" s="299">
        <v>230</v>
      </c>
      <c r="E16" s="299">
        <v>182</v>
      </c>
      <c r="F16" s="299">
        <v>140</v>
      </c>
      <c r="G16" s="207" t="s">
        <v>67</v>
      </c>
    </row>
    <row r="17" ht="45" customHeight="1">
      <c r="A17" s="226"/>
      <c r="B17" s="238">
        <v>1123</v>
      </c>
      <c r="C17" s="242" t="s">
        <v>90</v>
      </c>
      <c r="D17" s="299">
        <v>230</v>
      </c>
      <c r="E17" s="299">
        <v>182</v>
      </c>
      <c r="F17" s="299">
        <v>140</v>
      </c>
      <c r="G17" s="207" t="s">
        <v>67</v>
      </c>
    </row>
    <row r="18" ht="45" customHeight="1">
      <c r="A18" s="226"/>
      <c r="B18" s="238">
        <v>1124</v>
      </c>
      <c r="C18" s="242" t="s">
        <v>91</v>
      </c>
      <c r="D18" s="299">
        <v>230</v>
      </c>
      <c r="E18" s="299">
        <v>182</v>
      </c>
      <c r="F18" s="299">
        <v>140</v>
      </c>
      <c r="G18" s="207" t="s">
        <v>67</v>
      </c>
    </row>
    <row r="19" ht="45" customHeight="1">
      <c r="A19" s="226"/>
      <c r="B19" s="238">
        <v>1125</v>
      </c>
      <c r="C19" s="242" t="s">
        <v>92</v>
      </c>
      <c r="D19" s="299">
        <v>230</v>
      </c>
      <c r="E19" s="299">
        <v>182</v>
      </c>
      <c r="F19" s="299">
        <v>140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101</v>
      </c>
      <c r="E23" s="299">
        <v>78</v>
      </c>
      <c r="F23" s="299">
        <v>49</v>
      </c>
      <c r="G23" s="207" t="s">
        <v>67</v>
      </c>
    </row>
    <row r="24" ht="45" customHeight="1">
      <c r="A24" s="226"/>
      <c r="B24" s="238">
        <v>1132</v>
      </c>
      <c r="C24" s="242" t="s">
        <v>97</v>
      </c>
      <c r="D24" s="299">
        <v>129</v>
      </c>
      <c r="E24" s="299">
        <v>104</v>
      </c>
      <c r="F24" s="299">
        <v>91</v>
      </c>
      <c r="G24" s="207" t="s">
        <v>67</v>
      </c>
    </row>
    <row r="25" ht="45" customHeight="1">
      <c r="A25" s="226"/>
      <c r="B25" s="238">
        <v>1133</v>
      </c>
      <c r="C25" s="242" t="s">
        <v>98</v>
      </c>
      <c r="D25" s="299">
        <v>196</v>
      </c>
      <c r="E25" s="299">
        <v>164</v>
      </c>
      <c r="F25" s="299">
        <v>125</v>
      </c>
      <c r="G25" s="207" t="s">
        <v>67</v>
      </c>
    </row>
    <row r="26" ht="45" customHeight="1">
      <c r="A26" s="226"/>
      <c r="B26" s="238">
        <v>1134</v>
      </c>
      <c r="C26" s="242" t="s">
        <v>99</v>
      </c>
      <c r="D26" s="299">
        <v>34</v>
      </c>
      <c r="E26" s="299">
        <v>18</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40</v>
      </c>
      <c r="E29" s="299">
        <v>37</v>
      </c>
      <c r="F29" s="299">
        <v>29</v>
      </c>
      <c r="G29" s="207" t="s">
        <v>67</v>
      </c>
    </row>
    <row r="30" ht="45" customHeight="1">
      <c r="A30" s="226"/>
      <c r="B30" s="238">
        <v>1138</v>
      </c>
      <c r="C30" s="242" t="s">
        <v>103</v>
      </c>
      <c r="D30" s="299">
        <v>190</v>
      </c>
      <c r="E30" s="299">
        <v>145</v>
      </c>
      <c r="F30" s="299">
        <v>111</v>
      </c>
      <c r="G30" s="207" t="s">
        <v>67</v>
      </c>
    </row>
    <row r="31" ht="45" customHeight="1">
      <c r="A31" s="226">
        <v>1116</v>
      </c>
      <c r="B31" s="238">
        <v>1141</v>
      </c>
      <c r="C31" s="242" t="s">
        <v>104</v>
      </c>
      <c r="D31" s="300">
        <v>230</v>
      </c>
      <c r="E31" s="300">
        <v>182</v>
      </c>
      <c r="F31" s="300">
        <v>140</v>
      </c>
      <c r="G31" s="207"/>
    </row>
    <row r="32" ht="45" customHeight="1">
      <c r="A32" s="226"/>
      <c r="B32" s="238">
        <v>1142</v>
      </c>
      <c r="C32" s="243" t="s">
        <v>105</v>
      </c>
      <c r="D32" s="300">
        <v>230</v>
      </c>
      <c r="E32" s="300">
        <v>182</v>
      </c>
      <c r="F32" s="300">
        <v>140</v>
      </c>
      <c r="G32" s="207"/>
    </row>
    <row r="33" ht="45" customHeight="1">
      <c r="A33" s="226"/>
      <c r="B33" s="238">
        <v>1143</v>
      </c>
      <c r="C33" s="242" t="s">
        <v>106</v>
      </c>
      <c r="D33" s="299">
        <v>230</v>
      </c>
      <c r="E33" s="299">
        <v>182</v>
      </c>
      <c r="F33" s="299">
        <v>140</v>
      </c>
      <c r="G33" s="207" t="s">
        <v>67</v>
      </c>
    </row>
    <row r="34" ht="45" customHeight="1">
      <c r="A34" s="226"/>
      <c r="B34" s="238">
        <v>1144</v>
      </c>
      <c r="C34" s="242" t="s">
        <v>107</v>
      </c>
      <c r="D34" s="299">
        <v>230</v>
      </c>
      <c r="E34" s="299">
        <v>182</v>
      </c>
      <c r="F34" s="299">
        <v>140</v>
      </c>
      <c r="G34" s="207" t="s">
        <v>67</v>
      </c>
    </row>
    <row r="35" ht="45" customHeight="1">
      <c r="A35" s="226"/>
      <c r="B35" s="238">
        <v>1145</v>
      </c>
      <c r="C35" s="242" t="s">
        <v>108</v>
      </c>
      <c r="D35" s="299">
        <v>252</v>
      </c>
      <c r="E35" s="299">
        <v>182</v>
      </c>
      <c r="F35" s="299">
        <v>139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196</v>
      </c>
      <c r="E37" s="299">
        <v>154</v>
      </c>
      <c r="F37" s="299">
        <v>125</v>
      </c>
      <c r="G37" s="207" t="s">
        <v>67</v>
      </c>
    </row>
    <row r="38" ht="45" customHeight="1">
      <c r="A38" s="226"/>
      <c r="B38" s="238">
        <v>1153</v>
      </c>
      <c r="C38" s="242" t="s">
        <v>111</v>
      </c>
      <c r="D38" s="299">
        <v>209</v>
      </c>
      <c r="E38" s="299">
        <v>154</v>
      </c>
      <c r="F38" s="299">
        <v>119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196</v>
      </c>
      <c r="E40" s="299">
        <v>154</v>
      </c>
      <c r="F40" s="299">
        <v>125</v>
      </c>
      <c r="G40" s="207" t="s">
        <v>67</v>
      </c>
    </row>
    <row r="41" ht="45" customHeight="1">
      <c r="A41" s="226"/>
      <c r="B41" s="238">
        <v>1156</v>
      </c>
      <c r="C41" s="242" t="s">
        <v>113</v>
      </c>
      <c r="D41" s="299">
        <v>209</v>
      </c>
      <c r="E41" s="299">
        <v>154</v>
      </c>
      <c r="F41" s="299">
        <v>119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39</v>
      </c>
      <c r="E43" s="299">
        <v>35</v>
      </c>
      <c r="F43" s="299">
        <v>27</v>
      </c>
      <c r="G43" s="207" t="s">
        <v>67</v>
      </c>
    </row>
    <row r="44" ht="45" customHeight="1" s="250" customFormat="1">
      <c r="A44" s="226"/>
      <c r="B44" s="238">
        <v>1159</v>
      </c>
      <c r="C44" s="242" t="s">
        <v>116</v>
      </c>
      <c r="D44" s="299">
        <v>38</v>
      </c>
      <c r="E44" s="299">
        <v>35</v>
      </c>
      <c r="F44" s="299">
        <v>31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v>
      </c>
      <c r="E54" s="299">
        <v>1</v>
      </c>
      <c r="F54" s="299">
        <v>1</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40</v>
      </c>
      <c r="E56" s="299">
        <v>29</v>
      </c>
      <c r="F56" s="299">
        <v>27</v>
      </c>
      <c r="G56" s="207" t="s">
        <v>117</v>
      </c>
    </row>
    <row r="57" ht="45" customHeight="1">
      <c r="A57" s="226"/>
      <c r="B57" s="238">
        <v>1217</v>
      </c>
      <c r="C57" s="243" t="s">
        <v>135</v>
      </c>
      <c r="D57" s="299">
        <v>5</v>
      </c>
      <c r="E57" s="299">
        <v>5</v>
      </c>
      <c r="F57" s="299">
        <v>3</v>
      </c>
      <c r="G57" s="207" t="s">
        <v>117</v>
      </c>
    </row>
    <row r="58" ht="45" customHeight="1">
      <c r="A58" s="226"/>
      <c r="B58" s="238">
        <v>1218</v>
      </c>
      <c r="C58" s="243" t="s">
        <v>136</v>
      </c>
      <c r="D58" s="299">
        <v>1</v>
      </c>
      <c r="E58" s="299">
        <v>1</v>
      </c>
      <c r="F58" s="299">
        <v>0</v>
      </c>
      <c r="G58" s="207" t="s">
        <v>117</v>
      </c>
    </row>
    <row r="59" ht="45" customHeight="1">
      <c r="A59" s="226"/>
      <c r="B59" s="238">
        <v>1221</v>
      </c>
      <c r="C59" s="264" t="s">
        <v>137</v>
      </c>
      <c r="D59" s="299">
        <v>43</v>
      </c>
      <c r="E59" s="299">
        <v>29</v>
      </c>
      <c r="F59" s="299">
        <v>27</v>
      </c>
      <c r="G59" s="207" t="s">
        <v>117</v>
      </c>
    </row>
    <row r="60" ht="45" customHeight="1">
      <c r="A60" s="226"/>
      <c r="B60" s="238">
        <v>1222</v>
      </c>
      <c r="C60" s="264" t="s">
        <v>138</v>
      </c>
      <c r="D60" s="299">
        <v>37</v>
      </c>
      <c r="E60" s="299">
        <v>24</v>
      </c>
      <c r="F60" s="299">
        <v>24</v>
      </c>
      <c r="G60" s="207" t="s">
        <v>117</v>
      </c>
    </row>
    <row r="61" ht="45" customHeight="1">
      <c r="A61" s="226"/>
      <c r="B61" s="238">
        <v>1223</v>
      </c>
      <c r="C61" s="264" t="s">
        <v>139</v>
      </c>
      <c r="D61" s="299">
        <v>37</v>
      </c>
      <c r="E61" s="299">
        <v>24</v>
      </c>
      <c r="F61" s="299">
        <v>24</v>
      </c>
      <c r="G61" s="207" t="s">
        <v>117</v>
      </c>
    </row>
    <row r="62" ht="54.65" customHeight="1">
      <c r="A62" s="226"/>
      <c r="B62" s="238">
        <v>1224</v>
      </c>
      <c r="C62" s="264" t="s">
        <v>140</v>
      </c>
      <c r="D62" s="299">
        <v>37</v>
      </c>
      <c r="E62" s="299">
        <v>24</v>
      </c>
      <c r="F62" s="299">
        <v>24</v>
      </c>
      <c r="G62" s="207" t="s">
        <v>117</v>
      </c>
    </row>
    <row r="63" ht="66.65" customHeight="1">
      <c r="A63" s="226"/>
      <c r="B63" s="238">
        <v>1225</v>
      </c>
      <c r="C63" s="264" t="s">
        <v>141</v>
      </c>
      <c r="D63" s="299">
        <v>37</v>
      </c>
      <c r="E63" s="299">
        <v>24</v>
      </c>
      <c r="F63" s="299">
        <v>24</v>
      </c>
      <c r="G63" s="207" t="s">
        <v>117</v>
      </c>
    </row>
    <row r="64" ht="45" customHeight="1">
      <c r="A64" s="226"/>
      <c r="B64" s="238">
        <v>1226</v>
      </c>
      <c r="C64" s="264" t="s">
        <v>142</v>
      </c>
      <c r="D64" s="299">
        <v>5</v>
      </c>
      <c r="E64" s="299">
        <v>5</v>
      </c>
      <c r="F64" s="299">
        <v>3</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37</v>
      </c>
      <c r="E67" s="299">
        <v>24</v>
      </c>
      <c r="F67" s="299">
        <v>24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5</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36</v>
      </c>
      <c r="E71" s="299">
        <v>23</v>
      </c>
      <c r="F71" s="299">
        <v>24</v>
      </c>
      <c r="G71" s="207" t="s">
        <v>117</v>
      </c>
    </row>
    <row r="72" ht="45" customHeight="1">
      <c r="A72" s="226"/>
      <c r="B72" s="238">
        <v>1236</v>
      </c>
      <c r="C72" s="242" t="s">
        <v>150</v>
      </c>
      <c r="D72" s="299">
        <v>1</v>
      </c>
      <c r="E72" s="299">
        <v>1</v>
      </c>
      <c r="F72" s="299">
        <v>0</v>
      </c>
      <c r="G72" s="207" t="s">
        <v>117</v>
      </c>
    </row>
    <row r="73" ht="45" customHeight="1">
      <c r="A73" s="226"/>
      <c r="B73" s="238">
        <v>1241</v>
      </c>
      <c r="C73" s="242" t="s">
        <v>151</v>
      </c>
      <c r="D73" s="299">
        <v>43</v>
      </c>
      <c r="E73" s="299">
        <v>29</v>
      </c>
      <c r="F73" s="299">
        <v>24</v>
      </c>
      <c r="G73" s="207" t="s">
        <v>117</v>
      </c>
    </row>
    <row r="74" ht="45" customHeight="1">
      <c r="A74" s="226"/>
      <c r="B74" s="238">
        <v>1242</v>
      </c>
      <c r="C74" s="242" t="s">
        <v>152</v>
      </c>
      <c r="D74" s="299">
        <v>5</v>
      </c>
      <c r="E74" s="299">
        <v>5</v>
      </c>
      <c r="F74" s="299">
        <v>3</v>
      </c>
      <c r="G74" s="207" t="s">
        <v>117</v>
      </c>
    </row>
    <row r="75" ht="45" customHeight="1">
      <c r="A75" s="226"/>
      <c r="B75" s="238">
        <v>1243</v>
      </c>
      <c r="C75" s="243" t="s">
        <v>153</v>
      </c>
      <c r="D75" s="299">
        <v>37</v>
      </c>
      <c r="E75" s="299">
        <v>24</v>
      </c>
      <c r="F75" s="299">
        <v>24</v>
      </c>
      <c r="G75" s="207" t="s">
        <v>117</v>
      </c>
    </row>
    <row r="76" ht="45" customHeight="1">
      <c r="A76" s="226"/>
      <c r="B76" s="238">
        <v>1244</v>
      </c>
      <c r="C76" s="243" t="s">
        <v>154</v>
      </c>
      <c r="D76" s="299">
        <v>5</v>
      </c>
      <c r="E76" s="299">
        <v>5</v>
      </c>
      <c r="F76" s="299">
        <v>3</v>
      </c>
      <c r="G76" s="207" t="s">
        <v>117</v>
      </c>
    </row>
    <row r="77" ht="45" customHeight="1">
      <c r="A77" s="226"/>
      <c r="B77" s="238">
        <v>1245</v>
      </c>
      <c r="C77" s="243" t="s">
        <v>155</v>
      </c>
      <c r="D77" s="299">
        <v>37</v>
      </c>
      <c r="E77" s="299">
        <v>23</v>
      </c>
      <c r="F77" s="299">
        <v>24</v>
      </c>
      <c r="G77" s="207" t="s">
        <v>117</v>
      </c>
    </row>
    <row r="78" ht="45" customHeight="1">
      <c r="A78" s="226"/>
      <c r="B78" s="238">
        <v>1246</v>
      </c>
      <c r="C78" s="243" t="s">
        <v>156</v>
      </c>
      <c r="D78" s="299">
        <v>5</v>
      </c>
      <c r="E78" s="299">
        <v>5</v>
      </c>
      <c r="F78" s="299">
        <v>3</v>
      </c>
      <c r="G78" s="207" t="s">
        <v>117</v>
      </c>
    </row>
    <row r="79" ht="45" customHeight="1">
      <c r="A79" s="226"/>
      <c r="B79" s="238">
        <v>1247</v>
      </c>
      <c r="C79" s="242" t="s">
        <v>157</v>
      </c>
      <c r="D79" s="299">
        <v>37</v>
      </c>
      <c r="E79" s="299">
        <v>24</v>
      </c>
      <c r="F79" s="299">
        <v>22</v>
      </c>
      <c r="G79" s="207" t="s">
        <v>117</v>
      </c>
    </row>
    <row r="80" ht="45" customHeight="1">
      <c r="A80" s="226"/>
      <c r="B80" s="238">
        <v>1248</v>
      </c>
      <c r="C80" s="242" t="s">
        <v>158</v>
      </c>
      <c r="D80" s="299">
        <v>5</v>
      </c>
      <c r="E80" s="299">
        <v>5</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42</v>
      </c>
      <c r="E82" s="299">
        <v>29</v>
      </c>
      <c r="F82" s="299">
        <v>27</v>
      </c>
      <c r="G82" s="207" t="s">
        <v>117</v>
      </c>
    </row>
    <row r="83" ht="45" customHeight="1">
      <c r="A83" s="226"/>
      <c r="B83" s="238">
        <v>1253</v>
      </c>
      <c r="C83" s="242" t="s">
        <v>161</v>
      </c>
      <c r="D83" s="299">
        <v>42</v>
      </c>
      <c r="E83" s="299">
        <v>29</v>
      </c>
      <c r="F83" s="299">
        <v>24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1</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5</v>
      </c>
      <c r="E88" s="299">
        <v>5</v>
      </c>
      <c r="F88" s="299">
        <v>3</v>
      </c>
      <c r="G88" s="207" t="s">
        <v>117</v>
      </c>
    </row>
    <row r="89" ht="45" customHeight="1">
      <c r="A89" s="226"/>
      <c r="B89" s="238">
        <v>1259</v>
      </c>
      <c r="C89" s="242" t="s">
        <v>167</v>
      </c>
      <c r="D89" s="299">
        <v>5</v>
      </c>
      <c r="E89" s="299">
        <v>5</v>
      </c>
      <c r="F89" s="299">
        <v>2</v>
      </c>
      <c r="G89" s="207" t="s">
        <v>117</v>
      </c>
    </row>
    <row r="90" ht="45" customHeight="1">
      <c r="A90" s="226"/>
      <c r="C90" s="252"/>
      <c r="D90" s="253"/>
      <c r="E90" s="254"/>
      <c r="F90" s="254"/>
      <c r="G90" s="265"/>
    </row>
    <row r="91" ht="45" customHeight="1">
      <c r="A91" s="226"/>
      <c r="B91" s="220" t="s">
        <v>168</v>
      </c>
      <c r="C91" s="260" t="s">
        <v>169</v>
      </c>
      <c r="D91" s="228"/>
      <c r="E91" s="231"/>
      <c r="F91" s="298">
        <v>10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6</v>
      </c>
      <c r="F93" s="299">
        <v>3</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6</v>
      </c>
      <c r="E97" s="299">
        <v>6</v>
      </c>
      <c r="F97" s="299">
        <v>3</v>
      </c>
      <c r="G97" s="265" t="s">
        <v>168</v>
      </c>
    </row>
    <row r="98" ht="45" customHeight="1" s="269" customFormat="1">
      <c r="A98" s="226"/>
      <c r="B98" s="238">
        <v>1322</v>
      </c>
      <c r="C98" s="242" t="s">
        <v>177</v>
      </c>
      <c r="D98" s="299">
        <v>6</v>
      </c>
      <c r="E98" s="299">
        <v>6</v>
      </c>
      <c r="F98" s="299">
        <v>3</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5</v>
      </c>
      <c r="E102" s="299">
        <v>5</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1</v>
      </c>
      <c r="F108" s="299">
        <v>0</v>
      </c>
      <c r="G108" s="265" t="s">
        <v>168</v>
      </c>
    </row>
    <row r="109" ht="45" customHeight="1" s="269" customFormat="1">
      <c r="A109" s="226"/>
      <c r="B109" s="238">
        <v>1344</v>
      </c>
      <c r="C109" s="242" t="s">
        <v>188</v>
      </c>
      <c r="D109" s="299">
        <v>1</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115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34</v>
      </c>
      <c r="E145" s="299">
        <v>30</v>
      </c>
      <c r="F145" s="299">
        <v>22</v>
      </c>
      <c r="G145" s="207" t="s">
        <v>219</v>
      </c>
    </row>
    <row r="146" ht="45" customHeight="1">
      <c r="A146" s="226">
        <v>1541</v>
      </c>
      <c r="B146" s="238">
        <v>1515</v>
      </c>
      <c r="C146" s="264" t="s">
        <v>226</v>
      </c>
      <c r="D146" s="299">
        <v>34</v>
      </c>
      <c r="E146" s="299">
        <v>30</v>
      </c>
      <c r="F146" s="299">
        <v>22</v>
      </c>
      <c r="G146" s="207" t="s">
        <v>219</v>
      </c>
    </row>
    <row r="147" ht="45" customHeight="1">
      <c r="A147" s="226"/>
      <c r="B147" s="238">
        <v>1521</v>
      </c>
      <c r="C147" s="264" t="s">
        <v>227</v>
      </c>
      <c r="D147" s="299">
        <v>34</v>
      </c>
      <c r="E147" s="299">
        <v>30</v>
      </c>
      <c r="F147" s="299">
        <v>22</v>
      </c>
      <c r="G147" s="207" t="s">
        <v>219</v>
      </c>
    </row>
    <row r="148" ht="45" customHeight="1">
      <c r="A148" s="226"/>
      <c r="B148" s="238">
        <v>1522</v>
      </c>
      <c r="C148" s="264" t="s">
        <v>228</v>
      </c>
      <c r="D148" s="299">
        <v>19</v>
      </c>
      <c r="E148" s="299">
        <v>34</v>
      </c>
      <c r="F148" s="299">
        <v>15</v>
      </c>
      <c r="G148" s="207" t="s">
        <v>219</v>
      </c>
    </row>
    <row r="149" ht="45" customHeight="1">
      <c r="A149" s="226"/>
      <c r="B149" s="238">
        <v>1523</v>
      </c>
      <c r="C149" s="264" t="s">
        <v>229</v>
      </c>
      <c r="D149" s="299">
        <v>34</v>
      </c>
      <c r="E149" s="299">
        <v>30</v>
      </c>
      <c r="F149" s="299">
        <v>22</v>
      </c>
      <c r="G149" s="207" t="s">
        <v>219</v>
      </c>
    </row>
    <row r="150" ht="45" customHeight="1">
      <c r="A150" s="226"/>
      <c r="B150" s="238">
        <v>1524</v>
      </c>
      <c r="C150" s="264" t="s">
        <v>230</v>
      </c>
      <c r="D150" s="299">
        <v>34</v>
      </c>
      <c r="E150" s="299">
        <v>30</v>
      </c>
      <c r="F150" s="299">
        <v>22</v>
      </c>
      <c r="G150" s="207" t="s">
        <v>219</v>
      </c>
    </row>
    <row r="151" ht="45" customHeight="1">
      <c r="A151" s="226"/>
      <c r="B151" s="238">
        <v>1531</v>
      </c>
      <c r="C151" s="242" t="s">
        <v>231</v>
      </c>
      <c r="D151" s="299">
        <v>4</v>
      </c>
      <c r="E151" s="299">
        <v>14</v>
      </c>
      <c r="F151" s="299">
        <v>8</v>
      </c>
      <c r="G151" s="207" t="s">
        <v>219</v>
      </c>
    </row>
    <row r="152" ht="45" customHeight="1">
      <c r="A152" s="226"/>
      <c r="B152" s="238">
        <v>1532</v>
      </c>
      <c r="C152" s="242" t="s">
        <v>232</v>
      </c>
      <c r="D152" s="299">
        <v>15</v>
      </c>
      <c r="E152" s="299">
        <v>20</v>
      </c>
      <c r="F152" s="299">
        <v>7</v>
      </c>
      <c r="G152" s="207" t="s">
        <v>219</v>
      </c>
    </row>
    <row r="153" ht="45" customHeight="1">
      <c r="A153" s="226"/>
      <c r="B153" s="238">
        <v>1533</v>
      </c>
      <c r="C153" s="242" t="s">
        <v>233</v>
      </c>
      <c r="D153" s="299">
        <v>34</v>
      </c>
      <c r="E153" s="299">
        <v>30</v>
      </c>
      <c r="F153" s="299">
        <v>21</v>
      </c>
      <c r="G153" s="207" t="s">
        <v>219</v>
      </c>
    </row>
    <row r="154" ht="45" customHeight="1">
      <c r="A154" s="226"/>
      <c r="B154" s="238">
        <v>1534</v>
      </c>
      <c r="C154" s="242" t="s">
        <v>234</v>
      </c>
      <c r="D154" s="299">
        <v>0</v>
      </c>
      <c r="E154" s="299">
        <v>1</v>
      </c>
      <c r="F154" s="299">
        <v>0</v>
      </c>
      <c r="G154" s="207" t="s">
        <v>219</v>
      </c>
    </row>
    <row r="155" ht="45" customHeight="1">
      <c r="A155" s="226"/>
      <c r="B155" s="238">
        <v>1541</v>
      </c>
      <c r="C155" s="242" t="s">
        <v>235</v>
      </c>
      <c r="D155" s="299">
        <v>34</v>
      </c>
      <c r="E155" s="299">
        <v>30</v>
      </c>
      <c r="F155" s="299">
        <v>22</v>
      </c>
      <c r="G155" s="207" t="s">
        <v>219</v>
      </c>
    </row>
    <row r="156" ht="45" customHeight="1">
      <c r="A156" s="226"/>
      <c r="B156" s="238">
        <v>1542</v>
      </c>
      <c r="C156" s="264" t="s">
        <v>236</v>
      </c>
      <c r="D156" s="299">
        <v>19</v>
      </c>
      <c r="E156" s="299">
        <v>34</v>
      </c>
      <c r="F156" s="299">
        <v>15</v>
      </c>
      <c r="G156" s="207" t="s">
        <v>219</v>
      </c>
    </row>
    <row r="157" ht="45" customHeight="1">
      <c r="A157" s="226"/>
      <c r="B157" s="238">
        <v>1543</v>
      </c>
      <c r="C157" s="264" t="s">
        <v>237</v>
      </c>
      <c r="D157" s="299">
        <v>34</v>
      </c>
      <c r="E157" s="299">
        <v>30</v>
      </c>
      <c r="F157" s="299">
        <v>22</v>
      </c>
      <c r="G157" s="207" t="s">
        <v>219</v>
      </c>
    </row>
    <row r="158" ht="45" customHeight="1">
      <c r="A158" s="226"/>
      <c r="B158" s="238">
        <v>1544</v>
      </c>
      <c r="C158" s="242" t="s">
        <v>238</v>
      </c>
      <c r="D158" s="299">
        <v>19</v>
      </c>
      <c r="E158" s="299">
        <v>34</v>
      </c>
      <c r="F158" s="299">
        <v>15</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34</v>
      </c>
      <c r="E160" s="299">
        <v>30</v>
      </c>
      <c r="F160" s="299">
        <v>22</v>
      </c>
      <c r="G160" s="207" t="s">
        <v>219</v>
      </c>
    </row>
    <row r="161" ht="45" customHeight="1">
      <c r="A161" s="226"/>
      <c r="B161" s="238">
        <v>1553</v>
      </c>
      <c r="C161" s="242" t="s">
        <v>241</v>
      </c>
      <c r="D161" s="299">
        <v>19</v>
      </c>
      <c r="E161" s="299">
        <v>34</v>
      </c>
      <c r="F161" s="299">
        <v>15</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19</v>
      </c>
      <c r="E163" s="299">
        <v>34</v>
      </c>
      <c r="F163" s="299">
        <v>15</v>
      </c>
      <c r="G163" s="207" t="s">
        <v>219</v>
      </c>
    </row>
    <row r="164" ht="45" customHeight="1">
      <c r="A164" s="226"/>
      <c r="B164" s="238">
        <v>1556</v>
      </c>
      <c r="C164" s="242" t="s">
        <v>241</v>
      </c>
      <c r="D164" s="299">
        <v>19</v>
      </c>
      <c r="E164" s="299">
        <v>34</v>
      </c>
      <c r="F164" s="299">
        <v>15</v>
      </c>
      <c r="G164" s="207" t="s">
        <v>219</v>
      </c>
    </row>
    <row r="165" ht="45" customHeight="1">
      <c r="A165" s="226"/>
      <c r="C165" s="276"/>
      <c r="D165" s="277"/>
      <c r="G165" s="207"/>
    </row>
    <row r="166" ht="45" customHeight="1">
      <c r="A166" s="226"/>
      <c r="B166" s="279" t="s">
        <v>244</v>
      </c>
      <c r="C166" s="260" t="s">
        <v>245</v>
      </c>
      <c r="D166" s="228"/>
      <c r="E166" s="231"/>
      <c r="F166" s="298">
        <v>2027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53</v>
      </c>
      <c r="E173" s="299">
        <v>62</v>
      </c>
      <c r="F173" s="299">
        <v>63</v>
      </c>
      <c r="G173" s="207" t="s">
        <v>244</v>
      </c>
    </row>
    <row r="174" ht="45" customHeight="1">
      <c r="A174" s="226"/>
      <c r="B174" s="238">
        <v>1616</v>
      </c>
      <c r="C174" s="242" t="s">
        <v>253</v>
      </c>
      <c r="D174" s="299">
        <v>1881</v>
      </c>
      <c r="E174" s="299">
        <v>1911</v>
      </c>
      <c r="F174" s="299">
        <v>1933</v>
      </c>
      <c r="G174" s="207" t="s">
        <v>244</v>
      </c>
    </row>
    <row r="175" ht="45" customHeight="1">
      <c r="A175" s="226"/>
      <c r="B175" s="238">
        <v>1621</v>
      </c>
      <c r="C175" s="242" t="s">
        <v>254</v>
      </c>
      <c r="D175" s="299">
        <v>732</v>
      </c>
      <c r="E175" s="299">
        <v>861</v>
      </c>
      <c r="F175" s="299">
        <v>872</v>
      </c>
      <c r="G175" s="207" t="s">
        <v>244</v>
      </c>
    </row>
    <row r="176" ht="45" customHeight="1">
      <c r="A176" s="226"/>
      <c r="B176" s="238">
        <v>1622</v>
      </c>
      <c r="C176" s="242" t="s">
        <v>255</v>
      </c>
      <c r="D176" s="299">
        <v>647</v>
      </c>
      <c r="E176" s="299">
        <v>757</v>
      </c>
      <c r="F176" s="299">
        <v>844</v>
      </c>
      <c r="G176" s="207" t="s">
        <v>244</v>
      </c>
    </row>
    <row r="177" ht="45" customHeight="1">
      <c r="A177" s="226"/>
      <c r="B177" s="238">
        <v>1623</v>
      </c>
      <c r="C177" s="242" t="s">
        <v>256</v>
      </c>
      <c r="D177" s="299">
        <v>647</v>
      </c>
      <c r="E177" s="299">
        <v>757</v>
      </c>
      <c r="F177" s="299">
        <v>844</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732</v>
      </c>
      <c r="E179" s="299">
        <v>861</v>
      </c>
      <c r="F179" s="299">
        <v>872</v>
      </c>
      <c r="G179" s="207" t="s">
        <v>244</v>
      </c>
    </row>
    <row r="180" ht="45" customHeight="1">
      <c r="A180" s="226"/>
      <c r="B180" s="238"/>
      <c r="C180" s="245" t="s">
        <v>259</v>
      </c>
      <c r="D180" s="246"/>
      <c r="E180" s="246"/>
      <c r="F180" s="247"/>
      <c r="G180" s="207" t="s">
        <v>244</v>
      </c>
    </row>
    <row r="181" ht="45" customHeight="1">
      <c r="A181" s="226"/>
      <c r="B181" s="238">
        <v>1631</v>
      </c>
      <c r="C181" s="242" t="s">
        <v>260</v>
      </c>
      <c r="D181" s="299">
        <v>584</v>
      </c>
      <c r="E181" s="299">
        <v>595</v>
      </c>
      <c r="F181" s="299">
        <v>606</v>
      </c>
      <c r="G181" s="207" t="s">
        <v>244</v>
      </c>
    </row>
    <row r="182" ht="45" customHeight="1">
      <c r="A182" s="226"/>
      <c r="B182" s="238">
        <v>1632</v>
      </c>
      <c r="C182" s="242" t="s">
        <v>261</v>
      </c>
      <c r="D182" s="299">
        <v>1297</v>
      </c>
      <c r="E182" s="299">
        <v>1316</v>
      </c>
      <c r="F182" s="299">
        <v>1327</v>
      </c>
      <c r="G182" s="207" t="s">
        <v>244</v>
      </c>
    </row>
    <row r="183" ht="45" customHeight="1">
      <c r="A183" s="226"/>
      <c r="B183" s="238">
        <v>1633</v>
      </c>
      <c r="C183" s="242" t="s">
        <v>262</v>
      </c>
      <c r="D183" s="299">
        <v>1834</v>
      </c>
      <c r="E183" s="299">
        <v>1864</v>
      </c>
      <c r="F183" s="299">
        <v>1885</v>
      </c>
      <c r="G183" s="207" t="s">
        <v>244</v>
      </c>
    </row>
    <row r="184" ht="45" customHeight="1">
      <c r="A184" s="226"/>
      <c r="B184" s="238">
        <v>1634</v>
      </c>
      <c r="C184" s="242" t="s">
        <v>263</v>
      </c>
      <c r="D184" s="299">
        <v>47</v>
      </c>
      <c r="E184" s="299">
        <v>47</v>
      </c>
      <c r="F184" s="299">
        <v>48</v>
      </c>
      <c r="G184" s="207" t="s">
        <v>244</v>
      </c>
    </row>
    <row r="185" ht="45" customHeight="1">
      <c r="A185" s="226"/>
      <c r="B185" s="238">
        <v>1635</v>
      </c>
      <c r="C185" s="242" t="s">
        <v>264</v>
      </c>
      <c r="D185" s="299">
        <v>647</v>
      </c>
      <c r="E185" s="299">
        <v>757</v>
      </c>
      <c r="F185" s="299">
        <v>844</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647</v>
      </c>
      <c r="E187" s="299">
        <v>757</v>
      </c>
      <c r="F187" s="299">
        <v>844</v>
      </c>
      <c r="G187" s="207" t="s">
        <v>244</v>
      </c>
    </row>
    <row r="188" ht="45" customHeight="1">
      <c r="A188" s="226"/>
      <c r="B188" s="238">
        <v>1643</v>
      </c>
      <c r="C188" s="242" t="s">
        <v>266</v>
      </c>
      <c r="D188" s="299">
        <v>1881</v>
      </c>
      <c r="E188" s="299">
        <v>1911</v>
      </c>
      <c r="F188" s="299">
        <v>1933</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1881</v>
      </c>
      <c r="E192" s="299">
        <v>1911</v>
      </c>
      <c r="F192" s="299">
        <v>1933</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1</v>
      </c>
      <c r="F195" s="299">
        <v>1</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5</v>
      </c>
      <c r="E198" s="299">
        <v>5</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289</v>
      </c>
      <c r="AZ399" s="0" t="s">
        <v>293</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